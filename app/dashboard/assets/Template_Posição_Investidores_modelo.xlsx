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hmagalhaes\Downloads\"/>
    </mc:Choice>
  </mc:AlternateContent>
  <xr:revisionPtr revIDLastSave="0" documentId="13_ncr:1_{4E1DB75A-02EF-43FC-9A62-2342C90A5C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ICIPANTES" sheetId="5" r:id="rId1"/>
    <sheet name="COMITENTES" sheetId="6" r:id="rId2"/>
    <sheet name="QUÓRUM" sheetId="4" r:id="rId3"/>
  </sheets>
  <definedNames>
    <definedName name="_xlnm._FilterDatabase" localSheetId="1" hidden="1">COMITENTES!$A$1:$T$14641</definedName>
    <definedName name="_xlnm._FilterDatabase" localSheetId="0" hidden="1">PARTICIPANTES!$A$1:$L$208</definedName>
  </definedNames>
  <calcPr calcId="191029"/>
</workbook>
</file>

<file path=xl/calcChain.xml><?xml version="1.0" encoding="utf-8"?>
<calcChain xmlns="http://schemas.openxmlformats.org/spreadsheetml/2006/main">
  <c r="H20" i="4" l="1"/>
  <c r="H17" i="4"/>
  <c r="C13" i="4"/>
  <c r="H4" i="4"/>
  <c r="C7" i="4" l="1"/>
  <c r="G240" i="5"/>
  <c r="G332" i="5"/>
  <c r="G340" i="5"/>
  <c r="G348" i="5"/>
  <c r="G356" i="5"/>
  <c r="G333" i="5"/>
  <c r="G341" i="5"/>
  <c r="G349" i="5"/>
  <c r="G357" i="5"/>
  <c r="G334" i="5"/>
  <c r="G342" i="5"/>
  <c r="G350" i="5"/>
  <c r="G358" i="5"/>
  <c r="G335" i="5"/>
  <c r="G343" i="5"/>
  <c r="G351" i="5"/>
  <c r="G359" i="5"/>
  <c r="G336" i="5"/>
  <c r="G344" i="5"/>
  <c r="G352" i="5"/>
  <c r="G360" i="5"/>
  <c r="G337" i="5"/>
  <c r="G345" i="5"/>
  <c r="G353" i="5"/>
  <c r="G361" i="5"/>
  <c r="G338" i="5"/>
  <c r="G346" i="5"/>
  <c r="G354" i="5"/>
  <c r="G355" i="5"/>
  <c r="G347" i="5"/>
  <c r="G339" i="5"/>
  <c r="G302" i="5"/>
  <c r="G310" i="5"/>
  <c r="G318" i="5"/>
  <c r="G326" i="5"/>
  <c r="G303" i="5"/>
  <c r="G311" i="5"/>
  <c r="G319" i="5"/>
  <c r="G327" i="5"/>
  <c r="G304" i="5"/>
  <c r="G312" i="5"/>
  <c r="G320" i="5"/>
  <c r="G328" i="5"/>
  <c r="G305" i="5"/>
  <c r="G313" i="5"/>
  <c r="G321" i="5"/>
  <c r="G329" i="5"/>
  <c r="G306" i="5"/>
  <c r="G314" i="5"/>
  <c r="G322" i="5"/>
  <c r="G330" i="5"/>
  <c r="G307" i="5"/>
  <c r="G315" i="5"/>
  <c r="G323" i="5"/>
  <c r="G331" i="5"/>
  <c r="G308" i="5"/>
  <c r="G316" i="5"/>
  <c r="G324" i="5"/>
  <c r="G325" i="5"/>
  <c r="G317" i="5"/>
  <c r="G309" i="5"/>
  <c r="G273" i="5"/>
  <c r="G281" i="5"/>
  <c r="G289" i="5"/>
  <c r="G297" i="5"/>
  <c r="G274" i="5"/>
  <c r="G282" i="5"/>
  <c r="G290" i="5"/>
  <c r="G298" i="5"/>
  <c r="G275" i="5"/>
  <c r="G283" i="5"/>
  <c r="G291" i="5"/>
  <c r="G299" i="5"/>
  <c r="G276" i="5"/>
  <c r="G284" i="5"/>
  <c r="G292" i="5"/>
  <c r="G300" i="5"/>
  <c r="G277" i="5"/>
  <c r="G285" i="5"/>
  <c r="G293" i="5"/>
  <c r="G301" i="5"/>
  <c r="G278" i="5"/>
  <c r="G286" i="5"/>
  <c r="G294" i="5"/>
  <c r="G279" i="5"/>
  <c r="G287" i="5"/>
  <c r="G295" i="5"/>
  <c r="G296" i="5"/>
  <c r="G288" i="5"/>
  <c r="G280" i="5"/>
  <c r="G243" i="5"/>
  <c r="G251" i="5"/>
  <c r="G259" i="5"/>
  <c r="G267" i="5"/>
  <c r="G244" i="5"/>
  <c r="G252" i="5"/>
  <c r="G260" i="5"/>
  <c r="G268" i="5"/>
  <c r="G245" i="5"/>
  <c r="G253" i="5"/>
  <c r="G261" i="5"/>
  <c r="G269" i="5"/>
  <c r="G246" i="5"/>
  <c r="G254" i="5"/>
  <c r="G262" i="5"/>
  <c r="G270" i="5"/>
  <c r="G247" i="5"/>
  <c r="G255" i="5"/>
  <c r="G263" i="5"/>
  <c r="G271" i="5"/>
  <c r="G248" i="5"/>
  <c r="G256" i="5"/>
  <c r="G264" i="5"/>
  <c r="G272" i="5"/>
  <c r="G249" i="5"/>
  <c r="G257" i="5"/>
  <c r="G265" i="5"/>
  <c r="G266" i="5"/>
  <c r="G258" i="5"/>
  <c r="G250" i="5"/>
  <c r="G209" i="5"/>
  <c r="G217" i="5"/>
  <c r="G225" i="5"/>
  <c r="G233" i="5"/>
  <c r="G241" i="5"/>
  <c r="G210" i="5"/>
  <c r="G218" i="5"/>
  <c r="G226" i="5"/>
  <c r="G234" i="5"/>
  <c r="G242" i="5"/>
  <c r="G211" i="5"/>
  <c r="G219" i="5"/>
  <c r="G227" i="5"/>
  <c r="G235" i="5"/>
  <c r="G212" i="5"/>
  <c r="G220" i="5"/>
  <c r="G228" i="5"/>
  <c r="G236" i="5"/>
  <c r="G213" i="5"/>
  <c r="G221" i="5"/>
  <c r="G229" i="5"/>
  <c r="G237" i="5"/>
  <c r="G215" i="5"/>
  <c r="G223" i="5"/>
  <c r="G231" i="5"/>
  <c r="G239" i="5"/>
  <c r="G232" i="5"/>
  <c r="G230" i="5"/>
  <c r="G238" i="5"/>
  <c r="G224" i="5"/>
  <c r="G222" i="5"/>
  <c r="G216" i="5"/>
  <c r="G214" i="5"/>
  <c r="H7" i="4"/>
  <c r="I20" i="4" s="1"/>
  <c r="S240" i="6" l="1"/>
  <c r="S250" i="6"/>
  <c r="S100" i="6"/>
  <c r="S246" i="6"/>
  <c r="S247" i="6"/>
  <c r="S96" i="6"/>
  <c r="S243" i="6"/>
  <c r="S237" i="6"/>
  <c r="S244" i="6"/>
  <c r="S242" i="6"/>
  <c r="S9812" i="6"/>
  <c r="S9696" i="6"/>
  <c r="S238" i="6"/>
  <c r="S9825" i="6"/>
  <c r="S248" i="6"/>
  <c r="S10506" i="6"/>
  <c r="S236" i="6"/>
  <c r="S234" i="6"/>
  <c r="S9871" i="6"/>
  <c r="S249" i="6"/>
  <c r="S97" i="6"/>
  <c r="S9851" i="6"/>
  <c r="S239" i="6"/>
  <c r="S10621" i="6"/>
  <c r="S10588" i="6"/>
  <c r="S9729" i="6"/>
  <c r="S235" i="6"/>
  <c r="S9655" i="6"/>
  <c r="S245" i="6"/>
  <c r="S36" i="6"/>
  <c r="S9882" i="6"/>
  <c r="S241" i="6"/>
  <c r="S9888" i="6"/>
  <c r="S9873" i="6"/>
  <c r="S233" i="6"/>
  <c r="S10622" i="6"/>
  <c r="C4" i="4"/>
  <c r="H18" i="4"/>
  <c r="H24" i="4"/>
  <c r="I24" i="4" s="1"/>
  <c r="H31" i="4"/>
  <c r="H38" i="4"/>
  <c r="S9824" i="6"/>
  <c r="S9769" i="6"/>
  <c r="M7" i="4" l="1"/>
  <c r="I38" i="4"/>
  <c r="I31" i="4"/>
  <c r="I18" i="4"/>
  <c r="M4" i="4"/>
  <c r="M5" i="4"/>
  <c r="M35" i="4"/>
  <c r="C39" i="4"/>
  <c r="M42" i="4"/>
  <c r="M41" i="4"/>
  <c r="C40" i="4"/>
  <c r="M38" i="4"/>
  <c r="M40" i="4"/>
  <c r="H39" i="4"/>
  <c r="M39" i="4"/>
  <c r="H40" i="4"/>
  <c r="C38" i="4"/>
  <c r="H41" i="4"/>
  <c r="C42" i="4"/>
  <c r="H42" i="4"/>
  <c r="I42" i="4" s="1"/>
  <c r="C41" i="4"/>
  <c r="H32" i="4"/>
  <c r="C34" i="4"/>
  <c r="C32" i="4"/>
  <c r="C31" i="4"/>
  <c r="M34" i="4"/>
  <c r="M33" i="4"/>
  <c r="H35" i="4"/>
  <c r="I35" i="4" s="1"/>
  <c r="M32" i="4"/>
  <c r="H34" i="4"/>
  <c r="C33" i="4"/>
  <c r="H33" i="4"/>
  <c r="C35" i="4"/>
  <c r="H27" i="4"/>
  <c r="I27" i="4" s="1"/>
  <c r="C24" i="4"/>
  <c r="H26" i="4"/>
  <c r="I26" i="4" s="1"/>
  <c r="C28" i="4"/>
  <c r="H25" i="4"/>
  <c r="I25" i="4" s="1"/>
  <c r="C27" i="4"/>
  <c r="C26" i="4"/>
  <c r="C25" i="4"/>
  <c r="H28" i="4"/>
  <c r="I28" i="4" s="1"/>
  <c r="H21" i="4"/>
  <c r="I21" i="4" s="1"/>
  <c r="C19" i="4"/>
  <c r="C18" i="4"/>
  <c r="C17" i="4"/>
  <c r="C21" i="4"/>
  <c r="H19" i="4"/>
  <c r="C20" i="4"/>
  <c r="H13" i="4"/>
  <c r="C12" i="4"/>
  <c r="C14" i="4"/>
  <c r="H11" i="4"/>
  <c r="H12" i="4"/>
  <c r="C10" i="4"/>
  <c r="C11" i="4"/>
  <c r="H10" i="4"/>
  <c r="H14" i="4"/>
  <c r="I14" i="4" s="1"/>
  <c r="M31" i="4"/>
  <c r="I16" i="4" l="1"/>
  <c r="I9" i="4"/>
  <c r="T9851" i="6"/>
  <c r="T9873" i="6"/>
  <c r="T245" i="6"/>
  <c r="T9729" i="6"/>
  <c r="T36" i="6"/>
  <c r="T233" i="6"/>
  <c r="T96" i="6"/>
  <c r="T242" i="6"/>
  <c r="T97" i="6"/>
  <c r="T9888" i="6"/>
  <c r="T9696" i="6"/>
  <c r="T9812" i="6"/>
  <c r="T241" i="6"/>
  <c r="T246" i="6"/>
  <c r="T9769" i="6"/>
  <c r="T237" i="6"/>
  <c r="T10621" i="6"/>
  <c r="T100" i="6"/>
  <c r="T243" i="6"/>
  <c r="T247" i="6"/>
  <c r="T239" i="6"/>
  <c r="T9871" i="6"/>
  <c r="T240" i="6"/>
  <c r="T9824" i="6"/>
  <c r="T235" i="6"/>
  <c r="T10588" i="6"/>
  <c r="T9655" i="6"/>
  <c r="T244" i="6"/>
  <c r="T248" i="6"/>
  <c r="T10506" i="6"/>
  <c r="T249" i="6"/>
  <c r="T234" i="6"/>
  <c r="T250" i="6"/>
  <c r="T236" i="6"/>
  <c r="T238" i="6"/>
  <c r="T9825" i="6"/>
  <c r="T10622" i="6"/>
  <c r="T9882" i="6"/>
  <c r="M6" i="4"/>
  <c r="N5" i="4"/>
  <c r="I33" i="4"/>
  <c r="I40" i="4"/>
  <c r="I12" i="4"/>
  <c r="I19" i="4"/>
  <c r="I11" i="4"/>
  <c r="I34" i="4"/>
  <c r="I30" i="4"/>
  <c r="J31" i="4" s="1"/>
  <c r="I32" i="4"/>
  <c r="I39" i="4"/>
  <c r="I10" i="4"/>
  <c r="I13" i="4"/>
  <c r="I17" i="4"/>
  <c r="I41" i="4"/>
  <c r="I37" i="4"/>
  <c r="J38" i="4" s="1"/>
  <c r="M37" i="4"/>
  <c r="M30" i="4"/>
  <c r="M10" i="4"/>
  <c r="C5" i="4"/>
  <c r="C6" i="4" s="1"/>
  <c r="M25" i="4"/>
  <c r="M26" i="4"/>
  <c r="M27" i="4"/>
  <c r="M28" i="4"/>
  <c r="M19" i="4"/>
  <c r="M20" i="4"/>
  <c r="M21" i="4"/>
  <c r="M12" i="4"/>
  <c r="M13" i="4"/>
  <c r="M14" i="4"/>
  <c r="M24" i="4"/>
  <c r="M18" i="4"/>
  <c r="H9654" i="6" l="1"/>
  <c r="H9665" i="6"/>
  <c r="H9677" i="6"/>
  <c r="H9689" i="6"/>
  <c r="H9701" i="6"/>
  <c r="H9713" i="6"/>
  <c r="H9723" i="6"/>
  <c r="H9734" i="6"/>
  <c r="H9746" i="6"/>
  <c r="H9757" i="6"/>
  <c r="H9768" i="6"/>
  <c r="H9779" i="6"/>
  <c r="H9791" i="6"/>
  <c r="H9803" i="6"/>
  <c r="H9811" i="6"/>
  <c r="H95" i="6"/>
  <c r="H9830" i="6"/>
  <c r="H9841" i="6"/>
  <c r="H40" i="6"/>
  <c r="H9862" i="6"/>
  <c r="H9874" i="6"/>
  <c r="H9885" i="6"/>
  <c r="H9895" i="6"/>
  <c r="H9906" i="6"/>
  <c r="H9918" i="6"/>
  <c r="H9929" i="6"/>
  <c r="H9941" i="6"/>
  <c r="H9953" i="6"/>
  <c r="H9965" i="6"/>
  <c r="H9977" i="6"/>
  <c r="H9989" i="6"/>
  <c r="H10001" i="6"/>
  <c r="H10013" i="6"/>
  <c r="H10024" i="6"/>
  <c r="H10036" i="6"/>
  <c r="H10048" i="6"/>
  <c r="H10060" i="6"/>
  <c r="H10072" i="6"/>
  <c r="H10084" i="6"/>
  <c r="H10095" i="6"/>
  <c r="H10106" i="6"/>
  <c r="H10118" i="6"/>
  <c r="H103" i="6"/>
  <c r="H10139" i="6"/>
  <c r="H10151" i="6"/>
  <c r="H10162" i="6"/>
  <c r="H10174" i="6"/>
  <c r="H10186" i="6"/>
  <c r="H10197" i="6"/>
  <c r="H10209" i="6"/>
  <c r="H10221" i="6"/>
  <c r="H10233" i="6"/>
  <c r="H10245" i="6"/>
  <c r="H10257" i="6"/>
  <c r="H9655" i="6"/>
  <c r="H9666" i="6"/>
  <c r="H9678" i="6"/>
  <c r="H9690" i="6"/>
  <c r="H9702" i="6"/>
  <c r="H9714" i="6"/>
  <c r="H9724" i="6"/>
  <c r="H9735" i="6"/>
  <c r="H9747" i="6"/>
  <c r="H9758" i="6"/>
  <c r="H9769" i="6"/>
  <c r="H9780" i="6"/>
  <c r="H9792" i="6"/>
  <c r="H9804" i="6"/>
  <c r="H9812" i="6"/>
  <c r="H9823" i="6"/>
  <c r="H9831" i="6"/>
  <c r="H9842" i="6"/>
  <c r="H100" i="6"/>
  <c r="H9863" i="6"/>
  <c r="H9875" i="6"/>
  <c r="H9886" i="6"/>
  <c r="H9896" i="6"/>
  <c r="H9907" i="6"/>
  <c r="H9919" i="6"/>
  <c r="H9930" i="6"/>
  <c r="H9942" i="6"/>
  <c r="H9954" i="6"/>
  <c r="H9966" i="6"/>
  <c r="H36" i="6"/>
  <c r="H9667" i="6"/>
  <c r="H9679" i="6"/>
  <c r="H9691" i="6"/>
  <c r="H9703" i="6"/>
  <c r="H9715" i="6"/>
  <c r="H69" i="6"/>
  <c r="H9736" i="6"/>
  <c r="H9748" i="6"/>
  <c r="H9759" i="6"/>
  <c r="H9770" i="6"/>
  <c r="H9781" i="6"/>
  <c r="H9793" i="6"/>
  <c r="H9805" i="6"/>
  <c r="H9813" i="6"/>
  <c r="H9824" i="6"/>
  <c r="H9832" i="6"/>
  <c r="H9843" i="6"/>
  <c r="H9852" i="6"/>
  <c r="H9864" i="6"/>
  <c r="H9876" i="6"/>
  <c r="H9887" i="6"/>
  <c r="H9897" i="6"/>
  <c r="H9908" i="6"/>
  <c r="H9920" i="6"/>
  <c r="H9931" i="6"/>
  <c r="H9943" i="6"/>
  <c r="H9955" i="6"/>
  <c r="H9967" i="6"/>
  <c r="H9979" i="6"/>
  <c r="H9991" i="6"/>
  <c r="H10003" i="6"/>
  <c r="H10015" i="6"/>
  <c r="H10026" i="6"/>
  <c r="H10038" i="6"/>
  <c r="H10050" i="6"/>
  <c r="H10062" i="6"/>
  <c r="H10074" i="6"/>
  <c r="H10086" i="6"/>
  <c r="H10097" i="6"/>
  <c r="H10108" i="6"/>
  <c r="H10120" i="6"/>
  <c r="H10129" i="6"/>
  <c r="H10141" i="6"/>
  <c r="H10153" i="6"/>
  <c r="H10164" i="6"/>
  <c r="H10176" i="6"/>
  <c r="H10187" i="6"/>
  <c r="H10199" i="6"/>
  <c r="H10211" i="6"/>
  <c r="H10223" i="6"/>
  <c r="H10235" i="6"/>
  <c r="H10247" i="6"/>
  <c r="H105" i="6"/>
  <c r="H10269" i="6"/>
  <c r="H10281" i="6"/>
  <c r="H10291" i="6"/>
  <c r="H10303" i="6"/>
  <c r="H10315" i="6"/>
  <c r="H10327" i="6"/>
  <c r="H10338" i="6"/>
  <c r="H10350" i="6"/>
  <c r="H10362" i="6"/>
  <c r="H10373" i="6"/>
  <c r="H10384" i="6"/>
  <c r="H10396" i="6"/>
  <c r="H10404" i="6"/>
  <c r="H10415" i="6"/>
  <c r="H10427" i="6"/>
  <c r="H10438" i="6"/>
  <c r="H10449" i="6"/>
  <c r="H10461" i="6"/>
  <c r="H10473" i="6"/>
  <c r="H107" i="6"/>
  <c r="H10493" i="6"/>
  <c r="H10505" i="6"/>
  <c r="H10517" i="6"/>
  <c r="H10527" i="6"/>
  <c r="H10539" i="6"/>
  <c r="H10551" i="6"/>
  <c r="H10563" i="6"/>
  <c r="H10574" i="6"/>
  <c r="H10586" i="6"/>
  <c r="H112" i="6"/>
  <c r="H10609" i="6"/>
  <c r="H9656" i="6"/>
  <c r="H9668" i="6"/>
  <c r="H9680" i="6"/>
  <c r="H9692" i="6"/>
  <c r="H9704" i="6"/>
  <c r="H9716" i="6"/>
  <c r="H9725" i="6"/>
  <c r="H9737" i="6"/>
  <c r="H9749" i="6"/>
  <c r="H63" i="6"/>
  <c r="H9771" i="6"/>
  <c r="H9782" i="6"/>
  <c r="H9794" i="6"/>
  <c r="H9806" i="6"/>
  <c r="H9814" i="6"/>
  <c r="H96" i="6"/>
  <c r="H9833" i="6"/>
  <c r="H9844" i="6"/>
  <c r="H9853" i="6"/>
  <c r="H9865" i="6"/>
  <c r="H9877" i="6"/>
  <c r="H9888" i="6"/>
  <c r="H9898" i="6"/>
  <c r="H9909" i="6"/>
  <c r="H9921" i="6"/>
  <c r="H9932" i="6"/>
  <c r="H9944" i="6"/>
  <c r="H9956" i="6"/>
  <c r="H9968" i="6"/>
  <c r="H9980" i="6"/>
  <c r="H9992" i="6"/>
  <c r="H10004" i="6"/>
  <c r="H10016" i="6"/>
  <c r="H10027" i="6"/>
  <c r="H10039" i="6"/>
  <c r="H10051" i="6"/>
  <c r="H10063" i="6"/>
  <c r="H10075" i="6"/>
  <c r="H10087" i="6"/>
  <c r="H10098" i="6"/>
  <c r="H10109" i="6"/>
  <c r="H10121" i="6"/>
  <c r="H10130" i="6"/>
  <c r="H10142" i="6"/>
  <c r="H10154" i="6"/>
  <c r="H10165" i="6"/>
  <c r="H10177" i="6"/>
  <c r="H10188" i="6"/>
  <c r="H10200" i="6"/>
  <c r="H10212" i="6"/>
  <c r="H10224" i="6"/>
  <c r="H10236" i="6"/>
  <c r="H10248" i="6"/>
  <c r="H10259" i="6"/>
  <c r="H10270" i="6"/>
  <c r="H10282" i="6"/>
  <c r="H10292" i="6"/>
  <c r="H10304" i="6"/>
  <c r="H10316" i="6"/>
  <c r="H10328" i="6"/>
  <c r="H10339" i="6"/>
  <c r="H10351" i="6"/>
  <c r="H10363" i="6"/>
  <c r="H10374" i="6"/>
  <c r="H10385" i="6"/>
  <c r="H50" i="6"/>
  <c r="H10405" i="6"/>
  <c r="H10416" i="6"/>
  <c r="H10428" i="6"/>
  <c r="H10439" i="6"/>
  <c r="H10450" i="6"/>
  <c r="H10462" i="6"/>
  <c r="H10474" i="6"/>
  <c r="H10485" i="6"/>
  <c r="H10494" i="6"/>
  <c r="H10506" i="6"/>
  <c r="H111" i="6"/>
  <c r="H10528" i="6"/>
  <c r="H10540" i="6"/>
  <c r="H10552" i="6"/>
  <c r="H10564" i="6"/>
  <c r="H10575" i="6"/>
  <c r="H10587" i="6"/>
  <c r="H10598" i="6"/>
  <c r="H10610" i="6"/>
  <c r="H9657" i="6"/>
  <c r="H9669" i="6"/>
  <c r="H9681" i="6"/>
  <c r="H9693" i="6"/>
  <c r="H9705" i="6"/>
  <c r="H9717" i="6"/>
  <c r="H9726" i="6"/>
  <c r="H9738" i="6"/>
  <c r="H2" i="6"/>
  <c r="H9760" i="6"/>
  <c r="H9772" i="6"/>
  <c r="H9783" i="6"/>
  <c r="H9795" i="6"/>
  <c r="H9807" i="6"/>
  <c r="H9815" i="6"/>
  <c r="H9825" i="6"/>
  <c r="H9834" i="6"/>
  <c r="H9845" i="6"/>
  <c r="H9854" i="6"/>
  <c r="H9866" i="6"/>
  <c r="H74" i="6"/>
  <c r="H9889" i="6"/>
  <c r="H9899" i="6"/>
  <c r="H9910" i="6"/>
  <c r="H9922" i="6"/>
  <c r="H9933" i="6"/>
  <c r="H9945" i="6"/>
  <c r="H9957" i="6"/>
  <c r="H9969" i="6"/>
  <c r="H9981" i="6"/>
  <c r="H9993" i="6"/>
  <c r="H10005" i="6"/>
  <c r="H10017" i="6"/>
  <c r="H10028" i="6"/>
  <c r="H10040" i="6"/>
  <c r="H10052" i="6"/>
  <c r="H10064" i="6"/>
  <c r="H10076" i="6"/>
  <c r="H10088" i="6"/>
  <c r="H10099" i="6"/>
  <c r="H10110" i="6"/>
  <c r="H10122" i="6"/>
  <c r="H10131" i="6"/>
  <c r="H10143" i="6"/>
  <c r="H10155" i="6"/>
  <c r="H10166" i="6"/>
  <c r="H10178" i="6"/>
  <c r="H10189" i="6"/>
  <c r="H10201" i="6"/>
  <c r="H10213" i="6"/>
  <c r="H10225" i="6"/>
  <c r="H10237" i="6"/>
  <c r="H10249" i="6"/>
  <c r="H10260" i="6"/>
  <c r="H10271" i="6"/>
  <c r="H10283" i="6"/>
  <c r="H10293" i="6"/>
  <c r="H10305" i="6"/>
  <c r="H10317" i="6"/>
  <c r="H10329" i="6"/>
  <c r="H10340" i="6"/>
  <c r="H10352" i="6"/>
  <c r="H10364" i="6"/>
  <c r="H10375" i="6"/>
  <c r="H10386" i="6"/>
  <c r="H10397" i="6"/>
  <c r="H10406" i="6"/>
  <c r="H10417" i="6"/>
  <c r="H10429" i="6"/>
  <c r="H10440" i="6"/>
  <c r="H10451" i="6"/>
  <c r="H10463" i="6"/>
  <c r="H10475" i="6"/>
  <c r="H108" i="6"/>
  <c r="H10495" i="6"/>
  <c r="H10507" i="6"/>
  <c r="H10518" i="6"/>
  <c r="H10529" i="6"/>
  <c r="H10541" i="6"/>
  <c r="H10553" i="6"/>
  <c r="H10565" i="6"/>
  <c r="H10576" i="6"/>
  <c r="H10588" i="6"/>
  <c r="H10599" i="6"/>
  <c r="H10611" i="6"/>
  <c r="H9658" i="6"/>
  <c r="H9670" i="6"/>
  <c r="H9682" i="6"/>
  <c r="H9694" i="6"/>
  <c r="H9706" i="6"/>
  <c r="H9718" i="6"/>
  <c r="H9727" i="6"/>
  <c r="H9739" i="6"/>
  <c r="H9750" i="6"/>
  <c r="H9761" i="6"/>
  <c r="H9773" i="6"/>
  <c r="H9784" i="6"/>
  <c r="H9796" i="6"/>
  <c r="H9808" i="6"/>
  <c r="H9816" i="6"/>
  <c r="H97" i="6"/>
  <c r="H39" i="6"/>
  <c r="H9846" i="6"/>
  <c r="H9855" i="6"/>
  <c r="H9867" i="6"/>
  <c r="H9878" i="6"/>
  <c r="H9890" i="6"/>
  <c r="H51" i="6"/>
  <c r="H9911" i="6"/>
  <c r="H9923" i="6"/>
  <c r="H9934" i="6"/>
  <c r="H9946" i="6"/>
  <c r="H9958" i="6"/>
  <c r="H9970" i="6"/>
  <c r="H9982" i="6"/>
  <c r="H9994" i="6"/>
  <c r="H10006" i="6"/>
  <c r="H10018" i="6"/>
  <c r="H10029" i="6"/>
  <c r="H10041" i="6"/>
  <c r="H10053" i="6"/>
  <c r="H10065" i="6"/>
  <c r="H10077" i="6"/>
  <c r="H10089" i="6"/>
  <c r="H10100" i="6"/>
  <c r="H10111" i="6"/>
  <c r="H10123" i="6"/>
  <c r="H10132" i="6"/>
  <c r="H10144" i="6"/>
  <c r="H13" i="6"/>
  <c r="H10167" i="6"/>
  <c r="H10179" i="6"/>
  <c r="H10190" i="6"/>
  <c r="H10202" i="6"/>
  <c r="H10214" i="6"/>
  <c r="H10226" i="6"/>
  <c r="H10238" i="6"/>
  <c r="H10250" i="6"/>
  <c r="H10261" i="6"/>
  <c r="H10272" i="6"/>
  <c r="H42" i="6"/>
  <c r="H10294" i="6"/>
  <c r="H10306" i="6"/>
  <c r="H10318" i="6"/>
  <c r="H10330" i="6"/>
  <c r="H10341" i="6"/>
  <c r="H10353" i="6"/>
  <c r="H10365" i="6"/>
  <c r="H10376" i="6"/>
  <c r="H10387" i="6"/>
  <c r="H24" i="6"/>
  <c r="H10407" i="6"/>
  <c r="H10418" i="6"/>
  <c r="H45" i="6"/>
  <c r="H10441" i="6"/>
  <c r="H10452" i="6"/>
  <c r="H10464" i="6"/>
  <c r="H10476" i="6"/>
  <c r="H109" i="6"/>
  <c r="H10496" i="6"/>
  <c r="H10508" i="6"/>
  <c r="H10519" i="6"/>
  <c r="H10530" i="6"/>
  <c r="H10542" i="6"/>
  <c r="H10554" i="6"/>
  <c r="H10566" i="6"/>
  <c r="H10577" i="6"/>
  <c r="H10589" i="6"/>
  <c r="H10600" i="6"/>
  <c r="H10612" i="6"/>
  <c r="H9659" i="6"/>
  <c r="H9671" i="6"/>
  <c r="H9683" i="6"/>
  <c r="H9695" i="6"/>
  <c r="H9707" i="6"/>
  <c r="H48" i="6"/>
  <c r="H9728" i="6"/>
  <c r="H9740" i="6"/>
  <c r="H9751" i="6"/>
  <c r="H9762" i="6"/>
  <c r="H9774" i="6"/>
  <c r="H9785" i="6"/>
  <c r="H9797" i="6"/>
  <c r="H91" i="6"/>
  <c r="H9817" i="6"/>
  <c r="H9826" i="6"/>
  <c r="H9835" i="6"/>
  <c r="H9847" i="6"/>
  <c r="H9856" i="6"/>
  <c r="H9868" i="6"/>
  <c r="H9879" i="6"/>
  <c r="H9891" i="6"/>
  <c r="H9900" i="6"/>
  <c r="H9912" i="6"/>
  <c r="H9924" i="6"/>
  <c r="H9935" i="6"/>
  <c r="H9947" i="6"/>
  <c r="H9959" i="6"/>
  <c r="H9971" i="6"/>
  <c r="H9983" i="6"/>
  <c r="H9995" i="6"/>
  <c r="H10007" i="6"/>
  <c r="H10019" i="6"/>
  <c r="H10030" i="6"/>
  <c r="H10042" i="6"/>
  <c r="H10054" i="6"/>
  <c r="H10066" i="6"/>
  <c r="H10078" i="6"/>
  <c r="H10090" i="6"/>
  <c r="H64" i="6"/>
  <c r="H10112" i="6"/>
  <c r="H10124" i="6"/>
  <c r="H10133" i="6"/>
  <c r="H10145" i="6"/>
  <c r="H10156" i="6"/>
  <c r="H10168" i="6"/>
  <c r="H10180" i="6"/>
  <c r="H10191" i="6"/>
  <c r="H10203" i="6"/>
  <c r="H10215" i="6"/>
  <c r="H10227" i="6"/>
  <c r="H10239" i="6"/>
  <c r="H10251" i="6"/>
  <c r="H10262" i="6"/>
  <c r="H10273" i="6"/>
  <c r="H10284" i="6"/>
  <c r="H10295" i="6"/>
  <c r="H10307" i="6"/>
  <c r="H10319" i="6"/>
  <c r="H10331" i="6"/>
  <c r="H10342" i="6"/>
  <c r="H10354" i="6"/>
  <c r="H10366" i="6"/>
  <c r="H10377" i="6"/>
  <c r="H10388" i="6"/>
  <c r="H10398" i="6"/>
  <c r="H10408" i="6"/>
  <c r="H10419" i="6"/>
  <c r="H10430" i="6"/>
  <c r="H10442" i="6"/>
  <c r="H10453" i="6"/>
  <c r="H10465" i="6"/>
  <c r="H10477" i="6"/>
  <c r="H10486" i="6"/>
  <c r="H10497" i="6"/>
  <c r="H10509" i="6"/>
  <c r="H10520" i="6"/>
  <c r="H10531" i="6"/>
  <c r="H10543" i="6"/>
  <c r="H10555" i="6"/>
  <c r="H10567" i="6"/>
  <c r="H10578" i="6"/>
  <c r="H10590" i="6"/>
  <c r="H10601" i="6"/>
  <c r="H10613" i="6"/>
  <c r="H9660" i="6"/>
  <c r="H9672" i="6"/>
  <c r="H9684" i="6"/>
  <c r="H9696" i="6"/>
  <c r="H9708" i="6"/>
  <c r="H37" i="6"/>
  <c r="H9729" i="6"/>
  <c r="H9741" i="6"/>
  <c r="H9752" i="6"/>
  <c r="H9763" i="6"/>
  <c r="H9775" i="6"/>
  <c r="H9786" i="6"/>
  <c r="H9798" i="6"/>
  <c r="H92" i="6"/>
  <c r="H9818" i="6"/>
  <c r="H98" i="6"/>
  <c r="H9836" i="6"/>
  <c r="H9848" i="6"/>
  <c r="H9857" i="6"/>
  <c r="H9869" i="6"/>
  <c r="H9880" i="6"/>
  <c r="H9892" i="6"/>
  <c r="H9901" i="6"/>
  <c r="H9913" i="6"/>
  <c r="H9925" i="6"/>
  <c r="H9936" i="6"/>
  <c r="H9948" i="6"/>
  <c r="H9960" i="6"/>
  <c r="H9972" i="6"/>
  <c r="H9984" i="6"/>
  <c r="H9996" i="6"/>
  <c r="H10008" i="6"/>
  <c r="H80" i="6"/>
  <c r="H10031" i="6"/>
  <c r="H10043" i="6"/>
  <c r="H10055" i="6"/>
  <c r="H10067" i="6"/>
  <c r="H10079" i="6"/>
  <c r="H10091" i="6"/>
  <c r="H10101" i="6"/>
  <c r="H10113" i="6"/>
  <c r="H102" i="6"/>
  <c r="H10134" i="6"/>
  <c r="H10146" i="6"/>
  <c r="H10157" i="6"/>
  <c r="H10169" i="6"/>
  <c r="H10181" i="6"/>
  <c r="H10192" i="6"/>
  <c r="H10204" i="6"/>
  <c r="H10216" i="6"/>
  <c r="H10228" i="6"/>
  <c r="H10240" i="6"/>
  <c r="H10252" i="6"/>
  <c r="H106" i="6"/>
  <c r="H10274" i="6"/>
  <c r="H10285" i="6"/>
  <c r="H10296" i="6"/>
  <c r="H10308" i="6"/>
  <c r="H10320" i="6"/>
  <c r="H10332" i="6"/>
  <c r="H10343" i="6"/>
  <c r="H10355" i="6"/>
  <c r="H56" i="6"/>
  <c r="H10378" i="6"/>
  <c r="H10389" i="6"/>
  <c r="H10399" i="6"/>
  <c r="H10409" i="6"/>
  <c r="H10420" i="6"/>
  <c r="H10431" i="6"/>
  <c r="H10443" i="6"/>
  <c r="H10454" i="6"/>
  <c r="H10466" i="6"/>
  <c r="H10478" i="6"/>
  <c r="H10487" i="6"/>
  <c r="H10498" i="6"/>
  <c r="H10510" i="6"/>
  <c r="H10521" i="6"/>
  <c r="H10532" i="6"/>
  <c r="H10544" i="6"/>
  <c r="H10556" i="6"/>
  <c r="H10568" i="6"/>
  <c r="H10579" i="6"/>
  <c r="H10591" i="6"/>
  <c r="H10602" i="6"/>
  <c r="H10614" i="6"/>
  <c r="H9661" i="6"/>
  <c r="H9673" i="6"/>
  <c r="H9685" i="6"/>
  <c r="H9697" i="6"/>
  <c r="H9709" i="6"/>
  <c r="H9719" i="6"/>
  <c r="H9730" i="6"/>
  <c r="H9742" i="6"/>
  <c r="H9753" i="6"/>
  <c r="H9764" i="6"/>
  <c r="H9776" i="6"/>
  <c r="H9787" i="6"/>
  <c r="H9799" i="6"/>
  <c r="H93" i="6"/>
  <c r="H9819" i="6"/>
  <c r="H9827" i="6"/>
  <c r="H9837" i="6"/>
  <c r="H9849" i="6"/>
  <c r="H9858" i="6"/>
  <c r="H9870" i="6"/>
  <c r="H9881" i="6"/>
  <c r="H9893" i="6"/>
  <c r="H9902" i="6"/>
  <c r="H9914" i="6"/>
  <c r="H9926" i="6"/>
  <c r="H9937" i="6"/>
  <c r="H9949" i="6"/>
  <c r="H9961" i="6"/>
  <c r="H9973" i="6"/>
  <c r="H9985" i="6"/>
  <c r="H9997" i="6"/>
  <c r="H10009" i="6"/>
  <c r="H10020" i="6"/>
  <c r="H10032" i="6"/>
  <c r="H10044" i="6"/>
  <c r="H10056" i="6"/>
  <c r="H10068" i="6"/>
  <c r="H10080" i="6"/>
  <c r="H10092" i="6"/>
  <c r="H10102" i="6"/>
  <c r="H10114" i="6"/>
  <c r="H10125" i="6"/>
  <c r="H10135" i="6"/>
  <c r="H10147" i="6"/>
  <c r="H10158" i="6"/>
  <c r="H10170" i="6"/>
  <c r="H10182" i="6"/>
  <c r="H10193" i="6"/>
  <c r="H10205" i="6"/>
  <c r="H10217" i="6"/>
  <c r="H10229" i="6"/>
  <c r="H10241" i="6"/>
  <c r="H10253" i="6"/>
  <c r="H10263" i="6"/>
  <c r="H10275" i="6"/>
  <c r="H10286" i="6"/>
  <c r="H10297" i="6"/>
  <c r="H10309" i="6"/>
  <c r="H10321" i="6"/>
  <c r="H10333" i="6"/>
  <c r="H10344" i="6"/>
  <c r="H10356" i="6"/>
  <c r="H10367" i="6"/>
  <c r="H10379" i="6"/>
  <c r="H10390" i="6"/>
  <c r="H43" i="6"/>
  <c r="H10410" i="6"/>
  <c r="H10421" i="6"/>
  <c r="H10432" i="6"/>
  <c r="H10444" i="6"/>
  <c r="H10455" i="6"/>
  <c r="H10467" i="6"/>
  <c r="H10479" i="6"/>
  <c r="H110" i="6"/>
  <c r="H10499" i="6"/>
  <c r="H10511" i="6"/>
  <c r="H10522" i="6"/>
  <c r="H10533" i="6"/>
  <c r="H10545" i="6"/>
  <c r="H10557" i="6"/>
  <c r="H46" i="6"/>
  <c r="H10580" i="6"/>
  <c r="H10592" i="6"/>
  <c r="H10603" i="6"/>
  <c r="H10615" i="6"/>
  <c r="H9662" i="6"/>
  <c r="H9674" i="6"/>
  <c r="H9686" i="6"/>
  <c r="H9698" i="6"/>
  <c r="H9710" i="6"/>
  <c r="H9720" i="6"/>
  <c r="H9731" i="6"/>
  <c r="H9743" i="6"/>
  <c r="H9754" i="6"/>
  <c r="H9765" i="6"/>
  <c r="H9777" i="6"/>
  <c r="H9788" i="6"/>
  <c r="H9800" i="6"/>
  <c r="H9809" i="6"/>
  <c r="H9820" i="6"/>
  <c r="H99" i="6"/>
  <c r="H9838" i="6"/>
  <c r="H12" i="6"/>
  <c r="H9859" i="6"/>
  <c r="H9871" i="6"/>
  <c r="H9882" i="6"/>
  <c r="H49" i="6"/>
  <c r="H9903" i="6"/>
  <c r="H9915" i="6"/>
  <c r="H101" i="6"/>
  <c r="H9938" i="6"/>
  <c r="H9950" i="6"/>
  <c r="H9962" i="6"/>
  <c r="H9974" i="6"/>
  <c r="H9986" i="6"/>
  <c r="H9998" i="6"/>
  <c r="H10010" i="6"/>
  <c r="H10021" i="6"/>
  <c r="H10033" i="6"/>
  <c r="H10045" i="6"/>
  <c r="H10057" i="6"/>
  <c r="H10069" i="6"/>
  <c r="H10081" i="6"/>
  <c r="H10093" i="6"/>
  <c r="H10103" i="6"/>
  <c r="H10115" i="6"/>
  <c r="H10126" i="6"/>
  <c r="H10136" i="6"/>
  <c r="H10148" i="6"/>
  <c r="H10159" i="6"/>
  <c r="H10171" i="6"/>
  <c r="H10183" i="6"/>
  <c r="H10194" i="6"/>
  <c r="H10206" i="6"/>
  <c r="H10218" i="6"/>
  <c r="H10230" i="6"/>
  <c r="H10242" i="6"/>
  <c r="H10254" i="6"/>
  <c r="H10264" i="6"/>
  <c r="H10276" i="6"/>
  <c r="H10287" i="6"/>
  <c r="H10298" i="6"/>
  <c r="H10310" i="6"/>
  <c r="H10322" i="6"/>
  <c r="H10334" i="6"/>
  <c r="H10345" i="6"/>
  <c r="H10357" i="6"/>
  <c r="H10368" i="6"/>
  <c r="H71" i="6"/>
  <c r="H10391" i="6"/>
  <c r="H10400" i="6"/>
  <c r="H10411" i="6"/>
  <c r="H10422" i="6"/>
  <c r="H10433" i="6"/>
  <c r="H66" i="6"/>
  <c r="H10456" i="6"/>
  <c r="H10468" i="6"/>
  <c r="H10480" i="6"/>
  <c r="H10488" i="6"/>
  <c r="H10500" i="6"/>
  <c r="H10512" i="6"/>
  <c r="H10523" i="6"/>
  <c r="H9663" i="6"/>
  <c r="H9732" i="6"/>
  <c r="H9801" i="6"/>
  <c r="H9860" i="6"/>
  <c r="H9927" i="6"/>
  <c r="H9988" i="6"/>
  <c r="H10035" i="6"/>
  <c r="H10083" i="6"/>
  <c r="H10128" i="6"/>
  <c r="H10173" i="6"/>
  <c r="H10220" i="6"/>
  <c r="H10266" i="6"/>
  <c r="H10300" i="6"/>
  <c r="H10336" i="6"/>
  <c r="H10370" i="6"/>
  <c r="H10402" i="6"/>
  <c r="H10435" i="6"/>
  <c r="H10470" i="6"/>
  <c r="H10502" i="6"/>
  <c r="H10535" i="6"/>
  <c r="H10561" i="6"/>
  <c r="H10593" i="6"/>
  <c r="H10618" i="6"/>
  <c r="H10630" i="6"/>
  <c r="H10641" i="6"/>
  <c r="H10652" i="6"/>
  <c r="H10663" i="6"/>
  <c r="H10675" i="6"/>
  <c r="H10687" i="6"/>
  <c r="H10699" i="6"/>
  <c r="H10711" i="6"/>
  <c r="H10723" i="6"/>
  <c r="H10735" i="6"/>
  <c r="H10747" i="6"/>
  <c r="H10759" i="6"/>
  <c r="H10771" i="6"/>
  <c r="H10783" i="6"/>
  <c r="H10795" i="6"/>
  <c r="H10804" i="6"/>
  <c r="H10814" i="6"/>
  <c r="H10826" i="6"/>
  <c r="H119" i="6"/>
  <c r="H62" i="6"/>
  <c r="H8" i="6"/>
  <c r="H7" i="6"/>
  <c r="H10840" i="6"/>
  <c r="H54" i="6"/>
  <c r="H77" i="6"/>
  <c r="H149" i="6"/>
  <c r="H161" i="6"/>
  <c r="H173" i="6"/>
  <c r="H185" i="6"/>
  <c r="H197" i="6"/>
  <c r="H209" i="6"/>
  <c r="H221" i="6"/>
  <c r="H233" i="6"/>
  <c r="H245" i="6"/>
  <c r="H257" i="6"/>
  <c r="H269" i="6"/>
  <c r="H281" i="6"/>
  <c r="H293" i="6"/>
  <c r="H305" i="6"/>
  <c r="H317" i="6"/>
  <c r="H329" i="6"/>
  <c r="H341" i="6"/>
  <c r="H353" i="6"/>
  <c r="H365" i="6"/>
  <c r="H377" i="6"/>
  <c r="H389" i="6"/>
  <c r="H401" i="6"/>
  <c r="H413" i="6"/>
  <c r="H425" i="6"/>
  <c r="H437" i="6"/>
  <c r="H449" i="6"/>
  <c r="H461" i="6"/>
  <c r="H473" i="6"/>
  <c r="H485" i="6"/>
  <c r="H497" i="6"/>
  <c r="H509" i="6"/>
  <c r="H521" i="6"/>
  <c r="H533" i="6"/>
  <c r="H545" i="6"/>
  <c r="H557" i="6"/>
  <c r="H569" i="6"/>
  <c r="H581" i="6"/>
  <c r="H9675" i="6"/>
  <c r="H9744" i="6"/>
  <c r="H9810" i="6"/>
  <c r="H9872" i="6"/>
  <c r="H9939" i="6"/>
  <c r="H9999" i="6"/>
  <c r="H10046" i="6"/>
  <c r="H65" i="6"/>
  <c r="H10137" i="6"/>
  <c r="H10184" i="6"/>
  <c r="H10231" i="6"/>
  <c r="H10268" i="6"/>
  <c r="H10302" i="6"/>
  <c r="H10337" i="6"/>
  <c r="H10372" i="6"/>
  <c r="H10403" i="6"/>
  <c r="H10437" i="6"/>
  <c r="H10472" i="6"/>
  <c r="H10504" i="6"/>
  <c r="H10537" i="6"/>
  <c r="H10569" i="6"/>
  <c r="H10595" i="6"/>
  <c r="H10620" i="6"/>
  <c r="H10632" i="6"/>
  <c r="H10643" i="6"/>
  <c r="H10654" i="6"/>
  <c r="H10665" i="6"/>
  <c r="H10677" i="6"/>
  <c r="H10689" i="6"/>
  <c r="H10701" i="6"/>
  <c r="H10713" i="6"/>
  <c r="H10725" i="6"/>
  <c r="H10737" i="6"/>
  <c r="H10749" i="6"/>
  <c r="H10761" i="6"/>
  <c r="H10773" i="6"/>
  <c r="H10785" i="6"/>
  <c r="H10797" i="6"/>
  <c r="H118" i="6"/>
  <c r="H10816" i="6"/>
  <c r="H10828" i="6"/>
  <c r="H120" i="6"/>
  <c r="H124" i="6"/>
  <c r="H3" i="6"/>
  <c r="H86" i="6"/>
  <c r="H87" i="6"/>
  <c r="H10843" i="6"/>
  <c r="H140" i="6"/>
  <c r="H151" i="6"/>
  <c r="H163" i="6"/>
  <c r="H175" i="6"/>
  <c r="H187" i="6"/>
  <c r="H199" i="6"/>
  <c r="H211" i="6"/>
  <c r="H223" i="6"/>
  <c r="H235" i="6"/>
  <c r="H247" i="6"/>
  <c r="H259" i="6"/>
  <c r="H271" i="6"/>
  <c r="H283" i="6"/>
  <c r="H295" i="6"/>
  <c r="H307" i="6"/>
  <c r="H319" i="6"/>
  <c r="H331" i="6"/>
  <c r="H343" i="6"/>
  <c r="H355" i="6"/>
  <c r="H367" i="6"/>
  <c r="H379" i="6"/>
  <c r="H391" i="6"/>
  <c r="H403" i="6"/>
  <c r="H415" i="6"/>
  <c r="H427" i="6"/>
  <c r="H439" i="6"/>
  <c r="H451" i="6"/>
  <c r="H9688" i="6"/>
  <c r="H9756" i="6"/>
  <c r="H9822" i="6"/>
  <c r="H9884" i="6"/>
  <c r="H9952" i="6"/>
  <c r="H10011" i="6"/>
  <c r="H10058" i="6"/>
  <c r="H10104" i="6"/>
  <c r="H10149" i="6"/>
  <c r="H10195" i="6"/>
  <c r="H10243" i="6"/>
  <c r="H10279" i="6"/>
  <c r="H10313" i="6"/>
  <c r="H10348" i="6"/>
  <c r="H10382" i="6"/>
  <c r="H10413" i="6"/>
  <c r="H10447" i="6"/>
  <c r="H10483" i="6"/>
  <c r="H10515" i="6"/>
  <c r="H10547" i="6"/>
  <c r="H10572" i="6"/>
  <c r="H10604" i="6"/>
  <c r="H10623" i="6"/>
  <c r="H10635" i="6"/>
  <c r="H10646" i="6"/>
  <c r="H10657" i="6"/>
  <c r="H10668" i="6"/>
  <c r="H10680" i="6"/>
  <c r="H10692" i="6"/>
  <c r="H10704" i="6"/>
  <c r="H10716" i="6"/>
  <c r="H10728" i="6"/>
  <c r="H10740" i="6"/>
  <c r="H10752" i="6"/>
  <c r="H10764" i="6"/>
  <c r="H10776" i="6"/>
  <c r="H10788" i="6"/>
  <c r="H10800" i="6"/>
  <c r="H10808" i="6"/>
  <c r="H10819" i="6"/>
  <c r="H10831" i="6"/>
  <c r="H10837" i="6"/>
  <c r="H127" i="6"/>
  <c r="H11" i="6"/>
  <c r="H84" i="6"/>
  <c r="H131" i="6"/>
  <c r="H137" i="6"/>
  <c r="H142" i="6"/>
  <c r="H154" i="6"/>
  <c r="H166" i="6"/>
  <c r="H178" i="6"/>
  <c r="H190" i="6"/>
  <c r="H202" i="6"/>
  <c r="H214" i="6"/>
  <c r="H226" i="6"/>
  <c r="H238" i="6"/>
  <c r="H250" i="6"/>
  <c r="H262" i="6"/>
  <c r="H274" i="6"/>
  <c r="H286" i="6"/>
  <c r="H298" i="6"/>
  <c r="H310" i="6"/>
  <c r="H322" i="6"/>
  <c r="H334" i="6"/>
  <c r="H9711" i="6"/>
  <c r="H9778" i="6"/>
  <c r="H9839" i="6"/>
  <c r="H9904" i="6"/>
  <c r="H9975" i="6"/>
  <c r="H10022" i="6"/>
  <c r="H10070" i="6"/>
  <c r="H10116" i="6"/>
  <c r="H10160" i="6"/>
  <c r="H10207" i="6"/>
  <c r="H10255" i="6"/>
  <c r="H10289" i="6"/>
  <c r="H10324" i="6"/>
  <c r="H10359" i="6"/>
  <c r="H10393" i="6"/>
  <c r="H10424" i="6"/>
  <c r="H10458" i="6"/>
  <c r="H10490" i="6"/>
  <c r="H10525" i="6"/>
  <c r="H10550" i="6"/>
  <c r="H10582" i="6"/>
  <c r="H10607" i="6"/>
  <c r="H10626" i="6"/>
  <c r="H113" i="6"/>
  <c r="H10649" i="6"/>
  <c r="H10660" i="6"/>
  <c r="H10671" i="6"/>
  <c r="H10683" i="6"/>
  <c r="H10695" i="6"/>
  <c r="H10707" i="6"/>
  <c r="H10719" i="6"/>
  <c r="H10731" i="6"/>
  <c r="H10743" i="6"/>
  <c r="H10755" i="6"/>
  <c r="H10767" i="6"/>
  <c r="H10779" i="6"/>
  <c r="H10791" i="6"/>
  <c r="H116" i="6"/>
  <c r="H10811" i="6"/>
  <c r="H10822" i="6"/>
  <c r="H10834" i="6"/>
  <c r="H17" i="6"/>
  <c r="H5" i="6"/>
  <c r="H129" i="6"/>
  <c r="H89" i="6"/>
  <c r="H134" i="6"/>
  <c r="H75" i="6"/>
  <c r="H9712" i="6"/>
  <c r="H38" i="6"/>
  <c r="H9840" i="6"/>
  <c r="H9905" i="6"/>
  <c r="H9976" i="6"/>
  <c r="H10023" i="6"/>
  <c r="H10071" i="6"/>
  <c r="H10117" i="6"/>
  <c r="H10161" i="6"/>
  <c r="H10208" i="6"/>
  <c r="H10256" i="6"/>
  <c r="H70" i="6"/>
  <c r="H10325" i="6"/>
  <c r="H10360" i="6"/>
  <c r="H10394" i="6"/>
  <c r="H10425" i="6"/>
  <c r="H10459" i="6"/>
  <c r="H10491" i="6"/>
  <c r="H10526" i="6"/>
  <c r="H10558" i="6"/>
  <c r="H10583" i="6"/>
  <c r="H10608" i="6"/>
  <c r="H10627" i="6"/>
  <c r="H10638" i="6"/>
  <c r="H10650" i="6"/>
  <c r="H10661" i="6"/>
  <c r="H10672" i="6"/>
  <c r="H10684" i="6"/>
  <c r="H10696" i="6"/>
  <c r="H10708" i="6"/>
  <c r="H10720" i="6"/>
  <c r="H10732" i="6"/>
  <c r="H10744" i="6"/>
  <c r="H10756" i="6"/>
  <c r="H10768" i="6"/>
  <c r="H10780" i="6"/>
  <c r="H10792" i="6"/>
  <c r="H10802" i="6"/>
  <c r="H10812" i="6"/>
  <c r="H10823" i="6"/>
  <c r="H10835" i="6"/>
  <c r="H27" i="6"/>
  <c r="H6" i="6"/>
  <c r="H34" i="6"/>
  <c r="H10839" i="6"/>
  <c r="H135" i="6"/>
  <c r="H9721" i="6"/>
  <c r="H9789" i="6"/>
  <c r="H9850" i="6"/>
  <c r="H9916" i="6"/>
  <c r="H9978" i="6"/>
  <c r="H10025" i="6"/>
  <c r="H10073" i="6"/>
  <c r="H10119" i="6"/>
  <c r="H10163" i="6"/>
  <c r="H10210" i="6"/>
  <c r="H10258" i="6"/>
  <c r="H10290" i="6"/>
  <c r="H10326" i="6"/>
  <c r="H10361" i="6"/>
  <c r="H10395" i="6"/>
  <c r="H10426" i="6"/>
  <c r="H10460" i="6"/>
  <c r="H10492" i="6"/>
  <c r="H15" i="6"/>
  <c r="H10559" i="6"/>
  <c r="H10584" i="6"/>
  <c r="H10616" i="6"/>
  <c r="H10628" i="6"/>
  <c r="H10639" i="6"/>
  <c r="H25" i="6"/>
  <c r="H114" i="6"/>
  <c r="H10673" i="6"/>
  <c r="H10685" i="6"/>
  <c r="H10697" i="6"/>
  <c r="H10709" i="6"/>
  <c r="H10721" i="6"/>
  <c r="H10733" i="6"/>
  <c r="H10745" i="6"/>
  <c r="H10757" i="6"/>
  <c r="H10769" i="6"/>
  <c r="H10781" i="6"/>
  <c r="H10793" i="6"/>
  <c r="H117" i="6"/>
  <c r="H26" i="6"/>
  <c r="H10824" i="6"/>
  <c r="H10836" i="6"/>
  <c r="H47" i="6"/>
  <c r="H28" i="6"/>
  <c r="H52" i="6"/>
  <c r="H130" i="6"/>
  <c r="H10842" i="6"/>
  <c r="H9664" i="6"/>
  <c r="H9802" i="6"/>
  <c r="H9928" i="6"/>
  <c r="H10037" i="6"/>
  <c r="H104" i="6"/>
  <c r="H9676" i="6"/>
  <c r="H94" i="6"/>
  <c r="H9940" i="6"/>
  <c r="H10047" i="6"/>
  <c r="H10138" i="6"/>
  <c r="H10232" i="6"/>
  <c r="H10311" i="6"/>
  <c r="H10380" i="6"/>
  <c r="H10445" i="6"/>
  <c r="H10513" i="6"/>
  <c r="H10570" i="6"/>
  <c r="H10621" i="6"/>
  <c r="H10644" i="6"/>
  <c r="H10666" i="6"/>
  <c r="H10690" i="6"/>
  <c r="H10714" i="6"/>
  <c r="H10738" i="6"/>
  <c r="H10762" i="6"/>
  <c r="H10786" i="6"/>
  <c r="H10806" i="6"/>
  <c r="H10829" i="6"/>
  <c r="H125" i="6"/>
  <c r="H73" i="6"/>
  <c r="H136" i="6"/>
  <c r="H145" i="6"/>
  <c r="H160" i="6"/>
  <c r="H177" i="6"/>
  <c r="H193" i="6"/>
  <c r="H208" i="6"/>
  <c r="H225" i="6"/>
  <c r="H241" i="6"/>
  <c r="H256" i="6"/>
  <c r="H273" i="6"/>
  <c r="H289" i="6"/>
  <c r="H304" i="6"/>
  <c r="H321" i="6"/>
  <c r="H337" i="6"/>
  <c r="H351" i="6"/>
  <c r="H366" i="6"/>
  <c r="H381" i="6"/>
  <c r="H395" i="6"/>
  <c r="H409" i="6"/>
  <c r="H423" i="6"/>
  <c r="H438" i="6"/>
  <c r="H453" i="6"/>
  <c r="H466" i="6"/>
  <c r="H479" i="6"/>
  <c r="H492" i="6"/>
  <c r="H505" i="6"/>
  <c r="H518" i="6"/>
  <c r="H531" i="6"/>
  <c r="H544" i="6"/>
  <c r="H558" i="6"/>
  <c r="H571" i="6"/>
  <c r="H584" i="6"/>
  <c r="H596" i="6"/>
  <c r="H608" i="6"/>
  <c r="H620" i="6"/>
  <c r="H632" i="6"/>
  <c r="H644" i="6"/>
  <c r="H656" i="6"/>
  <c r="H668" i="6"/>
  <c r="H680" i="6"/>
  <c r="H692" i="6"/>
  <c r="H704" i="6"/>
  <c r="H716" i="6"/>
  <c r="H728" i="6"/>
  <c r="H740" i="6"/>
  <c r="H752" i="6"/>
  <c r="H764" i="6"/>
  <c r="H776" i="6"/>
  <c r="H788" i="6"/>
  <c r="H800" i="6"/>
  <c r="H812" i="6"/>
  <c r="H824" i="6"/>
  <c r="H836" i="6"/>
  <c r="H848" i="6"/>
  <c r="H860" i="6"/>
  <c r="H872" i="6"/>
  <c r="H884" i="6"/>
  <c r="H896" i="6"/>
  <c r="H908" i="6"/>
  <c r="H920" i="6"/>
  <c r="H932" i="6"/>
  <c r="H944" i="6"/>
  <c r="H9687" i="6"/>
  <c r="H9821" i="6"/>
  <c r="H9951" i="6"/>
  <c r="H10049" i="6"/>
  <c r="H10140" i="6"/>
  <c r="H10234" i="6"/>
  <c r="H10312" i="6"/>
  <c r="H10381" i="6"/>
  <c r="H10446" i="6"/>
  <c r="H10514" i="6"/>
  <c r="H10571" i="6"/>
  <c r="H10622" i="6"/>
  <c r="H10645" i="6"/>
  <c r="H10667" i="6"/>
  <c r="H10691" i="6"/>
  <c r="H10715" i="6"/>
  <c r="H10739" i="6"/>
  <c r="H10763" i="6"/>
  <c r="H10787" i="6"/>
  <c r="H10807" i="6"/>
  <c r="H10830" i="6"/>
  <c r="H126" i="6"/>
  <c r="H18" i="6"/>
  <c r="H68" i="6"/>
  <c r="H146" i="6"/>
  <c r="H162" i="6"/>
  <c r="H179" i="6"/>
  <c r="H194" i="6"/>
  <c r="H210" i="6"/>
  <c r="H227" i="6"/>
  <c r="H242" i="6"/>
  <c r="H258" i="6"/>
  <c r="H275" i="6"/>
  <c r="H290" i="6"/>
  <c r="H306" i="6"/>
  <c r="H323" i="6"/>
  <c r="H338" i="6"/>
  <c r="H352" i="6"/>
  <c r="H368" i="6"/>
  <c r="H382" i="6"/>
  <c r="H396" i="6"/>
  <c r="H410" i="6"/>
  <c r="H424" i="6"/>
  <c r="H440" i="6"/>
  <c r="H454" i="6"/>
  <c r="H467" i="6"/>
  <c r="H480" i="6"/>
  <c r="H493" i="6"/>
  <c r="H506" i="6"/>
  <c r="H519" i="6"/>
  <c r="H532" i="6"/>
  <c r="H546" i="6"/>
  <c r="H559" i="6"/>
  <c r="H572" i="6"/>
  <c r="H585" i="6"/>
  <c r="H597" i="6"/>
  <c r="H609" i="6"/>
  <c r="H621" i="6"/>
  <c r="H633" i="6"/>
  <c r="H645" i="6"/>
  <c r="H657" i="6"/>
  <c r="H669" i="6"/>
  <c r="H681" i="6"/>
  <c r="H693" i="6"/>
  <c r="H705" i="6"/>
  <c r="H717" i="6"/>
  <c r="H729" i="6"/>
  <c r="H741" i="6"/>
  <c r="H753" i="6"/>
  <c r="H765" i="6"/>
  <c r="H777" i="6"/>
  <c r="H789" i="6"/>
  <c r="H801" i="6"/>
  <c r="H813" i="6"/>
  <c r="H825" i="6"/>
  <c r="H837" i="6"/>
  <c r="H849" i="6"/>
  <c r="H861" i="6"/>
  <c r="H873" i="6"/>
  <c r="H885" i="6"/>
  <c r="H897" i="6"/>
  <c r="H909" i="6"/>
  <c r="H921" i="6"/>
  <c r="H933" i="6"/>
  <c r="H945" i="6"/>
  <c r="H9699" i="6"/>
  <c r="H9828" i="6"/>
  <c r="H9963" i="6"/>
  <c r="H10059" i="6"/>
  <c r="H10150" i="6"/>
  <c r="H10244" i="6"/>
  <c r="H10314" i="6"/>
  <c r="H10383" i="6"/>
  <c r="H10448" i="6"/>
  <c r="H10516" i="6"/>
  <c r="H10573" i="6"/>
  <c r="H10624" i="6"/>
  <c r="H10647" i="6"/>
  <c r="H10669" i="6"/>
  <c r="H10693" i="6"/>
  <c r="H10717" i="6"/>
  <c r="H10741" i="6"/>
  <c r="H10765" i="6"/>
  <c r="H10789" i="6"/>
  <c r="H10809" i="6"/>
  <c r="H10832" i="6"/>
  <c r="H59" i="6"/>
  <c r="H60" i="6"/>
  <c r="H138" i="6"/>
  <c r="H147" i="6"/>
  <c r="H164" i="6"/>
  <c r="H180" i="6"/>
  <c r="H195" i="6"/>
  <c r="H212" i="6"/>
  <c r="H228" i="6"/>
  <c r="H243" i="6"/>
  <c r="H260" i="6"/>
  <c r="H276" i="6"/>
  <c r="H291" i="6"/>
  <c r="H308" i="6"/>
  <c r="H324" i="6"/>
  <c r="H339" i="6"/>
  <c r="H354" i="6"/>
  <c r="H369" i="6"/>
  <c r="H383" i="6"/>
  <c r="H397" i="6"/>
  <c r="H411" i="6"/>
  <c r="H426" i="6"/>
  <c r="H441" i="6"/>
  <c r="H455" i="6"/>
  <c r="H468" i="6"/>
  <c r="H481" i="6"/>
  <c r="H494" i="6"/>
  <c r="H507" i="6"/>
  <c r="H520" i="6"/>
  <c r="H534" i="6"/>
  <c r="H547" i="6"/>
  <c r="H560" i="6"/>
  <c r="H573" i="6"/>
  <c r="H586" i="6"/>
  <c r="H598" i="6"/>
  <c r="H610" i="6"/>
  <c r="H622" i="6"/>
  <c r="H634" i="6"/>
  <c r="H646" i="6"/>
  <c r="H658" i="6"/>
  <c r="H670" i="6"/>
  <c r="H682" i="6"/>
  <c r="H694" i="6"/>
  <c r="H706" i="6"/>
  <c r="H718" i="6"/>
  <c r="H730" i="6"/>
  <c r="H742" i="6"/>
  <c r="H754" i="6"/>
  <c r="H766" i="6"/>
  <c r="H778" i="6"/>
  <c r="H790" i="6"/>
  <c r="H802" i="6"/>
  <c r="H814" i="6"/>
  <c r="H826" i="6"/>
  <c r="H838" i="6"/>
  <c r="H850" i="6"/>
  <c r="H862" i="6"/>
  <c r="H874" i="6"/>
  <c r="H886" i="6"/>
  <c r="H898" i="6"/>
  <c r="H910" i="6"/>
  <c r="H922" i="6"/>
  <c r="H934" i="6"/>
  <c r="H946" i="6"/>
  <c r="H9700" i="6"/>
  <c r="H9829" i="6"/>
  <c r="H9964" i="6"/>
  <c r="H10061" i="6"/>
  <c r="H10152" i="6"/>
  <c r="H10246" i="6"/>
  <c r="H10323" i="6"/>
  <c r="H10392" i="6"/>
  <c r="H10457" i="6"/>
  <c r="H10524" i="6"/>
  <c r="H10581" i="6"/>
  <c r="H10625" i="6"/>
  <c r="H10648" i="6"/>
  <c r="H10670" i="6"/>
  <c r="H10694" i="6"/>
  <c r="H10718" i="6"/>
  <c r="H10742" i="6"/>
  <c r="H10766" i="6"/>
  <c r="H10790" i="6"/>
  <c r="H10810" i="6"/>
  <c r="H10833" i="6"/>
  <c r="H33" i="6"/>
  <c r="H10838" i="6"/>
  <c r="H10844" i="6"/>
  <c r="H148" i="6"/>
  <c r="H165" i="6"/>
  <c r="H181" i="6"/>
  <c r="H196" i="6"/>
  <c r="H213" i="6"/>
  <c r="H229" i="6"/>
  <c r="H244" i="6"/>
  <c r="H261" i="6"/>
  <c r="H277" i="6"/>
  <c r="H292" i="6"/>
  <c r="H309" i="6"/>
  <c r="H325" i="6"/>
  <c r="H340" i="6"/>
  <c r="H356" i="6"/>
  <c r="H370" i="6"/>
  <c r="H384" i="6"/>
  <c r="H398" i="6"/>
  <c r="H412" i="6"/>
  <c r="H428" i="6"/>
  <c r="H442" i="6"/>
  <c r="H456" i="6"/>
  <c r="H469" i="6"/>
  <c r="H482" i="6"/>
  <c r="H495" i="6"/>
  <c r="H508" i="6"/>
  <c r="H522" i="6"/>
  <c r="H535" i="6"/>
  <c r="H548" i="6"/>
  <c r="H561" i="6"/>
  <c r="H574" i="6"/>
  <c r="H587" i="6"/>
  <c r="H599" i="6"/>
  <c r="H611" i="6"/>
  <c r="H623" i="6"/>
  <c r="H635" i="6"/>
  <c r="H647" i="6"/>
  <c r="H659" i="6"/>
  <c r="H671" i="6"/>
  <c r="H683" i="6"/>
  <c r="H695" i="6"/>
  <c r="H707" i="6"/>
  <c r="H719" i="6"/>
  <c r="H731" i="6"/>
  <c r="H743" i="6"/>
  <c r="H755" i="6"/>
  <c r="H767" i="6"/>
  <c r="H779" i="6"/>
  <c r="H791" i="6"/>
  <c r="H803" i="6"/>
  <c r="H815" i="6"/>
  <c r="H827" i="6"/>
  <c r="H839" i="6"/>
  <c r="H851" i="6"/>
  <c r="H863" i="6"/>
  <c r="H875" i="6"/>
  <c r="H887" i="6"/>
  <c r="H899" i="6"/>
  <c r="H911" i="6"/>
  <c r="H923" i="6"/>
  <c r="H935" i="6"/>
  <c r="H947" i="6"/>
  <c r="H9722" i="6"/>
  <c r="H9851" i="6"/>
  <c r="H9987" i="6"/>
  <c r="H10082" i="6"/>
  <c r="H10172" i="6"/>
  <c r="H10265" i="6"/>
  <c r="H10335" i="6"/>
  <c r="H10401" i="6"/>
  <c r="H10469" i="6"/>
  <c r="H10534" i="6"/>
  <c r="H10585" i="6"/>
  <c r="H10629" i="6"/>
  <c r="H10651" i="6"/>
  <c r="H10674" i="6"/>
  <c r="H10698" i="6"/>
  <c r="H10722" i="6"/>
  <c r="H10746" i="6"/>
  <c r="H10770" i="6"/>
  <c r="H10794" i="6"/>
  <c r="H10813" i="6"/>
  <c r="H61" i="6"/>
  <c r="H76" i="6"/>
  <c r="H32" i="6"/>
  <c r="H55" i="6"/>
  <c r="H150" i="6"/>
  <c r="H167" i="6"/>
  <c r="H182" i="6"/>
  <c r="H198" i="6"/>
  <c r="H215" i="6"/>
  <c r="H230" i="6"/>
  <c r="H246" i="6"/>
  <c r="H263" i="6"/>
  <c r="H278" i="6"/>
  <c r="H294" i="6"/>
  <c r="H311" i="6"/>
  <c r="H326" i="6"/>
  <c r="H342" i="6"/>
  <c r="H357" i="6"/>
  <c r="H371" i="6"/>
  <c r="H385" i="6"/>
  <c r="H399" i="6"/>
  <c r="H414" i="6"/>
  <c r="H429" i="6"/>
  <c r="H443" i="6"/>
  <c r="H457" i="6"/>
  <c r="H470" i="6"/>
  <c r="H483" i="6"/>
  <c r="H496" i="6"/>
  <c r="H510" i="6"/>
  <c r="H523" i="6"/>
  <c r="H536" i="6"/>
  <c r="H549" i="6"/>
  <c r="H562" i="6"/>
  <c r="H575" i="6"/>
  <c r="H588" i="6"/>
  <c r="H600" i="6"/>
  <c r="H612" i="6"/>
  <c r="H624" i="6"/>
  <c r="H636" i="6"/>
  <c r="H648" i="6"/>
  <c r="H660" i="6"/>
  <c r="H672" i="6"/>
  <c r="H684" i="6"/>
  <c r="H696" i="6"/>
  <c r="H708" i="6"/>
  <c r="H720" i="6"/>
  <c r="H732" i="6"/>
  <c r="H744" i="6"/>
  <c r="H756" i="6"/>
  <c r="H768" i="6"/>
  <c r="H780" i="6"/>
  <c r="H792" i="6"/>
  <c r="H804" i="6"/>
  <c r="H816" i="6"/>
  <c r="H9733" i="6"/>
  <c r="H9861" i="6"/>
  <c r="H9990" i="6"/>
  <c r="H10085" i="6"/>
  <c r="H10175" i="6"/>
  <c r="H10267" i="6"/>
  <c r="H23" i="6"/>
  <c r="H29" i="6"/>
  <c r="H10471" i="6"/>
  <c r="H10536" i="6"/>
  <c r="H10594" i="6"/>
  <c r="H10631" i="6"/>
  <c r="H10653" i="6"/>
  <c r="H10676" i="6"/>
  <c r="H10700" i="6"/>
  <c r="H10724" i="6"/>
  <c r="H10748" i="6"/>
  <c r="H10772" i="6"/>
  <c r="H10796" i="6"/>
  <c r="H10815" i="6"/>
  <c r="H82" i="6"/>
  <c r="H85" i="6"/>
  <c r="H67" i="6"/>
  <c r="H20" i="6"/>
  <c r="H152" i="6"/>
  <c r="H168" i="6"/>
  <c r="H183" i="6"/>
  <c r="H200" i="6"/>
  <c r="H216" i="6"/>
  <c r="H231" i="6"/>
  <c r="H248" i="6"/>
  <c r="H264" i="6"/>
  <c r="H279" i="6"/>
  <c r="H296" i="6"/>
  <c r="H312" i="6"/>
  <c r="H327" i="6"/>
  <c r="H344" i="6"/>
  <c r="H358" i="6"/>
  <c r="H372" i="6"/>
  <c r="H386" i="6"/>
  <c r="H400" i="6"/>
  <c r="H416" i="6"/>
  <c r="H430" i="6"/>
  <c r="H444" i="6"/>
  <c r="H458" i="6"/>
  <c r="H471" i="6"/>
  <c r="H484" i="6"/>
  <c r="H498" i="6"/>
  <c r="H511" i="6"/>
  <c r="H524" i="6"/>
  <c r="H537" i="6"/>
  <c r="H550" i="6"/>
  <c r="H563" i="6"/>
  <c r="H576" i="6"/>
  <c r="H589" i="6"/>
  <c r="H601" i="6"/>
  <c r="H613" i="6"/>
  <c r="H625" i="6"/>
  <c r="H637" i="6"/>
  <c r="H649" i="6"/>
  <c r="H661" i="6"/>
  <c r="H673" i="6"/>
  <c r="H685" i="6"/>
  <c r="H697" i="6"/>
  <c r="H709" i="6"/>
  <c r="H721" i="6"/>
  <c r="H733" i="6"/>
  <c r="H745" i="6"/>
  <c r="H757" i="6"/>
  <c r="H769" i="6"/>
  <c r="H781" i="6"/>
  <c r="H793" i="6"/>
  <c r="H805" i="6"/>
  <c r="H9745" i="6"/>
  <c r="H9873" i="6"/>
  <c r="H10000" i="6"/>
  <c r="H10094" i="6"/>
  <c r="H10185" i="6"/>
  <c r="H10277" i="6"/>
  <c r="H10346" i="6"/>
  <c r="H44" i="6"/>
  <c r="H10481" i="6"/>
  <c r="H10538" i="6"/>
  <c r="H10596" i="6"/>
  <c r="H10633" i="6"/>
  <c r="H10655" i="6"/>
  <c r="H10678" i="6"/>
  <c r="H10702" i="6"/>
  <c r="H10726" i="6"/>
  <c r="H10750" i="6"/>
  <c r="H10774" i="6"/>
  <c r="H10798" i="6"/>
  <c r="H10817" i="6"/>
  <c r="H121" i="6"/>
  <c r="H81" i="6"/>
  <c r="H19" i="6"/>
  <c r="H21" i="6"/>
  <c r="H153" i="6"/>
  <c r="H169" i="6"/>
  <c r="H184" i="6"/>
  <c r="H201" i="6"/>
  <c r="H217" i="6"/>
  <c r="H232" i="6"/>
  <c r="H249" i="6"/>
  <c r="H265" i="6"/>
  <c r="H280" i="6"/>
  <c r="H297" i="6"/>
  <c r="H313" i="6"/>
  <c r="H328" i="6"/>
  <c r="H345" i="6"/>
  <c r="H359" i="6"/>
  <c r="H373" i="6"/>
  <c r="H387" i="6"/>
  <c r="H402" i="6"/>
  <c r="H417" i="6"/>
  <c r="H431" i="6"/>
  <c r="H445" i="6"/>
  <c r="H459" i="6"/>
  <c r="H472" i="6"/>
  <c r="H486" i="6"/>
  <c r="H499" i="6"/>
  <c r="H512" i="6"/>
  <c r="H525" i="6"/>
  <c r="H538" i="6"/>
  <c r="H551" i="6"/>
  <c r="H564" i="6"/>
  <c r="H577" i="6"/>
  <c r="H590" i="6"/>
  <c r="H602" i="6"/>
  <c r="H614" i="6"/>
  <c r="H626" i="6"/>
  <c r="H638" i="6"/>
  <c r="H650" i="6"/>
  <c r="H662" i="6"/>
  <c r="H674" i="6"/>
  <c r="H686" i="6"/>
  <c r="H698" i="6"/>
  <c r="H710" i="6"/>
  <c r="H722" i="6"/>
  <c r="H734" i="6"/>
  <c r="H746" i="6"/>
  <c r="H758" i="6"/>
  <c r="H770" i="6"/>
  <c r="H782" i="6"/>
  <c r="H794" i="6"/>
  <c r="H806" i="6"/>
  <c r="H818" i="6"/>
  <c r="H9755" i="6"/>
  <c r="H9883" i="6"/>
  <c r="H10002" i="6"/>
  <c r="H10096" i="6"/>
  <c r="H41" i="6"/>
  <c r="H10278" i="6"/>
  <c r="H10347" i="6"/>
  <c r="H10412" i="6"/>
  <c r="H10482" i="6"/>
  <c r="H10546" i="6"/>
  <c r="H10597" i="6"/>
  <c r="H10634" i="6"/>
  <c r="H10656" i="6"/>
  <c r="H10679" i="6"/>
  <c r="H10703" i="6"/>
  <c r="H10727" i="6"/>
  <c r="H10751" i="6"/>
  <c r="H10775" i="6"/>
  <c r="H10799" i="6"/>
  <c r="H10818" i="6"/>
  <c r="H58" i="6"/>
  <c r="H31" i="6"/>
  <c r="H10841" i="6"/>
  <c r="H139" i="6"/>
  <c r="H155" i="6"/>
  <c r="H170" i="6"/>
  <c r="H186" i="6"/>
  <c r="H203" i="6"/>
  <c r="H218" i="6"/>
  <c r="H234" i="6"/>
  <c r="H251" i="6"/>
  <c r="H266" i="6"/>
  <c r="H282" i="6"/>
  <c r="H299" i="6"/>
  <c r="H314" i="6"/>
  <c r="H330" i="6"/>
  <c r="H346" i="6"/>
  <c r="H360" i="6"/>
  <c r="H374" i="6"/>
  <c r="H388" i="6"/>
  <c r="H404" i="6"/>
  <c r="H418" i="6"/>
  <c r="H432" i="6"/>
  <c r="H446" i="6"/>
  <c r="H460" i="6"/>
  <c r="H474" i="6"/>
  <c r="H487" i="6"/>
  <c r="H500" i="6"/>
  <c r="H513" i="6"/>
  <c r="H526" i="6"/>
  <c r="H539" i="6"/>
  <c r="H552" i="6"/>
  <c r="H565" i="6"/>
  <c r="H578" i="6"/>
  <c r="H591" i="6"/>
  <c r="H603" i="6"/>
  <c r="H615" i="6"/>
  <c r="H627" i="6"/>
  <c r="H639" i="6"/>
  <c r="H651" i="6"/>
  <c r="H663" i="6"/>
  <c r="H675" i="6"/>
  <c r="H687" i="6"/>
  <c r="H699" i="6"/>
  <c r="H711" i="6"/>
  <c r="H723" i="6"/>
  <c r="H735" i="6"/>
  <c r="H747" i="6"/>
  <c r="H759" i="6"/>
  <c r="H771" i="6"/>
  <c r="H783" i="6"/>
  <c r="H795" i="6"/>
  <c r="H807" i="6"/>
  <c r="H819" i="6"/>
  <c r="H831" i="6"/>
  <c r="H9766" i="6"/>
  <c r="H72" i="6"/>
  <c r="H10012" i="6"/>
  <c r="H10105" i="6"/>
  <c r="H10196" i="6"/>
  <c r="H10280" i="6"/>
  <c r="H10349" i="6"/>
  <c r="H10414" i="6"/>
  <c r="H10484" i="6"/>
  <c r="H10548" i="6"/>
  <c r="H10605" i="6"/>
  <c r="H10636" i="6"/>
  <c r="H10658" i="6"/>
  <c r="H10681" i="6"/>
  <c r="H10705" i="6"/>
  <c r="H10729" i="6"/>
  <c r="H10753" i="6"/>
  <c r="H10777" i="6"/>
  <c r="H10801" i="6"/>
  <c r="H10820" i="6"/>
  <c r="H122" i="6"/>
  <c r="H88" i="6"/>
  <c r="H132" i="6"/>
  <c r="H57" i="6"/>
  <c r="H156" i="6"/>
  <c r="H171" i="6"/>
  <c r="H188" i="6"/>
  <c r="H204" i="6"/>
  <c r="H219" i="6"/>
  <c r="H236" i="6"/>
  <c r="H252" i="6"/>
  <c r="H267" i="6"/>
  <c r="H284" i="6"/>
  <c r="H300" i="6"/>
  <c r="H315" i="6"/>
  <c r="H332" i="6"/>
  <c r="H347" i="6"/>
  <c r="H361" i="6"/>
  <c r="H375" i="6"/>
  <c r="H390" i="6"/>
  <c r="H405" i="6"/>
  <c r="H419" i="6"/>
  <c r="H433" i="6"/>
  <c r="H447" i="6"/>
  <c r="H462" i="6"/>
  <c r="H475" i="6"/>
  <c r="H488" i="6"/>
  <c r="H501" i="6"/>
  <c r="H514" i="6"/>
  <c r="H527" i="6"/>
  <c r="H540" i="6"/>
  <c r="H553" i="6"/>
  <c r="H566" i="6"/>
  <c r="H579" i="6"/>
  <c r="H592" i="6"/>
  <c r="H604" i="6"/>
  <c r="H616" i="6"/>
  <c r="H628" i="6"/>
  <c r="H640" i="6"/>
  <c r="H652" i="6"/>
  <c r="H664" i="6"/>
  <c r="H676" i="6"/>
  <c r="H688" i="6"/>
  <c r="H700" i="6"/>
  <c r="H712" i="6"/>
  <c r="H724" i="6"/>
  <c r="H736" i="6"/>
  <c r="H748" i="6"/>
  <c r="H760" i="6"/>
  <c r="H772" i="6"/>
  <c r="H784" i="6"/>
  <c r="H796" i="6"/>
  <c r="H808" i="6"/>
  <c r="H9767" i="6"/>
  <c r="H9894" i="6"/>
  <c r="H10014" i="6"/>
  <c r="H10107" i="6"/>
  <c r="H10198" i="6"/>
  <c r="H10288" i="6"/>
  <c r="H10358" i="6"/>
  <c r="H10423" i="6"/>
  <c r="H10489" i="6"/>
  <c r="H10549" i="6"/>
  <c r="H10606" i="6"/>
  <c r="H10637" i="6"/>
  <c r="H10659" i="6"/>
  <c r="H10682" i="6"/>
  <c r="H10706" i="6"/>
  <c r="H10730" i="6"/>
  <c r="H10754" i="6"/>
  <c r="H10778" i="6"/>
  <c r="H115" i="6"/>
  <c r="H10821" i="6"/>
  <c r="H123" i="6"/>
  <c r="H128" i="6"/>
  <c r="H133" i="6"/>
  <c r="H141" i="6"/>
  <c r="H157" i="6"/>
  <c r="H172" i="6"/>
  <c r="H189" i="6"/>
  <c r="H205" i="6"/>
  <c r="H220" i="6"/>
  <c r="H237" i="6"/>
  <c r="H253" i="6"/>
  <c r="H268" i="6"/>
  <c r="H285" i="6"/>
  <c r="H301" i="6"/>
  <c r="H316" i="6"/>
  <c r="H333" i="6"/>
  <c r="H348" i="6"/>
  <c r="H362" i="6"/>
  <c r="H376" i="6"/>
  <c r="H392" i="6"/>
  <c r="H406" i="6"/>
  <c r="H420" i="6"/>
  <c r="H434" i="6"/>
  <c r="H448" i="6"/>
  <c r="H463" i="6"/>
  <c r="H476" i="6"/>
  <c r="H489" i="6"/>
  <c r="H502" i="6"/>
  <c r="H515" i="6"/>
  <c r="H528" i="6"/>
  <c r="H541" i="6"/>
  <c r="H554" i="6"/>
  <c r="H567" i="6"/>
  <c r="H580" i="6"/>
  <c r="H593" i="6"/>
  <c r="H605" i="6"/>
  <c r="H617" i="6"/>
  <c r="H629" i="6"/>
  <c r="H641" i="6"/>
  <c r="H653" i="6"/>
  <c r="H665" i="6"/>
  <c r="H677" i="6"/>
  <c r="H689" i="6"/>
  <c r="H701" i="6"/>
  <c r="H713" i="6"/>
  <c r="H725" i="6"/>
  <c r="H737" i="6"/>
  <c r="H749" i="6"/>
  <c r="H761" i="6"/>
  <c r="H773" i="6"/>
  <c r="H785" i="6"/>
  <c r="H797" i="6"/>
  <c r="H809" i="6"/>
  <c r="H821" i="6"/>
  <c r="H833" i="6"/>
  <c r="H845" i="6"/>
  <c r="H857" i="6"/>
  <c r="H9917" i="6"/>
  <c r="H10503" i="6"/>
  <c r="H10712" i="6"/>
  <c r="H4" i="6"/>
  <c r="H192" i="6"/>
  <c r="H288" i="6"/>
  <c r="H380" i="6"/>
  <c r="H465" i="6"/>
  <c r="H543" i="6"/>
  <c r="H619" i="6"/>
  <c r="H691" i="6"/>
  <c r="H763" i="6"/>
  <c r="H823" i="6"/>
  <c r="H846" i="6"/>
  <c r="H867" i="6"/>
  <c r="H883" i="6"/>
  <c r="H903" i="6"/>
  <c r="H919" i="6"/>
  <c r="H939" i="6"/>
  <c r="H955" i="6"/>
  <c r="H967" i="6"/>
  <c r="H979" i="6"/>
  <c r="H991" i="6"/>
  <c r="H1003" i="6"/>
  <c r="H1015" i="6"/>
  <c r="H1027" i="6"/>
  <c r="H1039" i="6"/>
  <c r="H1051" i="6"/>
  <c r="H1063" i="6"/>
  <c r="H1075" i="6"/>
  <c r="H1087" i="6"/>
  <c r="H1099" i="6"/>
  <c r="H1111" i="6"/>
  <c r="H1123" i="6"/>
  <c r="H1135" i="6"/>
  <c r="H1147" i="6"/>
  <c r="H1159" i="6"/>
  <c r="H1171" i="6"/>
  <c r="H1183" i="6"/>
  <c r="H1195" i="6"/>
  <c r="H1207" i="6"/>
  <c r="H1219" i="6"/>
  <c r="H1231" i="6"/>
  <c r="H1243" i="6"/>
  <c r="H1255" i="6"/>
  <c r="H1267" i="6"/>
  <c r="H1279" i="6"/>
  <c r="H1291" i="6"/>
  <c r="H1303" i="6"/>
  <c r="H1315" i="6"/>
  <c r="H1327" i="6"/>
  <c r="H1339" i="6"/>
  <c r="H1351" i="6"/>
  <c r="H1363" i="6"/>
  <c r="H1375" i="6"/>
  <c r="H1387" i="6"/>
  <c r="H1399" i="6"/>
  <c r="H1411" i="6"/>
  <c r="H1423" i="6"/>
  <c r="H1435" i="6"/>
  <c r="H1447" i="6"/>
  <c r="H1459" i="6"/>
  <c r="H1471" i="6"/>
  <c r="H1483" i="6"/>
  <c r="H1495" i="6"/>
  <c r="H1507" i="6"/>
  <c r="H1519" i="6"/>
  <c r="H1531" i="6"/>
  <c r="H1543" i="6"/>
  <c r="H1555" i="6"/>
  <c r="H1567" i="6"/>
  <c r="H1579" i="6"/>
  <c r="H1591" i="6"/>
  <c r="H1603" i="6"/>
  <c r="H1615" i="6"/>
  <c r="H1627" i="6"/>
  <c r="H1639" i="6"/>
  <c r="H1651" i="6"/>
  <c r="H1663" i="6"/>
  <c r="H1675" i="6"/>
  <c r="H1687" i="6"/>
  <c r="H9583" i="6"/>
  <c r="H1702" i="6"/>
  <c r="H9590" i="6"/>
  <c r="H22" i="6"/>
  <c r="H9546" i="6"/>
  <c r="H10034" i="6"/>
  <c r="H10560" i="6"/>
  <c r="H10734" i="6"/>
  <c r="H9" i="6"/>
  <c r="H206" i="6"/>
  <c r="H302" i="6"/>
  <c r="H393" i="6"/>
  <c r="H477" i="6"/>
  <c r="H555" i="6"/>
  <c r="H630" i="6"/>
  <c r="H702" i="6"/>
  <c r="H774" i="6"/>
  <c r="H828" i="6"/>
  <c r="H847" i="6"/>
  <c r="H868" i="6"/>
  <c r="H888" i="6"/>
  <c r="H904" i="6"/>
  <c r="H924" i="6"/>
  <c r="H940" i="6"/>
  <c r="H956" i="6"/>
  <c r="H968" i="6"/>
  <c r="H980" i="6"/>
  <c r="H992" i="6"/>
  <c r="H1004" i="6"/>
  <c r="H1016" i="6"/>
  <c r="H1028" i="6"/>
  <c r="H1040" i="6"/>
  <c r="H1052" i="6"/>
  <c r="H1064" i="6"/>
  <c r="H1076" i="6"/>
  <c r="H1088" i="6"/>
  <c r="H1100" i="6"/>
  <c r="H1112" i="6"/>
  <c r="H1124" i="6"/>
  <c r="H1136" i="6"/>
  <c r="H1148" i="6"/>
  <c r="H1160" i="6"/>
  <c r="H1172" i="6"/>
  <c r="H1184" i="6"/>
  <c r="H1196" i="6"/>
  <c r="H1208" i="6"/>
  <c r="H1220" i="6"/>
  <c r="H1232" i="6"/>
  <c r="H1244" i="6"/>
  <c r="H1256" i="6"/>
  <c r="H1268" i="6"/>
  <c r="H1280" i="6"/>
  <c r="H1292" i="6"/>
  <c r="H1304" i="6"/>
  <c r="H1316" i="6"/>
  <c r="H1328" i="6"/>
  <c r="H1340" i="6"/>
  <c r="H1352" i="6"/>
  <c r="H1364" i="6"/>
  <c r="H1376" i="6"/>
  <c r="H1388" i="6"/>
  <c r="H1400" i="6"/>
  <c r="H1412" i="6"/>
  <c r="H1424" i="6"/>
  <c r="H1436" i="6"/>
  <c r="H1448" i="6"/>
  <c r="H1460" i="6"/>
  <c r="H1472" i="6"/>
  <c r="H1484" i="6"/>
  <c r="H1496" i="6"/>
  <c r="H1508" i="6"/>
  <c r="H1520" i="6"/>
  <c r="H1532" i="6"/>
  <c r="H1544" i="6"/>
  <c r="H1556" i="6"/>
  <c r="H1568" i="6"/>
  <c r="H1580" i="6"/>
  <c r="H1592" i="6"/>
  <c r="H1604" i="6"/>
  <c r="H1616" i="6"/>
  <c r="H1628" i="6"/>
  <c r="H1640" i="6"/>
  <c r="H1652" i="6"/>
  <c r="H1664" i="6"/>
  <c r="H1676" i="6"/>
  <c r="H1688" i="6"/>
  <c r="H9584" i="6"/>
  <c r="H1703" i="6"/>
  <c r="H9650" i="6"/>
  <c r="H9648" i="6"/>
  <c r="H1709" i="6"/>
  <c r="H10127" i="6"/>
  <c r="H10562" i="6"/>
  <c r="H10736" i="6"/>
  <c r="H16" i="6"/>
  <c r="H207" i="6"/>
  <c r="H303" i="6"/>
  <c r="H394" i="6"/>
  <c r="H478" i="6"/>
  <c r="H556" i="6"/>
  <c r="H631" i="6"/>
  <c r="H703" i="6"/>
  <c r="H775" i="6"/>
  <c r="H829" i="6"/>
  <c r="H852" i="6"/>
  <c r="H869" i="6"/>
  <c r="H889" i="6"/>
  <c r="H905" i="6"/>
  <c r="H925" i="6"/>
  <c r="H941" i="6"/>
  <c r="H957" i="6"/>
  <c r="H969" i="6"/>
  <c r="H981" i="6"/>
  <c r="H993" i="6"/>
  <c r="H1005" i="6"/>
  <c r="H1017" i="6"/>
  <c r="H1029" i="6"/>
  <c r="H1041" i="6"/>
  <c r="H1053" i="6"/>
  <c r="H1065" i="6"/>
  <c r="H1077" i="6"/>
  <c r="H1089" i="6"/>
  <c r="H1101" i="6"/>
  <c r="H1113" i="6"/>
  <c r="H1125" i="6"/>
  <c r="H1137" i="6"/>
  <c r="H1149" i="6"/>
  <c r="H1161" i="6"/>
  <c r="H1173" i="6"/>
  <c r="H1185" i="6"/>
  <c r="H1197" i="6"/>
  <c r="H1209" i="6"/>
  <c r="H1221" i="6"/>
  <c r="H1233" i="6"/>
  <c r="H1245" i="6"/>
  <c r="H1257" i="6"/>
  <c r="H1269" i="6"/>
  <c r="H1281" i="6"/>
  <c r="H1293" i="6"/>
  <c r="H1305" i="6"/>
  <c r="H1317" i="6"/>
  <c r="H1329" i="6"/>
  <c r="H1341" i="6"/>
  <c r="H1353" i="6"/>
  <c r="H1365" i="6"/>
  <c r="H1377" i="6"/>
  <c r="H1389" i="6"/>
  <c r="H1401" i="6"/>
  <c r="H1413" i="6"/>
  <c r="H1425" i="6"/>
  <c r="H1437" i="6"/>
  <c r="H1449" i="6"/>
  <c r="H1461" i="6"/>
  <c r="H1473" i="6"/>
  <c r="H1485" i="6"/>
  <c r="H1497" i="6"/>
  <c r="H1509" i="6"/>
  <c r="H1521" i="6"/>
  <c r="H1533" i="6"/>
  <c r="H1545" i="6"/>
  <c r="H1557" i="6"/>
  <c r="H1569" i="6"/>
  <c r="H1581" i="6"/>
  <c r="H1593" i="6"/>
  <c r="H1605" i="6"/>
  <c r="H1617" i="6"/>
  <c r="H1629" i="6"/>
  <c r="H1641" i="6"/>
  <c r="H1653" i="6"/>
  <c r="H1665" i="6"/>
  <c r="H1677" i="6"/>
  <c r="H1689" i="6"/>
  <c r="H9653" i="6"/>
  <c r="H9585" i="6"/>
  <c r="H9580" i="6"/>
  <c r="H9521" i="6"/>
  <c r="H9594" i="6"/>
  <c r="H10219" i="6"/>
  <c r="H10617" i="6"/>
  <c r="H10758" i="6"/>
  <c r="H53" i="6"/>
  <c r="H222" i="6"/>
  <c r="H318" i="6"/>
  <c r="H407" i="6"/>
  <c r="H490" i="6"/>
  <c r="H568" i="6"/>
  <c r="H642" i="6"/>
  <c r="H714" i="6"/>
  <c r="H786" i="6"/>
  <c r="H830" i="6"/>
  <c r="H853" i="6"/>
  <c r="H870" i="6"/>
  <c r="H890" i="6"/>
  <c r="H906" i="6"/>
  <c r="H926" i="6"/>
  <c r="H942" i="6"/>
  <c r="H958" i="6"/>
  <c r="H970" i="6"/>
  <c r="H982" i="6"/>
  <c r="H994" i="6"/>
  <c r="H1006" i="6"/>
  <c r="H1018" i="6"/>
  <c r="H1030" i="6"/>
  <c r="H1042" i="6"/>
  <c r="H1054" i="6"/>
  <c r="H1066" i="6"/>
  <c r="H1078" i="6"/>
  <c r="H1090" i="6"/>
  <c r="H1102" i="6"/>
  <c r="H1114" i="6"/>
  <c r="H1126" i="6"/>
  <c r="H1138" i="6"/>
  <c r="H1150" i="6"/>
  <c r="H1162" i="6"/>
  <c r="H1174" i="6"/>
  <c r="H1186" i="6"/>
  <c r="H1198" i="6"/>
  <c r="H1210" i="6"/>
  <c r="H1222" i="6"/>
  <c r="H1234" i="6"/>
  <c r="H1246" i="6"/>
  <c r="H1258" i="6"/>
  <c r="H1270" i="6"/>
  <c r="H1282" i="6"/>
  <c r="H1294" i="6"/>
  <c r="H1306" i="6"/>
  <c r="H1318" i="6"/>
  <c r="H1330" i="6"/>
  <c r="H1342" i="6"/>
  <c r="H1354" i="6"/>
  <c r="H1366" i="6"/>
  <c r="H1378" i="6"/>
  <c r="H1390" i="6"/>
  <c r="H1402" i="6"/>
  <c r="H1414" i="6"/>
  <c r="H1426" i="6"/>
  <c r="H1438" i="6"/>
  <c r="H1450" i="6"/>
  <c r="H1462" i="6"/>
  <c r="H1474" i="6"/>
  <c r="H1486" i="6"/>
  <c r="H1498" i="6"/>
  <c r="H1510" i="6"/>
  <c r="H1522" i="6"/>
  <c r="H1534" i="6"/>
  <c r="H1546" i="6"/>
  <c r="H1558" i="6"/>
  <c r="H1570" i="6"/>
  <c r="H1582" i="6"/>
  <c r="H1594" i="6"/>
  <c r="H1606" i="6"/>
  <c r="H1618" i="6"/>
  <c r="H1630" i="6"/>
  <c r="H1642" i="6"/>
  <c r="H1654" i="6"/>
  <c r="H1666" i="6"/>
  <c r="H1678" i="6"/>
  <c r="H1690" i="6"/>
  <c r="H9516" i="6"/>
  <c r="H9647" i="6"/>
  <c r="H9519" i="6"/>
  <c r="H9539" i="6"/>
  <c r="H9595" i="6"/>
  <c r="H10222" i="6"/>
  <c r="H10619" i="6"/>
  <c r="H10760" i="6"/>
  <c r="H35" i="6"/>
  <c r="H224" i="6"/>
  <c r="H320" i="6"/>
  <c r="H408" i="6"/>
  <c r="H491" i="6"/>
  <c r="H570" i="6"/>
  <c r="H643" i="6"/>
  <c r="H715" i="6"/>
  <c r="H787" i="6"/>
  <c r="H832" i="6"/>
  <c r="H854" i="6"/>
  <c r="H871" i="6"/>
  <c r="H891" i="6"/>
  <c r="H907" i="6"/>
  <c r="H927" i="6"/>
  <c r="H943" i="6"/>
  <c r="H959" i="6"/>
  <c r="H971" i="6"/>
  <c r="H983" i="6"/>
  <c r="H995" i="6"/>
  <c r="H1007" i="6"/>
  <c r="H1019" i="6"/>
  <c r="H1031" i="6"/>
  <c r="H1043" i="6"/>
  <c r="H1055" i="6"/>
  <c r="H1067" i="6"/>
  <c r="H1079" i="6"/>
  <c r="H1091" i="6"/>
  <c r="H1103" i="6"/>
  <c r="H1115" i="6"/>
  <c r="H1127" i="6"/>
  <c r="H1139" i="6"/>
  <c r="H1151" i="6"/>
  <c r="H1163" i="6"/>
  <c r="H1175" i="6"/>
  <c r="H1187" i="6"/>
  <c r="H1199" i="6"/>
  <c r="H1211" i="6"/>
  <c r="H1223" i="6"/>
  <c r="H1235" i="6"/>
  <c r="H1247" i="6"/>
  <c r="H1259" i="6"/>
  <c r="H1271" i="6"/>
  <c r="H1283" i="6"/>
  <c r="H1295" i="6"/>
  <c r="H1307" i="6"/>
  <c r="H1319" i="6"/>
  <c r="H1331" i="6"/>
  <c r="H1343" i="6"/>
  <c r="H1355" i="6"/>
  <c r="H1367" i="6"/>
  <c r="H1379" i="6"/>
  <c r="H1391" i="6"/>
  <c r="H1403" i="6"/>
  <c r="H1415" i="6"/>
  <c r="H1427" i="6"/>
  <c r="H1439" i="6"/>
  <c r="H1451" i="6"/>
  <c r="H1463" i="6"/>
  <c r="H1475" i="6"/>
  <c r="H1487" i="6"/>
  <c r="H1499" i="6"/>
  <c r="H1511" i="6"/>
  <c r="H1523" i="6"/>
  <c r="H1535" i="6"/>
  <c r="H1547" i="6"/>
  <c r="H1559" i="6"/>
  <c r="H1571" i="6"/>
  <c r="H1583" i="6"/>
  <c r="H1595" i="6"/>
  <c r="H1607" i="6"/>
  <c r="H1619" i="6"/>
  <c r="H1631" i="6"/>
  <c r="H1643" i="6"/>
  <c r="H1655" i="6"/>
  <c r="H1667" i="6"/>
  <c r="H1679" i="6"/>
  <c r="H1691" i="6"/>
  <c r="H9531" i="6"/>
  <c r="H9586" i="6"/>
  <c r="H9535" i="6"/>
  <c r="H9540" i="6"/>
  <c r="H9596" i="6"/>
  <c r="H10299" i="6"/>
  <c r="H10640" i="6"/>
  <c r="H10782" i="6"/>
  <c r="H143" i="6"/>
  <c r="H239" i="6"/>
  <c r="H335" i="6"/>
  <c r="H421" i="6"/>
  <c r="H503" i="6"/>
  <c r="H582" i="6"/>
  <c r="H654" i="6"/>
  <c r="H726" i="6"/>
  <c r="H798" i="6"/>
  <c r="H834" i="6"/>
  <c r="H855" i="6"/>
  <c r="H876" i="6"/>
  <c r="H892" i="6"/>
  <c r="H912" i="6"/>
  <c r="H928" i="6"/>
  <c r="H948" i="6"/>
  <c r="H960" i="6"/>
  <c r="H972" i="6"/>
  <c r="H984" i="6"/>
  <c r="H996" i="6"/>
  <c r="H1008" i="6"/>
  <c r="H1020" i="6"/>
  <c r="H1032" i="6"/>
  <c r="H1044" i="6"/>
  <c r="H1056" i="6"/>
  <c r="H1068" i="6"/>
  <c r="H1080" i="6"/>
  <c r="H1092" i="6"/>
  <c r="H1104" i="6"/>
  <c r="H1116" i="6"/>
  <c r="H1128" i="6"/>
  <c r="H1140" i="6"/>
  <c r="H1152" i="6"/>
  <c r="H1164" i="6"/>
  <c r="H1176" i="6"/>
  <c r="H1188" i="6"/>
  <c r="H1200" i="6"/>
  <c r="H1212" i="6"/>
  <c r="H1224" i="6"/>
  <c r="H1236" i="6"/>
  <c r="H1248" i="6"/>
  <c r="H1260" i="6"/>
  <c r="H1272" i="6"/>
  <c r="H1284" i="6"/>
  <c r="H1296" i="6"/>
  <c r="H1308" i="6"/>
  <c r="H1320" i="6"/>
  <c r="H1332" i="6"/>
  <c r="H1344" i="6"/>
  <c r="H1356" i="6"/>
  <c r="H1368" i="6"/>
  <c r="H1380" i="6"/>
  <c r="H1392" i="6"/>
  <c r="H1404" i="6"/>
  <c r="H1416" i="6"/>
  <c r="H1428" i="6"/>
  <c r="H1440" i="6"/>
  <c r="H1452" i="6"/>
  <c r="H1464" i="6"/>
  <c r="H1476" i="6"/>
  <c r="H1488" i="6"/>
  <c r="H1500" i="6"/>
  <c r="H1512" i="6"/>
  <c r="H1524" i="6"/>
  <c r="H1536" i="6"/>
  <c r="H1548" i="6"/>
  <c r="H1560" i="6"/>
  <c r="H1572" i="6"/>
  <c r="H1584" i="6"/>
  <c r="H1596" i="6"/>
  <c r="H1608" i="6"/>
  <c r="H1620" i="6"/>
  <c r="H1632" i="6"/>
  <c r="H1644" i="6"/>
  <c r="H1656" i="6"/>
  <c r="H1668" i="6"/>
  <c r="H1680" i="6"/>
  <c r="H1692" i="6"/>
  <c r="H9518" i="6"/>
  <c r="H1704" i="6"/>
  <c r="H9520" i="6"/>
  <c r="H1708" i="6"/>
  <c r="H9642" i="6"/>
  <c r="H10301" i="6"/>
  <c r="H10642" i="6"/>
  <c r="H10784" i="6"/>
  <c r="H144" i="6"/>
  <c r="H240" i="6"/>
  <c r="H336" i="6"/>
  <c r="H422" i="6"/>
  <c r="H504" i="6"/>
  <c r="H583" i="6"/>
  <c r="H655" i="6"/>
  <c r="H727" i="6"/>
  <c r="H799" i="6"/>
  <c r="H835" i="6"/>
  <c r="H856" i="6"/>
  <c r="H877" i="6"/>
  <c r="H893" i="6"/>
  <c r="H913" i="6"/>
  <c r="H929" i="6"/>
  <c r="H949" i="6"/>
  <c r="H961" i="6"/>
  <c r="H973" i="6"/>
  <c r="H985" i="6"/>
  <c r="H997" i="6"/>
  <c r="H1009" i="6"/>
  <c r="H1021" i="6"/>
  <c r="H1033" i="6"/>
  <c r="H1045" i="6"/>
  <c r="H1057" i="6"/>
  <c r="H1069" i="6"/>
  <c r="H1081" i="6"/>
  <c r="H1093" i="6"/>
  <c r="H1105" i="6"/>
  <c r="H1117" i="6"/>
  <c r="H1129" i="6"/>
  <c r="H1141" i="6"/>
  <c r="H1153" i="6"/>
  <c r="H1165" i="6"/>
  <c r="H1177" i="6"/>
  <c r="H1189" i="6"/>
  <c r="H1201" i="6"/>
  <c r="H1213" i="6"/>
  <c r="H1225" i="6"/>
  <c r="H1237" i="6"/>
  <c r="H1249" i="6"/>
  <c r="H1261" i="6"/>
  <c r="H1273" i="6"/>
  <c r="H1285" i="6"/>
  <c r="H1297" i="6"/>
  <c r="H1309" i="6"/>
  <c r="H1321" i="6"/>
  <c r="H1333" i="6"/>
  <c r="H1345" i="6"/>
  <c r="H1357" i="6"/>
  <c r="H1369" i="6"/>
  <c r="H1381" i="6"/>
  <c r="H1393" i="6"/>
  <c r="H1405" i="6"/>
  <c r="H1417" i="6"/>
  <c r="H1429" i="6"/>
  <c r="H1441" i="6"/>
  <c r="H1453" i="6"/>
  <c r="H1465" i="6"/>
  <c r="H1477" i="6"/>
  <c r="H1489" i="6"/>
  <c r="H1501" i="6"/>
  <c r="H1513" i="6"/>
  <c r="H1525" i="6"/>
  <c r="H1537" i="6"/>
  <c r="H1549" i="6"/>
  <c r="H1561" i="6"/>
  <c r="H1573" i="6"/>
  <c r="H1585" i="6"/>
  <c r="H1597" i="6"/>
  <c r="H1609" i="6"/>
  <c r="H1621" i="6"/>
  <c r="H1633" i="6"/>
  <c r="H1645" i="6"/>
  <c r="H1657" i="6"/>
  <c r="H1669" i="6"/>
  <c r="H1681" i="6"/>
  <c r="H10369" i="6"/>
  <c r="H10662" i="6"/>
  <c r="H10803" i="6"/>
  <c r="H158" i="6"/>
  <c r="H254" i="6"/>
  <c r="H349" i="6"/>
  <c r="H435" i="6"/>
  <c r="H516" i="6"/>
  <c r="H594" i="6"/>
  <c r="H666" i="6"/>
  <c r="H738" i="6"/>
  <c r="H810" i="6"/>
  <c r="H840" i="6"/>
  <c r="H858" i="6"/>
  <c r="H878" i="6"/>
  <c r="H894" i="6"/>
  <c r="H914" i="6"/>
  <c r="H930" i="6"/>
  <c r="H950" i="6"/>
  <c r="H962" i="6"/>
  <c r="H974" i="6"/>
  <c r="H986" i="6"/>
  <c r="H998" i="6"/>
  <c r="H1010" i="6"/>
  <c r="H1022" i="6"/>
  <c r="H1034" i="6"/>
  <c r="H1046" i="6"/>
  <c r="H1058" i="6"/>
  <c r="H1070" i="6"/>
  <c r="H1082" i="6"/>
  <c r="H1094" i="6"/>
  <c r="H1106" i="6"/>
  <c r="H1118" i="6"/>
  <c r="H1130" i="6"/>
  <c r="H1142" i="6"/>
  <c r="H1154" i="6"/>
  <c r="H1166" i="6"/>
  <c r="H1178" i="6"/>
  <c r="H1190" i="6"/>
  <c r="H1202" i="6"/>
  <c r="H1214" i="6"/>
  <c r="H1226" i="6"/>
  <c r="H1238" i="6"/>
  <c r="H1250" i="6"/>
  <c r="H1262" i="6"/>
  <c r="H1274" i="6"/>
  <c r="H1286" i="6"/>
  <c r="H1298" i="6"/>
  <c r="H1310" i="6"/>
  <c r="H1322" i="6"/>
  <c r="H1334" i="6"/>
  <c r="H1346" i="6"/>
  <c r="H1358" i="6"/>
  <c r="H1370" i="6"/>
  <c r="H1382" i="6"/>
  <c r="H1394" i="6"/>
  <c r="H1406" i="6"/>
  <c r="H1418" i="6"/>
  <c r="H1430" i="6"/>
  <c r="H1442" i="6"/>
  <c r="H1454" i="6"/>
  <c r="H1466" i="6"/>
  <c r="H1478" i="6"/>
  <c r="H1490" i="6"/>
  <c r="H1502" i="6"/>
  <c r="H1514" i="6"/>
  <c r="H1526" i="6"/>
  <c r="H1538" i="6"/>
  <c r="H1550" i="6"/>
  <c r="H1562" i="6"/>
  <c r="H1574" i="6"/>
  <c r="H1586" i="6"/>
  <c r="H1598" i="6"/>
  <c r="H1610" i="6"/>
  <c r="H1622" i="6"/>
  <c r="H1634" i="6"/>
  <c r="H1646" i="6"/>
  <c r="H1658" i="6"/>
  <c r="H1670" i="6"/>
  <c r="H1682" i="6"/>
  <c r="H1694" i="6"/>
  <c r="H9533" i="6"/>
  <c r="H1706" i="6"/>
  <c r="H9537" i="6"/>
  <c r="H9542" i="6"/>
  <c r="H9598" i="6"/>
  <c r="H10371" i="6"/>
  <c r="H10664" i="6"/>
  <c r="H10805" i="6"/>
  <c r="H159" i="6"/>
  <c r="H255" i="6"/>
  <c r="H350" i="6"/>
  <c r="H436" i="6"/>
  <c r="H517" i="6"/>
  <c r="H595" i="6"/>
  <c r="H667" i="6"/>
  <c r="H739" i="6"/>
  <c r="H811" i="6"/>
  <c r="H841" i="6"/>
  <c r="H859" i="6"/>
  <c r="H879" i="6"/>
  <c r="H895" i="6"/>
  <c r="H915" i="6"/>
  <c r="H931" i="6"/>
  <c r="H951" i="6"/>
  <c r="H963" i="6"/>
  <c r="H975" i="6"/>
  <c r="H987" i="6"/>
  <c r="H999" i="6"/>
  <c r="H1011" i="6"/>
  <c r="H1023" i="6"/>
  <c r="H1035" i="6"/>
  <c r="H1047" i="6"/>
  <c r="H1059" i="6"/>
  <c r="H1071" i="6"/>
  <c r="H1083" i="6"/>
  <c r="H1095" i="6"/>
  <c r="H1107" i="6"/>
  <c r="H1119" i="6"/>
  <c r="H1131" i="6"/>
  <c r="H1143" i="6"/>
  <c r="H1155" i="6"/>
  <c r="H1167" i="6"/>
  <c r="H1179" i="6"/>
  <c r="H1191" i="6"/>
  <c r="H1203" i="6"/>
  <c r="H1215" i="6"/>
  <c r="H1227" i="6"/>
  <c r="H1239" i="6"/>
  <c r="H1251" i="6"/>
  <c r="H1263" i="6"/>
  <c r="H1275" i="6"/>
  <c r="H1287" i="6"/>
  <c r="H1299" i="6"/>
  <c r="H1311" i="6"/>
  <c r="H1323" i="6"/>
  <c r="H1335" i="6"/>
  <c r="H1347" i="6"/>
  <c r="H1359" i="6"/>
  <c r="H1371" i="6"/>
  <c r="H1383" i="6"/>
  <c r="H1395" i="6"/>
  <c r="H1407" i="6"/>
  <c r="H1419" i="6"/>
  <c r="H1431" i="6"/>
  <c r="H1443" i="6"/>
  <c r="H1455" i="6"/>
  <c r="H1467" i="6"/>
  <c r="H1479" i="6"/>
  <c r="H1491" i="6"/>
  <c r="H1503" i="6"/>
  <c r="H1515" i="6"/>
  <c r="H1527" i="6"/>
  <c r="H1539" i="6"/>
  <c r="H1551" i="6"/>
  <c r="H1563" i="6"/>
  <c r="H1575" i="6"/>
  <c r="H1587" i="6"/>
  <c r="H1599" i="6"/>
  <c r="H1611" i="6"/>
  <c r="H1623" i="6"/>
  <c r="H1635" i="6"/>
  <c r="H1647" i="6"/>
  <c r="H1659" i="6"/>
  <c r="H1671" i="6"/>
  <c r="H1683" i="6"/>
  <c r="H1695" i="6"/>
  <c r="H9534" i="6"/>
  <c r="H1707" i="6"/>
  <c r="H9538" i="6"/>
  <c r="H9581" i="6"/>
  <c r="H10434" i="6"/>
  <c r="H10686" i="6"/>
  <c r="H10825" i="6"/>
  <c r="H174" i="6"/>
  <c r="H270" i="6"/>
  <c r="H363" i="6"/>
  <c r="H450" i="6"/>
  <c r="H529" i="6"/>
  <c r="H606" i="6"/>
  <c r="H678" i="6"/>
  <c r="H750" i="6"/>
  <c r="H817" i="6"/>
  <c r="H842" i="6"/>
  <c r="H864" i="6"/>
  <c r="H880" i="6"/>
  <c r="H900" i="6"/>
  <c r="H916" i="6"/>
  <c r="H936" i="6"/>
  <c r="H952" i="6"/>
  <c r="H964" i="6"/>
  <c r="H976" i="6"/>
  <c r="H988" i="6"/>
  <c r="H1000" i="6"/>
  <c r="H1012" i="6"/>
  <c r="H1024" i="6"/>
  <c r="H1036" i="6"/>
  <c r="H1048" i="6"/>
  <c r="H1060" i="6"/>
  <c r="H1072" i="6"/>
  <c r="H1084" i="6"/>
  <c r="H1096" i="6"/>
  <c r="H1108" i="6"/>
  <c r="H1120" i="6"/>
  <c r="H1132" i="6"/>
  <c r="H1144" i="6"/>
  <c r="H1156" i="6"/>
  <c r="H1168" i="6"/>
  <c r="H1180" i="6"/>
  <c r="H1192" i="6"/>
  <c r="H1204" i="6"/>
  <c r="H1216" i="6"/>
  <c r="H1228" i="6"/>
  <c r="H1240" i="6"/>
  <c r="H1252" i="6"/>
  <c r="H1264" i="6"/>
  <c r="H1276" i="6"/>
  <c r="H1288" i="6"/>
  <c r="H1300" i="6"/>
  <c r="H1312" i="6"/>
  <c r="H1324" i="6"/>
  <c r="H1336" i="6"/>
  <c r="H1348" i="6"/>
  <c r="H1360" i="6"/>
  <c r="H1372" i="6"/>
  <c r="H1384" i="6"/>
  <c r="H1396" i="6"/>
  <c r="H1408" i="6"/>
  <c r="H1420" i="6"/>
  <c r="H1432" i="6"/>
  <c r="H1444" i="6"/>
  <c r="H1456" i="6"/>
  <c r="H1468" i="6"/>
  <c r="H1480" i="6"/>
  <c r="H1492" i="6"/>
  <c r="H1504" i="6"/>
  <c r="H1516" i="6"/>
  <c r="H1528" i="6"/>
  <c r="H1540" i="6"/>
  <c r="H1552" i="6"/>
  <c r="H1564" i="6"/>
  <c r="H1576" i="6"/>
  <c r="H1588" i="6"/>
  <c r="H1600" i="6"/>
  <c r="H1612" i="6"/>
  <c r="H1624" i="6"/>
  <c r="H1636" i="6"/>
  <c r="H1648" i="6"/>
  <c r="H1660" i="6"/>
  <c r="H1672" i="6"/>
  <c r="H1684" i="6"/>
  <c r="H1696" i="6"/>
  <c r="H1699" i="6"/>
  <c r="H9587" i="6"/>
  <c r="H9591" i="6"/>
  <c r="H9543" i="6"/>
  <c r="H10436" i="6"/>
  <c r="H452" i="6"/>
  <c r="H843" i="6"/>
  <c r="H953" i="6"/>
  <c r="H1025" i="6"/>
  <c r="H1097" i="6"/>
  <c r="H1169" i="6"/>
  <c r="H1241" i="6"/>
  <c r="H1313" i="6"/>
  <c r="H1385" i="6"/>
  <c r="H1457" i="6"/>
  <c r="H1529" i="6"/>
  <c r="H1601" i="6"/>
  <c r="H1673" i="6"/>
  <c r="H9589" i="6"/>
  <c r="H9547" i="6"/>
  <c r="H9604" i="6"/>
  <c r="H1718" i="6"/>
  <c r="H79" i="6"/>
  <c r="H9523" i="6"/>
  <c r="H1725" i="6"/>
  <c r="H9619" i="6"/>
  <c r="H9623" i="6"/>
  <c r="H9569" i="6"/>
  <c r="H9574" i="6"/>
  <c r="H9644" i="6"/>
  <c r="H10501" i="6"/>
  <c r="H464" i="6"/>
  <c r="H844" i="6"/>
  <c r="H954" i="6"/>
  <c r="H1026" i="6"/>
  <c r="H1098" i="6"/>
  <c r="H1170" i="6"/>
  <c r="H1242" i="6"/>
  <c r="H1314" i="6"/>
  <c r="H1386" i="6"/>
  <c r="H1458" i="6"/>
  <c r="H1530" i="6"/>
  <c r="H1602" i="6"/>
  <c r="H1674" i="6"/>
  <c r="H9536" i="6"/>
  <c r="H9548" i="6"/>
  <c r="H78" i="6"/>
  <c r="H9605" i="6"/>
  <c r="H1719" i="6"/>
  <c r="H9557" i="6"/>
  <c r="H1726" i="6"/>
  <c r="H9620" i="6"/>
  <c r="H9624" i="6"/>
  <c r="H9570" i="6"/>
  <c r="H9575" i="6"/>
  <c r="H10688" i="6"/>
  <c r="H530" i="6"/>
  <c r="H865" i="6"/>
  <c r="H965" i="6"/>
  <c r="H1037" i="6"/>
  <c r="H1109" i="6"/>
  <c r="H1181" i="6"/>
  <c r="H1253" i="6"/>
  <c r="H1325" i="6"/>
  <c r="H1397" i="6"/>
  <c r="H1469" i="6"/>
  <c r="H1541" i="6"/>
  <c r="H1613" i="6"/>
  <c r="H1685" i="6"/>
  <c r="H9592" i="6"/>
  <c r="H9645" i="6"/>
  <c r="H9522" i="6"/>
  <c r="H9553" i="6"/>
  <c r="H1720" i="6"/>
  <c r="H9558" i="6"/>
  <c r="H1727" i="6"/>
  <c r="H9566" i="6"/>
  <c r="H9625" i="6"/>
  <c r="H1732" i="6"/>
  <c r="H9576" i="6"/>
  <c r="H10710" i="6"/>
  <c r="H542" i="6"/>
  <c r="H866" i="6"/>
  <c r="H966" i="6"/>
  <c r="H1038" i="6"/>
  <c r="H1110" i="6"/>
  <c r="H1182" i="6"/>
  <c r="H1254" i="6"/>
  <c r="H1326" i="6"/>
  <c r="H1398" i="6"/>
  <c r="H1470" i="6"/>
  <c r="H1542" i="6"/>
  <c r="H1614" i="6"/>
  <c r="H1686" i="6"/>
  <c r="H9593" i="6"/>
  <c r="H1710" i="6"/>
  <c r="H9549" i="6"/>
  <c r="H9528" i="6"/>
  <c r="H9610" i="6"/>
  <c r="H1721" i="6"/>
  <c r="H9562" i="6"/>
  <c r="H9567" i="6"/>
  <c r="H9626" i="6"/>
  <c r="H9635" i="6"/>
  <c r="H9577" i="6"/>
  <c r="H9568" i="6"/>
  <c r="H9636" i="6"/>
  <c r="H10827" i="6"/>
  <c r="H607" i="6"/>
  <c r="H881" i="6"/>
  <c r="H977" i="6"/>
  <c r="H1049" i="6"/>
  <c r="H1121" i="6"/>
  <c r="H1193" i="6"/>
  <c r="H1265" i="6"/>
  <c r="H1337" i="6"/>
  <c r="H1409" i="6"/>
  <c r="H1481" i="6"/>
  <c r="H1553" i="6"/>
  <c r="H1625" i="6"/>
  <c r="H1693" i="6"/>
  <c r="H9541" i="6"/>
  <c r="H1711" i="6"/>
  <c r="H9550" i="6"/>
  <c r="H9649" i="6"/>
  <c r="H9611" i="6"/>
  <c r="H9646" i="6"/>
  <c r="H9524" i="6"/>
  <c r="H9627" i="6"/>
  <c r="H9578" i="6"/>
  <c r="H9601" i="6"/>
  <c r="H9631" i="6"/>
  <c r="H364" i="6"/>
  <c r="H1445" i="6"/>
  <c r="H9643" i="6"/>
  <c r="H9622" i="6"/>
  <c r="H9526" i="6"/>
  <c r="H1014" i="6"/>
  <c r="H1302" i="6"/>
  <c r="H1662" i="6"/>
  <c r="H9555" i="6"/>
  <c r="H9618" i="6"/>
  <c r="H83" i="6"/>
  <c r="H618" i="6"/>
  <c r="H882" i="6"/>
  <c r="H978" i="6"/>
  <c r="H1050" i="6"/>
  <c r="H1122" i="6"/>
  <c r="H1194" i="6"/>
  <c r="H1266" i="6"/>
  <c r="H1338" i="6"/>
  <c r="H1410" i="6"/>
  <c r="H1482" i="6"/>
  <c r="H1554" i="6"/>
  <c r="H1626" i="6"/>
  <c r="H1697" i="6"/>
  <c r="H9544" i="6"/>
  <c r="H1712" i="6"/>
  <c r="H9551" i="6"/>
  <c r="H9606" i="6"/>
  <c r="H9612" i="6"/>
  <c r="H9559" i="6"/>
  <c r="H9563" i="6"/>
  <c r="H1728" i="6"/>
  <c r="H9628" i="6"/>
  <c r="H1733" i="6"/>
  <c r="H9579" i="6"/>
  <c r="H176" i="6"/>
  <c r="H679" i="6"/>
  <c r="H901" i="6"/>
  <c r="H989" i="6"/>
  <c r="H1061" i="6"/>
  <c r="H1133" i="6"/>
  <c r="H1205" i="6"/>
  <c r="H1277" i="6"/>
  <c r="H1349" i="6"/>
  <c r="H1421" i="6"/>
  <c r="H1493" i="6"/>
  <c r="H1565" i="6"/>
  <c r="H1637" i="6"/>
  <c r="H1698" i="6"/>
  <c r="H9545" i="6"/>
  <c r="H1713" i="6"/>
  <c r="H10" i="6"/>
  <c r="H9607" i="6"/>
  <c r="H9613" i="6"/>
  <c r="H9560" i="6"/>
  <c r="H9582" i="6"/>
  <c r="H1729" i="6"/>
  <c r="H9629" i="6"/>
  <c r="H9517" i="6"/>
  <c r="H9637" i="6"/>
  <c r="H1730" i="6"/>
  <c r="H9530" i="6"/>
  <c r="H9609" i="6"/>
  <c r="H9565" i="6"/>
  <c r="H9639" i="6"/>
  <c r="H1013" i="6"/>
  <c r="H1373" i="6"/>
  <c r="H1705" i="6"/>
  <c r="H9529" i="6"/>
  <c r="H1734" i="6"/>
  <c r="H822" i="6"/>
  <c r="H1158" i="6"/>
  <c r="H1518" i="6"/>
  <c r="H9588" i="6"/>
  <c r="H9556" i="6"/>
  <c r="H9634" i="6"/>
  <c r="H191" i="6"/>
  <c r="H690" i="6"/>
  <c r="H902" i="6"/>
  <c r="H990" i="6"/>
  <c r="H1062" i="6"/>
  <c r="H1134" i="6"/>
  <c r="H1206" i="6"/>
  <c r="H1278" i="6"/>
  <c r="H1350" i="6"/>
  <c r="H1422" i="6"/>
  <c r="H1494" i="6"/>
  <c r="H1566" i="6"/>
  <c r="H1638" i="6"/>
  <c r="H9532" i="6"/>
  <c r="H9597" i="6"/>
  <c r="H1714" i="6"/>
  <c r="H9552" i="6"/>
  <c r="H9608" i="6"/>
  <c r="H9614" i="6"/>
  <c r="H9561" i="6"/>
  <c r="H9564" i="6"/>
  <c r="H9630" i="6"/>
  <c r="H9638" i="6"/>
  <c r="H9527" i="6"/>
  <c r="H1731" i="6"/>
  <c r="H9640" i="6"/>
  <c r="H1085" i="6"/>
  <c r="H1301" i="6"/>
  <c r="H1661" i="6"/>
  <c r="H1716" i="6"/>
  <c r="H9617" i="6"/>
  <c r="H9790" i="6"/>
  <c r="H1374" i="6"/>
  <c r="H9603" i="6"/>
  <c r="H9573" i="6"/>
  <c r="H272" i="6"/>
  <c r="H751" i="6"/>
  <c r="H917" i="6"/>
  <c r="H1001" i="6"/>
  <c r="H1073" i="6"/>
  <c r="H1145" i="6"/>
  <c r="H1217" i="6"/>
  <c r="H1289" i="6"/>
  <c r="H1361" i="6"/>
  <c r="H1433" i="6"/>
  <c r="H1505" i="6"/>
  <c r="H1577" i="6"/>
  <c r="H1649" i="6"/>
  <c r="H1700" i="6"/>
  <c r="H9599" i="6"/>
  <c r="H9615" i="6"/>
  <c r="H14" i="6"/>
  <c r="H9571" i="6"/>
  <c r="H937" i="6"/>
  <c r="H1157" i="6"/>
  <c r="H1229" i="6"/>
  <c r="H1517" i="6"/>
  <c r="H9525" i="6"/>
  <c r="H1723" i="6"/>
  <c r="H938" i="6"/>
  <c r="H1086" i="6"/>
  <c r="H1446" i="6"/>
  <c r="H30" i="6"/>
  <c r="H1724" i="6"/>
  <c r="H9641" i="6"/>
  <c r="H287" i="6"/>
  <c r="H762" i="6"/>
  <c r="H918" i="6"/>
  <c r="H1002" i="6"/>
  <c r="H1074" i="6"/>
  <c r="H1146" i="6"/>
  <c r="H1218" i="6"/>
  <c r="H1290" i="6"/>
  <c r="H1362" i="6"/>
  <c r="H1434" i="6"/>
  <c r="H1506" i="6"/>
  <c r="H1578" i="6"/>
  <c r="H1650" i="6"/>
  <c r="H1701" i="6"/>
  <c r="H9600" i="6"/>
  <c r="H9602" i="6"/>
  <c r="H1715" i="6"/>
  <c r="H9651" i="6"/>
  <c r="H9616" i="6"/>
  <c r="H1722" i="6"/>
  <c r="H9652" i="6"/>
  <c r="H9621" i="6"/>
  <c r="H9632" i="6"/>
  <c r="H9572" i="6"/>
  <c r="H820" i="6"/>
  <c r="H1589" i="6"/>
  <c r="H9554" i="6"/>
  <c r="H9633" i="6"/>
  <c r="H378" i="6"/>
  <c r="H1230" i="6"/>
  <c r="H1590" i="6"/>
  <c r="H1717" i="6"/>
  <c r="H90" i="6"/>
  <c r="H9509" i="6"/>
  <c r="H9501" i="6"/>
  <c r="H9493" i="6"/>
  <c r="H9486" i="6"/>
  <c r="H9478" i="6"/>
  <c r="H9441" i="6"/>
  <c r="H9460" i="6"/>
  <c r="H9436" i="6"/>
  <c r="H9444" i="6"/>
  <c r="H9448" i="6"/>
  <c r="H9428" i="6"/>
  <c r="H9420" i="6"/>
  <c r="H9412" i="6"/>
  <c r="H9404" i="6"/>
  <c r="H9396" i="6"/>
  <c r="H9388" i="6"/>
  <c r="H9380" i="6"/>
  <c r="H9372" i="6"/>
  <c r="H9364" i="6"/>
  <c r="H9356" i="6"/>
  <c r="H9348" i="6"/>
  <c r="H9340" i="6"/>
  <c r="H9332" i="6"/>
  <c r="H9324" i="6"/>
  <c r="H9316" i="6"/>
  <c r="H9308" i="6"/>
  <c r="H9300" i="6"/>
  <c r="H9292" i="6"/>
  <c r="H9284" i="6"/>
  <c r="H9276" i="6"/>
  <c r="H9268" i="6"/>
  <c r="H9260" i="6"/>
  <c r="H9252" i="6"/>
  <c r="H9244" i="6"/>
  <c r="H9236" i="6"/>
  <c r="H9228" i="6"/>
  <c r="H9220" i="6"/>
  <c r="H9212" i="6"/>
  <c r="H9204" i="6"/>
  <c r="H9196" i="6"/>
  <c r="H9188" i="6"/>
  <c r="H9180" i="6"/>
  <c r="H9172" i="6"/>
  <c r="H9164" i="6"/>
  <c r="H9156" i="6"/>
  <c r="H9148" i="6"/>
  <c r="H9140" i="6"/>
  <c r="H9132" i="6"/>
  <c r="H9124" i="6"/>
  <c r="H9116" i="6"/>
  <c r="H9108" i="6"/>
  <c r="H9100" i="6"/>
  <c r="H9092" i="6"/>
  <c r="H9084" i="6"/>
  <c r="H9076" i="6"/>
  <c r="H9068" i="6"/>
  <c r="H9060" i="6"/>
  <c r="H9052" i="6"/>
  <c r="H9044" i="6"/>
  <c r="H9036" i="6"/>
  <c r="H9028" i="6"/>
  <c r="H9020" i="6"/>
  <c r="H9012" i="6"/>
  <c r="H9004" i="6"/>
  <c r="H8996" i="6"/>
  <c r="H8988" i="6"/>
  <c r="H8980" i="6"/>
  <c r="H8972" i="6"/>
  <c r="H8964" i="6"/>
  <c r="H8956" i="6"/>
  <c r="H8948" i="6"/>
  <c r="H8940" i="6"/>
  <c r="H8932" i="6"/>
  <c r="H8924" i="6"/>
  <c r="H8916" i="6"/>
  <c r="H8908" i="6"/>
  <c r="H8900" i="6"/>
  <c r="H8892" i="6"/>
  <c r="H8884" i="6"/>
  <c r="H8876" i="6"/>
  <c r="H8868" i="6"/>
  <c r="H8860" i="6"/>
  <c r="H8852" i="6"/>
  <c r="H8844" i="6"/>
  <c r="H8836" i="6"/>
  <c r="H9512" i="6"/>
  <c r="H9502" i="6"/>
  <c r="H9492" i="6"/>
  <c r="H9483" i="6"/>
  <c r="H9477" i="6"/>
  <c r="H9472" i="6"/>
  <c r="H9455" i="6"/>
  <c r="H9456" i="6"/>
  <c r="H9449" i="6"/>
  <c r="H9427" i="6"/>
  <c r="H9418" i="6"/>
  <c r="H9409" i="6"/>
  <c r="H9400" i="6"/>
  <c r="H9391" i="6"/>
  <c r="H9382" i="6"/>
  <c r="H9373" i="6"/>
  <c r="H9363" i="6"/>
  <c r="H9354" i="6"/>
  <c r="H9345" i="6"/>
  <c r="H9336" i="6"/>
  <c r="H9327" i="6"/>
  <c r="H9318" i="6"/>
  <c r="H9309" i="6"/>
  <c r="H9299" i="6"/>
  <c r="H9290" i="6"/>
  <c r="H9281" i="6"/>
  <c r="H9272" i="6"/>
  <c r="H9263" i="6"/>
  <c r="H9254" i="6"/>
  <c r="H9245" i="6"/>
  <c r="H9235" i="6"/>
  <c r="H9226" i="6"/>
  <c r="H9217" i="6"/>
  <c r="H9208" i="6"/>
  <c r="H9199" i="6"/>
  <c r="H9190" i="6"/>
  <c r="H9181" i="6"/>
  <c r="H9171" i="6"/>
  <c r="H9162" i="6"/>
  <c r="H9153" i="6"/>
  <c r="H9144" i="6"/>
  <c r="H9135" i="6"/>
  <c r="H9126" i="6"/>
  <c r="H9117" i="6"/>
  <c r="H9107" i="6"/>
  <c r="H9098" i="6"/>
  <c r="H9089" i="6"/>
  <c r="H9080" i="6"/>
  <c r="H9071" i="6"/>
  <c r="H9062" i="6"/>
  <c r="H9053" i="6"/>
  <c r="H9043" i="6"/>
  <c r="H9034" i="6"/>
  <c r="H9025" i="6"/>
  <c r="H9016" i="6"/>
  <c r="H9007" i="6"/>
  <c r="H8998" i="6"/>
  <c r="H8989" i="6"/>
  <c r="H8979" i="6"/>
  <c r="H8970" i="6"/>
  <c r="H8961" i="6"/>
  <c r="H8952" i="6"/>
  <c r="H8943" i="6"/>
  <c r="H8934" i="6"/>
  <c r="H8925" i="6"/>
  <c r="H8915" i="6"/>
  <c r="H8906" i="6"/>
  <c r="H8897" i="6"/>
  <c r="H8888" i="6"/>
  <c r="H8879" i="6"/>
  <c r="H8870" i="6"/>
  <c r="H8861" i="6"/>
  <c r="H8851" i="6"/>
  <c r="H8842" i="6"/>
  <c r="H8833" i="6"/>
  <c r="H8825" i="6"/>
  <c r="H8817" i="6"/>
  <c r="H8809" i="6"/>
  <c r="H8801" i="6"/>
  <c r="H8793" i="6"/>
  <c r="H8785" i="6"/>
  <c r="H8777" i="6"/>
  <c r="H8769" i="6"/>
  <c r="H8761" i="6"/>
  <c r="H8753" i="6"/>
  <c r="H9507" i="6"/>
  <c r="H9499" i="6"/>
  <c r="H9489" i="6"/>
  <c r="H9481" i="6"/>
  <c r="H9471" i="6"/>
  <c r="H9438" i="6"/>
  <c r="H9464" i="6"/>
  <c r="H9453" i="6"/>
  <c r="H9434" i="6"/>
  <c r="H9425" i="6"/>
  <c r="H9416" i="6"/>
  <c r="H9407" i="6"/>
  <c r="H9398" i="6"/>
  <c r="H9389" i="6"/>
  <c r="H9379" i="6"/>
  <c r="H9370" i="6"/>
  <c r="H9361" i="6"/>
  <c r="H9352" i="6"/>
  <c r="H9343" i="6"/>
  <c r="H9334" i="6"/>
  <c r="H9325" i="6"/>
  <c r="H9315" i="6"/>
  <c r="H9306" i="6"/>
  <c r="H9297" i="6"/>
  <c r="H9288" i="6"/>
  <c r="H9279" i="6"/>
  <c r="H9270" i="6"/>
  <c r="H9261" i="6"/>
  <c r="H9251" i="6"/>
  <c r="H9242" i="6"/>
  <c r="H9233" i="6"/>
  <c r="H9224" i="6"/>
  <c r="H9215" i="6"/>
  <c r="H9206" i="6"/>
  <c r="H9197" i="6"/>
  <c r="H9187" i="6"/>
  <c r="H9178" i="6"/>
  <c r="H9169" i="6"/>
  <c r="H9160" i="6"/>
  <c r="H9151" i="6"/>
  <c r="H9142" i="6"/>
  <c r="H9133" i="6"/>
  <c r="H9123" i="6"/>
  <c r="H9114" i="6"/>
  <c r="H9105" i="6"/>
  <c r="H9096" i="6"/>
  <c r="H9087" i="6"/>
  <c r="H9078" i="6"/>
  <c r="H9069" i="6"/>
  <c r="H9059" i="6"/>
  <c r="H9050" i="6"/>
  <c r="H9041" i="6"/>
  <c r="H9032" i="6"/>
  <c r="H9023" i="6"/>
  <c r="H9014" i="6"/>
  <c r="H9005" i="6"/>
  <c r="H8995" i="6"/>
  <c r="H8986" i="6"/>
  <c r="H8977" i="6"/>
  <c r="H8968" i="6"/>
  <c r="H8959" i="6"/>
  <c r="H8950" i="6"/>
  <c r="H8941" i="6"/>
  <c r="H8931" i="6"/>
  <c r="H8922" i="6"/>
  <c r="H8913" i="6"/>
  <c r="H8904" i="6"/>
  <c r="H8895" i="6"/>
  <c r="H8886" i="6"/>
  <c r="H8877" i="6"/>
  <c r="H8867" i="6"/>
  <c r="H8858" i="6"/>
  <c r="H8849" i="6"/>
  <c r="H8840" i="6"/>
  <c r="H8831" i="6"/>
  <c r="H8823" i="6"/>
  <c r="H8815" i="6"/>
  <c r="H8807" i="6"/>
  <c r="H8799" i="6"/>
  <c r="H8791" i="6"/>
  <c r="H8783" i="6"/>
  <c r="H8775" i="6"/>
  <c r="H8767" i="6"/>
  <c r="H8759" i="6"/>
  <c r="H8751" i="6"/>
  <c r="H8743" i="6"/>
  <c r="H8735" i="6"/>
  <c r="H8727" i="6"/>
  <c r="H8719" i="6"/>
  <c r="H8711" i="6"/>
  <c r="H8703" i="6"/>
  <c r="H8695" i="6"/>
  <c r="H8687" i="6"/>
  <c r="H8679" i="6"/>
  <c r="H8671" i="6"/>
  <c r="H8663" i="6"/>
  <c r="H8655" i="6"/>
  <c r="H8647" i="6"/>
  <c r="H8639" i="6"/>
  <c r="H8631" i="6"/>
  <c r="H8623" i="6"/>
  <c r="H8615" i="6"/>
  <c r="H8607" i="6"/>
  <c r="H8599" i="6"/>
  <c r="H8591" i="6"/>
  <c r="H8583" i="6"/>
  <c r="H8575" i="6"/>
  <c r="H8567" i="6"/>
  <c r="H8559" i="6"/>
  <c r="H8551" i="6"/>
  <c r="H8543" i="6"/>
  <c r="H8535" i="6"/>
  <c r="H8527" i="6"/>
  <c r="H8519" i="6"/>
  <c r="H8511" i="6"/>
  <c r="H8503" i="6"/>
  <c r="H8495" i="6"/>
  <c r="H8487" i="6"/>
  <c r="H8479" i="6"/>
  <c r="H8471" i="6"/>
  <c r="H8463" i="6"/>
  <c r="H8455" i="6"/>
  <c r="H8447" i="6"/>
  <c r="H8439" i="6"/>
  <c r="H8431" i="6"/>
  <c r="H8423" i="6"/>
  <c r="H8415" i="6"/>
  <c r="H8407" i="6"/>
  <c r="H8399" i="6"/>
  <c r="H8391" i="6"/>
  <c r="H8383" i="6"/>
  <c r="H8375" i="6"/>
  <c r="H8367" i="6"/>
  <c r="H8359" i="6"/>
  <c r="H8351" i="6"/>
  <c r="H8343" i="6"/>
  <c r="H8335" i="6"/>
  <c r="H8327" i="6"/>
  <c r="H9510" i="6"/>
  <c r="H9497" i="6"/>
  <c r="H9485" i="6"/>
  <c r="H9437" i="6"/>
  <c r="H9447" i="6"/>
  <c r="H9458" i="6"/>
  <c r="H9435" i="6"/>
  <c r="H9423" i="6"/>
  <c r="H9411" i="6"/>
  <c r="H9399" i="6"/>
  <c r="H9386" i="6"/>
  <c r="H9375" i="6"/>
  <c r="H9362" i="6"/>
  <c r="H9350" i="6"/>
  <c r="H9338" i="6"/>
  <c r="H9326" i="6"/>
  <c r="H9313" i="6"/>
  <c r="H9302" i="6"/>
  <c r="H9289" i="6"/>
  <c r="H9277" i="6"/>
  <c r="H9265" i="6"/>
  <c r="H9253" i="6"/>
  <c r="H9240" i="6"/>
  <c r="H9229" i="6"/>
  <c r="H9216" i="6"/>
  <c r="H9203" i="6"/>
  <c r="H9192" i="6"/>
  <c r="H9179" i="6"/>
  <c r="H9167" i="6"/>
  <c r="H9155" i="6"/>
  <c r="H9143" i="6"/>
  <c r="H9130" i="6"/>
  <c r="H9119" i="6"/>
  <c r="H9106" i="6"/>
  <c r="H9094" i="6"/>
  <c r="H9082" i="6"/>
  <c r="H9070" i="6"/>
  <c r="H9057" i="6"/>
  <c r="H9046" i="6"/>
  <c r="H9033" i="6"/>
  <c r="H9021" i="6"/>
  <c r="H9009" i="6"/>
  <c r="H8997" i="6"/>
  <c r="H8984" i="6"/>
  <c r="H8973" i="6"/>
  <c r="H8960" i="6"/>
  <c r="H8947" i="6"/>
  <c r="H8936" i="6"/>
  <c r="H8923" i="6"/>
  <c r="H8911" i="6"/>
  <c r="H8899" i="6"/>
  <c r="H8887" i="6"/>
  <c r="H8874" i="6"/>
  <c r="H8863" i="6"/>
  <c r="H8850" i="6"/>
  <c r="H8838" i="6"/>
  <c r="H8827" i="6"/>
  <c r="H8816" i="6"/>
  <c r="H8805" i="6"/>
  <c r="H8795" i="6"/>
  <c r="H8784" i="6"/>
  <c r="H8773" i="6"/>
  <c r="H8763" i="6"/>
  <c r="H8752" i="6"/>
  <c r="H8742" i="6"/>
  <c r="H8733" i="6"/>
  <c r="H8724" i="6"/>
  <c r="H8715" i="6"/>
  <c r="H8706" i="6"/>
  <c r="H8697" i="6"/>
  <c r="H8688" i="6"/>
  <c r="H8678" i="6"/>
  <c r="H8669" i="6"/>
  <c r="H8660" i="6"/>
  <c r="H8651" i="6"/>
  <c r="H8642" i="6"/>
  <c r="H8633" i="6"/>
  <c r="H8624" i="6"/>
  <c r="H8614" i="6"/>
  <c r="H8605" i="6"/>
  <c r="H8596" i="6"/>
  <c r="H8587" i="6"/>
  <c r="H8578" i="6"/>
  <c r="H8569" i="6"/>
  <c r="H8560" i="6"/>
  <c r="H8550" i="6"/>
  <c r="H8541" i="6"/>
  <c r="H8532" i="6"/>
  <c r="H8523" i="6"/>
  <c r="H8514" i="6"/>
  <c r="H8505" i="6"/>
  <c r="H8496" i="6"/>
  <c r="H8486" i="6"/>
  <c r="H8477" i="6"/>
  <c r="H8468" i="6"/>
  <c r="H9506" i="6"/>
  <c r="H9496" i="6"/>
  <c r="H9484" i="6"/>
  <c r="H9470" i="6"/>
  <c r="H9468" i="6"/>
  <c r="H9457" i="6"/>
  <c r="H9433" i="6"/>
  <c r="H9422" i="6"/>
  <c r="H9410" i="6"/>
  <c r="H9397" i="6"/>
  <c r="H9385" i="6"/>
  <c r="H9374" i="6"/>
  <c r="H9360" i="6"/>
  <c r="H9349" i="6"/>
  <c r="H9337" i="6"/>
  <c r="H9323" i="6"/>
  <c r="H9312" i="6"/>
  <c r="H9301" i="6"/>
  <c r="H9287" i="6"/>
  <c r="H9275" i="6"/>
  <c r="H9264" i="6"/>
  <c r="H9250" i="6"/>
  <c r="H9239" i="6"/>
  <c r="H9227" i="6"/>
  <c r="H9214" i="6"/>
  <c r="H9202" i="6"/>
  <c r="H9191" i="6"/>
  <c r="H9177" i="6"/>
  <c r="H9166" i="6"/>
  <c r="H9154" i="6"/>
  <c r="H9141" i="6"/>
  <c r="H9129" i="6"/>
  <c r="H9118" i="6"/>
  <c r="H9104" i="6"/>
  <c r="H9093" i="6"/>
  <c r="H9081" i="6"/>
  <c r="H9067" i="6"/>
  <c r="H9056" i="6"/>
  <c r="H9045" i="6"/>
  <c r="H9031" i="6"/>
  <c r="H9019" i="6"/>
  <c r="H9008" i="6"/>
  <c r="H8994" i="6"/>
  <c r="H8983" i="6"/>
  <c r="H8971" i="6"/>
  <c r="H8958" i="6"/>
  <c r="H8946" i="6"/>
  <c r="H8935" i="6"/>
  <c r="H8921" i="6"/>
  <c r="H8910" i="6"/>
  <c r="H8898" i="6"/>
  <c r="H8885" i="6"/>
  <c r="H8873" i="6"/>
  <c r="H8862" i="6"/>
  <c r="H8848" i="6"/>
  <c r="H8837" i="6"/>
  <c r="H8826" i="6"/>
  <c r="H8814" i="6"/>
  <c r="H8804" i="6"/>
  <c r="H8794" i="6"/>
  <c r="H8782" i="6"/>
  <c r="H8772" i="6"/>
  <c r="H8762" i="6"/>
  <c r="H8750" i="6"/>
  <c r="H8741" i="6"/>
  <c r="H8732" i="6"/>
  <c r="H8723" i="6"/>
  <c r="H8714" i="6"/>
  <c r="H8705" i="6"/>
  <c r="H8696" i="6"/>
  <c r="H8686" i="6"/>
  <c r="H8677" i="6"/>
  <c r="H8668" i="6"/>
  <c r="H8659" i="6"/>
  <c r="H8650" i="6"/>
  <c r="H8641" i="6"/>
  <c r="H8632" i="6"/>
  <c r="H8622" i="6"/>
  <c r="H8613" i="6"/>
  <c r="H8604" i="6"/>
  <c r="H8595" i="6"/>
  <c r="H8586" i="6"/>
  <c r="H8577" i="6"/>
  <c r="H8568" i="6"/>
  <c r="H8558" i="6"/>
  <c r="H9505" i="6"/>
  <c r="H9495" i="6"/>
  <c r="H9482" i="6"/>
  <c r="H9442" i="6"/>
  <c r="H9467" i="6"/>
  <c r="H9445" i="6"/>
  <c r="H9432" i="6"/>
  <c r="H9421" i="6"/>
  <c r="H9408" i="6"/>
  <c r="H9395" i="6"/>
  <c r="H9384" i="6"/>
  <c r="H9371" i="6"/>
  <c r="H9359" i="6"/>
  <c r="H9347" i="6"/>
  <c r="H9335" i="6"/>
  <c r="H9322" i="6"/>
  <c r="H9311" i="6"/>
  <c r="H9298" i="6"/>
  <c r="H9286" i="6"/>
  <c r="H9274" i="6"/>
  <c r="H9262" i="6"/>
  <c r="H9249" i="6"/>
  <c r="H9238" i="6"/>
  <c r="H9225" i="6"/>
  <c r="H9213" i="6"/>
  <c r="H9201" i="6"/>
  <c r="H9189" i="6"/>
  <c r="H9176" i="6"/>
  <c r="H9165" i="6"/>
  <c r="H9152" i="6"/>
  <c r="H9139" i="6"/>
  <c r="H9128" i="6"/>
  <c r="H9115" i="6"/>
  <c r="H9103" i="6"/>
  <c r="H9091" i="6"/>
  <c r="H9079" i="6"/>
  <c r="H9066" i="6"/>
  <c r="H9055" i="6"/>
  <c r="H9042" i="6"/>
  <c r="H9030" i="6"/>
  <c r="H9018" i="6"/>
  <c r="H9508" i="6"/>
  <c r="H9487" i="6"/>
  <c r="H9466" i="6"/>
  <c r="H9459" i="6"/>
  <c r="H9429" i="6"/>
  <c r="H9406" i="6"/>
  <c r="H9390" i="6"/>
  <c r="H9368" i="6"/>
  <c r="H9351" i="6"/>
  <c r="H9330" i="6"/>
  <c r="H9310" i="6"/>
  <c r="H9293" i="6"/>
  <c r="H9271" i="6"/>
  <c r="H9255" i="6"/>
  <c r="H9232" i="6"/>
  <c r="H9211" i="6"/>
  <c r="H9194" i="6"/>
  <c r="H9174" i="6"/>
  <c r="H9157" i="6"/>
  <c r="H9136" i="6"/>
  <c r="H9113" i="6"/>
  <c r="H9097" i="6"/>
  <c r="H9075" i="6"/>
  <c r="H9058" i="6"/>
  <c r="H9038" i="6"/>
  <c r="H9017" i="6"/>
  <c r="H9001" i="6"/>
  <c r="H8985" i="6"/>
  <c r="H8967" i="6"/>
  <c r="H8953" i="6"/>
  <c r="H8937" i="6"/>
  <c r="H8919" i="6"/>
  <c r="H8903" i="6"/>
  <c r="H8889" i="6"/>
  <c r="H8871" i="6"/>
  <c r="H8855" i="6"/>
  <c r="H8839" i="6"/>
  <c r="H8822" i="6"/>
  <c r="H8810" i="6"/>
  <c r="H8796" i="6"/>
  <c r="H8780" i="6"/>
  <c r="H8766" i="6"/>
  <c r="H8754" i="6"/>
  <c r="H8739" i="6"/>
  <c r="H8728" i="6"/>
  <c r="H8716" i="6"/>
  <c r="H8702" i="6"/>
  <c r="H8691" i="6"/>
  <c r="H8680" i="6"/>
  <c r="H8666" i="6"/>
  <c r="H8654" i="6"/>
  <c r="H8643" i="6"/>
  <c r="H8629" i="6"/>
  <c r="H8618" i="6"/>
  <c r="H8606" i="6"/>
  <c r="H8593" i="6"/>
  <c r="H8581" i="6"/>
  <c r="H8570" i="6"/>
  <c r="H8556" i="6"/>
  <c r="H8546" i="6"/>
  <c r="H8536" i="6"/>
  <c r="H8525" i="6"/>
  <c r="H8515" i="6"/>
  <c r="H8504" i="6"/>
  <c r="H8493" i="6"/>
  <c r="H8483" i="6"/>
  <c r="H8473" i="6"/>
  <c r="H8462" i="6"/>
  <c r="H8453" i="6"/>
  <c r="H8444" i="6"/>
  <c r="H8435" i="6"/>
  <c r="H8426" i="6"/>
  <c r="H8417" i="6"/>
  <c r="H8408" i="6"/>
  <c r="H8398" i="6"/>
  <c r="H8389" i="6"/>
  <c r="H8380" i="6"/>
  <c r="H8371" i="6"/>
  <c r="H8362" i="6"/>
  <c r="H8353" i="6"/>
  <c r="H8344" i="6"/>
  <c r="H8334" i="6"/>
  <c r="H8325" i="6"/>
  <c r="H8317" i="6"/>
  <c r="H8309" i="6"/>
  <c r="H8301" i="6"/>
  <c r="H8293" i="6"/>
  <c r="H8285" i="6"/>
  <c r="H8277" i="6"/>
  <c r="H9515" i="6"/>
  <c r="H9469" i="6"/>
  <c r="H9381" i="6"/>
  <c r="H9321" i="6"/>
  <c r="H9266" i="6"/>
  <c r="H9168" i="6"/>
  <c r="H9110" i="6"/>
  <c r="H9029" i="6"/>
  <c r="H8963" i="6"/>
  <c r="H8914" i="6"/>
  <c r="H8832" i="6"/>
  <c r="H8789" i="6"/>
  <c r="H8722" i="6"/>
  <c r="H8685" i="6"/>
  <c r="H8637" i="6"/>
  <c r="H8589" i="6"/>
  <c r="H8553" i="6"/>
  <c r="H9503" i="6"/>
  <c r="H9490" i="6"/>
  <c r="H9473" i="6"/>
  <c r="H9452" i="6"/>
  <c r="H9426" i="6"/>
  <c r="H9405" i="6"/>
  <c r="H9387" i="6"/>
  <c r="H9367" i="6"/>
  <c r="H9346" i="6"/>
  <c r="H9329" i="6"/>
  <c r="H9307" i="6"/>
  <c r="H9291" i="6"/>
  <c r="H9269" i="6"/>
  <c r="H9248" i="6"/>
  <c r="H9231" i="6"/>
  <c r="H9210" i="6"/>
  <c r="H9193" i="6"/>
  <c r="H9173" i="6"/>
  <c r="H9150" i="6"/>
  <c r="H9134" i="6"/>
  <c r="H9112" i="6"/>
  <c r="H9095" i="6"/>
  <c r="H9074" i="6"/>
  <c r="H9054" i="6"/>
  <c r="H9037" i="6"/>
  <c r="H9015" i="6"/>
  <c r="H9000" i="6"/>
  <c r="H8982" i="6"/>
  <c r="H8966" i="6"/>
  <c r="H8951" i="6"/>
  <c r="H8933" i="6"/>
  <c r="H8918" i="6"/>
  <c r="H8902" i="6"/>
  <c r="H8883" i="6"/>
  <c r="H8869" i="6"/>
  <c r="H8854" i="6"/>
  <c r="H8835" i="6"/>
  <c r="H8821" i="6"/>
  <c r="H8808" i="6"/>
  <c r="H8792" i="6"/>
  <c r="H8779" i="6"/>
  <c r="H8765" i="6"/>
  <c r="H8749" i="6"/>
  <c r="H8738" i="6"/>
  <c r="H8726" i="6"/>
  <c r="H8713" i="6"/>
  <c r="H8701" i="6"/>
  <c r="H8690" i="6"/>
  <c r="H8676" i="6"/>
  <c r="H8665" i="6"/>
  <c r="H8653" i="6"/>
  <c r="H8640" i="6"/>
  <c r="H8628" i="6"/>
  <c r="H8617" i="6"/>
  <c r="H8603" i="6"/>
  <c r="H8592" i="6"/>
  <c r="H8580" i="6"/>
  <c r="H8566" i="6"/>
  <c r="H8555" i="6"/>
  <c r="H8545" i="6"/>
  <c r="H8534" i="6"/>
  <c r="H8524" i="6"/>
  <c r="H8513" i="6"/>
  <c r="H8502" i="6"/>
  <c r="H8492" i="6"/>
  <c r="H8482" i="6"/>
  <c r="H8472" i="6"/>
  <c r="H8461" i="6"/>
  <c r="H8452" i="6"/>
  <c r="H8443" i="6"/>
  <c r="H8434" i="6"/>
  <c r="H8425" i="6"/>
  <c r="H8416" i="6"/>
  <c r="H8406" i="6"/>
  <c r="H8397" i="6"/>
  <c r="H8388" i="6"/>
  <c r="H8379" i="6"/>
  <c r="H8370" i="6"/>
  <c r="H8361" i="6"/>
  <c r="H8352" i="6"/>
  <c r="H8342" i="6"/>
  <c r="H8333" i="6"/>
  <c r="H8324" i="6"/>
  <c r="H8316" i="6"/>
  <c r="H8308" i="6"/>
  <c r="H8300" i="6"/>
  <c r="H8292" i="6"/>
  <c r="H8284" i="6"/>
  <c r="H8276" i="6"/>
  <c r="H9451" i="6"/>
  <c r="H9383" i="6"/>
  <c r="H9344" i="6"/>
  <c r="H9328" i="6"/>
  <c r="H9285" i="6"/>
  <c r="H9267" i="6"/>
  <c r="H9247" i="6"/>
  <c r="H9209" i="6"/>
  <c r="H9186" i="6"/>
  <c r="H9149" i="6"/>
  <c r="H9131" i="6"/>
  <c r="H9111" i="6"/>
  <c r="H9073" i="6"/>
  <c r="H9051" i="6"/>
  <c r="H9013" i="6"/>
  <c r="H8999" i="6"/>
  <c r="H8981" i="6"/>
  <c r="H8949" i="6"/>
  <c r="H8930" i="6"/>
  <c r="H8901" i="6"/>
  <c r="H8882" i="6"/>
  <c r="H8853" i="6"/>
  <c r="H8834" i="6"/>
  <c r="H8806" i="6"/>
  <c r="H8790" i="6"/>
  <c r="H8778" i="6"/>
  <c r="H8748" i="6"/>
  <c r="H8725" i="6"/>
  <c r="H8712" i="6"/>
  <c r="H8689" i="6"/>
  <c r="H8675" i="6"/>
  <c r="H8652" i="6"/>
  <c r="H8638" i="6"/>
  <c r="H8627" i="6"/>
  <c r="H8602" i="6"/>
  <c r="H8590" i="6"/>
  <c r="H8565" i="6"/>
  <c r="H8554" i="6"/>
  <c r="H8533" i="6"/>
  <c r="H8522" i="6"/>
  <c r="H8512" i="6"/>
  <c r="H8491" i="6"/>
  <c r="H8481" i="6"/>
  <c r="H8460" i="6"/>
  <c r="H8451" i="6"/>
  <c r="H8433" i="6"/>
  <c r="H8424" i="6"/>
  <c r="H8405" i="6"/>
  <c r="H8396" i="6"/>
  <c r="H8378" i="6"/>
  <c r="H8369" i="6"/>
  <c r="H8350" i="6"/>
  <c r="H8341" i="6"/>
  <c r="H8323" i="6"/>
  <c r="H8315" i="6"/>
  <c r="H8299" i="6"/>
  <c r="H8291" i="6"/>
  <c r="H8283" i="6"/>
  <c r="H9500" i="6"/>
  <c r="H9440" i="6"/>
  <c r="H9402" i="6"/>
  <c r="H9342" i="6"/>
  <c r="H9304" i="6"/>
  <c r="H9246" i="6"/>
  <c r="H9223" i="6"/>
  <c r="H9147" i="6"/>
  <c r="H9127" i="6"/>
  <c r="H9072" i="6"/>
  <c r="H9011" i="6"/>
  <c r="H8978" i="6"/>
  <c r="H8929" i="6"/>
  <c r="H8896" i="6"/>
  <c r="H8847" i="6"/>
  <c r="H8819" i="6"/>
  <c r="H8760" i="6"/>
  <c r="H8736" i="6"/>
  <c r="H8710" i="6"/>
  <c r="H8674" i="6"/>
  <c r="H8649" i="6"/>
  <c r="H8612" i="6"/>
  <c r="H8576" i="6"/>
  <c r="H9504" i="6"/>
  <c r="H9480" i="6"/>
  <c r="H9463" i="6"/>
  <c r="H9424" i="6"/>
  <c r="H9403" i="6"/>
  <c r="H9366" i="6"/>
  <c r="H9305" i="6"/>
  <c r="H9230" i="6"/>
  <c r="H9170" i="6"/>
  <c r="H9090" i="6"/>
  <c r="H9035" i="6"/>
  <c r="H8965" i="6"/>
  <c r="H8917" i="6"/>
  <c r="H8866" i="6"/>
  <c r="H8820" i="6"/>
  <c r="H8764" i="6"/>
  <c r="H8737" i="6"/>
  <c r="H8700" i="6"/>
  <c r="H8664" i="6"/>
  <c r="H8616" i="6"/>
  <c r="H8579" i="6"/>
  <c r="H8544" i="6"/>
  <c r="H8501" i="6"/>
  <c r="H8470" i="6"/>
  <c r="H8442" i="6"/>
  <c r="H8414" i="6"/>
  <c r="H8387" i="6"/>
  <c r="H8360" i="6"/>
  <c r="H8332" i="6"/>
  <c r="H8307" i="6"/>
  <c r="H9443" i="6"/>
  <c r="H9365" i="6"/>
  <c r="H9283" i="6"/>
  <c r="H9185" i="6"/>
  <c r="H9088" i="6"/>
  <c r="H8993" i="6"/>
  <c r="H8881" i="6"/>
  <c r="H8803" i="6"/>
  <c r="H8747" i="6"/>
  <c r="H8662" i="6"/>
  <c r="H8601" i="6"/>
  <c r="H8542" i="6"/>
  <c r="H9419" i="6"/>
  <c r="H9207" i="6"/>
  <c r="H9049" i="6"/>
  <c r="H8945" i="6"/>
  <c r="H8865" i="6"/>
  <c r="H8776" i="6"/>
  <c r="H8699" i="6"/>
  <c r="H8626" i="6"/>
  <c r="H8564" i="6"/>
  <c r="H9494" i="6"/>
  <c r="H9454" i="6"/>
  <c r="H9415" i="6"/>
  <c r="H9377" i="6"/>
  <c r="H9339" i="6"/>
  <c r="H9296" i="6"/>
  <c r="H9258" i="6"/>
  <c r="H9221" i="6"/>
  <c r="H9183" i="6"/>
  <c r="H9145" i="6"/>
  <c r="H9102" i="6"/>
  <c r="H9064" i="6"/>
  <c r="H9026" i="6"/>
  <c r="H8991" i="6"/>
  <c r="H8957" i="6"/>
  <c r="H8927" i="6"/>
  <c r="H8893" i="6"/>
  <c r="H8859" i="6"/>
  <c r="H8829" i="6"/>
  <c r="H8800" i="6"/>
  <c r="H8771" i="6"/>
  <c r="H8745" i="6"/>
  <c r="H8720" i="6"/>
  <c r="H8694" i="6"/>
  <c r="H8672" i="6"/>
  <c r="H8646" i="6"/>
  <c r="H8621" i="6"/>
  <c r="H8598" i="6"/>
  <c r="H8573" i="6"/>
  <c r="H8549" i="6"/>
  <c r="H8530" i="6"/>
  <c r="H8516" i="6"/>
  <c r="H8498" i="6"/>
  <c r="H8480" i="6"/>
  <c r="H8465" i="6"/>
  <c r="H8449" i="6"/>
  <c r="H8436" i="6"/>
  <c r="H8420" i="6"/>
  <c r="H8404" i="6"/>
  <c r="H8392" i="6"/>
  <c r="H8376" i="6"/>
  <c r="H8363" i="6"/>
  <c r="H8347" i="6"/>
  <c r="H8331" i="6"/>
  <c r="H8319" i="6"/>
  <c r="H8305" i="6"/>
  <c r="H8294" i="6"/>
  <c r="H8280" i="6"/>
  <c r="H8909" i="6"/>
  <c r="H9491" i="6"/>
  <c r="H9462" i="6"/>
  <c r="H9414" i="6"/>
  <c r="H9376" i="6"/>
  <c r="H9333" i="6"/>
  <c r="H9295" i="6"/>
  <c r="H9257" i="6"/>
  <c r="H9219" i="6"/>
  <c r="H9182" i="6"/>
  <c r="H9138" i="6"/>
  <c r="H9101" i="6"/>
  <c r="H9063" i="6"/>
  <c r="H9024" i="6"/>
  <c r="H8990" i="6"/>
  <c r="H8955" i="6"/>
  <c r="H8926" i="6"/>
  <c r="H8891" i="6"/>
  <c r="H8857" i="6"/>
  <c r="H8828" i="6"/>
  <c r="H8798" i="6"/>
  <c r="H8770" i="6"/>
  <c r="H8744" i="6"/>
  <c r="H8718" i="6"/>
  <c r="H8693" i="6"/>
  <c r="H8670" i="6"/>
  <c r="H8645" i="6"/>
  <c r="H8620" i="6"/>
  <c r="H8597" i="6"/>
  <c r="H8572" i="6"/>
  <c r="H8548" i="6"/>
  <c r="H8529" i="6"/>
  <c r="H8510" i="6"/>
  <c r="H8497" i="6"/>
  <c r="H8478" i="6"/>
  <c r="H8464" i="6"/>
  <c r="H8448" i="6"/>
  <c r="H8432" i="6"/>
  <c r="H8419" i="6"/>
  <c r="H8403" i="6"/>
  <c r="H8390" i="6"/>
  <c r="H8374" i="6"/>
  <c r="H8358" i="6"/>
  <c r="H8346" i="6"/>
  <c r="H8330" i="6"/>
  <c r="H8318" i="6"/>
  <c r="H8304" i="6"/>
  <c r="H8290" i="6"/>
  <c r="H8279" i="6"/>
  <c r="H9488" i="6"/>
  <c r="H9413" i="6"/>
  <c r="H9369" i="6"/>
  <c r="H9331" i="6"/>
  <c r="H9294" i="6"/>
  <c r="H9256" i="6"/>
  <c r="H9175" i="6"/>
  <c r="H9137" i="6"/>
  <c r="H9099" i="6"/>
  <c r="H9022" i="6"/>
  <c r="H8987" i="6"/>
  <c r="H8920" i="6"/>
  <c r="H8890" i="6"/>
  <c r="H8856" i="6"/>
  <c r="H8797" i="6"/>
  <c r="H8768" i="6"/>
  <c r="H8717" i="6"/>
  <c r="H8692" i="6"/>
  <c r="H8644" i="6"/>
  <c r="H8619" i="6"/>
  <c r="H8571" i="6"/>
  <c r="H8547" i="6"/>
  <c r="H8528" i="6"/>
  <c r="H8494" i="6"/>
  <c r="H8476" i="6"/>
  <c r="H8446" i="6"/>
  <c r="H8430" i="6"/>
  <c r="H8402" i="6"/>
  <c r="H8373" i="6"/>
  <c r="H8357" i="6"/>
  <c r="H8329" i="6"/>
  <c r="H8303" i="6"/>
  <c r="H8289" i="6"/>
  <c r="H8880" i="6"/>
  <c r="H8788" i="6"/>
  <c r="H8734" i="6"/>
  <c r="H8709" i="6"/>
  <c r="H8684" i="6"/>
  <c r="H8611" i="6"/>
  <c r="H8588" i="6"/>
  <c r="H8526" i="6"/>
  <c r="H8508" i="6"/>
  <c r="H8458" i="6"/>
  <c r="H8429" i="6"/>
  <c r="H8401" i="6"/>
  <c r="H8372" i="6"/>
  <c r="H8340" i="6"/>
  <c r="H8302" i="6"/>
  <c r="H8288" i="6"/>
  <c r="H9357" i="6"/>
  <c r="H9122" i="6"/>
  <c r="H8975" i="6"/>
  <c r="H8845" i="6"/>
  <c r="H8731" i="6"/>
  <c r="H8635" i="6"/>
  <c r="H8521" i="6"/>
  <c r="H8457" i="6"/>
  <c r="H8400" i="6"/>
  <c r="H9461" i="6"/>
  <c r="H9218" i="6"/>
  <c r="H9061" i="6"/>
  <c r="H8954" i="6"/>
  <c r="H8824" i="6"/>
  <c r="H8740" i="6"/>
  <c r="H8667" i="6"/>
  <c r="H8594" i="6"/>
  <c r="H8509" i="6"/>
  <c r="H8459" i="6"/>
  <c r="H8418" i="6"/>
  <c r="H8386" i="6"/>
  <c r="H8345" i="6"/>
  <c r="H8314" i="6"/>
  <c r="H8278" i="6"/>
  <c r="H8818" i="6"/>
  <c r="H8636" i="6"/>
  <c r="H8540" i="6"/>
  <c r="H8490" i="6"/>
  <c r="H8445" i="6"/>
  <c r="H8385" i="6"/>
  <c r="H8328" i="6"/>
  <c r="H9513" i="6"/>
  <c r="H9241" i="6"/>
  <c r="H8878" i="6"/>
  <c r="H8562" i="6"/>
  <c r="H9446" i="6"/>
  <c r="H9479" i="6"/>
  <c r="H9439" i="6"/>
  <c r="H9401" i="6"/>
  <c r="H9358" i="6"/>
  <c r="H9320" i="6"/>
  <c r="H9282" i="6"/>
  <c r="H9243" i="6"/>
  <c r="H9205" i="6"/>
  <c r="H9163" i="6"/>
  <c r="H9125" i="6"/>
  <c r="H9086" i="6"/>
  <c r="H9048" i="6"/>
  <c r="H9010" i="6"/>
  <c r="H8976" i="6"/>
  <c r="H8944" i="6"/>
  <c r="H8912" i="6"/>
  <c r="H8846" i="6"/>
  <c r="H8758" i="6"/>
  <c r="H8661" i="6"/>
  <c r="H8563" i="6"/>
  <c r="H8475" i="6"/>
  <c r="H8413" i="6"/>
  <c r="H8356" i="6"/>
  <c r="H8313" i="6"/>
  <c r="H9394" i="6"/>
  <c r="H9047" i="6"/>
  <c r="H8683" i="6"/>
  <c r="H8474" i="6"/>
  <c r="H9200" i="6"/>
  <c r="H8610" i="6"/>
  <c r="H9514" i="6"/>
  <c r="H9474" i="6"/>
  <c r="H9431" i="6"/>
  <c r="H9393" i="6"/>
  <c r="H9355" i="6"/>
  <c r="H9317" i="6"/>
  <c r="H9278" i="6"/>
  <c r="H9237" i="6"/>
  <c r="H9198" i="6"/>
  <c r="H9159" i="6"/>
  <c r="H9121" i="6"/>
  <c r="H9083" i="6"/>
  <c r="H9040" i="6"/>
  <c r="H9003" i="6"/>
  <c r="H8974" i="6"/>
  <c r="H8939" i="6"/>
  <c r="H8907" i="6"/>
  <c r="H8875" i="6"/>
  <c r="H8843" i="6"/>
  <c r="H8812" i="6"/>
  <c r="H8786" i="6"/>
  <c r="H8756" i="6"/>
  <c r="H8730" i="6"/>
  <c r="H8707" i="6"/>
  <c r="H8682" i="6"/>
  <c r="H8657" i="6"/>
  <c r="H8634" i="6"/>
  <c r="H8609" i="6"/>
  <c r="H8584" i="6"/>
  <c r="H8561" i="6"/>
  <c r="H8538" i="6"/>
  <c r="H8520" i="6"/>
  <c r="H8506" i="6"/>
  <c r="H8488" i="6"/>
  <c r="H8469" i="6"/>
  <c r="H8456" i="6"/>
  <c r="H8440" i="6"/>
  <c r="H8427" i="6"/>
  <c r="H8411" i="6"/>
  <c r="H8395" i="6"/>
  <c r="H8382" i="6"/>
  <c r="H8366" i="6"/>
  <c r="H8354" i="6"/>
  <c r="H8338" i="6"/>
  <c r="H8322" i="6"/>
  <c r="H8311" i="6"/>
  <c r="H8297" i="6"/>
  <c r="H8286" i="6"/>
  <c r="H9498" i="6"/>
  <c r="H9465" i="6"/>
  <c r="H9417" i="6"/>
  <c r="H9378" i="6"/>
  <c r="H9303" i="6"/>
  <c r="H9259" i="6"/>
  <c r="H9184" i="6"/>
  <c r="H9146" i="6"/>
  <c r="H9109" i="6"/>
  <c r="H9027" i="6"/>
  <c r="H8992" i="6"/>
  <c r="H8928" i="6"/>
  <c r="H8864" i="6"/>
  <c r="H8830" i="6"/>
  <c r="H8774" i="6"/>
  <c r="H8721" i="6"/>
  <c r="H8698" i="6"/>
  <c r="H8625" i="6"/>
  <c r="H8600" i="6"/>
  <c r="H8531" i="6"/>
  <c r="H8517" i="6"/>
  <c r="H8466" i="6"/>
  <c r="H8450" i="6"/>
  <c r="H8409" i="6"/>
  <c r="H8393" i="6"/>
  <c r="H8348" i="6"/>
  <c r="H8320" i="6"/>
  <c r="H8295" i="6"/>
  <c r="H9280" i="6"/>
  <c r="H9085" i="6"/>
  <c r="H8942" i="6"/>
  <c r="H8787" i="6"/>
  <c r="H8757" i="6"/>
  <c r="H8658" i="6"/>
  <c r="H8539" i="6"/>
  <c r="H8507" i="6"/>
  <c r="H8428" i="6"/>
  <c r="H9511" i="6"/>
  <c r="H9476" i="6"/>
  <c r="H9430" i="6"/>
  <c r="H9392" i="6"/>
  <c r="H9353" i="6"/>
  <c r="H9314" i="6"/>
  <c r="H9273" i="6"/>
  <c r="H9234" i="6"/>
  <c r="H9195" i="6"/>
  <c r="H9158" i="6"/>
  <c r="H9120" i="6"/>
  <c r="H9077" i="6"/>
  <c r="H9039" i="6"/>
  <c r="H9002" i="6"/>
  <c r="H8969" i="6"/>
  <c r="H8938" i="6"/>
  <c r="H8905" i="6"/>
  <c r="H8872" i="6"/>
  <c r="H8841" i="6"/>
  <c r="H8811" i="6"/>
  <c r="H8781" i="6"/>
  <c r="H8755" i="6"/>
  <c r="H8729" i="6"/>
  <c r="H8704" i="6"/>
  <c r="H8681" i="6"/>
  <c r="H8656" i="6"/>
  <c r="H8630" i="6"/>
  <c r="H8608" i="6"/>
  <c r="H8582" i="6"/>
  <c r="H8557" i="6"/>
  <c r="H8537" i="6"/>
  <c r="H8518" i="6"/>
  <c r="H8500" i="6"/>
  <c r="H8485" i="6"/>
  <c r="H8467" i="6"/>
  <c r="H8454" i="6"/>
  <c r="H8438" i="6"/>
  <c r="H8422" i="6"/>
  <c r="H8410" i="6"/>
  <c r="H8394" i="6"/>
  <c r="H8381" i="6"/>
  <c r="H8365" i="6"/>
  <c r="H8349" i="6"/>
  <c r="H8337" i="6"/>
  <c r="H8321" i="6"/>
  <c r="H8310" i="6"/>
  <c r="H8296" i="6"/>
  <c r="H8282" i="6"/>
  <c r="H9222" i="6"/>
  <c r="H8962" i="6"/>
  <c r="H8802" i="6"/>
  <c r="H8673" i="6"/>
  <c r="H8552" i="6"/>
  <c r="H8484" i="6"/>
  <c r="H8421" i="6"/>
  <c r="H8364" i="6"/>
  <c r="H8306" i="6"/>
  <c r="H9475" i="6"/>
  <c r="H9319" i="6"/>
  <c r="H9006" i="6"/>
  <c r="H8708" i="6"/>
  <c r="H8489" i="6"/>
  <c r="H9341" i="6"/>
  <c r="H9065" i="6"/>
  <c r="H8894" i="6"/>
  <c r="H8746" i="6"/>
  <c r="H8648" i="6"/>
  <c r="H8574" i="6"/>
  <c r="H8499" i="6"/>
  <c r="H8437" i="6"/>
  <c r="H8377" i="6"/>
  <c r="H8336" i="6"/>
  <c r="H8281" i="6"/>
  <c r="H9450" i="6"/>
  <c r="H9161" i="6"/>
  <c r="H8813" i="6"/>
  <c r="H8585" i="6"/>
  <c r="H8412" i="6"/>
  <c r="H8384" i="6"/>
  <c r="H8368" i="6"/>
  <c r="H8355" i="6"/>
  <c r="H8298" i="6"/>
  <c r="H8441" i="6"/>
  <c r="H8339" i="6"/>
  <c r="H8326" i="6"/>
  <c r="H8312" i="6"/>
  <c r="H8287" i="6"/>
  <c r="H7458" i="6"/>
  <c r="H7466" i="6"/>
  <c r="H7474" i="6"/>
  <c r="H7482" i="6"/>
  <c r="H7490" i="6"/>
  <c r="H7498" i="6"/>
  <c r="H7506" i="6"/>
  <c r="H7514" i="6"/>
  <c r="H7522" i="6"/>
  <c r="H7530" i="6"/>
  <c r="H7538" i="6"/>
  <c r="H7546" i="6"/>
  <c r="H7554" i="6"/>
  <c r="H7562" i="6"/>
  <c r="H7570" i="6"/>
  <c r="H7578" i="6"/>
  <c r="H7586" i="6"/>
  <c r="H7594" i="6"/>
  <c r="H7602" i="6"/>
  <c r="H7610" i="6"/>
  <c r="H7618" i="6"/>
  <c r="H7626" i="6"/>
  <c r="H7634" i="6"/>
  <c r="H7642" i="6"/>
  <c r="H7650" i="6"/>
  <c r="H7658" i="6"/>
  <c r="H7666" i="6"/>
  <c r="H7674" i="6"/>
  <c r="H7682" i="6"/>
  <c r="H7690" i="6"/>
  <c r="H7698" i="6"/>
  <c r="H7706" i="6"/>
  <c r="H7714" i="6"/>
  <c r="H7722" i="6"/>
  <c r="H7730" i="6"/>
  <c r="H7738" i="6"/>
  <c r="H7746" i="6"/>
  <c r="H7754" i="6"/>
  <c r="H7762" i="6"/>
  <c r="H7770" i="6"/>
  <c r="H7778" i="6"/>
  <c r="H7786" i="6"/>
  <c r="H7794" i="6"/>
  <c r="H7802" i="6"/>
  <c r="H7810" i="6"/>
  <c r="H7818" i="6"/>
  <c r="H7826" i="6"/>
  <c r="H7834" i="6"/>
  <c r="H7842" i="6"/>
  <c r="H7850" i="6"/>
  <c r="H7858" i="6"/>
  <c r="H7866" i="6"/>
  <c r="H7874" i="6"/>
  <c r="H7882" i="6"/>
  <c r="H7890" i="6"/>
  <c r="H7898" i="6"/>
  <c r="H7906" i="6"/>
  <c r="H7914" i="6"/>
  <c r="H7922" i="6"/>
  <c r="H7930" i="6"/>
  <c r="H7938" i="6"/>
  <c r="H7459" i="6"/>
  <c r="H7467" i="6"/>
  <c r="H7475" i="6"/>
  <c r="H7483" i="6"/>
  <c r="H7491" i="6"/>
  <c r="H7499" i="6"/>
  <c r="H7507" i="6"/>
  <c r="H7515" i="6"/>
  <c r="H7523" i="6"/>
  <c r="H7531" i="6"/>
  <c r="H7539" i="6"/>
  <c r="H7547" i="6"/>
  <c r="H7555" i="6"/>
  <c r="H7563" i="6"/>
  <c r="H7571" i="6"/>
  <c r="H7579" i="6"/>
  <c r="H7587" i="6"/>
  <c r="H7595" i="6"/>
  <c r="H7603" i="6"/>
  <c r="H7611" i="6"/>
  <c r="H7619" i="6"/>
  <c r="H7627" i="6"/>
  <c r="H7635" i="6"/>
  <c r="H7643" i="6"/>
  <c r="H7651" i="6"/>
  <c r="H7659" i="6"/>
  <c r="H7667" i="6"/>
  <c r="H7675" i="6"/>
  <c r="H7683" i="6"/>
  <c r="H7691" i="6"/>
  <c r="H7699" i="6"/>
  <c r="H7707" i="6"/>
  <c r="H7715" i="6"/>
  <c r="H7723" i="6"/>
  <c r="H7731" i="6"/>
  <c r="H7739" i="6"/>
  <c r="H7747" i="6"/>
  <c r="H7755" i="6"/>
  <c r="H7763" i="6"/>
  <c r="H7771" i="6"/>
  <c r="H7779" i="6"/>
  <c r="H7787" i="6"/>
  <c r="H7795" i="6"/>
  <c r="H7803" i="6"/>
  <c r="H7811" i="6"/>
  <c r="H7819" i="6"/>
  <c r="H7827" i="6"/>
  <c r="H7835" i="6"/>
  <c r="H7843" i="6"/>
  <c r="H7851" i="6"/>
  <c r="H7859" i="6"/>
  <c r="H7867" i="6"/>
  <c r="H7875" i="6"/>
  <c r="H7460" i="6"/>
  <c r="H7468" i="6"/>
  <c r="H7476" i="6"/>
  <c r="H7484" i="6"/>
  <c r="H7492" i="6"/>
  <c r="H7500" i="6"/>
  <c r="H7508" i="6"/>
  <c r="H7516" i="6"/>
  <c r="H7524" i="6"/>
  <c r="H7532" i="6"/>
  <c r="H7540" i="6"/>
  <c r="H7548" i="6"/>
  <c r="H7556" i="6"/>
  <c r="H7564" i="6"/>
  <c r="H7572" i="6"/>
  <c r="H7580" i="6"/>
  <c r="H7588" i="6"/>
  <c r="H7596" i="6"/>
  <c r="H7604" i="6"/>
  <c r="H7612" i="6"/>
  <c r="H7620" i="6"/>
  <c r="H7628" i="6"/>
  <c r="H7636" i="6"/>
  <c r="H7644" i="6"/>
  <c r="H7652" i="6"/>
  <c r="H7660" i="6"/>
  <c r="H7668" i="6"/>
  <c r="H7676" i="6"/>
  <c r="H7684" i="6"/>
  <c r="H7692" i="6"/>
  <c r="H7700" i="6"/>
  <c r="H7708" i="6"/>
  <c r="H7716" i="6"/>
  <c r="H7724" i="6"/>
  <c r="H7732" i="6"/>
  <c r="H7740" i="6"/>
  <c r="H7748" i="6"/>
  <c r="H7756" i="6"/>
  <c r="H7764" i="6"/>
  <c r="H7772" i="6"/>
  <c r="H7780" i="6"/>
  <c r="H7788" i="6"/>
  <c r="H7796" i="6"/>
  <c r="H7804" i="6"/>
  <c r="H7812" i="6"/>
  <c r="H7820" i="6"/>
  <c r="H7828" i="6"/>
  <c r="H7836" i="6"/>
  <c r="H7844" i="6"/>
  <c r="H7852" i="6"/>
  <c r="H7860" i="6"/>
  <c r="H7868" i="6"/>
  <c r="H7876" i="6"/>
  <c r="H7884" i="6"/>
  <c r="H7892" i="6"/>
  <c r="H7900" i="6"/>
  <c r="H7908" i="6"/>
  <c r="H7916" i="6"/>
  <c r="H7924" i="6"/>
  <c r="H7932" i="6"/>
  <c r="H7461" i="6"/>
  <c r="H7469" i="6"/>
  <c r="H7477" i="6"/>
  <c r="H7485" i="6"/>
  <c r="H7493" i="6"/>
  <c r="H7501" i="6"/>
  <c r="H7509" i="6"/>
  <c r="H7517" i="6"/>
  <c r="H7525" i="6"/>
  <c r="H7533" i="6"/>
  <c r="H7541" i="6"/>
  <c r="H7549" i="6"/>
  <c r="H7557" i="6"/>
  <c r="H7565" i="6"/>
  <c r="H7573" i="6"/>
  <c r="H7581" i="6"/>
  <c r="H7589" i="6"/>
  <c r="H7597" i="6"/>
  <c r="H7605" i="6"/>
  <c r="H7613" i="6"/>
  <c r="H7621" i="6"/>
  <c r="H7629" i="6"/>
  <c r="H7637" i="6"/>
  <c r="H7645" i="6"/>
  <c r="H7653" i="6"/>
  <c r="H7661" i="6"/>
  <c r="H7669" i="6"/>
  <c r="H7677" i="6"/>
  <c r="H7685" i="6"/>
  <c r="H7693" i="6"/>
  <c r="H7701" i="6"/>
  <c r="H7709" i="6"/>
  <c r="H7717" i="6"/>
  <c r="H7725" i="6"/>
  <c r="H7733" i="6"/>
  <c r="H7741" i="6"/>
  <c r="H7749" i="6"/>
  <c r="H7757" i="6"/>
  <c r="H7765" i="6"/>
  <c r="H7773" i="6"/>
  <c r="H7781" i="6"/>
  <c r="H7789" i="6"/>
  <c r="H7797" i="6"/>
  <c r="H7805" i="6"/>
  <c r="H7813" i="6"/>
  <c r="H7821" i="6"/>
  <c r="H7829" i="6"/>
  <c r="H7837" i="6"/>
  <c r="H7845" i="6"/>
  <c r="H7853" i="6"/>
  <c r="H7861" i="6"/>
  <c r="H7869" i="6"/>
  <c r="H7877" i="6"/>
  <c r="H7462" i="6"/>
  <c r="H7470" i="6"/>
  <c r="H7478" i="6"/>
  <c r="H7486" i="6"/>
  <c r="H7494" i="6"/>
  <c r="H7502" i="6"/>
  <c r="H7510" i="6"/>
  <c r="H7518" i="6"/>
  <c r="H7526" i="6"/>
  <c r="H7534" i="6"/>
  <c r="H7542" i="6"/>
  <c r="H7550" i="6"/>
  <c r="H7558" i="6"/>
  <c r="H7566" i="6"/>
  <c r="H7574" i="6"/>
  <c r="H7582" i="6"/>
  <c r="H7590" i="6"/>
  <c r="H7598" i="6"/>
  <c r="H7606" i="6"/>
  <c r="H7614" i="6"/>
  <c r="H7622" i="6"/>
  <c r="H7630" i="6"/>
  <c r="H7638" i="6"/>
  <c r="H7646" i="6"/>
  <c r="H7654" i="6"/>
  <c r="H7662" i="6"/>
  <c r="H7670" i="6"/>
  <c r="H7678" i="6"/>
  <c r="H7686" i="6"/>
  <c r="H7694" i="6"/>
  <c r="H7702" i="6"/>
  <c r="H7710" i="6"/>
  <c r="H7718" i="6"/>
  <c r="H7726" i="6"/>
  <c r="H7734" i="6"/>
  <c r="H7742" i="6"/>
  <c r="H7750" i="6"/>
  <c r="H7758" i="6"/>
  <c r="H7766" i="6"/>
  <c r="H7774" i="6"/>
  <c r="H7782" i="6"/>
  <c r="H7790" i="6"/>
  <c r="H7798" i="6"/>
  <c r="H7806" i="6"/>
  <c r="H7814" i="6"/>
  <c r="H7822" i="6"/>
  <c r="H7830" i="6"/>
  <c r="H7838" i="6"/>
  <c r="H7846" i="6"/>
  <c r="H7854" i="6"/>
  <c r="H7862" i="6"/>
  <c r="H7870" i="6"/>
  <c r="H7878" i="6"/>
  <c r="H7886" i="6"/>
  <c r="H7894" i="6"/>
  <c r="H7902" i="6"/>
  <c r="H7910" i="6"/>
  <c r="H7918" i="6"/>
  <c r="H7926" i="6"/>
  <c r="H7934" i="6"/>
  <c r="H7942" i="6"/>
  <c r="H7950" i="6"/>
  <c r="H7958" i="6"/>
  <c r="H7966" i="6"/>
  <c r="H7974" i="6"/>
  <c r="H7982" i="6"/>
  <c r="H7990" i="6"/>
  <c r="H7998" i="6"/>
  <c r="H8006" i="6"/>
  <c r="H8014" i="6"/>
  <c r="H8022" i="6"/>
  <c r="H8030" i="6"/>
  <c r="H8038" i="6"/>
  <c r="H8046" i="6"/>
  <c r="H8054" i="6"/>
  <c r="H8062" i="6"/>
  <c r="H8070" i="6"/>
  <c r="H8078" i="6"/>
  <c r="H8086" i="6"/>
  <c r="H8094" i="6"/>
  <c r="H8102" i="6"/>
  <c r="H8110" i="6"/>
  <c r="H8118" i="6"/>
  <c r="H8126" i="6"/>
  <c r="H8134" i="6"/>
  <c r="H7463" i="6"/>
  <c r="H7471" i="6"/>
  <c r="H7479" i="6"/>
  <c r="H7487" i="6"/>
  <c r="H7495" i="6"/>
  <c r="H7503" i="6"/>
  <c r="H7511" i="6"/>
  <c r="H7519" i="6"/>
  <c r="H7527" i="6"/>
  <c r="H7535" i="6"/>
  <c r="H7543" i="6"/>
  <c r="H7551" i="6"/>
  <c r="H7559" i="6"/>
  <c r="H7567" i="6"/>
  <c r="H7575" i="6"/>
  <c r="H7583" i="6"/>
  <c r="H7591" i="6"/>
  <c r="H7599" i="6"/>
  <c r="H7607" i="6"/>
  <c r="H7615" i="6"/>
  <c r="H7623" i="6"/>
  <c r="H7631" i="6"/>
  <c r="H7639" i="6"/>
  <c r="H7647" i="6"/>
  <c r="H7655" i="6"/>
  <c r="H7663" i="6"/>
  <c r="H7671" i="6"/>
  <c r="H7679" i="6"/>
  <c r="H7687" i="6"/>
  <c r="H7695" i="6"/>
  <c r="H7703" i="6"/>
  <c r="H7711" i="6"/>
  <c r="H7719" i="6"/>
  <c r="H7727" i="6"/>
  <c r="H7735" i="6"/>
  <c r="H7743" i="6"/>
  <c r="H7751" i="6"/>
  <c r="H7759" i="6"/>
  <c r="H7767" i="6"/>
  <c r="H7775" i="6"/>
  <c r="H7783" i="6"/>
  <c r="H7791" i="6"/>
  <c r="H7799" i="6"/>
  <c r="H7807" i="6"/>
  <c r="H7815" i="6"/>
  <c r="H7823" i="6"/>
  <c r="H7831" i="6"/>
  <c r="H7839" i="6"/>
  <c r="H7847" i="6"/>
  <c r="H7855" i="6"/>
  <c r="H7863" i="6"/>
  <c r="H7871" i="6"/>
  <c r="H7879" i="6"/>
  <c r="H7887" i="6"/>
  <c r="H7895" i="6"/>
  <c r="H7903" i="6"/>
  <c r="H7911" i="6"/>
  <c r="H7919" i="6"/>
  <c r="H7927" i="6"/>
  <c r="H7935" i="6"/>
  <c r="H7943" i="6"/>
  <c r="H7951" i="6"/>
  <c r="H7959" i="6"/>
  <c r="H7967" i="6"/>
  <c r="H7975" i="6"/>
  <c r="H7983" i="6"/>
  <c r="H7991" i="6"/>
  <c r="H7999" i="6"/>
  <c r="H8007" i="6"/>
  <c r="H8015" i="6"/>
  <c r="H8023" i="6"/>
  <c r="H8031" i="6"/>
  <c r="H8039" i="6"/>
  <c r="H8047" i="6"/>
  <c r="H8055" i="6"/>
  <c r="H8063" i="6"/>
  <c r="H8071" i="6"/>
  <c r="H8079" i="6"/>
  <c r="H8087" i="6"/>
  <c r="H8095" i="6"/>
  <c r="H8103" i="6"/>
  <c r="H8111" i="6"/>
  <c r="H8119" i="6"/>
  <c r="H8127" i="6"/>
  <c r="H8135" i="6"/>
  <c r="H7464" i="6"/>
  <c r="H7472" i="6"/>
  <c r="H7480" i="6"/>
  <c r="H7488" i="6"/>
  <c r="H7496" i="6"/>
  <c r="H7504" i="6"/>
  <c r="H7512" i="6"/>
  <c r="H7520" i="6"/>
  <c r="H7528" i="6"/>
  <c r="H7536" i="6"/>
  <c r="H7544" i="6"/>
  <c r="H7552" i="6"/>
  <c r="H7560" i="6"/>
  <c r="H7568" i="6"/>
  <c r="H7576" i="6"/>
  <c r="H7584" i="6"/>
  <c r="H7592" i="6"/>
  <c r="H7600" i="6"/>
  <c r="H7608" i="6"/>
  <c r="H7616" i="6"/>
  <c r="H7624" i="6"/>
  <c r="H7632" i="6"/>
  <c r="H7640" i="6"/>
  <c r="H7648" i="6"/>
  <c r="H7656" i="6"/>
  <c r="H7664" i="6"/>
  <c r="H7672" i="6"/>
  <c r="H7680" i="6"/>
  <c r="H7688" i="6"/>
  <c r="H7696" i="6"/>
  <c r="H7704" i="6"/>
  <c r="H7712" i="6"/>
  <c r="H7720" i="6"/>
  <c r="H7728" i="6"/>
  <c r="H7736" i="6"/>
  <c r="H7744" i="6"/>
  <c r="H7752" i="6"/>
  <c r="H7760" i="6"/>
  <c r="H7768" i="6"/>
  <c r="H7776" i="6"/>
  <c r="H7784" i="6"/>
  <c r="H7792" i="6"/>
  <c r="H7800" i="6"/>
  <c r="H7808" i="6"/>
  <c r="H7816" i="6"/>
  <c r="H7824" i="6"/>
  <c r="H7832" i="6"/>
  <c r="H7840" i="6"/>
  <c r="H7848" i="6"/>
  <c r="H7856" i="6"/>
  <c r="H7864" i="6"/>
  <c r="H7872" i="6"/>
  <c r="H7880" i="6"/>
  <c r="H7888" i="6"/>
  <c r="H7896" i="6"/>
  <c r="H7904" i="6"/>
  <c r="H7912" i="6"/>
  <c r="H7920" i="6"/>
  <c r="H7928" i="6"/>
  <c r="H7936" i="6"/>
  <c r="H7944" i="6"/>
  <c r="H7952" i="6"/>
  <c r="H7960" i="6"/>
  <c r="H7968" i="6"/>
  <c r="H7976" i="6"/>
  <c r="H7984" i="6"/>
  <c r="H7992" i="6"/>
  <c r="H8000" i="6"/>
  <c r="H8008" i="6"/>
  <c r="H8016" i="6"/>
  <c r="H8024" i="6"/>
  <c r="H8032" i="6"/>
  <c r="H8040" i="6"/>
  <c r="H8048" i="6"/>
  <c r="H8056" i="6"/>
  <c r="H8064" i="6"/>
  <c r="H8072" i="6"/>
  <c r="H8080" i="6"/>
  <c r="H8088" i="6"/>
  <c r="H8096" i="6"/>
  <c r="H8104" i="6"/>
  <c r="H8112" i="6"/>
  <c r="H8120" i="6"/>
  <c r="H8128" i="6"/>
  <c r="H8136" i="6"/>
  <c r="H7465" i="6"/>
  <c r="H7529" i="6"/>
  <c r="H7593" i="6"/>
  <c r="H7657" i="6"/>
  <c r="H7721" i="6"/>
  <c r="H7785" i="6"/>
  <c r="H7849" i="6"/>
  <c r="H7891" i="6"/>
  <c r="H7913" i="6"/>
  <c r="H7933" i="6"/>
  <c r="H7948" i="6"/>
  <c r="H7973" i="6"/>
  <c r="H7987" i="6"/>
  <c r="H8012" i="6"/>
  <c r="H8037" i="6"/>
  <c r="H8065" i="6"/>
  <c r="H8090" i="6"/>
  <c r="H8115" i="6"/>
  <c r="H8140" i="6"/>
  <c r="H8164" i="6"/>
  <c r="H8188" i="6"/>
  <c r="H8204" i="6"/>
  <c r="H8220" i="6"/>
  <c r="H8236" i="6"/>
  <c r="H8260" i="6"/>
  <c r="H7473" i="6"/>
  <c r="H7537" i="6"/>
  <c r="H7601" i="6"/>
  <c r="H7665" i="6"/>
  <c r="H7729" i="6"/>
  <c r="H7793" i="6"/>
  <c r="H7857" i="6"/>
  <c r="H7893" i="6"/>
  <c r="H7915" i="6"/>
  <c r="H7937" i="6"/>
  <c r="H7949" i="6"/>
  <c r="H7977" i="6"/>
  <c r="H7988" i="6"/>
  <c r="H8013" i="6"/>
  <c r="H8041" i="6"/>
  <c r="H8066" i="6"/>
  <c r="H8091" i="6"/>
  <c r="H8130" i="6"/>
  <c r="H8157" i="6"/>
  <c r="H8181" i="6"/>
  <c r="H8197" i="6"/>
  <c r="H8229" i="6"/>
  <c r="H8253" i="6"/>
  <c r="H8175" i="6"/>
  <c r="H8199" i="6"/>
  <c r="H8231" i="6"/>
  <c r="H8263" i="6"/>
  <c r="H7481" i="6"/>
  <c r="H7545" i="6"/>
  <c r="H7609" i="6"/>
  <c r="H7673" i="6"/>
  <c r="H7737" i="6"/>
  <c r="H7801" i="6"/>
  <c r="H7865" i="6"/>
  <c r="H7897" i="6"/>
  <c r="H7917" i="6"/>
  <c r="H7939" i="6"/>
  <c r="H7953" i="6"/>
  <c r="H7964" i="6"/>
  <c r="H7978" i="6"/>
  <c r="H7989" i="6"/>
  <c r="H8003" i="6"/>
  <c r="H8017" i="6"/>
  <c r="H8028" i="6"/>
  <c r="H8042" i="6"/>
  <c r="H8053" i="6"/>
  <c r="H8067" i="6"/>
  <c r="H8081" i="6"/>
  <c r="H8092" i="6"/>
  <c r="H8106" i="6"/>
  <c r="H8117" i="6"/>
  <c r="H8131" i="6"/>
  <c r="H8142" i="6"/>
  <c r="H8150" i="6"/>
  <c r="H8158" i="6"/>
  <c r="H8166" i="6"/>
  <c r="H8174" i="6"/>
  <c r="H8182" i="6"/>
  <c r="H8190" i="6"/>
  <c r="H8198" i="6"/>
  <c r="H8206" i="6"/>
  <c r="H8214" i="6"/>
  <c r="H8222" i="6"/>
  <c r="H8230" i="6"/>
  <c r="H8238" i="6"/>
  <c r="H8246" i="6"/>
  <c r="H8254" i="6"/>
  <c r="H8262" i="6"/>
  <c r="H8270" i="6"/>
  <c r="H7489" i="6"/>
  <c r="H7553" i="6"/>
  <c r="H7617" i="6"/>
  <c r="H7681" i="6"/>
  <c r="H7745" i="6"/>
  <c r="H7809" i="6"/>
  <c r="H7873" i="6"/>
  <c r="H7899" i="6"/>
  <c r="H7921" i="6"/>
  <c r="H7940" i="6"/>
  <c r="H7954" i="6"/>
  <c r="H7965" i="6"/>
  <c r="H7979" i="6"/>
  <c r="H7993" i="6"/>
  <c r="H8004" i="6"/>
  <c r="H8018" i="6"/>
  <c r="H8029" i="6"/>
  <c r="H8043" i="6"/>
  <c r="H8057" i="6"/>
  <c r="H8068" i="6"/>
  <c r="H8082" i="6"/>
  <c r="H8093" i="6"/>
  <c r="H8107" i="6"/>
  <c r="H8121" i="6"/>
  <c r="H8132" i="6"/>
  <c r="H8143" i="6"/>
  <c r="H8151" i="6"/>
  <c r="H8159" i="6"/>
  <c r="H8167" i="6"/>
  <c r="H8191" i="6"/>
  <c r="H8207" i="6"/>
  <c r="H8223" i="6"/>
  <c r="H8247" i="6"/>
  <c r="H8271" i="6"/>
  <c r="H7497" i="6"/>
  <c r="H7561" i="6"/>
  <c r="H7625" i="6"/>
  <c r="H7689" i="6"/>
  <c r="H7753" i="6"/>
  <c r="H7817" i="6"/>
  <c r="H7881" i="6"/>
  <c r="H7901" i="6"/>
  <c r="H7923" i="6"/>
  <c r="H7941" i="6"/>
  <c r="H7955" i="6"/>
  <c r="H7969" i="6"/>
  <c r="H7980" i="6"/>
  <c r="H7994" i="6"/>
  <c r="H8005" i="6"/>
  <c r="H8019" i="6"/>
  <c r="H8033" i="6"/>
  <c r="H8044" i="6"/>
  <c r="H8058" i="6"/>
  <c r="H8069" i="6"/>
  <c r="H8083" i="6"/>
  <c r="H8097" i="6"/>
  <c r="H8108" i="6"/>
  <c r="H8122" i="6"/>
  <c r="H8133" i="6"/>
  <c r="H8144" i="6"/>
  <c r="H8152" i="6"/>
  <c r="H8160" i="6"/>
  <c r="H8168" i="6"/>
  <c r="H8176" i="6"/>
  <c r="H8184" i="6"/>
  <c r="H8192" i="6"/>
  <c r="H8200" i="6"/>
  <c r="H8208" i="6"/>
  <c r="H8216" i="6"/>
  <c r="H8224" i="6"/>
  <c r="H8232" i="6"/>
  <c r="H8240" i="6"/>
  <c r="H8248" i="6"/>
  <c r="H8256" i="6"/>
  <c r="H8264" i="6"/>
  <c r="H8272" i="6"/>
  <c r="H7505" i="6"/>
  <c r="H7569" i="6"/>
  <c r="H7633" i="6"/>
  <c r="H7697" i="6"/>
  <c r="H7761" i="6"/>
  <c r="H7825" i="6"/>
  <c r="H7883" i="6"/>
  <c r="H7905" i="6"/>
  <c r="H7925" i="6"/>
  <c r="H7945" i="6"/>
  <c r="H7956" i="6"/>
  <c r="H7970" i="6"/>
  <c r="H7981" i="6"/>
  <c r="H7995" i="6"/>
  <c r="H8009" i="6"/>
  <c r="H8020" i="6"/>
  <c r="H8034" i="6"/>
  <c r="H8045" i="6"/>
  <c r="H8059" i="6"/>
  <c r="H8073" i="6"/>
  <c r="H8084" i="6"/>
  <c r="H8098" i="6"/>
  <c r="H8109" i="6"/>
  <c r="H8123" i="6"/>
  <c r="H8137" i="6"/>
  <c r="H8145" i="6"/>
  <c r="H8153" i="6"/>
  <c r="H8161" i="6"/>
  <c r="H8169" i="6"/>
  <c r="H8177" i="6"/>
  <c r="H8185" i="6"/>
  <c r="H8193" i="6"/>
  <c r="H8201" i="6"/>
  <c r="H8209" i="6"/>
  <c r="H8217" i="6"/>
  <c r="H8225" i="6"/>
  <c r="H8233" i="6"/>
  <c r="H8241" i="6"/>
  <c r="H8249" i="6"/>
  <c r="H8257" i="6"/>
  <c r="H8265" i="6"/>
  <c r="H8273" i="6"/>
  <c r="H8213" i="6"/>
  <c r="H8245" i="6"/>
  <c r="H8269" i="6"/>
  <c r="H8183" i="6"/>
  <c r="H8215" i="6"/>
  <c r="H8239" i="6"/>
  <c r="H8255" i="6"/>
  <c r="H7513" i="6"/>
  <c r="H7577" i="6"/>
  <c r="H7641" i="6"/>
  <c r="H7705" i="6"/>
  <c r="H7769" i="6"/>
  <c r="H7833" i="6"/>
  <c r="H7885" i="6"/>
  <c r="H7907" i="6"/>
  <c r="H7929" i="6"/>
  <c r="H7946" i="6"/>
  <c r="H7957" i="6"/>
  <c r="H7971" i="6"/>
  <c r="H7985" i="6"/>
  <c r="H7996" i="6"/>
  <c r="H8010" i="6"/>
  <c r="H8021" i="6"/>
  <c r="H8035" i="6"/>
  <c r="H8049" i="6"/>
  <c r="H8060" i="6"/>
  <c r="H8074" i="6"/>
  <c r="H8085" i="6"/>
  <c r="H8099" i="6"/>
  <c r="H8113" i="6"/>
  <c r="H8124" i="6"/>
  <c r="H8138" i="6"/>
  <c r="H8146" i="6"/>
  <c r="H8154" i="6"/>
  <c r="H8162" i="6"/>
  <c r="H8170" i="6"/>
  <c r="H8178" i="6"/>
  <c r="H8186" i="6"/>
  <c r="H8194" i="6"/>
  <c r="H8202" i="6"/>
  <c r="H8210" i="6"/>
  <c r="H8218" i="6"/>
  <c r="H8226" i="6"/>
  <c r="H8234" i="6"/>
  <c r="H8242" i="6"/>
  <c r="H8250" i="6"/>
  <c r="H8258" i="6"/>
  <c r="H8266" i="6"/>
  <c r="H8274" i="6"/>
  <c r="H7521" i="6"/>
  <c r="H7585" i="6"/>
  <c r="H7649" i="6"/>
  <c r="H7713" i="6"/>
  <c r="H7777" i="6"/>
  <c r="H7841" i="6"/>
  <c r="H7889" i="6"/>
  <c r="H7909" i="6"/>
  <c r="H7931" i="6"/>
  <c r="H7947" i="6"/>
  <c r="H7961" i="6"/>
  <c r="H7972" i="6"/>
  <c r="H7986" i="6"/>
  <c r="H7997" i="6"/>
  <c r="H8011" i="6"/>
  <c r="H8025" i="6"/>
  <c r="H8036" i="6"/>
  <c r="H8050" i="6"/>
  <c r="H8061" i="6"/>
  <c r="H8075" i="6"/>
  <c r="H8089" i="6"/>
  <c r="H8100" i="6"/>
  <c r="H8114" i="6"/>
  <c r="H8125" i="6"/>
  <c r="H8139" i="6"/>
  <c r="H8147" i="6"/>
  <c r="H8155" i="6"/>
  <c r="H8163" i="6"/>
  <c r="H8171" i="6"/>
  <c r="H8179" i="6"/>
  <c r="H8187" i="6"/>
  <c r="H8195" i="6"/>
  <c r="H8203" i="6"/>
  <c r="H8211" i="6"/>
  <c r="H8219" i="6"/>
  <c r="H8227" i="6"/>
  <c r="H8235" i="6"/>
  <c r="H8243" i="6"/>
  <c r="H8251" i="6"/>
  <c r="H8259" i="6"/>
  <c r="H8267" i="6"/>
  <c r="H8275" i="6"/>
  <c r="H7962" i="6"/>
  <c r="H8001" i="6"/>
  <c r="H8026" i="6"/>
  <c r="H8051" i="6"/>
  <c r="H8076" i="6"/>
  <c r="H8101" i="6"/>
  <c r="H8129" i="6"/>
  <c r="H8148" i="6"/>
  <c r="H8156" i="6"/>
  <c r="H8172" i="6"/>
  <c r="H8180" i="6"/>
  <c r="H8196" i="6"/>
  <c r="H8212" i="6"/>
  <c r="H8228" i="6"/>
  <c r="H8244" i="6"/>
  <c r="H8252" i="6"/>
  <c r="H8268" i="6"/>
  <c r="H7963" i="6"/>
  <c r="H8002" i="6"/>
  <c r="H8027" i="6"/>
  <c r="H8052" i="6"/>
  <c r="H8077" i="6"/>
  <c r="H8105" i="6"/>
  <c r="H8116" i="6"/>
  <c r="H8141" i="6"/>
  <c r="H8149" i="6"/>
  <c r="H8165" i="6"/>
  <c r="H8173" i="6"/>
  <c r="H8189" i="6"/>
  <c r="H8205" i="6"/>
  <c r="H8221" i="6"/>
  <c r="H8237" i="6"/>
  <c r="H8261" i="6"/>
  <c r="H6642" i="6"/>
  <c r="H6650" i="6"/>
  <c r="H6658" i="6"/>
  <c r="H6666" i="6"/>
  <c r="H6674" i="6"/>
  <c r="H6682" i="6"/>
  <c r="H6690" i="6"/>
  <c r="H6698" i="6"/>
  <c r="H6706" i="6"/>
  <c r="H6714" i="6"/>
  <c r="H6722" i="6"/>
  <c r="H6730" i="6"/>
  <c r="H6738" i="6"/>
  <c r="H6746" i="6"/>
  <c r="H6754" i="6"/>
  <c r="H6762" i="6"/>
  <c r="H6770" i="6"/>
  <c r="H6778" i="6"/>
  <c r="H6786" i="6"/>
  <c r="H6794" i="6"/>
  <c r="H6802" i="6"/>
  <c r="H6810" i="6"/>
  <c r="H6818" i="6"/>
  <c r="H6826" i="6"/>
  <c r="H6834" i="6"/>
  <c r="H6842" i="6"/>
  <c r="H6850" i="6"/>
  <c r="H6858" i="6"/>
  <c r="H6866" i="6"/>
  <c r="H6874" i="6"/>
  <c r="H6882" i="6"/>
  <c r="H6890" i="6"/>
  <c r="H6898" i="6"/>
  <c r="H6906" i="6"/>
  <c r="H6914" i="6"/>
  <c r="H6922" i="6"/>
  <c r="H6930" i="6"/>
  <c r="H6938" i="6"/>
  <c r="H6946" i="6"/>
  <c r="H6954" i="6"/>
  <c r="H6962" i="6"/>
  <c r="H6970" i="6"/>
  <c r="H6978" i="6"/>
  <c r="H6986" i="6"/>
  <c r="H6994" i="6"/>
  <c r="H7002" i="6"/>
  <c r="H7010" i="6"/>
  <c r="H7018" i="6"/>
  <c r="H7026" i="6"/>
  <c r="H7034" i="6"/>
  <c r="H7042" i="6"/>
  <c r="H7050" i="6"/>
  <c r="H7058" i="6"/>
  <c r="H7066" i="6"/>
  <c r="H7074" i="6"/>
  <c r="H7082" i="6"/>
  <c r="H7090" i="6"/>
  <c r="H7098" i="6"/>
  <c r="H7106" i="6"/>
  <c r="H7114" i="6"/>
  <c r="H7122" i="6"/>
  <c r="H7130" i="6"/>
  <c r="H7138" i="6"/>
  <c r="H7146" i="6"/>
  <c r="H7154" i="6"/>
  <c r="H7162" i="6"/>
  <c r="H7170" i="6"/>
  <c r="H7178" i="6"/>
  <c r="H7186" i="6"/>
  <c r="H7194" i="6"/>
  <c r="H7202" i="6"/>
  <c r="H7210" i="6"/>
  <c r="H7218" i="6"/>
  <c r="H6643" i="6"/>
  <c r="H6651" i="6"/>
  <c r="H6659" i="6"/>
  <c r="H6667" i="6"/>
  <c r="H6675" i="6"/>
  <c r="H6683" i="6"/>
  <c r="H6691" i="6"/>
  <c r="H6699" i="6"/>
  <c r="H6707" i="6"/>
  <c r="H6715" i="6"/>
  <c r="H6723" i="6"/>
  <c r="H6731" i="6"/>
  <c r="H6739" i="6"/>
  <c r="H6747" i="6"/>
  <c r="H6755" i="6"/>
  <c r="H6763" i="6"/>
  <c r="H6771" i="6"/>
  <c r="H6779" i="6"/>
  <c r="H6787" i="6"/>
  <c r="H6795" i="6"/>
  <c r="H6803" i="6"/>
  <c r="H6811" i="6"/>
  <c r="H6819" i="6"/>
  <c r="H6827" i="6"/>
  <c r="H6835" i="6"/>
  <c r="H6843" i="6"/>
  <c r="H6851" i="6"/>
  <c r="H6859" i="6"/>
  <c r="H6867" i="6"/>
  <c r="H6875" i="6"/>
  <c r="H6883" i="6"/>
  <c r="H6891" i="6"/>
  <c r="H6899" i="6"/>
  <c r="H6907" i="6"/>
  <c r="H6915" i="6"/>
  <c r="H6923" i="6"/>
  <c r="H6931" i="6"/>
  <c r="H6939" i="6"/>
  <c r="H6947" i="6"/>
  <c r="H6955" i="6"/>
  <c r="H6963" i="6"/>
  <c r="H6971" i="6"/>
  <c r="H6979" i="6"/>
  <c r="H6987" i="6"/>
  <c r="H6995" i="6"/>
  <c r="H7003" i="6"/>
  <c r="H7011" i="6"/>
  <c r="H7019" i="6"/>
  <c r="H7027" i="6"/>
  <c r="H7035" i="6"/>
  <c r="H7043" i="6"/>
  <c r="H7051" i="6"/>
  <c r="H7059" i="6"/>
  <c r="H7067" i="6"/>
  <c r="H7075" i="6"/>
  <c r="H7083" i="6"/>
  <c r="H7091" i="6"/>
  <c r="H7099" i="6"/>
  <c r="H7107" i="6"/>
  <c r="H7115" i="6"/>
  <c r="H7123" i="6"/>
  <c r="H7131" i="6"/>
  <c r="H7139" i="6"/>
  <c r="H7147" i="6"/>
  <c r="H7155" i="6"/>
  <c r="H7163" i="6"/>
  <c r="H7171" i="6"/>
  <c r="H7179" i="6"/>
  <c r="H7187" i="6"/>
  <c r="H7195" i="6"/>
  <c r="H7203" i="6"/>
  <c r="H7211" i="6"/>
  <c r="H7219" i="6"/>
  <c r="H7227" i="6"/>
  <c r="H7235" i="6"/>
  <c r="H7243" i="6"/>
  <c r="H7251" i="6"/>
  <c r="H7259" i="6"/>
  <c r="H7267" i="6"/>
  <c r="H7275" i="6"/>
  <c r="H7283" i="6"/>
  <c r="H6644" i="6"/>
  <c r="H6652" i="6"/>
  <c r="H6660" i="6"/>
  <c r="H6668" i="6"/>
  <c r="H6676" i="6"/>
  <c r="H6684" i="6"/>
  <c r="H6692" i="6"/>
  <c r="H6700" i="6"/>
  <c r="H6708" i="6"/>
  <c r="H6716" i="6"/>
  <c r="H6724" i="6"/>
  <c r="H6732" i="6"/>
  <c r="H6740" i="6"/>
  <c r="H6645" i="6"/>
  <c r="H6653" i="6"/>
  <c r="H6661" i="6"/>
  <c r="H6669" i="6"/>
  <c r="H6677" i="6"/>
  <c r="H6685" i="6"/>
  <c r="H6693" i="6"/>
  <c r="H6701" i="6"/>
  <c r="H6709" i="6"/>
  <c r="H6717" i="6"/>
  <c r="H6725" i="6"/>
  <c r="H6733" i="6"/>
  <c r="H6741" i="6"/>
  <c r="H6749" i="6"/>
  <c r="H6757" i="6"/>
  <c r="H6765" i="6"/>
  <c r="H6773" i="6"/>
  <c r="H6781" i="6"/>
  <c r="H6789" i="6"/>
  <c r="H6797" i="6"/>
  <c r="H6805" i="6"/>
  <c r="H6813" i="6"/>
  <c r="H6821" i="6"/>
  <c r="H6829" i="6"/>
  <c r="H6837" i="6"/>
  <c r="H6845" i="6"/>
  <c r="H6853" i="6"/>
  <c r="H6861" i="6"/>
  <c r="H6869" i="6"/>
  <c r="H6877" i="6"/>
  <c r="H6885" i="6"/>
  <c r="H6893" i="6"/>
  <c r="H6901" i="6"/>
  <c r="H6909" i="6"/>
  <c r="H6917" i="6"/>
  <c r="H6925" i="6"/>
  <c r="H6933" i="6"/>
  <c r="H6941" i="6"/>
  <c r="H6949" i="6"/>
  <c r="H6957" i="6"/>
  <c r="H6965" i="6"/>
  <c r="H6973" i="6"/>
  <c r="H6981" i="6"/>
  <c r="H6989" i="6"/>
  <c r="H6997" i="6"/>
  <c r="H7005" i="6"/>
  <c r="H7013" i="6"/>
  <c r="H7021" i="6"/>
  <c r="H7029" i="6"/>
  <c r="H7037" i="6"/>
  <c r="H7045" i="6"/>
  <c r="H7053" i="6"/>
  <c r="H7061" i="6"/>
  <c r="H7069" i="6"/>
  <c r="H7077" i="6"/>
  <c r="H7085" i="6"/>
  <c r="H7093" i="6"/>
  <c r="H7101" i="6"/>
  <c r="H7109" i="6"/>
  <c r="H7117" i="6"/>
  <c r="H7125" i="6"/>
  <c r="H7133" i="6"/>
  <c r="H7141" i="6"/>
  <c r="H7149" i="6"/>
  <c r="H7157" i="6"/>
  <c r="H7165" i="6"/>
  <c r="H7173" i="6"/>
  <c r="H7181" i="6"/>
  <c r="H7189" i="6"/>
  <c r="H7197" i="6"/>
  <c r="H7205" i="6"/>
  <c r="H6646" i="6"/>
  <c r="H6654" i="6"/>
  <c r="H6662" i="6"/>
  <c r="H6670" i="6"/>
  <c r="H6678" i="6"/>
  <c r="H6686" i="6"/>
  <c r="H6694" i="6"/>
  <c r="H6702" i="6"/>
  <c r="H6710" i="6"/>
  <c r="H6718" i="6"/>
  <c r="H6726" i="6"/>
  <c r="H6734" i="6"/>
  <c r="H6742" i="6"/>
  <c r="H6750" i="6"/>
  <c r="H6758" i="6"/>
  <c r="H6766" i="6"/>
  <c r="H6774" i="6"/>
  <c r="H6782" i="6"/>
  <c r="H6790" i="6"/>
  <c r="H6798" i="6"/>
  <c r="H6806" i="6"/>
  <c r="H6814" i="6"/>
  <c r="H6822" i="6"/>
  <c r="H6830" i="6"/>
  <c r="H6838" i="6"/>
  <c r="H6846" i="6"/>
  <c r="H6854" i="6"/>
  <c r="H6862" i="6"/>
  <c r="H6870" i="6"/>
  <c r="H6878" i="6"/>
  <c r="H6886" i="6"/>
  <c r="H6894" i="6"/>
  <c r="H6902" i="6"/>
  <c r="H6910" i="6"/>
  <c r="H6918" i="6"/>
  <c r="H6926" i="6"/>
  <c r="H6934" i="6"/>
  <c r="H6942" i="6"/>
  <c r="H6950" i="6"/>
  <c r="H6958" i="6"/>
  <c r="H6966" i="6"/>
  <c r="H6974" i="6"/>
  <c r="H6982" i="6"/>
  <c r="H6990" i="6"/>
  <c r="H6998" i="6"/>
  <c r="H7006" i="6"/>
  <c r="H7014" i="6"/>
  <c r="H7022" i="6"/>
  <c r="H7030" i="6"/>
  <c r="H7038" i="6"/>
  <c r="H7046" i="6"/>
  <c r="H7054" i="6"/>
  <c r="H7062" i="6"/>
  <c r="H7070" i="6"/>
  <c r="H7078" i="6"/>
  <c r="H7086" i="6"/>
  <c r="H7094" i="6"/>
  <c r="H7102" i="6"/>
  <c r="H7110" i="6"/>
  <c r="H7118" i="6"/>
  <c r="H7126" i="6"/>
  <c r="H7134" i="6"/>
  <c r="H7142" i="6"/>
  <c r="H7150" i="6"/>
  <c r="H7158" i="6"/>
  <c r="H7166" i="6"/>
  <c r="H7174" i="6"/>
  <c r="H7182" i="6"/>
  <c r="H7190" i="6"/>
  <c r="H6647" i="6"/>
  <c r="H6655" i="6"/>
  <c r="H6663" i="6"/>
  <c r="H6671" i="6"/>
  <c r="H6679" i="6"/>
  <c r="H6687" i="6"/>
  <c r="H6695" i="6"/>
  <c r="H6703" i="6"/>
  <c r="H6711" i="6"/>
  <c r="H6719" i="6"/>
  <c r="H6727" i="6"/>
  <c r="H6735" i="6"/>
  <c r="H6743" i="6"/>
  <c r="H6751" i="6"/>
  <c r="H6759" i="6"/>
  <c r="H6767" i="6"/>
  <c r="H6775" i="6"/>
  <c r="H6783" i="6"/>
  <c r="H6791" i="6"/>
  <c r="H6799" i="6"/>
  <c r="H6807" i="6"/>
  <c r="H6815" i="6"/>
  <c r="H6823" i="6"/>
  <c r="H6831" i="6"/>
  <c r="H6839" i="6"/>
  <c r="H6847" i="6"/>
  <c r="H6855" i="6"/>
  <c r="H6863" i="6"/>
  <c r="H6871" i="6"/>
  <c r="H6879" i="6"/>
  <c r="H6887" i="6"/>
  <c r="H6895" i="6"/>
  <c r="H6903" i="6"/>
  <c r="H6911" i="6"/>
  <c r="H6919" i="6"/>
  <c r="H6927" i="6"/>
  <c r="H6935" i="6"/>
  <c r="H6943" i="6"/>
  <c r="H6951" i="6"/>
  <c r="H6959" i="6"/>
  <c r="H6967" i="6"/>
  <c r="H6975" i="6"/>
  <c r="H6983" i="6"/>
  <c r="H6991" i="6"/>
  <c r="H6999" i="6"/>
  <c r="H7007" i="6"/>
  <c r="H7015" i="6"/>
  <c r="H7023" i="6"/>
  <c r="H7031" i="6"/>
  <c r="H7039" i="6"/>
  <c r="H7047" i="6"/>
  <c r="H7055" i="6"/>
  <c r="H7063" i="6"/>
  <c r="H7071" i="6"/>
  <c r="H7079" i="6"/>
  <c r="H7087" i="6"/>
  <c r="H7095" i="6"/>
  <c r="H7103" i="6"/>
  <c r="H7111" i="6"/>
  <c r="H7119" i="6"/>
  <c r="H7127" i="6"/>
  <c r="H7135" i="6"/>
  <c r="H7143" i="6"/>
  <c r="H7151" i="6"/>
  <c r="H7159" i="6"/>
  <c r="H7167" i="6"/>
  <c r="H7175" i="6"/>
  <c r="H7183" i="6"/>
  <c r="H7191" i="6"/>
  <c r="H7199" i="6"/>
  <c r="H7207" i="6"/>
  <c r="H7215" i="6"/>
  <c r="H7223" i="6"/>
  <c r="H7231" i="6"/>
  <c r="H7239" i="6"/>
  <c r="H7247" i="6"/>
  <c r="H7255" i="6"/>
  <c r="H7263" i="6"/>
  <c r="H7271" i="6"/>
  <c r="H7279" i="6"/>
  <c r="H7287" i="6"/>
  <c r="H6640" i="6"/>
  <c r="H6648" i="6"/>
  <c r="H6656" i="6"/>
  <c r="H6664" i="6"/>
  <c r="H6672" i="6"/>
  <c r="H6680" i="6"/>
  <c r="H6688" i="6"/>
  <c r="H6696" i="6"/>
  <c r="H6704" i="6"/>
  <c r="H6712" i="6"/>
  <c r="H6720" i="6"/>
  <c r="H6728" i="6"/>
  <c r="H6736" i="6"/>
  <c r="H6744" i="6"/>
  <c r="H6752" i="6"/>
  <c r="H6760" i="6"/>
  <c r="H6768" i="6"/>
  <c r="H6776" i="6"/>
  <c r="H6784" i="6"/>
  <c r="H6792" i="6"/>
  <c r="H6800" i="6"/>
  <c r="H6808" i="6"/>
  <c r="H6816" i="6"/>
  <c r="H6824" i="6"/>
  <c r="H6832" i="6"/>
  <c r="H6840" i="6"/>
  <c r="H6848" i="6"/>
  <c r="H6856" i="6"/>
  <c r="H6864" i="6"/>
  <c r="H6872" i="6"/>
  <c r="H6880" i="6"/>
  <c r="H6888" i="6"/>
  <c r="H6896" i="6"/>
  <c r="H6681" i="6"/>
  <c r="H6745" i="6"/>
  <c r="H6777" i="6"/>
  <c r="H6809" i="6"/>
  <c r="H6841" i="6"/>
  <c r="H6873" i="6"/>
  <c r="H6904" i="6"/>
  <c r="H6924" i="6"/>
  <c r="H6945" i="6"/>
  <c r="H6968" i="6"/>
  <c r="H6988" i="6"/>
  <c r="H7009" i="6"/>
  <c r="H7032" i="6"/>
  <c r="H7052" i="6"/>
  <c r="H7073" i="6"/>
  <c r="H7096" i="6"/>
  <c r="H7116" i="6"/>
  <c r="H7137" i="6"/>
  <c r="H7160" i="6"/>
  <c r="H7180" i="6"/>
  <c r="H7200" i="6"/>
  <c r="H7214" i="6"/>
  <c r="H7226" i="6"/>
  <c r="H7237" i="6"/>
  <c r="H7248" i="6"/>
  <c r="H7258" i="6"/>
  <c r="H7269" i="6"/>
  <c r="H7280" i="6"/>
  <c r="H7290" i="6"/>
  <c r="H7298" i="6"/>
  <c r="H7306" i="6"/>
  <c r="H7314" i="6"/>
  <c r="H7322" i="6"/>
  <c r="H7330" i="6"/>
  <c r="H7338" i="6"/>
  <c r="H7346" i="6"/>
  <c r="H7354" i="6"/>
  <c r="H7362" i="6"/>
  <c r="H7370" i="6"/>
  <c r="H7378" i="6"/>
  <c r="H7386" i="6"/>
  <c r="H7394" i="6"/>
  <c r="H7402" i="6"/>
  <c r="H7410" i="6"/>
  <c r="H7418" i="6"/>
  <c r="H7426" i="6"/>
  <c r="H7434" i="6"/>
  <c r="H7442" i="6"/>
  <c r="H7450" i="6"/>
  <c r="H6689" i="6"/>
  <c r="H6748" i="6"/>
  <c r="H6780" i="6"/>
  <c r="H6812" i="6"/>
  <c r="H6844" i="6"/>
  <c r="H6876" i="6"/>
  <c r="H6905" i="6"/>
  <c r="H6928" i="6"/>
  <c r="H6948" i="6"/>
  <c r="H6969" i="6"/>
  <c r="H6992" i="6"/>
  <c r="H7012" i="6"/>
  <c r="H7033" i="6"/>
  <c r="H7056" i="6"/>
  <c r="H7076" i="6"/>
  <c r="H7097" i="6"/>
  <c r="H7120" i="6"/>
  <c r="H7140" i="6"/>
  <c r="H7161" i="6"/>
  <c r="H7184" i="6"/>
  <c r="H7201" i="6"/>
  <c r="H7216" i="6"/>
  <c r="H7228" i="6"/>
  <c r="H7238" i="6"/>
  <c r="H7249" i="6"/>
  <c r="H7260" i="6"/>
  <c r="H7270" i="6"/>
  <c r="H7281" i="6"/>
  <c r="H7291" i="6"/>
  <c r="H7299" i="6"/>
  <c r="H7307" i="6"/>
  <c r="H7315" i="6"/>
  <c r="H7323" i="6"/>
  <c r="H7331" i="6"/>
  <c r="H7339" i="6"/>
  <c r="H7347" i="6"/>
  <c r="H7355" i="6"/>
  <c r="H7363" i="6"/>
  <c r="H7371" i="6"/>
  <c r="H7379" i="6"/>
  <c r="H7387" i="6"/>
  <c r="H7395" i="6"/>
  <c r="H7403" i="6"/>
  <c r="H7411" i="6"/>
  <c r="H7419" i="6"/>
  <c r="H7427" i="6"/>
  <c r="H7435" i="6"/>
  <c r="H7443" i="6"/>
  <c r="H7451" i="6"/>
  <c r="H6697" i="6"/>
  <c r="H6753" i="6"/>
  <c r="H6785" i="6"/>
  <c r="H6817" i="6"/>
  <c r="H6849" i="6"/>
  <c r="H6881" i="6"/>
  <c r="H6908" i="6"/>
  <c r="H6929" i="6"/>
  <c r="H6952" i="6"/>
  <c r="H6972" i="6"/>
  <c r="H6993" i="6"/>
  <c r="H7016" i="6"/>
  <c r="H7036" i="6"/>
  <c r="H7057" i="6"/>
  <c r="H7080" i="6"/>
  <c r="H7100" i="6"/>
  <c r="H7121" i="6"/>
  <c r="H7144" i="6"/>
  <c r="H7164" i="6"/>
  <c r="H7185" i="6"/>
  <c r="H7204" i="6"/>
  <c r="H7217" i="6"/>
  <c r="H7229" i="6"/>
  <c r="H7240" i="6"/>
  <c r="H7250" i="6"/>
  <c r="H7261" i="6"/>
  <c r="H7272" i="6"/>
  <c r="H7282" i="6"/>
  <c r="H7292" i="6"/>
  <c r="H7300" i="6"/>
  <c r="H7308" i="6"/>
  <c r="H7316" i="6"/>
  <c r="H7324" i="6"/>
  <c r="H7332" i="6"/>
  <c r="H7340" i="6"/>
  <c r="H7348" i="6"/>
  <c r="H7356" i="6"/>
  <c r="H7364" i="6"/>
  <c r="H7372" i="6"/>
  <c r="H7380" i="6"/>
  <c r="H7388" i="6"/>
  <c r="H7396" i="6"/>
  <c r="H7404" i="6"/>
  <c r="H7412" i="6"/>
  <c r="H7420" i="6"/>
  <c r="H7428" i="6"/>
  <c r="H7436" i="6"/>
  <c r="H7444" i="6"/>
  <c r="H7452" i="6"/>
  <c r="H6641" i="6"/>
  <c r="H6705" i="6"/>
  <c r="H6756" i="6"/>
  <c r="H6788" i="6"/>
  <c r="H6820" i="6"/>
  <c r="H6852" i="6"/>
  <c r="H6884" i="6"/>
  <c r="H6912" i="6"/>
  <c r="H6932" i="6"/>
  <c r="H6953" i="6"/>
  <c r="H6976" i="6"/>
  <c r="H6996" i="6"/>
  <c r="H7017" i="6"/>
  <c r="H7040" i="6"/>
  <c r="H7060" i="6"/>
  <c r="H7081" i="6"/>
  <c r="H7104" i="6"/>
  <c r="H7124" i="6"/>
  <c r="H7145" i="6"/>
  <c r="H7168" i="6"/>
  <c r="H7188" i="6"/>
  <c r="H7206" i="6"/>
  <c r="H7220" i="6"/>
  <c r="H7230" i="6"/>
  <c r="H7241" i="6"/>
  <c r="H7252" i="6"/>
  <c r="H7262" i="6"/>
  <c r="H7273" i="6"/>
  <c r="H7284" i="6"/>
  <c r="H7293" i="6"/>
  <c r="H7301" i="6"/>
  <c r="H7309" i="6"/>
  <c r="H7317" i="6"/>
  <c r="H7325" i="6"/>
  <c r="H7333" i="6"/>
  <c r="H7341" i="6"/>
  <c r="H7349" i="6"/>
  <c r="H7357" i="6"/>
  <c r="H7365" i="6"/>
  <c r="H7373" i="6"/>
  <c r="H7381" i="6"/>
  <c r="H7389" i="6"/>
  <c r="H7397" i="6"/>
  <c r="H7405" i="6"/>
  <c r="H7413" i="6"/>
  <c r="H7421" i="6"/>
  <c r="H7429" i="6"/>
  <c r="H7437" i="6"/>
  <c r="H7445" i="6"/>
  <c r="H7453" i="6"/>
  <c r="H6649" i="6"/>
  <c r="H6713" i="6"/>
  <c r="H6761" i="6"/>
  <c r="H6793" i="6"/>
  <c r="H6825" i="6"/>
  <c r="H6857" i="6"/>
  <c r="H6889" i="6"/>
  <c r="H6913" i="6"/>
  <c r="H6936" i="6"/>
  <c r="H6956" i="6"/>
  <c r="H6977" i="6"/>
  <c r="H7000" i="6"/>
  <c r="H7020" i="6"/>
  <c r="H7041" i="6"/>
  <c r="H7064" i="6"/>
  <c r="H7084" i="6"/>
  <c r="H7105" i="6"/>
  <c r="H7128" i="6"/>
  <c r="H7148" i="6"/>
  <c r="H7169" i="6"/>
  <c r="H7192" i="6"/>
  <c r="H7208" i="6"/>
  <c r="H7221" i="6"/>
  <c r="H7232" i="6"/>
  <c r="H7242" i="6"/>
  <c r="H7253" i="6"/>
  <c r="H7264" i="6"/>
  <c r="H7274" i="6"/>
  <c r="H7285" i="6"/>
  <c r="H7294" i="6"/>
  <c r="H7302" i="6"/>
  <c r="H7310" i="6"/>
  <c r="H7318" i="6"/>
  <c r="H7326" i="6"/>
  <c r="H7334" i="6"/>
  <c r="H7342" i="6"/>
  <c r="H7350" i="6"/>
  <c r="H7358" i="6"/>
  <c r="H7366" i="6"/>
  <c r="H7374" i="6"/>
  <c r="H7382" i="6"/>
  <c r="H7390" i="6"/>
  <c r="H7398" i="6"/>
  <c r="H7406" i="6"/>
  <c r="H7414" i="6"/>
  <c r="H7422" i="6"/>
  <c r="H7430" i="6"/>
  <c r="H7438" i="6"/>
  <c r="H7446" i="6"/>
  <c r="H7454" i="6"/>
  <c r="H6665" i="6"/>
  <c r="H6729" i="6"/>
  <c r="H6769" i="6"/>
  <c r="H6801" i="6"/>
  <c r="H6833" i="6"/>
  <c r="H6865" i="6"/>
  <c r="H6897" i="6"/>
  <c r="H6920" i="6"/>
  <c r="H6940" i="6"/>
  <c r="H6961" i="6"/>
  <c r="H6984" i="6"/>
  <c r="H7004" i="6"/>
  <c r="H7025" i="6"/>
  <c r="H7048" i="6"/>
  <c r="H7068" i="6"/>
  <c r="H7089" i="6"/>
  <c r="H7112" i="6"/>
  <c r="H7132" i="6"/>
  <c r="H7153" i="6"/>
  <c r="H7176" i="6"/>
  <c r="H7196" i="6"/>
  <c r="H7212" i="6"/>
  <c r="H7224" i="6"/>
  <c r="H7234" i="6"/>
  <c r="H7245" i="6"/>
  <c r="H7256" i="6"/>
  <c r="H7266" i="6"/>
  <c r="H7277" i="6"/>
  <c r="H7288" i="6"/>
  <c r="H7296" i="6"/>
  <c r="H7304" i="6"/>
  <c r="H7312" i="6"/>
  <c r="H7320" i="6"/>
  <c r="H7328" i="6"/>
  <c r="H7336" i="6"/>
  <c r="H7344" i="6"/>
  <c r="H7352" i="6"/>
  <c r="H7360" i="6"/>
  <c r="H7368" i="6"/>
  <c r="H7376" i="6"/>
  <c r="H7384" i="6"/>
  <c r="H7392" i="6"/>
  <c r="H7400" i="6"/>
  <c r="H7408" i="6"/>
  <c r="H7416" i="6"/>
  <c r="H7424" i="6"/>
  <c r="H7432" i="6"/>
  <c r="H7440" i="6"/>
  <c r="H7448" i="6"/>
  <c r="H7456" i="6"/>
  <c r="H6673" i="6"/>
  <c r="H6737" i="6"/>
  <c r="H6772" i="6"/>
  <c r="H6804" i="6"/>
  <c r="H6836" i="6"/>
  <c r="H6868" i="6"/>
  <c r="H6900" i="6"/>
  <c r="H6921" i="6"/>
  <c r="H6944" i="6"/>
  <c r="H6964" i="6"/>
  <c r="H6985" i="6"/>
  <c r="H7008" i="6"/>
  <c r="H7028" i="6"/>
  <c r="H7049" i="6"/>
  <c r="H7072" i="6"/>
  <c r="H7092" i="6"/>
  <c r="H7113" i="6"/>
  <c r="H7136" i="6"/>
  <c r="H7156" i="6"/>
  <c r="H7177" i="6"/>
  <c r="H7198" i="6"/>
  <c r="H7213" i="6"/>
  <c r="H7225" i="6"/>
  <c r="H7236" i="6"/>
  <c r="H7246" i="6"/>
  <c r="H7257" i="6"/>
  <c r="H7268" i="6"/>
  <c r="H7278" i="6"/>
  <c r="H7289" i="6"/>
  <c r="H7297" i="6"/>
  <c r="H7305" i="6"/>
  <c r="H7313" i="6"/>
  <c r="H7321" i="6"/>
  <c r="H7329" i="6"/>
  <c r="H7337" i="6"/>
  <c r="H6764" i="6"/>
  <c r="H6980" i="6"/>
  <c r="H7152" i="6"/>
  <c r="H7265" i="6"/>
  <c r="H7335" i="6"/>
  <c r="H7369" i="6"/>
  <c r="H7401" i="6"/>
  <c r="H7433" i="6"/>
  <c r="H6796" i="6"/>
  <c r="H7001" i="6"/>
  <c r="H7172" i="6"/>
  <c r="H7276" i="6"/>
  <c r="H7343" i="6"/>
  <c r="H7375" i="6"/>
  <c r="H7407" i="6"/>
  <c r="H7439" i="6"/>
  <c r="H6828" i="6"/>
  <c r="H7024" i="6"/>
  <c r="H7193" i="6"/>
  <c r="H7286" i="6"/>
  <c r="H7345" i="6"/>
  <c r="H7377" i="6"/>
  <c r="H7409" i="6"/>
  <c r="H7441" i="6"/>
  <c r="H6860" i="6"/>
  <c r="H7044" i="6"/>
  <c r="H7209" i="6"/>
  <c r="H7295" i="6"/>
  <c r="H7351" i="6"/>
  <c r="H7383" i="6"/>
  <c r="H7415" i="6"/>
  <c r="H7447" i="6"/>
  <c r="H7367" i="6"/>
  <c r="H7399" i="6"/>
  <c r="H7431" i="6"/>
  <c r="H6892" i="6"/>
  <c r="H7065" i="6"/>
  <c r="H7222" i="6"/>
  <c r="H7303" i="6"/>
  <c r="H7353" i="6"/>
  <c r="H7385" i="6"/>
  <c r="H7417" i="6"/>
  <c r="H7449" i="6"/>
  <c r="H6916" i="6"/>
  <c r="H7088" i="6"/>
  <c r="H7233" i="6"/>
  <c r="H7311" i="6"/>
  <c r="H7359" i="6"/>
  <c r="H7391" i="6"/>
  <c r="H7423" i="6"/>
  <c r="H7455" i="6"/>
  <c r="H6657" i="6"/>
  <c r="H6937" i="6"/>
  <c r="H7108" i="6"/>
  <c r="H7244" i="6"/>
  <c r="H7319" i="6"/>
  <c r="H7361" i="6"/>
  <c r="H7393" i="6"/>
  <c r="H7425" i="6"/>
  <c r="H7457" i="6"/>
  <c r="H6721" i="6"/>
  <c r="H6960" i="6"/>
  <c r="H7129" i="6"/>
  <c r="H7254" i="6"/>
  <c r="H7327" i="6"/>
  <c r="H5824" i="6"/>
  <c r="H5832" i="6"/>
  <c r="H5840" i="6"/>
  <c r="H5848" i="6"/>
  <c r="H5856" i="6"/>
  <c r="H5864" i="6"/>
  <c r="H5872" i="6"/>
  <c r="H5880" i="6"/>
  <c r="H5888" i="6"/>
  <c r="H5896" i="6"/>
  <c r="H5904" i="6"/>
  <c r="H5912" i="6"/>
  <c r="H5920" i="6"/>
  <c r="H5928" i="6"/>
  <c r="H5936" i="6"/>
  <c r="H5944" i="6"/>
  <c r="H5952" i="6"/>
  <c r="H5960" i="6"/>
  <c r="H5968" i="6"/>
  <c r="H5976" i="6"/>
  <c r="H5984" i="6"/>
  <c r="H5992" i="6"/>
  <c r="H6000" i="6"/>
  <c r="H6008" i="6"/>
  <c r="H6016" i="6"/>
  <c r="H6024" i="6"/>
  <c r="H6032" i="6"/>
  <c r="H6040" i="6"/>
  <c r="H6048" i="6"/>
  <c r="H6056" i="6"/>
  <c r="H6064" i="6"/>
  <c r="H6072" i="6"/>
  <c r="H6080" i="6"/>
  <c r="H6088" i="6"/>
  <c r="H6096" i="6"/>
  <c r="H6104" i="6"/>
  <c r="H6112" i="6"/>
  <c r="H6120" i="6"/>
  <c r="H6128" i="6"/>
  <c r="H6136" i="6"/>
  <c r="H6144" i="6"/>
  <c r="H6152" i="6"/>
  <c r="H6160" i="6"/>
  <c r="H6168" i="6"/>
  <c r="H6176" i="6"/>
  <c r="H6184" i="6"/>
  <c r="H6192" i="6"/>
  <c r="H6200" i="6"/>
  <c r="H6208" i="6"/>
  <c r="H6216" i="6"/>
  <c r="H6224" i="6"/>
  <c r="H6232" i="6"/>
  <c r="H6240" i="6"/>
  <c r="H6248" i="6"/>
  <c r="H6256" i="6"/>
  <c r="H6264" i="6"/>
  <c r="H6272" i="6"/>
  <c r="H6280" i="6"/>
  <c r="H6288" i="6"/>
  <c r="H6296" i="6"/>
  <c r="H6304" i="6"/>
  <c r="H6312" i="6"/>
  <c r="H6320" i="6"/>
  <c r="H6328" i="6"/>
  <c r="H6336" i="6"/>
  <c r="H6344" i="6"/>
  <c r="H6352" i="6"/>
  <c r="H6360" i="6"/>
  <c r="H6368" i="6"/>
  <c r="H6376" i="6"/>
  <c r="H6384" i="6"/>
  <c r="H6392" i="6"/>
  <c r="H6400" i="6"/>
  <c r="H6408" i="6"/>
  <c r="H6416" i="6"/>
  <c r="H6424" i="6"/>
  <c r="H5825" i="6"/>
  <c r="H5833" i="6"/>
  <c r="H5841" i="6"/>
  <c r="H5849" i="6"/>
  <c r="H5857" i="6"/>
  <c r="H5865" i="6"/>
  <c r="H5873" i="6"/>
  <c r="H5881" i="6"/>
  <c r="H5889" i="6"/>
  <c r="H5897" i="6"/>
  <c r="H5905" i="6"/>
  <c r="H5913" i="6"/>
  <c r="H5921" i="6"/>
  <c r="H5929" i="6"/>
  <c r="H5937" i="6"/>
  <c r="H5945" i="6"/>
  <c r="H5953" i="6"/>
  <c r="H5961" i="6"/>
  <c r="H5969" i="6"/>
  <c r="H5977" i="6"/>
  <c r="H5985" i="6"/>
  <c r="H5993" i="6"/>
  <c r="H6001" i="6"/>
  <c r="H6009" i="6"/>
  <c r="H6017" i="6"/>
  <c r="H6025" i="6"/>
  <c r="H6033" i="6"/>
  <c r="H6041" i="6"/>
  <c r="H6049" i="6"/>
  <c r="H6057" i="6"/>
  <c r="H6065" i="6"/>
  <c r="H6073" i="6"/>
  <c r="H6081" i="6"/>
  <c r="H6089" i="6"/>
  <c r="H6097" i="6"/>
  <c r="H6105" i="6"/>
  <c r="H6113" i="6"/>
  <c r="H6121" i="6"/>
  <c r="H6129" i="6"/>
  <c r="H6137" i="6"/>
  <c r="H6145" i="6"/>
  <c r="H6153" i="6"/>
  <c r="H6161" i="6"/>
  <c r="H6169" i="6"/>
  <c r="H6177" i="6"/>
  <c r="H6185" i="6"/>
  <c r="H6193" i="6"/>
  <c r="H6201" i="6"/>
  <c r="H6209" i="6"/>
  <c r="H6217" i="6"/>
  <c r="H6225" i="6"/>
  <c r="H6233" i="6"/>
  <c r="H6241" i="6"/>
  <c r="H6249" i="6"/>
  <c r="H6257" i="6"/>
  <c r="H6265" i="6"/>
  <c r="H6273" i="6"/>
  <c r="H6281" i="6"/>
  <c r="H6289" i="6"/>
  <c r="H6297" i="6"/>
  <c r="H6305" i="6"/>
  <c r="H6313" i="6"/>
  <c r="H6321" i="6"/>
  <c r="H5826" i="6"/>
  <c r="H5834" i="6"/>
  <c r="H5842" i="6"/>
  <c r="H5850" i="6"/>
  <c r="H5858" i="6"/>
  <c r="H5866" i="6"/>
  <c r="H5874" i="6"/>
  <c r="H5882" i="6"/>
  <c r="H5890" i="6"/>
  <c r="H5898" i="6"/>
  <c r="H5906" i="6"/>
  <c r="H5914" i="6"/>
  <c r="H5922" i="6"/>
  <c r="H5930" i="6"/>
  <c r="H5938" i="6"/>
  <c r="H5946" i="6"/>
  <c r="H5954" i="6"/>
  <c r="H5962" i="6"/>
  <c r="H5970" i="6"/>
  <c r="H5978" i="6"/>
  <c r="H5986" i="6"/>
  <c r="H5994" i="6"/>
  <c r="H6002" i="6"/>
  <c r="H6010" i="6"/>
  <c r="H6018" i="6"/>
  <c r="H6026" i="6"/>
  <c r="H6034" i="6"/>
  <c r="H6042" i="6"/>
  <c r="H6050" i="6"/>
  <c r="H6058" i="6"/>
  <c r="H6066" i="6"/>
  <c r="H6074" i="6"/>
  <c r="H6082" i="6"/>
  <c r="H6090" i="6"/>
  <c r="H6098" i="6"/>
  <c r="H6106" i="6"/>
  <c r="H6114" i="6"/>
  <c r="H6122" i="6"/>
  <c r="H6130" i="6"/>
  <c r="H6138" i="6"/>
  <c r="H6146" i="6"/>
  <c r="H6154" i="6"/>
  <c r="H6162" i="6"/>
  <c r="H6170" i="6"/>
  <c r="H6178" i="6"/>
  <c r="H6186" i="6"/>
  <c r="H6194" i="6"/>
  <c r="H6202" i="6"/>
  <c r="H6210" i="6"/>
  <c r="H6218" i="6"/>
  <c r="H6226" i="6"/>
  <c r="H6234" i="6"/>
  <c r="H6242" i="6"/>
  <c r="H6250" i="6"/>
  <c r="H6258" i="6"/>
  <c r="H6266" i="6"/>
  <c r="H6274" i="6"/>
  <c r="H6282" i="6"/>
  <c r="H6290" i="6"/>
  <c r="H6298" i="6"/>
  <c r="H6306" i="6"/>
  <c r="H6314" i="6"/>
  <c r="H6322" i="6"/>
  <c r="H6330" i="6"/>
  <c r="H6338" i="6"/>
  <c r="H6346" i="6"/>
  <c r="H6354" i="6"/>
  <c r="H6362" i="6"/>
  <c r="H6370" i="6"/>
  <c r="H6378" i="6"/>
  <c r="H6386" i="6"/>
  <c r="H6394" i="6"/>
  <c r="H6402" i="6"/>
  <c r="H6410" i="6"/>
  <c r="H6418" i="6"/>
  <c r="H6426" i="6"/>
  <c r="H6434" i="6"/>
  <c r="H6442" i="6"/>
  <c r="H6450" i="6"/>
  <c r="H6458" i="6"/>
  <c r="H6466" i="6"/>
  <c r="H5827" i="6"/>
  <c r="H5835" i="6"/>
  <c r="H5843" i="6"/>
  <c r="H5851" i="6"/>
  <c r="H5859" i="6"/>
  <c r="H5867" i="6"/>
  <c r="H5875" i="6"/>
  <c r="H5883" i="6"/>
  <c r="H5891" i="6"/>
  <c r="H5899" i="6"/>
  <c r="H5907" i="6"/>
  <c r="H5915" i="6"/>
  <c r="H5923" i="6"/>
  <c r="H5931" i="6"/>
  <c r="H5939" i="6"/>
  <c r="H5947" i="6"/>
  <c r="H5955" i="6"/>
  <c r="H5963" i="6"/>
  <c r="H5971" i="6"/>
  <c r="H5979" i="6"/>
  <c r="H5987" i="6"/>
  <c r="H5995" i="6"/>
  <c r="H6003" i="6"/>
  <c r="H6011" i="6"/>
  <c r="H6019" i="6"/>
  <c r="H6027" i="6"/>
  <c r="H6035" i="6"/>
  <c r="H6043" i="6"/>
  <c r="H6051" i="6"/>
  <c r="H6059" i="6"/>
  <c r="H6067" i="6"/>
  <c r="H6075" i="6"/>
  <c r="H6083" i="6"/>
  <c r="H6091" i="6"/>
  <c r="H6099" i="6"/>
  <c r="H6107" i="6"/>
  <c r="H6115" i="6"/>
  <c r="H6123" i="6"/>
  <c r="H6131" i="6"/>
  <c r="H6139" i="6"/>
  <c r="H6147" i="6"/>
  <c r="H6155" i="6"/>
  <c r="H6163" i="6"/>
  <c r="H6171" i="6"/>
  <c r="H6179" i="6"/>
  <c r="H6187" i="6"/>
  <c r="H6195" i="6"/>
  <c r="H6203" i="6"/>
  <c r="H6211" i="6"/>
  <c r="H6219" i="6"/>
  <c r="H6227" i="6"/>
  <c r="H6235" i="6"/>
  <c r="H6243" i="6"/>
  <c r="H6251" i="6"/>
  <c r="H6259" i="6"/>
  <c r="H6267" i="6"/>
  <c r="H6275" i="6"/>
  <c r="H6283" i="6"/>
  <c r="H6291" i="6"/>
  <c r="H6299" i="6"/>
  <c r="H6307" i="6"/>
  <c r="H6315" i="6"/>
  <c r="H6323" i="6"/>
  <c r="H6331" i="6"/>
  <c r="H5828" i="6"/>
  <c r="H5836" i="6"/>
  <c r="H5844" i="6"/>
  <c r="H5852" i="6"/>
  <c r="H5860" i="6"/>
  <c r="H5868" i="6"/>
  <c r="H5876" i="6"/>
  <c r="H5884" i="6"/>
  <c r="H5892" i="6"/>
  <c r="H5900" i="6"/>
  <c r="H5908" i="6"/>
  <c r="H5916" i="6"/>
  <c r="H5924" i="6"/>
  <c r="H5932" i="6"/>
  <c r="H5940" i="6"/>
  <c r="H5948" i="6"/>
  <c r="H5956" i="6"/>
  <c r="H5964" i="6"/>
  <c r="H5972" i="6"/>
  <c r="H5980" i="6"/>
  <c r="H5988" i="6"/>
  <c r="H5996" i="6"/>
  <c r="H6004" i="6"/>
  <c r="H6012" i="6"/>
  <c r="H6020" i="6"/>
  <c r="H6028" i="6"/>
  <c r="H6036" i="6"/>
  <c r="H6044" i="6"/>
  <c r="H6052" i="6"/>
  <c r="H6060" i="6"/>
  <c r="H6068" i="6"/>
  <c r="H6076" i="6"/>
  <c r="H6084" i="6"/>
  <c r="H6092" i="6"/>
  <c r="H6100" i="6"/>
  <c r="H6108" i="6"/>
  <c r="H6116" i="6"/>
  <c r="H6124" i="6"/>
  <c r="H6132" i="6"/>
  <c r="H6140" i="6"/>
  <c r="H6148" i="6"/>
  <c r="H6156" i="6"/>
  <c r="H6164" i="6"/>
  <c r="H6172" i="6"/>
  <c r="H6180" i="6"/>
  <c r="H6188" i="6"/>
  <c r="H6196" i="6"/>
  <c r="H6204" i="6"/>
  <c r="H6212" i="6"/>
  <c r="H6220" i="6"/>
  <c r="H6228" i="6"/>
  <c r="H6236" i="6"/>
  <c r="H6244" i="6"/>
  <c r="H6252" i="6"/>
  <c r="H6260" i="6"/>
  <c r="H6268" i="6"/>
  <c r="H6276" i="6"/>
  <c r="H6284" i="6"/>
  <c r="H6292" i="6"/>
  <c r="H6300" i="6"/>
  <c r="H6308" i="6"/>
  <c r="H6316" i="6"/>
  <c r="H6324" i="6"/>
  <c r="H6332" i="6"/>
  <c r="H6340" i="6"/>
  <c r="H6348" i="6"/>
  <c r="H6356" i="6"/>
  <c r="H6364" i="6"/>
  <c r="H6372" i="6"/>
  <c r="H5829" i="6"/>
  <c r="H5837" i="6"/>
  <c r="H5845" i="6"/>
  <c r="H5853" i="6"/>
  <c r="H5861" i="6"/>
  <c r="H5869" i="6"/>
  <c r="H5877" i="6"/>
  <c r="H5885" i="6"/>
  <c r="H5893" i="6"/>
  <c r="H5901" i="6"/>
  <c r="H5909" i="6"/>
  <c r="H5917" i="6"/>
  <c r="H5925" i="6"/>
  <c r="H5933" i="6"/>
  <c r="H5941" i="6"/>
  <c r="H5949" i="6"/>
  <c r="H5957" i="6"/>
  <c r="H5965" i="6"/>
  <c r="H5973" i="6"/>
  <c r="H5981" i="6"/>
  <c r="H5989" i="6"/>
  <c r="H5997" i="6"/>
  <c r="H6005" i="6"/>
  <c r="H6013" i="6"/>
  <c r="H6021" i="6"/>
  <c r="H6029" i="6"/>
  <c r="H6037" i="6"/>
  <c r="H6045" i="6"/>
  <c r="H6053" i="6"/>
  <c r="H6061" i="6"/>
  <c r="H6069" i="6"/>
  <c r="H6077" i="6"/>
  <c r="H6085" i="6"/>
  <c r="H6093" i="6"/>
  <c r="H6101" i="6"/>
  <c r="H6109" i="6"/>
  <c r="H6117" i="6"/>
  <c r="H6125" i="6"/>
  <c r="H6133" i="6"/>
  <c r="H6141" i="6"/>
  <c r="H6149" i="6"/>
  <c r="H6157" i="6"/>
  <c r="H6165" i="6"/>
  <c r="H6173" i="6"/>
  <c r="H6181" i="6"/>
  <c r="H6189" i="6"/>
  <c r="H6197" i="6"/>
  <c r="H6205" i="6"/>
  <c r="H6213" i="6"/>
  <c r="H6221" i="6"/>
  <c r="H6229" i="6"/>
  <c r="H6237" i="6"/>
  <c r="H6245" i="6"/>
  <c r="H6253" i="6"/>
  <c r="H6261" i="6"/>
  <c r="H6269" i="6"/>
  <c r="H6277" i="6"/>
  <c r="H6285" i="6"/>
  <c r="H6293" i="6"/>
  <c r="H6301" i="6"/>
  <c r="H6309" i="6"/>
  <c r="H6317" i="6"/>
  <c r="H6325" i="6"/>
  <c r="H6333" i="6"/>
  <c r="H6341" i="6"/>
  <c r="H6349" i="6"/>
  <c r="H6357" i="6"/>
  <c r="H6365" i="6"/>
  <c r="H6373" i="6"/>
  <c r="H6381" i="6"/>
  <c r="H6389" i="6"/>
  <c r="H6397" i="6"/>
  <c r="H6405" i="6"/>
  <c r="H6413" i="6"/>
  <c r="H6421" i="6"/>
  <c r="H5822" i="6"/>
  <c r="H5830" i="6"/>
  <c r="H5838" i="6"/>
  <c r="H5846" i="6"/>
  <c r="H5854" i="6"/>
  <c r="H5862" i="6"/>
  <c r="H5870" i="6"/>
  <c r="H5878" i="6"/>
  <c r="H5886" i="6"/>
  <c r="H5894" i="6"/>
  <c r="H5902" i="6"/>
  <c r="H5910" i="6"/>
  <c r="H5918" i="6"/>
  <c r="H5926" i="6"/>
  <c r="H5934" i="6"/>
  <c r="H5942" i="6"/>
  <c r="H5950" i="6"/>
  <c r="H5958" i="6"/>
  <c r="H5966" i="6"/>
  <c r="H5974" i="6"/>
  <c r="H5982" i="6"/>
  <c r="H5990" i="6"/>
  <c r="H5998" i="6"/>
  <c r="H6006" i="6"/>
  <c r="H6014" i="6"/>
  <c r="H6022" i="6"/>
  <c r="H6030" i="6"/>
  <c r="H6038" i="6"/>
  <c r="H6046" i="6"/>
  <c r="H6054" i="6"/>
  <c r="H6062" i="6"/>
  <c r="H6070" i="6"/>
  <c r="H6078" i="6"/>
  <c r="H6086" i="6"/>
  <c r="H6094" i="6"/>
  <c r="H6102" i="6"/>
  <c r="H6110" i="6"/>
  <c r="H6118" i="6"/>
  <c r="H6126" i="6"/>
  <c r="H6134" i="6"/>
  <c r="H6142" i="6"/>
  <c r="H6150" i="6"/>
  <c r="H6158" i="6"/>
  <c r="H6166" i="6"/>
  <c r="H6174" i="6"/>
  <c r="H6182" i="6"/>
  <c r="H6190" i="6"/>
  <c r="H6198" i="6"/>
  <c r="H6206" i="6"/>
  <c r="H6214" i="6"/>
  <c r="H6222" i="6"/>
  <c r="H6230" i="6"/>
  <c r="H6238" i="6"/>
  <c r="H6246" i="6"/>
  <c r="H6254" i="6"/>
  <c r="H6262" i="6"/>
  <c r="H6270" i="6"/>
  <c r="H6278" i="6"/>
  <c r="H6286" i="6"/>
  <c r="H6294" i="6"/>
  <c r="H6302" i="6"/>
  <c r="H6310" i="6"/>
  <c r="H6318" i="6"/>
  <c r="H6326" i="6"/>
  <c r="H6334" i="6"/>
  <c r="H6342" i="6"/>
  <c r="H6350" i="6"/>
  <c r="H6358" i="6"/>
  <c r="H6366" i="6"/>
  <c r="H6374" i="6"/>
  <c r="H6382" i="6"/>
  <c r="H6390" i="6"/>
  <c r="H6398" i="6"/>
  <c r="H6406" i="6"/>
  <c r="H6414" i="6"/>
  <c r="H6422" i="6"/>
  <c r="H6430" i="6"/>
  <c r="H6438" i="6"/>
  <c r="H6446" i="6"/>
  <c r="H6454" i="6"/>
  <c r="H6462" i="6"/>
  <c r="H6470" i="6"/>
  <c r="H5863" i="6"/>
  <c r="H5927" i="6"/>
  <c r="H5991" i="6"/>
  <c r="H6055" i="6"/>
  <c r="H6119" i="6"/>
  <c r="H6183" i="6"/>
  <c r="H6247" i="6"/>
  <c r="H6345" i="6"/>
  <c r="H6367" i="6"/>
  <c r="H6401" i="6"/>
  <c r="H6431" i="6"/>
  <c r="H6452" i="6"/>
  <c r="H6473" i="6"/>
  <c r="H6489" i="6"/>
  <c r="H6513" i="6"/>
  <c r="H6529" i="6"/>
  <c r="H6553" i="6"/>
  <c r="H6569" i="6"/>
  <c r="H6593" i="6"/>
  <c r="H6609" i="6"/>
  <c r="H6633" i="6"/>
  <c r="H6506" i="6"/>
  <c r="H6530" i="6"/>
  <c r="H6546" i="6"/>
  <c r="H6554" i="6"/>
  <c r="H6570" i="6"/>
  <c r="H6586" i="6"/>
  <c r="H6602" i="6"/>
  <c r="H6618" i="6"/>
  <c r="H6634" i="6"/>
  <c r="H6628" i="6"/>
  <c r="H5871" i="6"/>
  <c r="H5935" i="6"/>
  <c r="H5999" i="6"/>
  <c r="H6063" i="6"/>
  <c r="H6127" i="6"/>
  <c r="H6191" i="6"/>
  <c r="H6255" i="6"/>
  <c r="H6319" i="6"/>
  <c r="H6347" i="6"/>
  <c r="H6369" i="6"/>
  <c r="H6387" i="6"/>
  <c r="H6403" i="6"/>
  <c r="H6419" i="6"/>
  <c r="H6432" i="6"/>
  <c r="H6443" i="6"/>
  <c r="H6453" i="6"/>
  <c r="H6464" i="6"/>
  <c r="H6474" i="6"/>
  <c r="H6482" i="6"/>
  <c r="H6490" i="6"/>
  <c r="H6498" i="6"/>
  <c r="H6514" i="6"/>
  <c r="H6522" i="6"/>
  <c r="H6538" i="6"/>
  <c r="H6562" i="6"/>
  <c r="H6578" i="6"/>
  <c r="H6594" i="6"/>
  <c r="H6610" i="6"/>
  <c r="H6626" i="6"/>
  <c r="H5879" i="6"/>
  <c r="H5943" i="6"/>
  <c r="H6007" i="6"/>
  <c r="H6071" i="6"/>
  <c r="H6135" i="6"/>
  <c r="H6199" i="6"/>
  <c r="H6263" i="6"/>
  <c r="H6327" i="6"/>
  <c r="H6351" i="6"/>
  <c r="H6371" i="6"/>
  <c r="H6388" i="6"/>
  <c r="H6404" i="6"/>
  <c r="H6420" i="6"/>
  <c r="H6433" i="6"/>
  <c r="H6444" i="6"/>
  <c r="H6455" i="6"/>
  <c r="H6465" i="6"/>
  <c r="H6475" i="6"/>
  <c r="H6483" i="6"/>
  <c r="H6491" i="6"/>
  <c r="H6499" i="6"/>
  <c r="H6507" i="6"/>
  <c r="H6515" i="6"/>
  <c r="H6523" i="6"/>
  <c r="H6531" i="6"/>
  <c r="H6539" i="6"/>
  <c r="H6547" i="6"/>
  <c r="H6555" i="6"/>
  <c r="H6563" i="6"/>
  <c r="H6571" i="6"/>
  <c r="H6579" i="6"/>
  <c r="H6587" i="6"/>
  <c r="H6595" i="6"/>
  <c r="H6603" i="6"/>
  <c r="H6611" i="6"/>
  <c r="H6619" i="6"/>
  <c r="H6627" i="6"/>
  <c r="H6635" i="6"/>
  <c r="H5823" i="6"/>
  <c r="H5887" i="6"/>
  <c r="H5951" i="6"/>
  <c r="H6015" i="6"/>
  <c r="H6079" i="6"/>
  <c r="H6143" i="6"/>
  <c r="H6207" i="6"/>
  <c r="H6271" i="6"/>
  <c r="H6329" i="6"/>
  <c r="H6353" i="6"/>
  <c r="H6375" i="6"/>
  <c r="H6391" i="6"/>
  <c r="H6407" i="6"/>
  <c r="H6423" i="6"/>
  <c r="H6435" i="6"/>
  <c r="H6445" i="6"/>
  <c r="H6456" i="6"/>
  <c r="H6467" i="6"/>
  <c r="H6476" i="6"/>
  <c r="H6484" i="6"/>
  <c r="H6492" i="6"/>
  <c r="H6500" i="6"/>
  <c r="H6508" i="6"/>
  <c r="H6516" i="6"/>
  <c r="H6524" i="6"/>
  <c r="H6532" i="6"/>
  <c r="H6540" i="6"/>
  <c r="H6548" i="6"/>
  <c r="H6556" i="6"/>
  <c r="H6564" i="6"/>
  <c r="H6572" i="6"/>
  <c r="H6580" i="6"/>
  <c r="H6588" i="6"/>
  <c r="H6596" i="6"/>
  <c r="H6604" i="6"/>
  <c r="H6612" i="6"/>
  <c r="H6620" i="6"/>
  <c r="H6636" i="6"/>
  <c r="H5839" i="6"/>
  <c r="H5903" i="6"/>
  <c r="H5967" i="6"/>
  <c r="H6031" i="6"/>
  <c r="H6095" i="6"/>
  <c r="H6159" i="6"/>
  <c r="H6223" i="6"/>
  <c r="H6287" i="6"/>
  <c r="H6337" i="6"/>
  <c r="H6359" i="6"/>
  <c r="H6379" i="6"/>
  <c r="H6395" i="6"/>
  <c r="H6411" i="6"/>
  <c r="H6427" i="6"/>
  <c r="H6437" i="6"/>
  <c r="H6448" i="6"/>
  <c r="H6459" i="6"/>
  <c r="H6469" i="6"/>
  <c r="H6478" i="6"/>
  <c r="H6486" i="6"/>
  <c r="H6494" i="6"/>
  <c r="H6502" i="6"/>
  <c r="H6510" i="6"/>
  <c r="H6518" i="6"/>
  <c r="H6526" i="6"/>
  <c r="H6534" i="6"/>
  <c r="H6542" i="6"/>
  <c r="H6550" i="6"/>
  <c r="H6558" i="6"/>
  <c r="H6566" i="6"/>
  <c r="H6574" i="6"/>
  <c r="H6582" i="6"/>
  <c r="H6590" i="6"/>
  <c r="H6598" i="6"/>
  <c r="H6606" i="6"/>
  <c r="H6614" i="6"/>
  <c r="H6622" i="6"/>
  <c r="H6630" i="6"/>
  <c r="H6638" i="6"/>
  <c r="H5831" i="6"/>
  <c r="H5895" i="6"/>
  <c r="H5959" i="6"/>
  <c r="H6023" i="6"/>
  <c r="H6087" i="6"/>
  <c r="H6151" i="6"/>
  <c r="H6215" i="6"/>
  <c r="H6279" i="6"/>
  <c r="H6335" i="6"/>
  <c r="H6355" i="6"/>
  <c r="H6377" i="6"/>
  <c r="H6393" i="6"/>
  <c r="H6409" i="6"/>
  <c r="H6425" i="6"/>
  <c r="H6436" i="6"/>
  <c r="H6447" i="6"/>
  <c r="H6457" i="6"/>
  <c r="H6468" i="6"/>
  <c r="H6477" i="6"/>
  <c r="H6485" i="6"/>
  <c r="H6493" i="6"/>
  <c r="H6501" i="6"/>
  <c r="H6509" i="6"/>
  <c r="H6517" i="6"/>
  <c r="H6525" i="6"/>
  <c r="H6533" i="6"/>
  <c r="H6541" i="6"/>
  <c r="H6549" i="6"/>
  <c r="H6557" i="6"/>
  <c r="H6565" i="6"/>
  <c r="H6573" i="6"/>
  <c r="H6581" i="6"/>
  <c r="H6589" i="6"/>
  <c r="H6597" i="6"/>
  <c r="H6605" i="6"/>
  <c r="H6613" i="6"/>
  <c r="H6621" i="6"/>
  <c r="H6629" i="6"/>
  <c r="H6637" i="6"/>
  <c r="H5847" i="6"/>
  <c r="H5911" i="6"/>
  <c r="H5975" i="6"/>
  <c r="H6039" i="6"/>
  <c r="H6103" i="6"/>
  <c r="H6167" i="6"/>
  <c r="H6231" i="6"/>
  <c r="H6295" i="6"/>
  <c r="H6339" i="6"/>
  <c r="H6361" i="6"/>
  <c r="H6380" i="6"/>
  <c r="H6396" i="6"/>
  <c r="H6412" i="6"/>
  <c r="H6428" i="6"/>
  <c r="H6439" i="6"/>
  <c r="H6449" i="6"/>
  <c r="H6460" i="6"/>
  <c r="H6471" i="6"/>
  <c r="H6479" i="6"/>
  <c r="H6487" i="6"/>
  <c r="H6495" i="6"/>
  <c r="H6503" i="6"/>
  <c r="H6511" i="6"/>
  <c r="H6519" i="6"/>
  <c r="H6527" i="6"/>
  <c r="H6535" i="6"/>
  <c r="H6543" i="6"/>
  <c r="H6551" i="6"/>
  <c r="H6559" i="6"/>
  <c r="H6567" i="6"/>
  <c r="H6575" i="6"/>
  <c r="H6583" i="6"/>
  <c r="H6591" i="6"/>
  <c r="H6599" i="6"/>
  <c r="H6607" i="6"/>
  <c r="H6615" i="6"/>
  <c r="H6623" i="6"/>
  <c r="H6631" i="6"/>
  <c r="H6639" i="6"/>
  <c r="H5855" i="6"/>
  <c r="H5919" i="6"/>
  <c r="H5983" i="6"/>
  <c r="H6047" i="6"/>
  <c r="H6111" i="6"/>
  <c r="H6175" i="6"/>
  <c r="H6239" i="6"/>
  <c r="H6303" i="6"/>
  <c r="H6343" i="6"/>
  <c r="H6363" i="6"/>
  <c r="H6383" i="6"/>
  <c r="H6399" i="6"/>
  <c r="H6415" i="6"/>
  <c r="H6429" i="6"/>
  <c r="H6440" i="6"/>
  <c r="H6451" i="6"/>
  <c r="H6461" i="6"/>
  <c r="H6472" i="6"/>
  <c r="H6480" i="6"/>
  <c r="H6488" i="6"/>
  <c r="H6496" i="6"/>
  <c r="H6504" i="6"/>
  <c r="H6512" i="6"/>
  <c r="H6520" i="6"/>
  <c r="H6528" i="6"/>
  <c r="H6536" i="6"/>
  <c r="H6544" i="6"/>
  <c r="H6552" i="6"/>
  <c r="H6560" i="6"/>
  <c r="H6568" i="6"/>
  <c r="H6576" i="6"/>
  <c r="H6584" i="6"/>
  <c r="H6592" i="6"/>
  <c r="H6600" i="6"/>
  <c r="H6608" i="6"/>
  <c r="H6616" i="6"/>
  <c r="H6624" i="6"/>
  <c r="H6632" i="6"/>
  <c r="H6311" i="6"/>
  <c r="H6385" i="6"/>
  <c r="H6417" i="6"/>
  <c r="H6441" i="6"/>
  <c r="H6463" i="6"/>
  <c r="H6481" i="6"/>
  <c r="H6497" i="6"/>
  <c r="H6505" i="6"/>
  <c r="H6521" i="6"/>
  <c r="H6537" i="6"/>
  <c r="H6545" i="6"/>
  <c r="H6561" i="6"/>
  <c r="H6577" i="6"/>
  <c r="H6585" i="6"/>
  <c r="H6601" i="6"/>
  <c r="H6617" i="6"/>
  <c r="H6625" i="6"/>
  <c r="H5049" i="6"/>
  <c r="H5057" i="6"/>
  <c r="H5065" i="6"/>
  <c r="H5073" i="6"/>
  <c r="H5081" i="6"/>
  <c r="H5089" i="6"/>
  <c r="H5097" i="6"/>
  <c r="H5105" i="6"/>
  <c r="H5113" i="6"/>
  <c r="H5121" i="6"/>
  <c r="H5129" i="6"/>
  <c r="H5137" i="6"/>
  <c r="H5145" i="6"/>
  <c r="H5153" i="6"/>
  <c r="H5161" i="6"/>
  <c r="H5169" i="6"/>
  <c r="H5177" i="6"/>
  <c r="H5185" i="6"/>
  <c r="H5193" i="6"/>
  <c r="H5201" i="6"/>
  <c r="H5209" i="6"/>
  <c r="H5217" i="6"/>
  <c r="H5225" i="6"/>
  <c r="H5233" i="6"/>
  <c r="H5241" i="6"/>
  <c r="H5249" i="6"/>
  <c r="H5257" i="6"/>
  <c r="H5265" i="6"/>
  <c r="H5273" i="6"/>
  <c r="H5281" i="6"/>
  <c r="H5289" i="6"/>
  <c r="H5297" i="6"/>
  <c r="H5305" i="6"/>
  <c r="H5313" i="6"/>
  <c r="H5321" i="6"/>
  <c r="H5329" i="6"/>
  <c r="H5337" i="6"/>
  <c r="H5345" i="6"/>
  <c r="H5353" i="6"/>
  <c r="H5361" i="6"/>
  <c r="H5369" i="6"/>
  <c r="H5377" i="6"/>
  <c r="H5385" i="6"/>
  <c r="H5393" i="6"/>
  <c r="H5401" i="6"/>
  <c r="H5050" i="6"/>
  <c r="H5058" i="6"/>
  <c r="H5066" i="6"/>
  <c r="H5074" i="6"/>
  <c r="H5082" i="6"/>
  <c r="H5090" i="6"/>
  <c r="H5098" i="6"/>
  <c r="H5106" i="6"/>
  <c r="H5114" i="6"/>
  <c r="H5122" i="6"/>
  <c r="H5130" i="6"/>
  <c r="H5138" i="6"/>
  <c r="H5146" i="6"/>
  <c r="H5154" i="6"/>
  <c r="H5162" i="6"/>
  <c r="H5170" i="6"/>
  <c r="H5178" i="6"/>
  <c r="H5186" i="6"/>
  <c r="H5194" i="6"/>
  <c r="H5202" i="6"/>
  <c r="H5210" i="6"/>
  <c r="H5218" i="6"/>
  <c r="H5226" i="6"/>
  <c r="H5234" i="6"/>
  <c r="H5242" i="6"/>
  <c r="H5250" i="6"/>
  <c r="H5258" i="6"/>
  <c r="H5266" i="6"/>
  <c r="H5274" i="6"/>
  <c r="H5282" i="6"/>
  <c r="H5290" i="6"/>
  <c r="H5298" i="6"/>
  <c r="H5306" i="6"/>
  <c r="H5314" i="6"/>
  <c r="H5322" i="6"/>
  <c r="H5330" i="6"/>
  <c r="H5338" i="6"/>
  <c r="H5346" i="6"/>
  <c r="H5354" i="6"/>
  <c r="H5362" i="6"/>
  <c r="H5370" i="6"/>
  <c r="H5378" i="6"/>
  <c r="H5386" i="6"/>
  <c r="H5394" i="6"/>
  <c r="H5402" i="6"/>
  <c r="H5410" i="6"/>
  <c r="H5418" i="6"/>
  <c r="H5426" i="6"/>
  <c r="H5434" i="6"/>
  <c r="H5442" i="6"/>
  <c r="H5450" i="6"/>
  <c r="H5458" i="6"/>
  <c r="H5466" i="6"/>
  <c r="H5474" i="6"/>
  <c r="H5482" i="6"/>
  <c r="H5490" i="6"/>
  <c r="H5498" i="6"/>
  <c r="H5051" i="6"/>
  <c r="H5059" i="6"/>
  <c r="H5067" i="6"/>
  <c r="H5075" i="6"/>
  <c r="H5083" i="6"/>
  <c r="H5091" i="6"/>
  <c r="H5099" i="6"/>
  <c r="H5107" i="6"/>
  <c r="H5115" i="6"/>
  <c r="H5123" i="6"/>
  <c r="H5131" i="6"/>
  <c r="H5139" i="6"/>
  <c r="H5147" i="6"/>
  <c r="H5155" i="6"/>
  <c r="H5163" i="6"/>
  <c r="H5171" i="6"/>
  <c r="H5179" i="6"/>
  <c r="H5187" i="6"/>
  <c r="H5195" i="6"/>
  <c r="H5203" i="6"/>
  <c r="H5211" i="6"/>
  <c r="H5219" i="6"/>
  <c r="H5227" i="6"/>
  <c r="H5235" i="6"/>
  <c r="H5243" i="6"/>
  <c r="H5251" i="6"/>
  <c r="H5259" i="6"/>
  <c r="H5267" i="6"/>
  <c r="H5275" i="6"/>
  <c r="H5283" i="6"/>
  <c r="H5291" i="6"/>
  <c r="H5299" i="6"/>
  <c r="H5307" i="6"/>
  <c r="H5315" i="6"/>
  <c r="H5323" i="6"/>
  <c r="H5331" i="6"/>
  <c r="H5339" i="6"/>
  <c r="H5347" i="6"/>
  <c r="H5355" i="6"/>
  <c r="H5363" i="6"/>
  <c r="H5371" i="6"/>
  <c r="H5379" i="6"/>
  <c r="H5387" i="6"/>
  <c r="H5395" i="6"/>
  <c r="H5403" i="6"/>
  <c r="H5411" i="6"/>
  <c r="H5419" i="6"/>
  <c r="H5427" i="6"/>
  <c r="H5435" i="6"/>
  <c r="H5443" i="6"/>
  <c r="H5451" i="6"/>
  <c r="H5459" i="6"/>
  <c r="H5467" i="6"/>
  <c r="H5475" i="6"/>
  <c r="H5483" i="6"/>
  <c r="H5491" i="6"/>
  <c r="H5499" i="6"/>
  <c r="H5052" i="6"/>
  <c r="H5060" i="6"/>
  <c r="H5068" i="6"/>
  <c r="H5076" i="6"/>
  <c r="H5084" i="6"/>
  <c r="H5092" i="6"/>
  <c r="H5100" i="6"/>
  <c r="H5108" i="6"/>
  <c r="H5116" i="6"/>
  <c r="H5124" i="6"/>
  <c r="H5132" i="6"/>
  <c r="H5140" i="6"/>
  <c r="H5148" i="6"/>
  <c r="H5156" i="6"/>
  <c r="H5164" i="6"/>
  <c r="H5172" i="6"/>
  <c r="H5180" i="6"/>
  <c r="H5188" i="6"/>
  <c r="H5196" i="6"/>
  <c r="H5204" i="6"/>
  <c r="H5212" i="6"/>
  <c r="H5220" i="6"/>
  <c r="H5228" i="6"/>
  <c r="H5236" i="6"/>
  <c r="H5244" i="6"/>
  <c r="H5252" i="6"/>
  <c r="H5260" i="6"/>
  <c r="H5268" i="6"/>
  <c r="H5276" i="6"/>
  <c r="H5284" i="6"/>
  <c r="H5292" i="6"/>
  <c r="H5300" i="6"/>
  <c r="H5308" i="6"/>
  <c r="H5316" i="6"/>
  <c r="H5324" i="6"/>
  <c r="H5332" i="6"/>
  <c r="H5340" i="6"/>
  <c r="H5348" i="6"/>
  <c r="H5356" i="6"/>
  <c r="H5364" i="6"/>
  <c r="H5372" i="6"/>
  <c r="H5380" i="6"/>
  <c r="H5388" i="6"/>
  <c r="H5396" i="6"/>
  <c r="H5404" i="6"/>
  <c r="H5412" i="6"/>
  <c r="H5420" i="6"/>
  <c r="H5428" i="6"/>
  <c r="H5436" i="6"/>
  <c r="H5444" i="6"/>
  <c r="H5452" i="6"/>
  <c r="H5460" i="6"/>
  <c r="H5468" i="6"/>
  <c r="H5476" i="6"/>
  <c r="H5484" i="6"/>
  <c r="H5492" i="6"/>
  <c r="H5500" i="6"/>
  <c r="H5508" i="6"/>
  <c r="H5516" i="6"/>
  <c r="H5524" i="6"/>
  <c r="H5532" i="6"/>
  <c r="H5540" i="6"/>
  <c r="H5548" i="6"/>
  <c r="H5556" i="6"/>
  <c r="H5564" i="6"/>
  <c r="H5572" i="6"/>
  <c r="H5580" i="6"/>
  <c r="H5588" i="6"/>
  <c r="H5596" i="6"/>
  <c r="H5604" i="6"/>
  <c r="H5612" i="6"/>
  <c r="H5620" i="6"/>
  <c r="H5628" i="6"/>
  <c r="H5636" i="6"/>
  <c r="H5644" i="6"/>
  <c r="H5652" i="6"/>
  <c r="H5660" i="6"/>
  <c r="H5668" i="6"/>
  <c r="H5053" i="6"/>
  <c r="H5061" i="6"/>
  <c r="H5069" i="6"/>
  <c r="H5077" i="6"/>
  <c r="H5085" i="6"/>
  <c r="H5093" i="6"/>
  <c r="H5101" i="6"/>
  <c r="H5109" i="6"/>
  <c r="H5117" i="6"/>
  <c r="H5125" i="6"/>
  <c r="H5133" i="6"/>
  <c r="H5141" i="6"/>
  <c r="H5149" i="6"/>
  <c r="H5157" i="6"/>
  <c r="H5165" i="6"/>
  <c r="H5173" i="6"/>
  <c r="H5181" i="6"/>
  <c r="H5189" i="6"/>
  <c r="H5197" i="6"/>
  <c r="H5205" i="6"/>
  <c r="H5213" i="6"/>
  <c r="H5221" i="6"/>
  <c r="H5229" i="6"/>
  <c r="H5237" i="6"/>
  <c r="H5245" i="6"/>
  <c r="H5253" i="6"/>
  <c r="H5261" i="6"/>
  <c r="H5269" i="6"/>
  <c r="H5277" i="6"/>
  <c r="H5285" i="6"/>
  <c r="H5293" i="6"/>
  <c r="H5301" i="6"/>
  <c r="H5309" i="6"/>
  <c r="H5317" i="6"/>
  <c r="H5325" i="6"/>
  <c r="H5333" i="6"/>
  <c r="H5341" i="6"/>
  <c r="H5349" i="6"/>
  <c r="H5357" i="6"/>
  <c r="H5365" i="6"/>
  <c r="H5373" i="6"/>
  <c r="H5381" i="6"/>
  <c r="H5389" i="6"/>
  <c r="H5397" i="6"/>
  <c r="H5046" i="6"/>
  <c r="H5054" i="6"/>
  <c r="H5062" i="6"/>
  <c r="H5070" i="6"/>
  <c r="H5078" i="6"/>
  <c r="H5086" i="6"/>
  <c r="H5094" i="6"/>
  <c r="H5102" i="6"/>
  <c r="H5110" i="6"/>
  <c r="H5118" i="6"/>
  <c r="H5126" i="6"/>
  <c r="H5134" i="6"/>
  <c r="H5142" i="6"/>
  <c r="H5150" i="6"/>
  <c r="H5158" i="6"/>
  <c r="H5166" i="6"/>
  <c r="H5174" i="6"/>
  <c r="H5182" i="6"/>
  <c r="H5190" i="6"/>
  <c r="H5198" i="6"/>
  <c r="H5206" i="6"/>
  <c r="H5214" i="6"/>
  <c r="H5222" i="6"/>
  <c r="H5230" i="6"/>
  <c r="H5238" i="6"/>
  <c r="H5246" i="6"/>
  <c r="H5254" i="6"/>
  <c r="H5262" i="6"/>
  <c r="H5270" i="6"/>
  <c r="H5278" i="6"/>
  <c r="H5286" i="6"/>
  <c r="H5294" i="6"/>
  <c r="H5302" i="6"/>
  <c r="H5310" i="6"/>
  <c r="H5318" i="6"/>
  <c r="H5326" i="6"/>
  <c r="H5334" i="6"/>
  <c r="H5342" i="6"/>
  <c r="H5350" i="6"/>
  <c r="H5358" i="6"/>
  <c r="H5366" i="6"/>
  <c r="H5374" i="6"/>
  <c r="H5382" i="6"/>
  <c r="H5390" i="6"/>
  <c r="H5398" i="6"/>
  <c r="H5406" i="6"/>
  <c r="H5414" i="6"/>
  <c r="H5422" i="6"/>
  <c r="H5430" i="6"/>
  <c r="H5438" i="6"/>
  <c r="H5446" i="6"/>
  <c r="H5454" i="6"/>
  <c r="H5462" i="6"/>
  <c r="H5470" i="6"/>
  <c r="H5478" i="6"/>
  <c r="H5486" i="6"/>
  <c r="H5494" i="6"/>
  <c r="H5502" i="6"/>
  <c r="H5510" i="6"/>
  <c r="H5518" i="6"/>
  <c r="H5526" i="6"/>
  <c r="H5534" i="6"/>
  <c r="H5542" i="6"/>
  <c r="H5550" i="6"/>
  <c r="H5558" i="6"/>
  <c r="H5566" i="6"/>
  <c r="H5574" i="6"/>
  <c r="H5582" i="6"/>
  <c r="H5590" i="6"/>
  <c r="H5598" i="6"/>
  <c r="H5606" i="6"/>
  <c r="H5614" i="6"/>
  <c r="H5622" i="6"/>
  <c r="H5630" i="6"/>
  <c r="H5638" i="6"/>
  <c r="H5646" i="6"/>
  <c r="H5654" i="6"/>
  <c r="H5662" i="6"/>
  <c r="H5670" i="6"/>
  <c r="H5678" i="6"/>
  <c r="H5686" i="6"/>
  <c r="H5694" i="6"/>
  <c r="H5047" i="6"/>
  <c r="H5055" i="6"/>
  <c r="H5063" i="6"/>
  <c r="H5071" i="6"/>
  <c r="H5079" i="6"/>
  <c r="H5087" i="6"/>
  <c r="H5095" i="6"/>
  <c r="H5103" i="6"/>
  <c r="H5111" i="6"/>
  <c r="H5119" i="6"/>
  <c r="H5127" i="6"/>
  <c r="H5135" i="6"/>
  <c r="H5143" i="6"/>
  <c r="H5151" i="6"/>
  <c r="H5159" i="6"/>
  <c r="H5167" i="6"/>
  <c r="H5175" i="6"/>
  <c r="H5183" i="6"/>
  <c r="H5191" i="6"/>
  <c r="H5199" i="6"/>
  <c r="H5207" i="6"/>
  <c r="H5215" i="6"/>
  <c r="H5223" i="6"/>
  <c r="H5231" i="6"/>
  <c r="H5239" i="6"/>
  <c r="H5247" i="6"/>
  <c r="H5255" i="6"/>
  <c r="H5263" i="6"/>
  <c r="H5271" i="6"/>
  <c r="H5279" i="6"/>
  <c r="H5287" i="6"/>
  <c r="H5295" i="6"/>
  <c r="H5303" i="6"/>
  <c r="H5311" i="6"/>
  <c r="H5319" i="6"/>
  <c r="H5327" i="6"/>
  <c r="H5335" i="6"/>
  <c r="H5343" i="6"/>
  <c r="H5351" i="6"/>
  <c r="H5359" i="6"/>
  <c r="H5367" i="6"/>
  <c r="H5375" i="6"/>
  <c r="H5383" i="6"/>
  <c r="H5391" i="6"/>
  <c r="H5399" i="6"/>
  <c r="H5407" i="6"/>
  <c r="H5415" i="6"/>
  <c r="H5423" i="6"/>
  <c r="H5431" i="6"/>
  <c r="H5439" i="6"/>
  <c r="H5447" i="6"/>
  <c r="H5455" i="6"/>
  <c r="H5463" i="6"/>
  <c r="H5471" i="6"/>
  <c r="H5479" i="6"/>
  <c r="H5487" i="6"/>
  <c r="H5495" i="6"/>
  <c r="H5503" i="6"/>
  <c r="H5511" i="6"/>
  <c r="H5519" i="6"/>
  <c r="H5527" i="6"/>
  <c r="H5535" i="6"/>
  <c r="H5543" i="6"/>
  <c r="H5551" i="6"/>
  <c r="H5559" i="6"/>
  <c r="H5567" i="6"/>
  <c r="H5575" i="6"/>
  <c r="H5583" i="6"/>
  <c r="H5591" i="6"/>
  <c r="H5599" i="6"/>
  <c r="H5607" i="6"/>
  <c r="H5615" i="6"/>
  <c r="H5623" i="6"/>
  <c r="H5631" i="6"/>
  <c r="H5639" i="6"/>
  <c r="H5647" i="6"/>
  <c r="H5655" i="6"/>
  <c r="H5663" i="6"/>
  <c r="H5671" i="6"/>
  <c r="H5679" i="6"/>
  <c r="H5687" i="6"/>
  <c r="H5695" i="6"/>
  <c r="H5088" i="6"/>
  <c r="H5152" i="6"/>
  <c r="H5216" i="6"/>
  <c r="H5280" i="6"/>
  <c r="H5344" i="6"/>
  <c r="H5405" i="6"/>
  <c r="H5425" i="6"/>
  <c r="H5448" i="6"/>
  <c r="H5469" i="6"/>
  <c r="H5489" i="6"/>
  <c r="H5507" i="6"/>
  <c r="H5521" i="6"/>
  <c r="H5533" i="6"/>
  <c r="H5546" i="6"/>
  <c r="H5560" i="6"/>
  <c r="H5571" i="6"/>
  <c r="H5585" i="6"/>
  <c r="H5597" i="6"/>
  <c r="H5610" i="6"/>
  <c r="H5624" i="6"/>
  <c r="H5635" i="6"/>
  <c r="H5649" i="6"/>
  <c r="H5661" i="6"/>
  <c r="H5674" i="6"/>
  <c r="H5684" i="6"/>
  <c r="H5696" i="6"/>
  <c r="H5704" i="6"/>
  <c r="H5712" i="6"/>
  <c r="H5720" i="6"/>
  <c r="H5728" i="6"/>
  <c r="H5736" i="6"/>
  <c r="H5744" i="6"/>
  <c r="H5752" i="6"/>
  <c r="H5760" i="6"/>
  <c r="H5096" i="6"/>
  <c r="H5160" i="6"/>
  <c r="H5224" i="6"/>
  <c r="H5288" i="6"/>
  <c r="H5352" i="6"/>
  <c r="H5408" i="6"/>
  <c r="H5429" i="6"/>
  <c r="H5449" i="6"/>
  <c r="H5472" i="6"/>
  <c r="H5493" i="6"/>
  <c r="H5509" i="6"/>
  <c r="H5522" i="6"/>
  <c r="H5536" i="6"/>
  <c r="H5547" i="6"/>
  <c r="H5561" i="6"/>
  <c r="H5573" i="6"/>
  <c r="H5586" i="6"/>
  <c r="H5600" i="6"/>
  <c r="H5611" i="6"/>
  <c r="H5625" i="6"/>
  <c r="H5637" i="6"/>
  <c r="H5650" i="6"/>
  <c r="H5664" i="6"/>
  <c r="H5675" i="6"/>
  <c r="H5685" i="6"/>
  <c r="H5697" i="6"/>
  <c r="H5705" i="6"/>
  <c r="H5713" i="6"/>
  <c r="H5721" i="6"/>
  <c r="H5729" i="6"/>
  <c r="H5737" i="6"/>
  <c r="H5745" i="6"/>
  <c r="H5753" i="6"/>
  <c r="H5761" i="6"/>
  <c r="H5769" i="6"/>
  <c r="H5777" i="6"/>
  <c r="H5785" i="6"/>
  <c r="H5793" i="6"/>
  <c r="H5801" i="6"/>
  <c r="H5809" i="6"/>
  <c r="H5817" i="6"/>
  <c r="H5104" i="6"/>
  <c r="H5168" i="6"/>
  <c r="H5232" i="6"/>
  <c r="H5296" i="6"/>
  <c r="H5360" i="6"/>
  <c r="H5409" i="6"/>
  <c r="H5432" i="6"/>
  <c r="H5453" i="6"/>
  <c r="H5473" i="6"/>
  <c r="H5496" i="6"/>
  <c r="H5512" i="6"/>
  <c r="H5523" i="6"/>
  <c r="H5537" i="6"/>
  <c r="H5549" i="6"/>
  <c r="H5562" i="6"/>
  <c r="H5576" i="6"/>
  <c r="H5587" i="6"/>
  <c r="H5601" i="6"/>
  <c r="H5613" i="6"/>
  <c r="H5626" i="6"/>
  <c r="H5640" i="6"/>
  <c r="H5651" i="6"/>
  <c r="H5665" i="6"/>
  <c r="H5676" i="6"/>
  <c r="H5688" i="6"/>
  <c r="H5698" i="6"/>
  <c r="H5706" i="6"/>
  <c r="H5714" i="6"/>
  <c r="H5722" i="6"/>
  <c r="H5730" i="6"/>
  <c r="H5738" i="6"/>
  <c r="H5746" i="6"/>
  <c r="H5754" i="6"/>
  <c r="H5762" i="6"/>
  <c r="H5770" i="6"/>
  <c r="H5778" i="6"/>
  <c r="H5048" i="6"/>
  <c r="H5112" i="6"/>
  <c r="H5176" i="6"/>
  <c r="H5240" i="6"/>
  <c r="H5304" i="6"/>
  <c r="H5368" i="6"/>
  <c r="H5413" i="6"/>
  <c r="H5433" i="6"/>
  <c r="H5456" i="6"/>
  <c r="H5477" i="6"/>
  <c r="H5497" i="6"/>
  <c r="H5513" i="6"/>
  <c r="H5525" i="6"/>
  <c r="H5538" i="6"/>
  <c r="H5552" i="6"/>
  <c r="H5563" i="6"/>
  <c r="H5577" i="6"/>
  <c r="H5589" i="6"/>
  <c r="H5602" i="6"/>
  <c r="H5616" i="6"/>
  <c r="H5627" i="6"/>
  <c r="H5641" i="6"/>
  <c r="H5653" i="6"/>
  <c r="H5666" i="6"/>
  <c r="H5677" i="6"/>
  <c r="H5689" i="6"/>
  <c r="H5699" i="6"/>
  <c r="H5707" i="6"/>
  <c r="H5715" i="6"/>
  <c r="H5723" i="6"/>
  <c r="H5731" i="6"/>
  <c r="H5739" i="6"/>
  <c r="H5747" i="6"/>
  <c r="H5755" i="6"/>
  <c r="H5763" i="6"/>
  <c r="H5771" i="6"/>
  <c r="H5779" i="6"/>
  <c r="H5787" i="6"/>
  <c r="H5795" i="6"/>
  <c r="H5803" i="6"/>
  <c r="H5811" i="6"/>
  <c r="H5819" i="6"/>
  <c r="H5056" i="6"/>
  <c r="H5120" i="6"/>
  <c r="H5184" i="6"/>
  <c r="H5248" i="6"/>
  <c r="H5312" i="6"/>
  <c r="H5376" i="6"/>
  <c r="H5416" i="6"/>
  <c r="H5437" i="6"/>
  <c r="H5457" i="6"/>
  <c r="H5480" i="6"/>
  <c r="H5501" i="6"/>
  <c r="H5514" i="6"/>
  <c r="H5528" i="6"/>
  <c r="H5539" i="6"/>
  <c r="H5553" i="6"/>
  <c r="H5565" i="6"/>
  <c r="H5578" i="6"/>
  <c r="H5592" i="6"/>
  <c r="H5603" i="6"/>
  <c r="H5617" i="6"/>
  <c r="H5629" i="6"/>
  <c r="H5642" i="6"/>
  <c r="H5656" i="6"/>
  <c r="H5667" i="6"/>
  <c r="H5680" i="6"/>
  <c r="H5690" i="6"/>
  <c r="H5700" i="6"/>
  <c r="H5708" i="6"/>
  <c r="H5716" i="6"/>
  <c r="H5724" i="6"/>
  <c r="H5732" i="6"/>
  <c r="H5740" i="6"/>
  <c r="H5748" i="6"/>
  <c r="H5756" i="6"/>
  <c r="H5764" i="6"/>
  <c r="H5772" i="6"/>
  <c r="H5780" i="6"/>
  <c r="H5788" i="6"/>
  <c r="H5796" i="6"/>
  <c r="H5804" i="6"/>
  <c r="H5812" i="6"/>
  <c r="H5820" i="6"/>
  <c r="H5064" i="6"/>
  <c r="H5128" i="6"/>
  <c r="H5192" i="6"/>
  <c r="H5256" i="6"/>
  <c r="H5320" i="6"/>
  <c r="H5384" i="6"/>
  <c r="H5417" i="6"/>
  <c r="H5440" i="6"/>
  <c r="H5461" i="6"/>
  <c r="H5481" i="6"/>
  <c r="H5504" i="6"/>
  <c r="H5515" i="6"/>
  <c r="H5529" i="6"/>
  <c r="H5541" i="6"/>
  <c r="H5554" i="6"/>
  <c r="H5568" i="6"/>
  <c r="H5579" i="6"/>
  <c r="H5593" i="6"/>
  <c r="H5605" i="6"/>
  <c r="H5618" i="6"/>
  <c r="H5632" i="6"/>
  <c r="H5643" i="6"/>
  <c r="H5657" i="6"/>
  <c r="H5669" i="6"/>
  <c r="H5681" i="6"/>
  <c r="H5691" i="6"/>
  <c r="H5701" i="6"/>
  <c r="H5709" i="6"/>
  <c r="H5717" i="6"/>
  <c r="H5725" i="6"/>
  <c r="H5733" i="6"/>
  <c r="H5741" i="6"/>
  <c r="H5749" i="6"/>
  <c r="H5757" i="6"/>
  <c r="H5765" i="6"/>
  <c r="H5773" i="6"/>
  <c r="H5781" i="6"/>
  <c r="H5789" i="6"/>
  <c r="H5797" i="6"/>
  <c r="H5805" i="6"/>
  <c r="H5813" i="6"/>
  <c r="H5821" i="6"/>
  <c r="H5072" i="6"/>
  <c r="H5080" i="6"/>
  <c r="H5336" i="6"/>
  <c r="H5465" i="6"/>
  <c r="H5531" i="6"/>
  <c r="H5584" i="6"/>
  <c r="H5634" i="6"/>
  <c r="H5683" i="6"/>
  <c r="H5719" i="6"/>
  <c r="H5751" i="6"/>
  <c r="H5776" i="6"/>
  <c r="H5794" i="6"/>
  <c r="H5810" i="6"/>
  <c r="H5464" i="6"/>
  <c r="H5633" i="6"/>
  <c r="H5750" i="6"/>
  <c r="H5808" i="6"/>
  <c r="H5136" i="6"/>
  <c r="H5392" i="6"/>
  <c r="H5485" i="6"/>
  <c r="H5544" i="6"/>
  <c r="H5594" i="6"/>
  <c r="H5645" i="6"/>
  <c r="H5692" i="6"/>
  <c r="H5726" i="6"/>
  <c r="H5758" i="6"/>
  <c r="H5782" i="6"/>
  <c r="H5798" i="6"/>
  <c r="H5814" i="6"/>
  <c r="H5144" i="6"/>
  <c r="H5400" i="6"/>
  <c r="H5488" i="6"/>
  <c r="H5545" i="6"/>
  <c r="H5595" i="6"/>
  <c r="H5648" i="6"/>
  <c r="H5693" i="6"/>
  <c r="H5727" i="6"/>
  <c r="H5759" i="6"/>
  <c r="H5783" i="6"/>
  <c r="H5799" i="6"/>
  <c r="H5815" i="6"/>
  <c r="H5530" i="6"/>
  <c r="H5581" i="6"/>
  <c r="H5718" i="6"/>
  <c r="H5792" i="6"/>
  <c r="H5200" i="6"/>
  <c r="H5421" i="6"/>
  <c r="H5505" i="6"/>
  <c r="H5555" i="6"/>
  <c r="H5608" i="6"/>
  <c r="H5658" i="6"/>
  <c r="H5702" i="6"/>
  <c r="H5734" i="6"/>
  <c r="H5766" i="6"/>
  <c r="H5784" i="6"/>
  <c r="H5800" i="6"/>
  <c r="H5816" i="6"/>
  <c r="H5517" i="6"/>
  <c r="H5710" i="6"/>
  <c r="H5768" i="6"/>
  <c r="H5328" i="6"/>
  <c r="H5682" i="6"/>
  <c r="H5775" i="6"/>
  <c r="H5208" i="6"/>
  <c r="H5424" i="6"/>
  <c r="H5506" i="6"/>
  <c r="H5557" i="6"/>
  <c r="H5609" i="6"/>
  <c r="H5659" i="6"/>
  <c r="H5703" i="6"/>
  <c r="H5735" i="6"/>
  <c r="H5767" i="6"/>
  <c r="H5786" i="6"/>
  <c r="H5802" i="6"/>
  <c r="H5818" i="6"/>
  <c r="H5264" i="6"/>
  <c r="H5441" i="6"/>
  <c r="H5569" i="6"/>
  <c r="H5619" i="6"/>
  <c r="H5672" i="6"/>
  <c r="H5742" i="6"/>
  <c r="H5790" i="6"/>
  <c r="H5806" i="6"/>
  <c r="H5272" i="6"/>
  <c r="H5445" i="6"/>
  <c r="H5520" i="6"/>
  <c r="H5570" i="6"/>
  <c r="H5621" i="6"/>
  <c r="H5673" i="6"/>
  <c r="H5711" i="6"/>
  <c r="H5743" i="6"/>
  <c r="H5774" i="6"/>
  <c r="H5791" i="6"/>
  <c r="H5807" i="6"/>
  <c r="H4272" i="6"/>
  <c r="H4280" i="6"/>
  <c r="H4288" i="6"/>
  <c r="H4296" i="6"/>
  <c r="H4304" i="6"/>
  <c r="H4312" i="6"/>
  <c r="H4320" i="6"/>
  <c r="H4328" i="6"/>
  <c r="H4336" i="6"/>
  <c r="H4344" i="6"/>
  <c r="H4352" i="6"/>
  <c r="H4360" i="6"/>
  <c r="H4368" i="6"/>
  <c r="H4376" i="6"/>
  <c r="H4384" i="6"/>
  <c r="H4392" i="6"/>
  <c r="H4400" i="6"/>
  <c r="H4408" i="6"/>
  <c r="H4416" i="6"/>
  <c r="H4424" i="6"/>
  <c r="H4432" i="6"/>
  <c r="H4440" i="6"/>
  <c r="H4448" i="6"/>
  <c r="H4456" i="6"/>
  <c r="H4464" i="6"/>
  <c r="H4472" i="6"/>
  <c r="H4273" i="6"/>
  <c r="H4281" i="6"/>
  <c r="H4289" i="6"/>
  <c r="H4297" i="6"/>
  <c r="H4305" i="6"/>
  <c r="H4313" i="6"/>
  <c r="H4321" i="6"/>
  <c r="H4329" i="6"/>
  <c r="H4337" i="6"/>
  <c r="H4345" i="6"/>
  <c r="H4353" i="6"/>
  <c r="H4361" i="6"/>
  <c r="H4369" i="6"/>
  <c r="H4377" i="6"/>
  <c r="H4385" i="6"/>
  <c r="H4393" i="6"/>
  <c r="H4401" i="6"/>
  <c r="H4409" i="6"/>
  <c r="H4417" i="6"/>
  <c r="H4425" i="6"/>
  <c r="H4433" i="6"/>
  <c r="H4441" i="6"/>
  <c r="H4449" i="6"/>
  <c r="H4457" i="6"/>
  <c r="H4465" i="6"/>
  <c r="H4473" i="6"/>
  <c r="H4481" i="6"/>
  <c r="H4489" i="6"/>
  <c r="H4497" i="6"/>
  <c r="H4505" i="6"/>
  <c r="H4513" i="6"/>
  <c r="H4521" i="6"/>
  <c r="H4529" i="6"/>
  <c r="H4537" i="6"/>
  <c r="H4274" i="6"/>
  <c r="H4282" i="6"/>
  <c r="H4290" i="6"/>
  <c r="H4298" i="6"/>
  <c r="H4306" i="6"/>
  <c r="H4314" i="6"/>
  <c r="H4322" i="6"/>
  <c r="H4330" i="6"/>
  <c r="H4338" i="6"/>
  <c r="H4346" i="6"/>
  <c r="H4354" i="6"/>
  <c r="H4362" i="6"/>
  <c r="H4370" i="6"/>
  <c r="H4378" i="6"/>
  <c r="H4386" i="6"/>
  <c r="H4394" i="6"/>
  <c r="H4402" i="6"/>
  <c r="H4410" i="6"/>
  <c r="H4418" i="6"/>
  <c r="H4426" i="6"/>
  <c r="H4434" i="6"/>
  <c r="H4442" i="6"/>
  <c r="H4450" i="6"/>
  <c r="H4458" i="6"/>
  <c r="H4466" i="6"/>
  <c r="H4474" i="6"/>
  <c r="H4275" i="6"/>
  <c r="H4283" i="6"/>
  <c r="H4291" i="6"/>
  <c r="H4299" i="6"/>
  <c r="H4307" i="6"/>
  <c r="H4315" i="6"/>
  <c r="H4323" i="6"/>
  <c r="H4331" i="6"/>
  <c r="H4339" i="6"/>
  <c r="H4347" i="6"/>
  <c r="H4355" i="6"/>
  <c r="H4363" i="6"/>
  <c r="H4371" i="6"/>
  <c r="H4379" i="6"/>
  <c r="H4387" i="6"/>
  <c r="H4395" i="6"/>
  <c r="H4403" i="6"/>
  <c r="H4411" i="6"/>
  <c r="H4419" i="6"/>
  <c r="H4427" i="6"/>
  <c r="H4435" i="6"/>
  <c r="H4443" i="6"/>
  <c r="H4451" i="6"/>
  <c r="H4459" i="6"/>
  <c r="H4467" i="6"/>
  <c r="H4475" i="6"/>
  <c r="H4483" i="6"/>
  <c r="H4491" i="6"/>
  <c r="H4499" i="6"/>
  <c r="H4507" i="6"/>
  <c r="H4515" i="6"/>
  <c r="H4523" i="6"/>
  <c r="H4531" i="6"/>
  <c r="H4539" i="6"/>
  <c r="H4547" i="6"/>
  <c r="H4555" i="6"/>
  <c r="H4276" i="6"/>
  <c r="H4284" i="6"/>
  <c r="H4292" i="6"/>
  <c r="H4300" i="6"/>
  <c r="H4308" i="6"/>
  <c r="H4316" i="6"/>
  <c r="H4324" i="6"/>
  <c r="H4332" i="6"/>
  <c r="H4340" i="6"/>
  <c r="H4348" i="6"/>
  <c r="H4356" i="6"/>
  <c r="H4364" i="6"/>
  <c r="H4372" i="6"/>
  <c r="H4380" i="6"/>
  <c r="H4388" i="6"/>
  <c r="H4396" i="6"/>
  <c r="H4404" i="6"/>
  <c r="H4412" i="6"/>
  <c r="H4420" i="6"/>
  <c r="H4428" i="6"/>
  <c r="H4436" i="6"/>
  <c r="H4444" i="6"/>
  <c r="H4452" i="6"/>
  <c r="H4460" i="6"/>
  <c r="H4468" i="6"/>
  <c r="H4476" i="6"/>
  <c r="H4484" i="6"/>
  <c r="H4492" i="6"/>
  <c r="H4500" i="6"/>
  <c r="H4508" i="6"/>
  <c r="H4516" i="6"/>
  <c r="H4524" i="6"/>
  <c r="H4532" i="6"/>
  <c r="H4540" i="6"/>
  <c r="H4548" i="6"/>
  <c r="H4556" i="6"/>
  <c r="H4564" i="6"/>
  <c r="H4572" i="6"/>
  <c r="H4580" i="6"/>
  <c r="H4588" i="6"/>
  <c r="H4596" i="6"/>
  <c r="H4604" i="6"/>
  <c r="H4612" i="6"/>
  <c r="H4620" i="6"/>
  <c r="H4628" i="6"/>
  <c r="H4636" i="6"/>
  <c r="H4644" i="6"/>
  <c r="H4652" i="6"/>
  <c r="H4660" i="6"/>
  <c r="H4668" i="6"/>
  <c r="H4676" i="6"/>
  <c r="H4684" i="6"/>
  <c r="H4692" i="6"/>
  <c r="H4700" i="6"/>
  <c r="H4708" i="6"/>
  <c r="H4716" i="6"/>
  <c r="H4724" i="6"/>
  <c r="H4732" i="6"/>
  <c r="H4740" i="6"/>
  <c r="H4748" i="6"/>
  <c r="H4756" i="6"/>
  <c r="H4764" i="6"/>
  <c r="H4772" i="6"/>
  <c r="H4780" i="6"/>
  <c r="H4788" i="6"/>
  <c r="H4796" i="6"/>
  <c r="H4804" i="6"/>
  <c r="H4812" i="6"/>
  <c r="H4820" i="6"/>
  <c r="H4828" i="6"/>
  <c r="H4836" i="6"/>
  <c r="H4844" i="6"/>
  <c r="H4852" i="6"/>
  <c r="H4860" i="6"/>
  <c r="H4868" i="6"/>
  <c r="H4876" i="6"/>
  <c r="H4884" i="6"/>
  <c r="H4892" i="6"/>
  <c r="H4900" i="6"/>
  <c r="H4908" i="6"/>
  <c r="H4916" i="6"/>
  <c r="H4277" i="6"/>
  <c r="H4285" i="6"/>
  <c r="H4293" i="6"/>
  <c r="H4301" i="6"/>
  <c r="H4309" i="6"/>
  <c r="H4317" i="6"/>
  <c r="H4325" i="6"/>
  <c r="H4333" i="6"/>
  <c r="H4341" i="6"/>
  <c r="H4349" i="6"/>
  <c r="H4357" i="6"/>
  <c r="H4365" i="6"/>
  <c r="H4373" i="6"/>
  <c r="H4381" i="6"/>
  <c r="H4389" i="6"/>
  <c r="H4397" i="6"/>
  <c r="H4405" i="6"/>
  <c r="H4413" i="6"/>
  <c r="H4421" i="6"/>
  <c r="H4429" i="6"/>
  <c r="H4437" i="6"/>
  <c r="H4445" i="6"/>
  <c r="H4453" i="6"/>
  <c r="H4461" i="6"/>
  <c r="H4469" i="6"/>
  <c r="H4477" i="6"/>
  <c r="H4485" i="6"/>
  <c r="H4493" i="6"/>
  <c r="H4501" i="6"/>
  <c r="H4509" i="6"/>
  <c r="H4517" i="6"/>
  <c r="H4525" i="6"/>
  <c r="H4533" i="6"/>
  <c r="H4541" i="6"/>
  <c r="H4549" i="6"/>
  <c r="H4557" i="6"/>
  <c r="H4565" i="6"/>
  <c r="H4573" i="6"/>
  <c r="H4581" i="6"/>
  <c r="H4589" i="6"/>
  <c r="H4597" i="6"/>
  <c r="H4605" i="6"/>
  <c r="H4613" i="6"/>
  <c r="H4621" i="6"/>
  <c r="H4629" i="6"/>
  <c r="H4637" i="6"/>
  <c r="H4645" i="6"/>
  <c r="H4653" i="6"/>
  <c r="H4661" i="6"/>
  <c r="H4669" i="6"/>
  <c r="H4677" i="6"/>
  <c r="H4685" i="6"/>
  <c r="H4693" i="6"/>
  <c r="H4701" i="6"/>
  <c r="H4709" i="6"/>
  <c r="H4717" i="6"/>
  <c r="H4725" i="6"/>
  <c r="H4733" i="6"/>
  <c r="H4741" i="6"/>
  <c r="H4749" i="6"/>
  <c r="H4757" i="6"/>
  <c r="H4765" i="6"/>
  <c r="H4773" i="6"/>
  <c r="H4781" i="6"/>
  <c r="H4789" i="6"/>
  <c r="H4797" i="6"/>
  <c r="H4805" i="6"/>
  <c r="H4813" i="6"/>
  <c r="H4821" i="6"/>
  <c r="H4829" i="6"/>
  <c r="H4837" i="6"/>
  <c r="H4845" i="6"/>
  <c r="H4853" i="6"/>
  <c r="H4861" i="6"/>
  <c r="H4869" i="6"/>
  <c r="H4877" i="6"/>
  <c r="H4885" i="6"/>
  <c r="H4893" i="6"/>
  <c r="H4901" i="6"/>
  <c r="H4909" i="6"/>
  <c r="H4917" i="6"/>
  <c r="H4270" i="6"/>
  <c r="H4278" i="6"/>
  <c r="H4286" i="6"/>
  <c r="H4294" i="6"/>
  <c r="H4302" i="6"/>
  <c r="H4310" i="6"/>
  <c r="H4318" i="6"/>
  <c r="H4326" i="6"/>
  <c r="H4334" i="6"/>
  <c r="H4342" i="6"/>
  <c r="H4350" i="6"/>
  <c r="H4358" i="6"/>
  <c r="H4366" i="6"/>
  <c r="H4374" i="6"/>
  <c r="H4382" i="6"/>
  <c r="H4390" i="6"/>
  <c r="H4398" i="6"/>
  <c r="H4406" i="6"/>
  <c r="H4414" i="6"/>
  <c r="H4422" i="6"/>
  <c r="H4430" i="6"/>
  <c r="H4438" i="6"/>
  <c r="H4446" i="6"/>
  <c r="H4454" i="6"/>
  <c r="H4462" i="6"/>
  <c r="H4470" i="6"/>
  <c r="H4478" i="6"/>
  <c r="H4486" i="6"/>
  <c r="H4494" i="6"/>
  <c r="H4502" i="6"/>
  <c r="H4510" i="6"/>
  <c r="H4518" i="6"/>
  <c r="H4526" i="6"/>
  <c r="H4534" i="6"/>
  <c r="H4542" i="6"/>
  <c r="H4550" i="6"/>
  <c r="H4558" i="6"/>
  <c r="H4566" i="6"/>
  <c r="H4574" i="6"/>
  <c r="H4582" i="6"/>
  <c r="H4590" i="6"/>
  <c r="H4598" i="6"/>
  <c r="H4606" i="6"/>
  <c r="H4614" i="6"/>
  <c r="H4622" i="6"/>
  <c r="H4630" i="6"/>
  <c r="H4638" i="6"/>
  <c r="H4646" i="6"/>
  <c r="H4654" i="6"/>
  <c r="H4662" i="6"/>
  <c r="H4670" i="6"/>
  <c r="H4678" i="6"/>
  <c r="H4686" i="6"/>
  <c r="H4694" i="6"/>
  <c r="H4702" i="6"/>
  <c r="H4710" i="6"/>
  <c r="H4718" i="6"/>
  <c r="H4726" i="6"/>
  <c r="H4734" i="6"/>
  <c r="H4742" i="6"/>
  <c r="H4750" i="6"/>
  <c r="H4758" i="6"/>
  <c r="H4766" i="6"/>
  <c r="H4774" i="6"/>
  <c r="H4782" i="6"/>
  <c r="H4790" i="6"/>
  <c r="H4798" i="6"/>
  <c r="H4806" i="6"/>
  <c r="H4814" i="6"/>
  <c r="H4822" i="6"/>
  <c r="H4830" i="6"/>
  <c r="H4838" i="6"/>
  <c r="H4846" i="6"/>
  <c r="H4854" i="6"/>
  <c r="H4862" i="6"/>
  <c r="H4870" i="6"/>
  <c r="H4878" i="6"/>
  <c r="H4886" i="6"/>
  <c r="H4894" i="6"/>
  <c r="H4902" i="6"/>
  <c r="H4910" i="6"/>
  <c r="H4918" i="6"/>
  <c r="H4311" i="6"/>
  <c r="H4375" i="6"/>
  <c r="H4439" i="6"/>
  <c r="H4487" i="6"/>
  <c r="H4506" i="6"/>
  <c r="H4528" i="6"/>
  <c r="H4546" i="6"/>
  <c r="H4562" i="6"/>
  <c r="H4576" i="6"/>
  <c r="H4587" i="6"/>
  <c r="H4601" i="6"/>
  <c r="H4615" i="6"/>
  <c r="H4626" i="6"/>
  <c r="H4640" i="6"/>
  <c r="H4651" i="6"/>
  <c r="H4665" i="6"/>
  <c r="H4679" i="6"/>
  <c r="H4690" i="6"/>
  <c r="H4704" i="6"/>
  <c r="H4715" i="6"/>
  <c r="H4729" i="6"/>
  <c r="H4743" i="6"/>
  <c r="H4754" i="6"/>
  <c r="H4768" i="6"/>
  <c r="H4779" i="6"/>
  <c r="H4793" i="6"/>
  <c r="H4807" i="6"/>
  <c r="H4818" i="6"/>
  <c r="H4832" i="6"/>
  <c r="H4843" i="6"/>
  <c r="H4857" i="6"/>
  <c r="H4871" i="6"/>
  <c r="H4882" i="6"/>
  <c r="H4896" i="6"/>
  <c r="H4319" i="6"/>
  <c r="H4383" i="6"/>
  <c r="H4447" i="6"/>
  <c r="H4488" i="6"/>
  <c r="H4511" i="6"/>
  <c r="H4530" i="6"/>
  <c r="H4551" i="6"/>
  <c r="H4563" i="6"/>
  <c r="H4577" i="6"/>
  <c r="H4591" i="6"/>
  <c r="H4602" i="6"/>
  <c r="H4616" i="6"/>
  <c r="H4627" i="6"/>
  <c r="H4641" i="6"/>
  <c r="H4655" i="6"/>
  <c r="H4666" i="6"/>
  <c r="H4680" i="6"/>
  <c r="H4691" i="6"/>
  <c r="H4705" i="6"/>
  <c r="H4719" i="6"/>
  <c r="H4730" i="6"/>
  <c r="H4744" i="6"/>
  <c r="H4755" i="6"/>
  <c r="H4769" i="6"/>
  <c r="H4783" i="6"/>
  <c r="H4794" i="6"/>
  <c r="H4808" i="6"/>
  <c r="H4819" i="6"/>
  <c r="H4833" i="6"/>
  <c r="H4847" i="6"/>
  <c r="H4858" i="6"/>
  <c r="H4872" i="6"/>
  <c r="H4883" i="6"/>
  <c r="H4897" i="6"/>
  <c r="H4911" i="6"/>
  <c r="H4922" i="6"/>
  <c r="H4930" i="6"/>
  <c r="H4938" i="6"/>
  <c r="H4946" i="6"/>
  <c r="H4954" i="6"/>
  <c r="H4962" i="6"/>
  <c r="H4970" i="6"/>
  <c r="H4978" i="6"/>
  <c r="H4986" i="6"/>
  <c r="H4994" i="6"/>
  <c r="H5002" i="6"/>
  <c r="H5010" i="6"/>
  <c r="H5018" i="6"/>
  <c r="H5026" i="6"/>
  <c r="H5034" i="6"/>
  <c r="H5042" i="6"/>
  <c r="H4327" i="6"/>
  <c r="H4391" i="6"/>
  <c r="H4455" i="6"/>
  <c r="H4490" i="6"/>
  <c r="H4512" i="6"/>
  <c r="H4535" i="6"/>
  <c r="H4552" i="6"/>
  <c r="H4567" i="6"/>
  <c r="H4578" i="6"/>
  <c r="H4592" i="6"/>
  <c r="H4603" i="6"/>
  <c r="H4617" i="6"/>
  <c r="H4631" i="6"/>
  <c r="H4642" i="6"/>
  <c r="H4656" i="6"/>
  <c r="H4667" i="6"/>
  <c r="H4681" i="6"/>
  <c r="H4695" i="6"/>
  <c r="H4706" i="6"/>
  <c r="H4720" i="6"/>
  <c r="H4731" i="6"/>
  <c r="H4745" i="6"/>
  <c r="H4759" i="6"/>
  <c r="H4770" i="6"/>
  <c r="H4784" i="6"/>
  <c r="H4795" i="6"/>
  <c r="H4809" i="6"/>
  <c r="H4823" i="6"/>
  <c r="H4834" i="6"/>
  <c r="H4848" i="6"/>
  <c r="H4859" i="6"/>
  <c r="H4873" i="6"/>
  <c r="H4887" i="6"/>
  <c r="H4898" i="6"/>
  <c r="H4912" i="6"/>
  <c r="H4923" i="6"/>
  <c r="H4931" i="6"/>
  <c r="H4939" i="6"/>
  <c r="H4947" i="6"/>
  <c r="H4955" i="6"/>
  <c r="H4963" i="6"/>
  <c r="H4971" i="6"/>
  <c r="H4979" i="6"/>
  <c r="H4987" i="6"/>
  <c r="H4995" i="6"/>
  <c r="H5003" i="6"/>
  <c r="H5011" i="6"/>
  <c r="H5019" i="6"/>
  <c r="H5027" i="6"/>
  <c r="H5035" i="6"/>
  <c r="H5043" i="6"/>
  <c r="H4271" i="6"/>
  <c r="H4335" i="6"/>
  <c r="H4399" i="6"/>
  <c r="H4463" i="6"/>
  <c r="H4495" i="6"/>
  <c r="H4514" i="6"/>
  <c r="H4536" i="6"/>
  <c r="H4553" i="6"/>
  <c r="H4568" i="6"/>
  <c r="H4579" i="6"/>
  <c r="H4593" i="6"/>
  <c r="H4607" i="6"/>
  <c r="H4618" i="6"/>
  <c r="H4632" i="6"/>
  <c r="H4643" i="6"/>
  <c r="H4657" i="6"/>
  <c r="H4671" i="6"/>
  <c r="H4682" i="6"/>
  <c r="H4696" i="6"/>
  <c r="H4707" i="6"/>
  <c r="H4721" i="6"/>
  <c r="H4735" i="6"/>
  <c r="H4746" i="6"/>
  <c r="H4760" i="6"/>
  <c r="H4771" i="6"/>
  <c r="H4785" i="6"/>
  <c r="H4799" i="6"/>
  <c r="H4810" i="6"/>
  <c r="H4824" i="6"/>
  <c r="H4835" i="6"/>
  <c r="H4849" i="6"/>
  <c r="H4863" i="6"/>
  <c r="H4874" i="6"/>
  <c r="H4888" i="6"/>
  <c r="H4899" i="6"/>
  <c r="H4913" i="6"/>
  <c r="H4924" i="6"/>
  <c r="H4932" i="6"/>
  <c r="H4940" i="6"/>
  <c r="H4948" i="6"/>
  <c r="H4956" i="6"/>
  <c r="H4964" i="6"/>
  <c r="H4972" i="6"/>
  <c r="H4980" i="6"/>
  <c r="H4988" i="6"/>
  <c r="H4996" i="6"/>
  <c r="H5004" i="6"/>
  <c r="H5012" i="6"/>
  <c r="H5020" i="6"/>
  <c r="H5028" i="6"/>
  <c r="H5036" i="6"/>
  <c r="H5044" i="6"/>
  <c r="H4279" i="6"/>
  <c r="H4343" i="6"/>
  <c r="H4407" i="6"/>
  <c r="H4471" i="6"/>
  <c r="H4496" i="6"/>
  <c r="H4519" i="6"/>
  <c r="H4538" i="6"/>
  <c r="H4554" i="6"/>
  <c r="H4569" i="6"/>
  <c r="H4583" i="6"/>
  <c r="H4594" i="6"/>
  <c r="H4608" i="6"/>
  <c r="H4619" i="6"/>
  <c r="H4633" i="6"/>
  <c r="H4647" i="6"/>
  <c r="H4658" i="6"/>
  <c r="H4672" i="6"/>
  <c r="H4683" i="6"/>
  <c r="H4711" i="6"/>
  <c r="H4722" i="6"/>
  <c r="H4736" i="6"/>
  <c r="H4747" i="6"/>
  <c r="H4775" i="6"/>
  <c r="H4786" i="6"/>
  <c r="H4811" i="6"/>
  <c r="H4839" i="6"/>
  <c r="H4864" i="6"/>
  <c r="H4889" i="6"/>
  <c r="H4914" i="6"/>
  <c r="H4933" i="6"/>
  <c r="H4949" i="6"/>
  <c r="H4965" i="6"/>
  <c r="H4981" i="6"/>
  <c r="H4697" i="6"/>
  <c r="H4761" i="6"/>
  <c r="H4800" i="6"/>
  <c r="H4825" i="6"/>
  <c r="H4850" i="6"/>
  <c r="H4875" i="6"/>
  <c r="H4903" i="6"/>
  <c r="H4925" i="6"/>
  <c r="H4941" i="6"/>
  <c r="H4957" i="6"/>
  <c r="H4973" i="6"/>
  <c r="H4989" i="6"/>
  <c r="H4997" i="6"/>
  <c r="H4295" i="6"/>
  <c r="H4359" i="6"/>
  <c r="H4423" i="6"/>
  <c r="H4480" i="6"/>
  <c r="H4503" i="6"/>
  <c r="H4522" i="6"/>
  <c r="H4544" i="6"/>
  <c r="H4560" i="6"/>
  <c r="H4571" i="6"/>
  <c r="H4585" i="6"/>
  <c r="H4599" i="6"/>
  <c r="H4610" i="6"/>
  <c r="H4624" i="6"/>
  <c r="H4635" i="6"/>
  <c r="H4649" i="6"/>
  <c r="H4663" i="6"/>
  <c r="H4674" i="6"/>
  <c r="H4688" i="6"/>
  <c r="H4699" i="6"/>
  <c r="H4713" i="6"/>
  <c r="H4727" i="6"/>
  <c r="H4738" i="6"/>
  <c r="H4752" i="6"/>
  <c r="H4763" i="6"/>
  <c r="H4777" i="6"/>
  <c r="H4791" i="6"/>
  <c r="H4802" i="6"/>
  <c r="H4816" i="6"/>
  <c r="H4827" i="6"/>
  <c r="H4841" i="6"/>
  <c r="H4855" i="6"/>
  <c r="H4866" i="6"/>
  <c r="H4880" i="6"/>
  <c r="H4891" i="6"/>
  <c r="H4905" i="6"/>
  <c r="H4919" i="6"/>
  <c r="H4927" i="6"/>
  <c r="H4935" i="6"/>
  <c r="H4943" i="6"/>
  <c r="H4951" i="6"/>
  <c r="H4959" i="6"/>
  <c r="H4967" i="6"/>
  <c r="H4975" i="6"/>
  <c r="H4983" i="6"/>
  <c r="H4991" i="6"/>
  <c r="H4999" i="6"/>
  <c r="H5007" i="6"/>
  <c r="H5015" i="6"/>
  <c r="H5023" i="6"/>
  <c r="H5031" i="6"/>
  <c r="H5039" i="6"/>
  <c r="H4287" i="6"/>
  <c r="H4961" i="6"/>
  <c r="H4303" i="6"/>
  <c r="H4504" i="6"/>
  <c r="H4575" i="6"/>
  <c r="H4625" i="6"/>
  <c r="H4675" i="6"/>
  <c r="H4728" i="6"/>
  <c r="H4778" i="6"/>
  <c r="H4831" i="6"/>
  <c r="H4881" i="6"/>
  <c r="H4921" i="6"/>
  <c r="H4944" i="6"/>
  <c r="H4966" i="6"/>
  <c r="H4985" i="6"/>
  <c r="H5006" i="6"/>
  <c r="H5022" i="6"/>
  <c r="H5038" i="6"/>
  <c r="H4351" i="6"/>
  <c r="H4520" i="6"/>
  <c r="H4584" i="6"/>
  <c r="H4634" i="6"/>
  <c r="H4687" i="6"/>
  <c r="H4737" i="6"/>
  <c r="H4787" i="6"/>
  <c r="H4840" i="6"/>
  <c r="H4890" i="6"/>
  <c r="H4926" i="6"/>
  <c r="H4945" i="6"/>
  <c r="H4968" i="6"/>
  <c r="H4990" i="6"/>
  <c r="H5008" i="6"/>
  <c r="H5024" i="6"/>
  <c r="H5040" i="6"/>
  <c r="H4936" i="6"/>
  <c r="H4977" i="6"/>
  <c r="H5016" i="6"/>
  <c r="H5032" i="6"/>
  <c r="H4561" i="6"/>
  <c r="H4767" i="6"/>
  <c r="H4867" i="6"/>
  <c r="H4982" i="6"/>
  <c r="H4776" i="6"/>
  <c r="H4367" i="6"/>
  <c r="H4527" i="6"/>
  <c r="H4586" i="6"/>
  <c r="H4639" i="6"/>
  <c r="H4689" i="6"/>
  <c r="H4739" i="6"/>
  <c r="H4792" i="6"/>
  <c r="H4842" i="6"/>
  <c r="H4895" i="6"/>
  <c r="H4928" i="6"/>
  <c r="H4950" i="6"/>
  <c r="H4969" i="6"/>
  <c r="H4992" i="6"/>
  <c r="H5009" i="6"/>
  <c r="H5025" i="6"/>
  <c r="H5041" i="6"/>
  <c r="H4479" i="6"/>
  <c r="H4559" i="6"/>
  <c r="H4609" i="6"/>
  <c r="H4659" i="6"/>
  <c r="H4712" i="6"/>
  <c r="H4762" i="6"/>
  <c r="H4815" i="6"/>
  <c r="H4865" i="6"/>
  <c r="H4907" i="6"/>
  <c r="H4958" i="6"/>
  <c r="H5000" i="6"/>
  <c r="H4611" i="6"/>
  <c r="H4714" i="6"/>
  <c r="H4817" i="6"/>
  <c r="H4960" i="6"/>
  <c r="H5033" i="6"/>
  <c r="H4623" i="6"/>
  <c r="H4879" i="6"/>
  <c r="H5021" i="6"/>
  <c r="H4415" i="6"/>
  <c r="H4543" i="6"/>
  <c r="H4595" i="6"/>
  <c r="H4648" i="6"/>
  <c r="H4698" i="6"/>
  <c r="H4751" i="6"/>
  <c r="H4801" i="6"/>
  <c r="H4851" i="6"/>
  <c r="H4904" i="6"/>
  <c r="H4929" i="6"/>
  <c r="H4952" i="6"/>
  <c r="H4974" i="6"/>
  <c r="H4993" i="6"/>
  <c r="H5013" i="6"/>
  <c r="H5029" i="6"/>
  <c r="H5045" i="6"/>
  <c r="H4664" i="6"/>
  <c r="H4915" i="6"/>
  <c r="H5001" i="6"/>
  <c r="H4498" i="6"/>
  <c r="H4723" i="6"/>
  <c r="H4920" i="6"/>
  <c r="H4984" i="6"/>
  <c r="H4431" i="6"/>
  <c r="H4545" i="6"/>
  <c r="H4600" i="6"/>
  <c r="H4650" i="6"/>
  <c r="H4703" i="6"/>
  <c r="H4753" i="6"/>
  <c r="H4803" i="6"/>
  <c r="H4856" i="6"/>
  <c r="H4906" i="6"/>
  <c r="H4934" i="6"/>
  <c r="H4953" i="6"/>
  <c r="H4976" i="6"/>
  <c r="H4998" i="6"/>
  <c r="H5014" i="6"/>
  <c r="H5030" i="6"/>
  <c r="H4482" i="6"/>
  <c r="H4937" i="6"/>
  <c r="H5017" i="6"/>
  <c r="H4570" i="6"/>
  <c r="H4673" i="6"/>
  <c r="H4826" i="6"/>
  <c r="H4942" i="6"/>
  <c r="H5005" i="6"/>
  <c r="H5037" i="6"/>
  <c r="H3500" i="6"/>
  <c r="H3508" i="6"/>
  <c r="H3516" i="6"/>
  <c r="H3524" i="6"/>
  <c r="H3532" i="6"/>
  <c r="H3540" i="6"/>
  <c r="H3548" i="6"/>
  <c r="H3556" i="6"/>
  <c r="H3564" i="6"/>
  <c r="H3572" i="6"/>
  <c r="H3580" i="6"/>
  <c r="H3588" i="6"/>
  <c r="H3596" i="6"/>
  <c r="H3604" i="6"/>
  <c r="H3612" i="6"/>
  <c r="H3620" i="6"/>
  <c r="H3628" i="6"/>
  <c r="H3636" i="6"/>
  <c r="H3644" i="6"/>
  <c r="H3652" i="6"/>
  <c r="H3660" i="6"/>
  <c r="H3668" i="6"/>
  <c r="H3676" i="6"/>
  <c r="H3684" i="6"/>
  <c r="H3692" i="6"/>
  <c r="H3700" i="6"/>
  <c r="H3708" i="6"/>
  <c r="H3716" i="6"/>
  <c r="H3724" i="6"/>
  <c r="H3732" i="6"/>
  <c r="H3740" i="6"/>
  <c r="H3748" i="6"/>
  <c r="H3756" i="6"/>
  <c r="H3764" i="6"/>
  <c r="H3772" i="6"/>
  <c r="H3780" i="6"/>
  <c r="H3788" i="6"/>
  <c r="H3796" i="6"/>
  <c r="H3804" i="6"/>
  <c r="H3812" i="6"/>
  <c r="H3820" i="6"/>
  <c r="H3828" i="6"/>
  <c r="H3836" i="6"/>
  <c r="H3844" i="6"/>
  <c r="H3852" i="6"/>
  <c r="H3860" i="6"/>
  <c r="H3868" i="6"/>
  <c r="H3876" i="6"/>
  <c r="H3884" i="6"/>
  <c r="H3892" i="6"/>
  <c r="H3900" i="6"/>
  <c r="H3908" i="6"/>
  <c r="H3916" i="6"/>
  <c r="H3924" i="6"/>
  <c r="H3932" i="6"/>
  <c r="H3940" i="6"/>
  <c r="H3948" i="6"/>
  <c r="H3956" i="6"/>
  <c r="H3964" i="6"/>
  <c r="H3972" i="6"/>
  <c r="H3980" i="6"/>
  <c r="H3988" i="6"/>
  <c r="H3996" i="6"/>
  <c r="H4004" i="6"/>
  <c r="H4012" i="6"/>
  <c r="H4020" i="6"/>
  <c r="H4028" i="6"/>
  <c r="H4036" i="6"/>
  <c r="H4044" i="6"/>
  <c r="H4052" i="6"/>
  <c r="H4060" i="6"/>
  <c r="H4068" i="6"/>
  <c r="H4076" i="6"/>
  <c r="H4084" i="6"/>
  <c r="H4092" i="6"/>
  <c r="H4100" i="6"/>
  <c r="H4108" i="6"/>
  <c r="H4116" i="6"/>
  <c r="H4124" i="6"/>
  <c r="H4132" i="6"/>
  <c r="H3501" i="6"/>
  <c r="H3509" i="6"/>
  <c r="H3517" i="6"/>
  <c r="H3525" i="6"/>
  <c r="H3533" i="6"/>
  <c r="H3541" i="6"/>
  <c r="H3549" i="6"/>
  <c r="H3557" i="6"/>
  <c r="H3565" i="6"/>
  <c r="H3573" i="6"/>
  <c r="H3581" i="6"/>
  <c r="H3589" i="6"/>
  <c r="H3597" i="6"/>
  <c r="H3605" i="6"/>
  <c r="H3613" i="6"/>
  <c r="H3621" i="6"/>
  <c r="H3629" i="6"/>
  <c r="H3637" i="6"/>
  <c r="H3645" i="6"/>
  <c r="H3494" i="6"/>
  <c r="H3502" i="6"/>
  <c r="H3510" i="6"/>
  <c r="H3518" i="6"/>
  <c r="H3526" i="6"/>
  <c r="H3534" i="6"/>
  <c r="H3542" i="6"/>
  <c r="H3550" i="6"/>
  <c r="H3558" i="6"/>
  <c r="H3566" i="6"/>
  <c r="H3574" i="6"/>
  <c r="H3582" i="6"/>
  <c r="H3590" i="6"/>
  <c r="H3598" i="6"/>
  <c r="H3606" i="6"/>
  <c r="H3614" i="6"/>
  <c r="H3622" i="6"/>
  <c r="H3630" i="6"/>
  <c r="H3638" i="6"/>
  <c r="H3646" i="6"/>
  <c r="H3654" i="6"/>
  <c r="H3662" i="6"/>
  <c r="H3670" i="6"/>
  <c r="H3678" i="6"/>
  <c r="H3686" i="6"/>
  <c r="H3694" i="6"/>
  <c r="H3702" i="6"/>
  <c r="H3710" i="6"/>
  <c r="H3718" i="6"/>
  <c r="H3726" i="6"/>
  <c r="H3734" i="6"/>
  <c r="H3742" i="6"/>
  <c r="H3750" i="6"/>
  <c r="H3758" i="6"/>
  <c r="H3766" i="6"/>
  <c r="H3774" i="6"/>
  <c r="H3782" i="6"/>
  <c r="H3790" i="6"/>
  <c r="H3798" i="6"/>
  <c r="H3806" i="6"/>
  <c r="H3814" i="6"/>
  <c r="H3822" i="6"/>
  <c r="H3830" i="6"/>
  <c r="H3838" i="6"/>
  <c r="H3846" i="6"/>
  <c r="H3854" i="6"/>
  <c r="H3862" i="6"/>
  <c r="H3870" i="6"/>
  <c r="H3878" i="6"/>
  <c r="H3886" i="6"/>
  <c r="H3894" i="6"/>
  <c r="H3902" i="6"/>
  <c r="H3910" i="6"/>
  <c r="H3918" i="6"/>
  <c r="H3926" i="6"/>
  <c r="H3934" i="6"/>
  <c r="H3942" i="6"/>
  <c r="H3950" i="6"/>
  <c r="H3958" i="6"/>
  <c r="H3966" i="6"/>
  <c r="H3974" i="6"/>
  <c r="H3982" i="6"/>
  <c r="H3990" i="6"/>
  <c r="H3998" i="6"/>
  <c r="H4006" i="6"/>
  <c r="H4014" i="6"/>
  <c r="H4022" i="6"/>
  <c r="H4030" i="6"/>
  <c r="H4038" i="6"/>
  <c r="H4046" i="6"/>
  <c r="H4054" i="6"/>
  <c r="H4062" i="6"/>
  <c r="H4070" i="6"/>
  <c r="H4078" i="6"/>
  <c r="H4086" i="6"/>
  <c r="H4094" i="6"/>
  <c r="H4102" i="6"/>
  <c r="H4110" i="6"/>
  <c r="H4118" i="6"/>
  <c r="H4126" i="6"/>
  <c r="H3495" i="6"/>
  <c r="H3503" i="6"/>
  <c r="H3511" i="6"/>
  <c r="H3519" i="6"/>
  <c r="H3527" i="6"/>
  <c r="H3535" i="6"/>
  <c r="H3543" i="6"/>
  <c r="H3551" i="6"/>
  <c r="H3559" i="6"/>
  <c r="H3567" i="6"/>
  <c r="H3575" i="6"/>
  <c r="H3583" i="6"/>
  <c r="H3591" i="6"/>
  <c r="H3599" i="6"/>
  <c r="H3607" i="6"/>
  <c r="H3615" i="6"/>
  <c r="H3623" i="6"/>
  <c r="H3631" i="6"/>
  <c r="H3639" i="6"/>
  <c r="H3647" i="6"/>
  <c r="H3655" i="6"/>
  <c r="H3663" i="6"/>
  <c r="H3671" i="6"/>
  <c r="H3679" i="6"/>
  <c r="H3687" i="6"/>
  <c r="H3695" i="6"/>
  <c r="H3703" i="6"/>
  <c r="H3711" i="6"/>
  <c r="H3719" i="6"/>
  <c r="H3727" i="6"/>
  <c r="H3735" i="6"/>
  <c r="H3743" i="6"/>
  <c r="H3751" i="6"/>
  <c r="H3759" i="6"/>
  <c r="H3767" i="6"/>
  <c r="H3775" i="6"/>
  <c r="H3783" i="6"/>
  <c r="H3791" i="6"/>
  <c r="H3799" i="6"/>
  <c r="H3807" i="6"/>
  <c r="H3815" i="6"/>
  <c r="H3823" i="6"/>
  <c r="H3831" i="6"/>
  <c r="H3839" i="6"/>
  <c r="H3847" i="6"/>
  <c r="H3855" i="6"/>
  <c r="H3863" i="6"/>
  <c r="H3871" i="6"/>
  <c r="H3879" i="6"/>
  <c r="H3887" i="6"/>
  <c r="H3895" i="6"/>
  <c r="H3903" i="6"/>
  <c r="H3911" i="6"/>
  <c r="H3919" i="6"/>
  <c r="H3927" i="6"/>
  <c r="H3935" i="6"/>
  <c r="H3943" i="6"/>
  <c r="H3951" i="6"/>
  <c r="H3959" i="6"/>
  <c r="H3967" i="6"/>
  <c r="H3975" i="6"/>
  <c r="H3983" i="6"/>
  <c r="H3991" i="6"/>
  <c r="H3999" i="6"/>
  <c r="H4007" i="6"/>
  <c r="H4015" i="6"/>
  <c r="H4023" i="6"/>
  <c r="H4031" i="6"/>
  <c r="H4039" i="6"/>
  <c r="H4047" i="6"/>
  <c r="H4055" i="6"/>
  <c r="H4063" i="6"/>
  <c r="H4071" i="6"/>
  <c r="H4079" i="6"/>
  <c r="H3496" i="6"/>
  <c r="H3504" i="6"/>
  <c r="H3512" i="6"/>
  <c r="H3520" i="6"/>
  <c r="H3528" i="6"/>
  <c r="H3536" i="6"/>
  <c r="H3544" i="6"/>
  <c r="H3552" i="6"/>
  <c r="H3560" i="6"/>
  <c r="H3568" i="6"/>
  <c r="H3576" i="6"/>
  <c r="H3584" i="6"/>
  <c r="H3592" i="6"/>
  <c r="H3600" i="6"/>
  <c r="H3608" i="6"/>
  <c r="H3616" i="6"/>
  <c r="H3624" i="6"/>
  <c r="H3632" i="6"/>
  <c r="H3640" i="6"/>
  <c r="H3648" i="6"/>
  <c r="H3656" i="6"/>
  <c r="H3664" i="6"/>
  <c r="H3672" i="6"/>
  <c r="H3680" i="6"/>
  <c r="H3688" i="6"/>
  <c r="H3696" i="6"/>
  <c r="H3704" i="6"/>
  <c r="H3712" i="6"/>
  <c r="H3720" i="6"/>
  <c r="H3728" i="6"/>
  <c r="H3736" i="6"/>
  <c r="H3744" i="6"/>
  <c r="H3752" i="6"/>
  <c r="H3760" i="6"/>
  <c r="H3768" i="6"/>
  <c r="H3776" i="6"/>
  <c r="H3784" i="6"/>
  <c r="H3792" i="6"/>
  <c r="H3800" i="6"/>
  <c r="H3808" i="6"/>
  <c r="H3816" i="6"/>
  <c r="H3824" i="6"/>
  <c r="H3832" i="6"/>
  <c r="H3840" i="6"/>
  <c r="H3848" i="6"/>
  <c r="H3856" i="6"/>
  <c r="H3864" i="6"/>
  <c r="H3872" i="6"/>
  <c r="H3880" i="6"/>
  <c r="H3888" i="6"/>
  <c r="H3896" i="6"/>
  <c r="H3904" i="6"/>
  <c r="H3912" i="6"/>
  <c r="H3920" i="6"/>
  <c r="H3928" i="6"/>
  <c r="H3936" i="6"/>
  <c r="H3944" i="6"/>
  <c r="H3952" i="6"/>
  <c r="H3960" i="6"/>
  <c r="H3968" i="6"/>
  <c r="H3976" i="6"/>
  <c r="H3984" i="6"/>
  <c r="H3992" i="6"/>
  <c r="H4000" i="6"/>
  <c r="H4008" i="6"/>
  <c r="H4016" i="6"/>
  <c r="H4024" i="6"/>
  <c r="H4032" i="6"/>
  <c r="H4040" i="6"/>
  <c r="H4048" i="6"/>
  <c r="H4056" i="6"/>
  <c r="H4064" i="6"/>
  <c r="H4072" i="6"/>
  <c r="H4080" i="6"/>
  <c r="H4088" i="6"/>
  <c r="H4096" i="6"/>
  <c r="H4104" i="6"/>
  <c r="H4112" i="6"/>
  <c r="H4120" i="6"/>
  <c r="H4128" i="6"/>
  <c r="H4136" i="6"/>
  <c r="H3498" i="6"/>
  <c r="H3506" i="6"/>
  <c r="H3514" i="6"/>
  <c r="H3522" i="6"/>
  <c r="H3530" i="6"/>
  <c r="H3538" i="6"/>
  <c r="H3546" i="6"/>
  <c r="H3554" i="6"/>
  <c r="H3562" i="6"/>
  <c r="H3570" i="6"/>
  <c r="H3578" i="6"/>
  <c r="H3586" i="6"/>
  <c r="H3594" i="6"/>
  <c r="H3602" i="6"/>
  <c r="H3610" i="6"/>
  <c r="H3618" i="6"/>
  <c r="H3626" i="6"/>
  <c r="H3634" i="6"/>
  <c r="H3642" i="6"/>
  <c r="H3650" i="6"/>
  <c r="H3658" i="6"/>
  <c r="H3666" i="6"/>
  <c r="H3674" i="6"/>
  <c r="H3682" i="6"/>
  <c r="H3690" i="6"/>
  <c r="H3698" i="6"/>
  <c r="H3706" i="6"/>
  <c r="H3714" i="6"/>
  <c r="H3722" i="6"/>
  <c r="H3730" i="6"/>
  <c r="H3738" i="6"/>
  <c r="H3746" i="6"/>
  <c r="H3754" i="6"/>
  <c r="H3762" i="6"/>
  <c r="H3770" i="6"/>
  <c r="H3778" i="6"/>
  <c r="H3786" i="6"/>
  <c r="H3794" i="6"/>
  <c r="H3802" i="6"/>
  <c r="H3810" i="6"/>
  <c r="H3818" i="6"/>
  <c r="H3826" i="6"/>
  <c r="H3834" i="6"/>
  <c r="H3842" i="6"/>
  <c r="H3850" i="6"/>
  <c r="H3858" i="6"/>
  <c r="H3866" i="6"/>
  <c r="H3874" i="6"/>
  <c r="H3882" i="6"/>
  <c r="H3890" i="6"/>
  <c r="H3898" i="6"/>
  <c r="H3906" i="6"/>
  <c r="H3914" i="6"/>
  <c r="H3922" i="6"/>
  <c r="H3930" i="6"/>
  <c r="H3938" i="6"/>
  <c r="H3946" i="6"/>
  <c r="H3497" i="6"/>
  <c r="H3529" i="6"/>
  <c r="H3561" i="6"/>
  <c r="H3593" i="6"/>
  <c r="H3625" i="6"/>
  <c r="H3653" i="6"/>
  <c r="H3675" i="6"/>
  <c r="H3697" i="6"/>
  <c r="H3717" i="6"/>
  <c r="H3739" i="6"/>
  <c r="H3761" i="6"/>
  <c r="H3781" i="6"/>
  <c r="H3803" i="6"/>
  <c r="H3825" i="6"/>
  <c r="H3845" i="6"/>
  <c r="H3867" i="6"/>
  <c r="H3889" i="6"/>
  <c r="H3909" i="6"/>
  <c r="H3931" i="6"/>
  <c r="H3953" i="6"/>
  <c r="H3969" i="6"/>
  <c r="H3985" i="6"/>
  <c r="H4001" i="6"/>
  <c r="H4017" i="6"/>
  <c r="H4033" i="6"/>
  <c r="H4049" i="6"/>
  <c r="H4065" i="6"/>
  <c r="H4081" i="6"/>
  <c r="H4093" i="6"/>
  <c r="H4106" i="6"/>
  <c r="H4119" i="6"/>
  <c r="H4131" i="6"/>
  <c r="H4141" i="6"/>
  <c r="H4149" i="6"/>
  <c r="H4157" i="6"/>
  <c r="H4165" i="6"/>
  <c r="H4173" i="6"/>
  <c r="H4181" i="6"/>
  <c r="H4189" i="6"/>
  <c r="H4197" i="6"/>
  <c r="H4205" i="6"/>
  <c r="H4213" i="6"/>
  <c r="H4221" i="6"/>
  <c r="H4229" i="6"/>
  <c r="H4237" i="6"/>
  <c r="H4245" i="6"/>
  <c r="H4253" i="6"/>
  <c r="H4261" i="6"/>
  <c r="H4269" i="6"/>
  <c r="H4133" i="6"/>
  <c r="H4150" i="6"/>
  <c r="H4166" i="6"/>
  <c r="H4182" i="6"/>
  <c r="H4198" i="6"/>
  <c r="H4206" i="6"/>
  <c r="H4222" i="6"/>
  <c r="H4230" i="6"/>
  <c r="H4246" i="6"/>
  <c r="H4262" i="6"/>
  <c r="H4200" i="6"/>
  <c r="H4216" i="6"/>
  <c r="H4232" i="6"/>
  <c r="H4248" i="6"/>
  <c r="H4256" i="6"/>
  <c r="H3499" i="6"/>
  <c r="H3531" i="6"/>
  <c r="H3563" i="6"/>
  <c r="H3595" i="6"/>
  <c r="H3627" i="6"/>
  <c r="H3657" i="6"/>
  <c r="H3677" i="6"/>
  <c r="H3699" i="6"/>
  <c r="H3721" i="6"/>
  <c r="H3741" i="6"/>
  <c r="H3763" i="6"/>
  <c r="H3785" i="6"/>
  <c r="H3805" i="6"/>
  <c r="H3827" i="6"/>
  <c r="H3849" i="6"/>
  <c r="H3869" i="6"/>
  <c r="H3891" i="6"/>
  <c r="H3913" i="6"/>
  <c r="H3933" i="6"/>
  <c r="H3954" i="6"/>
  <c r="H3970" i="6"/>
  <c r="H3986" i="6"/>
  <c r="H4002" i="6"/>
  <c r="H4018" i="6"/>
  <c r="H4034" i="6"/>
  <c r="H4050" i="6"/>
  <c r="H4066" i="6"/>
  <c r="H4082" i="6"/>
  <c r="H4095" i="6"/>
  <c r="H4107" i="6"/>
  <c r="H4121" i="6"/>
  <c r="H4142" i="6"/>
  <c r="H4158" i="6"/>
  <c r="H4174" i="6"/>
  <c r="H4190" i="6"/>
  <c r="H4214" i="6"/>
  <c r="H4238" i="6"/>
  <c r="H4254" i="6"/>
  <c r="H3505" i="6"/>
  <c r="H3537" i="6"/>
  <c r="H3569" i="6"/>
  <c r="H3601" i="6"/>
  <c r="H3633" i="6"/>
  <c r="H3659" i="6"/>
  <c r="H3681" i="6"/>
  <c r="H3701" i="6"/>
  <c r="H3723" i="6"/>
  <c r="H3745" i="6"/>
  <c r="H3765" i="6"/>
  <c r="H3787" i="6"/>
  <c r="H3809" i="6"/>
  <c r="H3829" i="6"/>
  <c r="H3851" i="6"/>
  <c r="H3873" i="6"/>
  <c r="H3893" i="6"/>
  <c r="H3915" i="6"/>
  <c r="H3937" i="6"/>
  <c r="H3955" i="6"/>
  <c r="H3971" i="6"/>
  <c r="H3987" i="6"/>
  <c r="H4003" i="6"/>
  <c r="H4019" i="6"/>
  <c r="H4035" i="6"/>
  <c r="H4051" i="6"/>
  <c r="H4067" i="6"/>
  <c r="H4083" i="6"/>
  <c r="H4097" i="6"/>
  <c r="H4109" i="6"/>
  <c r="H4122" i="6"/>
  <c r="H4134" i="6"/>
  <c r="H4143" i="6"/>
  <c r="H4151" i="6"/>
  <c r="H4159" i="6"/>
  <c r="H4167" i="6"/>
  <c r="H4175" i="6"/>
  <c r="H4183" i="6"/>
  <c r="H4191" i="6"/>
  <c r="H4199" i="6"/>
  <c r="H4207" i="6"/>
  <c r="H4215" i="6"/>
  <c r="H4223" i="6"/>
  <c r="H4231" i="6"/>
  <c r="H4239" i="6"/>
  <c r="H4247" i="6"/>
  <c r="H4255" i="6"/>
  <c r="H4263" i="6"/>
  <c r="H3507" i="6"/>
  <c r="H3539" i="6"/>
  <c r="H3571" i="6"/>
  <c r="H3603" i="6"/>
  <c r="H3635" i="6"/>
  <c r="H3661" i="6"/>
  <c r="H3683" i="6"/>
  <c r="H3705" i="6"/>
  <c r="H3725" i="6"/>
  <c r="H3747" i="6"/>
  <c r="H3769" i="6"/>
  <c r="H3789" i="6"/>
  <c r="H3811" i="6"/>
  <c r="H3833" i="6"/>
  <c r="H3853" i="6"/>
  <c r="H3875" i="6"/>
  <c r="H3897" i="6"/>
  <c r="H3917" i="6"/>
  <c r="H3939" i="6"/>
  <c r="H3957" i="6"/>
  <c r="H3973" i="6"/>
  <c r="H3989" i="6"/>
  <c r="H4005" i="6"/>
  <c r="H4021" i="6"/>
  <c r="H4037" i="6"/>
  <c r="H4053" i="6"/>
  <c r="H4069" i="6"/>
  <c r="H4085" i="6"/>
  <c r="H4098" i="6"/>
  <c r="H4111" i="6"/>
  <c r="H4123" i="6"/>
  <c r="H4135" i="6"/>
  <c r="H4144" i="6"/>
  <c r="H4152" i="6"/>
  <c r="H4160" i="6"/>
  <c r="H4168" i="6"/>
  <c r="H4176" i="6"/>
  <c r="H4184" i="6"/>
  <c r="H4192" i="6"/>
  <c r="H4208" i="6"/>
  <c r="H4224" i="6"/>
  <c r="H4240" i="6"/>
  <c r="H4264" i="6"/>
  <c r="H3521" i="6"/>
  <c r="H3553" i="6"/>
  <c r="H3585" i="6"/>
  <c r="H3617" i="6"/>
  <c r="H3649" i="6"/>
  <c r="H3669" i="6"/>
  <c r="H3691" i="6"/>
  <c r="H3713" i="6"/>
  <c r="H3733" i="6"/>
  <c r="H3755" i="6"/>
  <c r="H3777" i="6"/>
  <c r="H3797" i="6"/>
  <c r="H3819" i="6"/>
  <c r="H3841" i="6"/>
  <c r="H3861" i="6"/>
  <c r="H3883" i="6"/>
  <c r="H3905" i="6"/>
  <c r="H3925" i="6"/>
  <c r="H3947" i="6"/>
  <c r="H3963" i="6"/>
  <c r="H3979" i="6"/>
  <c r="H3995" i="6"/>
  <c r="H4011" i="6"/>
  <c r="H4027" i="6"/>
  <c r="H4043" i="6"/>
  <c r="H4059" i="6"/>
  <c r="H4075" i="6"/>
  <c r="H4090" i="6"/>
  <c r="H4103" i="6"/>
  <c r="H4115" i="6"/>
  <c r="H4129" i="6"/>
  <c r="H4139" i="6"/>
  <c r="H4147" i="6"/>
  <c r="H4155" i="6"/>
  <c r="H4163" i="6"/>
  <c r="H4171" i="6"/>
  <c r="H4179" i="6"/>
  <c r="H4187" i="6"/>
  <c r="H4195" i="6"/>
  <c r="H4203" i="6"/>
  <c r="H3513" i="6"/>
  <c r="H3545" i="6"/>
  <c r="H3577" i="6"/>
  <c r="H3609" i="6"/>
  <c r="H3641" i="6"/>
  <c r="H3665" i="6"/>
  <c r="H3685" i="6"/>
  <c r="H3707" i="6"/>
  <c r="H3729" i="6"/>
  <c r="H3749" i="6"/>
  <c r="H3771" i="6"/>
  <c r="H3793" i="6"/>
  <c r="H3813" i="6"/>
  <c r="H3835" i="6"/>
  <c r="H3857" i="6"/>
  <c r="H3877" i="6"/>
  <c r="H3899" i="6"/>
  <c r="H3921" i="6"/>
  <c r="H3941" i="6"/>
  <c r="H3961" i="6"/>
  <c r="H3977" i="6"/>
  <c r="H3993" i="6"/>
  <c r="H4009" i="6"/>
  <c r="H4025" i="6"/>
  <c r="H4041" i="6"/>
  <c r="H4057" i="6"/>
  <c r="H4073" i="6"/>
  <c r="H4087" i="6"/>
  <c r="H4099" i="6"/>
  <c r="H4113" i="6"/>
  <c r="H4125" i="6"/>
  <c r="H4137" i="6"/>
  <c r="H4145" i="6"/>
  <c r="H4153" i="6"/>
  <c r="H4161" i="6"/>
  <c r="H4169" i="6"/>
  <c r="H4177" i="6"/>
  <c r="H4185" i="6"/>
  <c r="H4193" i="6"/>
  <c r="H4201" i="6"/>
  <c r="H4209" i="6"/>
  <c r="H4217" i="6"/>
  <c r="H4225" i="6"/>
  <c r="H4233" i="6"/>
  <c r="H4241" i="6"/>
  <c r="H4249" i="6"/>
  <c r="H4257" i="6"/>
  <c r="H4265" i="6"/>
  <c r="H3515" i="6"/>
  <c r="H3547" i="6"/>
  <c r="H3579" i="6"/>
  <c r="H3611" i="6"/>
  <c r="H3643" i="6"/>
  <c r="H3667" i="6"/>
  <c r="H3689" i="6"/>
  <c r="H3709" i="6"/>
  <c r="H3731" i="6"/>
  <c r="H3753" i="6"/>
  <c r="H3773" i="6"/>
  <c r="H3795" i="6"/>
  <c r="H3817" i="6"/>
  <c r="H3837" i="6"/>
  <c r="H3859" i="6"/>
  <c r="H3881" i="6"/>
  <c r="H3901" i="6"/>
  <c r="H3923" i="6"/>
  <c r="H3945" i="6"/>
  <c r="H3962" i="6"/>
  <c r="H3978" i="6"/>
  <c r="H3994" i="6"/>
  <c r="H4010" i="6"/>
  <c r="H4026" i="6"/>
  <c r="H4042" i="6"/>
  <c r="H4058" i="6"/>
  <c r="H4074" i="6"/>
  <c r="H4089" i="6"/>
  <c r="H4101" i="6"/>
  <c r="H4114" i="6"/>
  <c r="H4127" i="6"/>
  <c r="H4138" i="6"/>
  <c r="H4146" i="6"/>
  <c r="H4154" i="6"/>
  <c r="H4162" i="6"/>
  <c r="H4170" i="6"/>
  <c r="H4178" i="6"/>
  <c r="H4186" i="6"/>
  <c r="H4194" i="6"/>
  <c r="H4202" i="6"/>
  <c r="H4210" i="6"/>
  <c r="H4218" i="6"/>
  <c r="H4226" i="6"/>
  <c r="H4234" i="6"/>
  <c r="H4242" i="6"/>
  <c r="H4250" i="6"/>
  <c r="H4258" i="6"/>
  <c r="H4266" i="6"/>
  <c r="H3715" i="6"/>
  <c r="H3885" i="6"/>
  <c r="H4029" i="6"/>
  <c r="H4140" i="6"/>
  <c r="H4204" i="6"/>
  <c r="H4236" i="6"/>
  <c r="H4268" i="6"/>
  <c r="H4130" i="6"/>
  <c r="H3523" i="6"/>
  <c r="H3737" i="6"/>
  <c r="H3907" i="6"/>
  <c r="H4045" i="6"/>
  <c r="H4148" i="6"/>
  <c r="H4211" i="6"/>
  <c r="H4243" i="6"/>
  <c r="H4061" i="6"/>
  <c r="H4212" i="6"/>
  <c r="H4244" i="6"/>
  <c r="H4164" i="6"/>
  <c r="H4251" i="6"/>
  <c r="H3801" i="6"/>
  <c r="H3965" i="6"/>
  <c r="H4220" i="6"/>
  <c r="H3821" i="6"/>
  <c r="H4105" i="6"/>
  <c r="H4259" i="6"/>
  <c r="H4260" i="6"/>
  <c r="H3693" i="6"/>
  <c r="H4013" i="6"/>
  <c r="H4267" i="6"/>
  <c r="H3555" i="6"/>
  <c r="H3757" i="6"/>
  <c r="H3929" i="6"/>
  <c r="H4156" i="6"/>
  <c r="H4077" i="6"/>
  <c r="H3619" i="6"/>
  <c r="H4091" i="6"/>
  <c r="H4252" i="6"/>
  <c r="H3981" i="6"/>
  <c r="H4227" i="6"/>
  <c r="H4196" i="6"/>
  <c r="H3587" i="6"/>
  <c r="H3779" i="6"/>
  <c r="H3949" i="6"/>
  <c r="H4219" i="6"/>
  <c r="H4172" i="6"/>
  <c r="H3651" i="6"/>
  <c r="H4180" i="6"/>
  <c r="H4228" i="6"/>
  <c r="H3865" i="6"/>
  <c r="H4235" i="6"/>
  <c r="H3673" i="6"/>
  <c r="H3843" i="6"/>
  <c r="H3997" i="6"/>
  <c r="H4117" i="6"/>
  <c r="H4188" i="6"/>
  <c r="H2693" i="6"/>
  <c r="H2701" i="6"/>
  <c r="H2709" i="6"/>
  <c r="H2717" i="6"/>
  <c r="H2725" i="6"/>
  <c r="H2733" i="6"/>
  <c r="H2741" i="6"/>
  <c r="H2749" i="6"/>
  <c r="H2757" i="6"/>
  <c r="H2765" i="6"/>
  <c r="H2773" i="6"/>
  <c r="H2781" i="6"/>
  <c r="H2789" i="6"/>
  <c r="H2797" i="6"/>
  <c r="H2805" i="6"/>
  <c r="H2813" i="6"/>
  <c r="H2821" i="6"/>
  <c r="H2829" i="6"/>
  <c r="H2837" i="6"/>
  <c r="H2845" i="6"/>
  <c r="H2853" i="6"/>
  <c r="H2861" i="6"/>
  <c r="H2869" i="6"/>
  <c r="H2877" i="6"/>
  <c r="H2885" i="6"/>
  <c r="H2893" i="6"/>
  <c r="H2901" i="6"/>
  <c r="H2909" i="6"/>
  <c r="H2917" i="6"/>
  <c r="H2925" i="6"/>
  <c r="H2933" i="6"/>
  <c r="H2941" i="6"/>
  <c r="H2949" i="6"/>
  <c r="H2957" i="6"/>
  <c r="H2965" i="6"/>
  <c r="H2973" i="6"/>
  <c r="H2981" i="6"/>
  <c r="H2989" i="6"/>
  <c r="H2997" i="6"/>
  <c r="H3005" i="6"/>
  <c r="H3013" i="6"/>
  <c r="H3021" i="6"/>
  <c r="H3029" i="6"/>
  <c r="H3037" i="6"/>
  <c r="H3045" i="6"/>
  <c r="H3053" i="6"/>
  <c r="H3061" i="6"/>
  <c r="H3069" i="6"/>
  <c r="H3077" i="6"/>
  <c r="H3085" i="6"/>
  <c r="H3093" i="6"/>
  <c r="H3101" i="6"/>
  <c r="H3109" i="6"/>
  <c r="H3117" i="6"/>
  <c r="H3125" i="6"/>
  <c r="H3133" i="6"/>
  <c r="H3141" i="6"/>
  <c r="H3149" i="6"/>
  <c r="H3157" i="6"/>
  <c r="H3165" i="6"/>
  <c r="H2695" i="6"/>
  <c r="H2703" i="6"/>
  <c r="H2711" i="6"/>
  <c r="H2719" i="6"/>
  <c r="H2727" i="6"/>
  <c r="H2735" i="6"/>
  <c r="H2743" i="6"/>
  <c r="H2751" i="6"/>
  <c r="H2759" i="6"/>
  <c r="H2767" i="6"/>
  <c r="H2775" i="6"/>
  <c r="H2783" i="6"/>
  <c r="H2791" i="6"/>
  <c r="H2799" i="6"/>
  <c r="H2807" i="6"/>
  <c r="H2815" i="6"/>
  <c r="H2823" i="6"/>
  <c r="H2831" i="6"/>
  <c r="H2839" i="6"/>
  <c r="H2847" i="6"/>
  <c r="H2855" i="6"/>
  <c r="H2863" i="6"/>
  <c r="H2871" i="6"/>
  <c r="H2879" i="6"/>
  <c r="H2887" i="6"/>
  <c r="H2895" i="6"/>
  <c r="H2903" i="6"/>
  <c r="H2911" i="6"/>
  <c r="H2919" i="6"/>
  <c r="H2927" i="6"/>
  <c r="H2935" i="6"/>
  <c r="H2943" i="6"/>
  <c r="H2951" i="6"/>
  <c r="H2959" i="6"/>
  <c r="H2967" i="6"/>
  <c r="H2975" i="6"/>
  <c r="H2983" i="6"/>
  <c r="H2991" i="6"/>
  <c r="H2999" i="6"/>
  <c r="H3007" i="6"/>
  <c r="H3015" i="6"/>
  <c r="H3023" i="6"/>
  <c r="H3031" i="6"/>
  <c r="H3039" i="6"/>
  <c r="H3047" i="6"/>
  <c r="H3055" i="6"/>
  <c r="H3063" i="6"/>
  <c r="H3071" i="6"/>
  <c r="H3079" i="6"/>
  <c r="H3087" i="6"/>
  <c r="H3095" i="6"/>
  <c r="H3103" i="6"/>
  <c r="H3111" i="6"/>
  <c r="H3119" i="6"/>
  <c r="H3127" i="6"/>
  <c r="H3135" i="6"/>
  <c r="H3143" i="6"/>
  <c r="H3151" i="6"/>
  <c r="H3159" i="6"/>
  <c r="H3167" i="6"/>
  <c r="H3175" i="6"/>
  <c r="H3183" i="6"/>
  <c r="H3191" i="6"/>
  <c r="H3199" i="6"/>
  <c r="H3207" i="6"/>
  <c r="H3215" i="6"/>
  <c r="H3223" i="6"/>
  <c r="H3231" i="6"/>
  <c r="H3239" i="6"/>
  <c r="H3247" i="6"/>
  <c r="H3255" i="6"/>
  <c r="H3263" i="6"/>
  <c r="H3271" i="6"/>
  <c r="H3279" i="6"/>
  <c r="H3287" i="6"/>
  <c r="H3295" i="6"/>
  <c r="H3303" i="6"/>
  <c r="H3311" i="6"/>
  <c r="H3319" i="6"/>
  <c r="H3327" i="6"/>
  <c r="H3335" i="6"/>
  <c r="H3343" i="6"/>
  <c r="H3351" i="6"/>
  <c r="H3359" i="6"/>
  <c r="H3367" i="6"/>
  <c r="H2696" i="6"/>
  <c r="H2704" i="6"/>
  <c r="H2712" i="6"/>
  <c r="H2720" i="6"/>
  <c r="H2728" i="6"/>
  <c r="H2736" i="6"/>
  <c r="H2744" i="6"/>
  <c r="H2752" i="6"/>
  <c r="H2760" i="6"/>
  <c r="H2768" i="6"/>
  <c r="H2776" i="6"/>
  <c r="H2784" i="6"/>
  <c r="H2792" i="6"/>
  <c r="H2800" i="6"/>
  <c r="H2808" i="6"/>
  <c r="H2816" i="6"/>
  <c r="H2824" i="6"/>
  <c r="H2832" i="6"/>
  <c r="H2840" i="6"/>
  <c r="H2848" i="6"/>
  <c r="H2856" i="6"/>
  <c r="H2864" i="6"/>
  <c r="H2872" i="6"/>
  <c r="H2880" i="6"/>
  <c r="H2888" i="6"/>
  <c r="H2896" i="6"/>
  <c r="H2904" i="6"/>
  <c r="H2912" i="6"/>
  <c r="H2920" i="6"/>
  <c r="H2928" i="6"/>
  <c r="H2936" i="6"/>
  <c r="H2944" i="6"/>
  <c r="H2952" i="6"/>
  <c r="H2960" i="6"/>
  <c r="H2968" i="6"/>
  <c r="H2976" i="6"/>
  <c r="H2984" i="6"/>
  <c r="H2992" i="6"/>
  <c r="H3000" i="6"/>
  <c r="H3008" i="6"/>
  <c r="H3016" i="6"/>
  <c r="H3024" i="6"/>
  <c r="H3032" i="6"/>
  <c r="H3040" i="6"/>
  <c r="H3048" i="6"/>
  <c r="H3056" i="6"/>
  <c r="H3064" i="6"/>
  <c r="H3072" i="6"/>
  <c r="H3080" i="6"/>
  <c r="H3088" i="6"/>
  <c r="H3096" i="6"/>
  <c r="H3104" i="6"/>
  <c r="H3112" i="6"/>
  <c r="H3120" i="6"/>
  <c r="H3128" i="6"/>
  <c r="H3136" i="6"/>
  <c r="H3144" i="6"/>
  <c r="H3152" i="6"/>
  <c r="H3160" i="6"/>
  <c r="H3168" i="6"/>
  <c r="H3176" i="6"/>
  <c r="H3184" i="6"/>
  <c r="H3192" i="6"/>
  <c r="H3200" i="6"/>
  <c r="H3208" i="6"/>
  <c r="H3216" i="6"/>
  <c r="H3224" i="6"/>
  <c r="H3232" i="6"/>
  <c r="H3240" i="6"/>
  <c r="H3248" i="6"/>
  <c r="H3256" i="6"/>
  <c r="H3264" i="6"/>
  <c r="H3272" i="6"/>
  <c r="H3280" i="6"/>
  <c r="H3288" i="6"/>
  <c r="H3296" i="6"/>
  <c r="H3304" i="6"/>
  <c r="H3312" i="6"/>
  <c r="H3320" i="6"/>
  <c r="H3328" i="6"/>
  <c r="H3336" i="6"/>
  <c r="H3344" i="6"/>
  <c r="H3352" i="6"/>
  <c r="H3360" i="6"/>
  <c r="H3368" i="6"/>
  <c r="H2690" i="6"/>
  <c r="H2702" i="6"/>
  <c r="H2715" i="6"/>
  <c r="H2729" i="6"/>
  <c r="H2740" i="6"/>
  <c r="H2754" i="6"/>
  <c r="H2766" i="6"/>
  <c r="H2779" i="6"/>
  <c r="H2793" i="6"/>
  <c r="H2804" i="6"/>
  <c r="H2818" i="6"/>
  <c r="H2830" i="6"/>
  <c r="H2843" i="6"/>
  <c r="H2857" i="6"/>
  <c r="H2868" i="6"/>
  <c r="H2882" i="6"/>
  <c r="H2894" i="6"/>
  <c r="H2907" i="6"/>
  <c r="H2921" i="6"/>
  <c r="H2932" i="6"/>
  <c r="H2946" i="6"/>
  <c r="H2958" i="6"/>
  <c r="H2971" i="6"/>
  <c r="H2985" i="6"/>
  <c r="H2996" i="6"/>
  <c r="H3010" i="6"/>
  <c r="H3022" i="6"/>
  <c r="H3035" i="6"/>
  <c r="H3049" i="6"/>
  <c r="H3060" i="6"/>
  <c r="H3074" i="6"/>
  <c r="H3086" i="6"/>
  <c r="H3099" i="6"/>
  <c r="H3113" i="6"/>
  <c r="H3124" i="6"/>
  <c r="H3138" i="6"/>
  <c r="H3150" i="6"/>
  <c r="H3163" i="6"/>
  <c r="H3174" i="6"/>
  <c r="H3186" i="6"/>
  <c r="H3196" i="6"/>
  <c r="H3206" i="6"/>
  <c r="H3218" i="6"/>
  <c r="H3228" i="6"/>
  <c r="H3238" i="6"/>
  <c r="H3250" i="6"/>
  <c r="H3260" i="6"/>
  <c r="H3270" i="6"/>
  <c r="H3282" i="6"/>
  <c r="H3292" i="6"/>
  <c r="H3302" i="6"/>
  <c r="H3314" i="6"/>
  <c r="H3324" i="6"/>
  <c r="H3334" i="6"/>
  <c r="H3346" i="6"/>
  <c r="H3356" i="6"/>
  <c r="H3366" i="6"/>
  <c r="H3376" i="6"/>
  <c r="H3384" i="6"/>
  <c r="H3392" i="6"/>
  <c r="H3400" i="6"/>
  <c r="H3408" i="6"/>
  <c r="H3416" i="6"/>
  <c r="H3424" i="6"/>
  <c r="H3432" i="6"/>
  <c r="H3440" i="6"/>
  <c r="H3448" i="6"/>
  <c r="H3456" i="6"/>
  <c r="H3464" i="6"/>
  <c r="H3472" i="6"/>
  <c r="H3480" i="6"/>
  <c r="H3488" i="6"/>
  <c r="H2691" i="6"/>
  <c r="H2705" i="6"/>
  <c r="H2716" i="6"/>
  <c r="H2730" i="6"/>
  <c r="H2742" i="6"/>
  <c r="H2755" i="6"/>
  <c r="H2769" i="6"/>
  <c r="H2780" i="6"/>
  <c r="H2794" i="6"/>
  <c r="H2806" i="6"/>
  <c r="H2819" i="6"/>
  <c r="H2833" i="6"/>
  <c r="H2844" i="6"/>
  <c r="H2858" i="6"/>
  <c r="H2870" i="6"/>
  <c r="H2883" i="6"/>
  <c r="H2897" i="6"/>
  <c r="H2908" i="6"/>
  <c r="H2922" i="6"/>
  <c r="H2934" i="6"/>
  <c r="H2947" i="6"/>
  <c r="H2961" i="6"/>
  <c r="H2972" i="6"/>
  <c r="H2986" i="6"/>
  <c r="H2998" i="6"/>
  <c r="H3011" i="6"/>
  <c r="H3025" i="6"/>
  <c r="H3036" i="6"/>
  <c r="H3050" i="6"/>
  <c r="H3062" i="6"/>
  <c r="H3075" i="6"/>
  <c r="H3089" i="6"/>
  <c r="H3100" i="6"/>
  <c r="H3114" i="6"/>
  <c r="H3126" i="6"/>
  <c r="H3139" i="6"/>
  <c r="H3153" i="6"/>
  <c r="H3164" i="6"/>
  <c r="H3177" i="6"/>
  <c r="H3187" i="6"/>
  <c r="H3197" i="6"/>
  <c r="H3209" i="6"/>
  <c r="H3219" i="6"/>
  <c r="H3229" i="6"/>
  <c r="H3241" i="6"/>
  <c r="H3251" i="6"/>
  <c r="H3261" i="6"/>
  <c r="H3273" i="6"/>
  <c r="H3283" i="6"/>
  <c r="H3293" i="6"/>
  <c r="H3305" i="6"/>
  <c r="H3315" i="6"/>
  <c r="H3325" i="6"/>
  <c r="H3337" i="6"/>
  <c r="H3347" i="6"/>
  <c r="H3357" i="6"/>
  <c r="H3369" i="6"/>
  <c r="H3377" i="6"/>
  <c r="H3385" i="6"/>
  <c r="H3393" i="6"/>
  <c r="H3401" i="6"/>
  <c r="H3409" i="6"/>
  <c r="H3417" i="6"/>
  <c r="H3425" i="6"/>
  <c r="H3433" i="6"/>
  <c r="H3441" i="6"/>
  <c r="H3449" i="6"/>
  <c r="H3457" i="6"/>
  <c r="H3465" i="6"/>
  <c r="H3473" i="6"/>
  <c r="H3481" i="6"/>
  <c r="H3489" i="6"/>
  <c r="H2692" i="6"/>
  <c r="H2706" i="6"/>
  <c r="H2718" i="6"/>
  <c r="H2731" i="6"/>
  <c r="H2745" i="6"/>
  <c r="H2756" i="6"/>
  <c r="H2770" i="6"/>
  <c r="H2782" i="6"/>
  <c r="H2795" i="6"/>
  <c r="H2809" i="6"/>
  <c r="H2820" i="6"/>
  <c r="H2834" i="6"/>
  <c r="H2846" i="6"/>
  <c r="H2859" i="6"/>
  <c r="H2873" i="6"/>
  <c r="H2884" i="6"/>
  <c r="H2898" i="6"/>
  <c r="H2910" i="6"/>
  <c r="H2923" i="6"/>
  <c r="H2937" i="6"/>
  <c r="H2948" i="6"/>
  <c r="H2962" i="6"/>
  <c r="H2974" i="6"/>
  <c r="H2987" i="6"/>
  <c r="H3001" i="6"/>
  <c r="H3012" i="6"/>
  <c r="H3026" i="6"/>
  <c r="H3038" i="6"/>
  <c r="H3051" i="6"/>
  <c r="H3065" i="6"/>
  <c r="H3076" i="6"/>
  <c r="H3090" i="6"/>
  <c r="H3102" i="6"/>
  <c r="H3115" i="6"/>
  <c r="H3129" i="6"/>
  <c r="H3140" i="6"/>
  <c r="H3154" i="6"/>
  <c r="H3166" i="6"/>
  <c r="H3178" i="6"/>
  <c r="H3188" i="6"/>
  <c r="H3198" i="6"/>
  <c r="H3210" i="6"/>
  <c r="H3220" i="6"/>
  <c r="H3230" i="6"/>
  <c r="H3242" i="6"/>
  <c r="H3252" i="6"/>
  <c r="H3262" i="6"/>
  <c r="H3274" i="6"/>
  <c r="H3284" i="6"/>
  <c r="H3294" i="6"/>
  <c r="H3306" i="6"/>
  <c r="H3316" i="6"/>
  <c r="H3326" i="6"/>
  <c r="H3338" i="6"/>
  <c r="H3348" i="6"/>
  <c r="H3358" i="6"/>
  <c r="H3370" i="6"/>
  <c r="H3378" i="6"/>
  <c r="H3386" i="6"/>
  <c r="H3394" i="6"/>
  <c r="H3402" i="6"/>
  <c r="H3410" i="6"/>
  <c r="H3418" i="6"/>
  <c r="H3426" i="6"/>
  <c r="H3434" i="6"/>
  <c r="H3442" i="6"/>
  <c r="H3450" i="6"/>
  <c r="H3458" i="6"/>
  <c r="H3466" i="6"/>
  <c r="H3474" i="6"/>
  <c r="H3482" i="6"/>
  <c r="H3490" i="6"/>
  <c r="H2694" i="6"/>
  <c r="H2707" i="6"/>
  <c r="H2721" i="6"/>
  <c r="H2732" i="6"/>
  <c r="H2746" i="6"/>
  <c r="H2758" i="6"/>
  <c r="H2771" i="6"/>
  <c r="H2785" i="6"/>
  <c r="H2796" i="6"/>
  <c r="H2810" i="6"/>
  <c r="H2822" i="6"/>
  <c r="H2835" i="6"/>
  <c r="H2849" i="6"/>
  <c r="H2860" i="6"/>
  <c r="H2874" i="6"/>
  <c r="H2886" i="6"/>
  <c r="H2899" i="6"/>
  <c r="H2913" i="6"/>
  <c r="H2924" i="6"/>
  <c r="H2938" i="6"/>
  <c r="H2950" i="6"/>
  <c r="H2963" i="6"/>
  <c r="H2977" i="6"/>
  <c r="H2988" i="6"/>
  <c r="H3002" i="6"/>
  <c r="H3014" i="6"/>
  <c r="H3027" i="6"/>
  <c r="H3041" i="6"/>
  <c r="H3052" i="6"/>
  <c r="H3066" i="6"/>
  <c r="H3078" i="6"/>
  <c r="H3091" i="6"/>
  <c r="H3105" i="6"/>
  <c r="H3116" i="6"/>
  <c r="H3130" i="6"/>
  <c r="H3142" i="6"/>
  <c r="H3155" i="6"/>
  <c r="H3169" i="6"/>
  <c r="H3179" i="6"/>
  <c r="H3189" i="6"/>
  <c r="H3201" i="6"/>
  <c r="H3211" i="6"/>
  <c r="H3221" i="6"/>
  <c r="H3233" i="6"/>
  <c r="H3243" i="6"/>
  <c r="H3253" i="6"/>
  <c r="H3265" i="6"/>
  <c r="H3275" i="6"/>
  <c r="H3285" i="6"/>
  <c r="H3297" i="6"/>
  <c r="H3307" i="6"/>
  <c r="H3317" i="6"/>
  <c r="H3329" i="6"/>
  <c r="H3339" i="6"/>
  <c r="H3349" i="6"/>
  <c r="H3361" i="6"/>
  <c r="H3371" i="6"/>
  <c r="H3379" i="6"/>
  <c r="H3387" i="6"/>
  <c r="H3395" i="6"/>
  <c r="H3403" i="6"/>
  <c r="H3411" i="6"/>
  <c r="H3419" i="6"/>
  <c r="H3427" i="6"/>
  <c r="H3435" i="6"/>
  <c r="H3443" i="6"/>
  <c r="H3451" i="6"/>
  <c r="H3459" i="6"/>
  <c r="H3467" i="6"/>
  <c r="H3475" i="6"/>
  <c r="H3483" i="6"/>
  <c r="H3491" i="6"/>
  <c r="H2700" i="6"/>
  <c r="H2739" i="6"/>
  <c r="H2778" i="6"/>
  <c r="H2803" i="6"/>
  <c r="H2828" i="6"/>
  <c r="H2881" i="6"/>
  <c r="H2918" i="6"/>
  <c r="H2956" i="6"/>
  <c r="H2995" i="6"/>
  <c r="H3034" i="6"/>
  <c r="H3073" i="6"/>
  <c r="H3098" i="6"/>
  <c r="H3137" i="6"/>
  <c r="H2697" i="6"/>
  <c r="H2708" i="6"/>
  <c r="H2722" i="6"/>
  <c r="H2734" i="6"/>
  <c r="H2747" i="6"/>
  <c r="H2761" i="6"/>
  <c r="H2772" i="6"/>
  <c r="H2786" i="6"/>
  <c r="H2798" i="6"/>
  <c r="H2811" i="6"/>
  <c r="H2825" i="6"/>
  <c r="H2836" i="6"/>
  <c r="H2850" i="6"/>
  <c r="H2862" i="6"/>
  <c r="H2875" i="6"/>
  <c r="H2889" i="6"/>
  <c r="H2900" i="6"/>
  <c r="H2914" i="6"/>
  <c r="H2926" i="6"/>
  <c r="H2939" i="6"/>
  <c r="H2953" i="6"/>
  <c r="H2964" i="6"/>
  <c r="H2978" i="6"/>
  <c r="H2990" i="6"/>
  <c r="H3003" i="6"/>
  <c r="H3017" i="6"/>
  <c r="H3028" i="6"/>
  <c r="H3042" i="6"/>
  <c r="H3054" i="6"/>
  <c r="H3067" i="6"/>
  <c r="H3081" i="6"/>
  <c r="H3092" i="6"/>
  <c r="H3106" i="6"/>
  <c r="H3118" i="6"/>
  <c r="H3131" i="6"/>
  <c r="H3145" i="6"/>
  <c r="H3156" i="6"/>
  <c r="H3170" i="6"/>
  <c r="H3180" i="6"/>
  <c r="H3190" i="6"/>
  <c r="H3202" i="6"/>
  <c r="H3212" i="6"/>
  <c r="H3222" i="6"/>
  <c r="H3234" i="6"/>
  <c r="H3244" i="6"/>
  <c r="H3254" i="6"/>
  <c r="H3266" i="6"/>
  <c r="H3276" i="6"/>
  <c r="H3286" i="6"/>
  <c r="H3298" i="6"/>
  <c r="H3308" i="6"/>
  <c r="H3318" i="6"/>
  <c r="H3330" i="6"/>
  <c r="H3340" i="6"/>
  <c r="H3350" i="6"/>
  <c r="H3362" i="6"/>
  <c r="H3372" i="6"/>
  <c r="H3380" i="6"/>
  <c r="H3388" i="6"/>
  <c r="H3396" i="6"/>
  <c r="H3404" i="6"/>
  <c r="H3412" i="6"/>
  <c r="H3420" i="6"/>
  <c r="H3428" i="6"/>
  <c r="H3436" i="6"/>
  <c r="H3444" i="6"/>
  <c r="H3452" i="6"/>
  <c r="H3460" i="6"/>
  <c r="H3468" i="6"/>
  <c r="H3476" i="6"/>
  <c r="H3484" i="6"/>
  <c r="H3492" i="6"/>
  <c r="H3485" i="6"/>
  <c r="H2714" i="6"/>
  <c r="H2854" i="6"/>
  <c r="H2906" i="6"/>
  <c r="H2945" i="6"/>
  <c r="H2982" i="6"/>
  <c r="H3020" i="6"/>
  <c r="H3059" i="6"/>
  <c r="H3110" i="6"/>
  <c r="H3162" i="6"/>
  <c r="H3195" i="6"/>
  <c r="H2698" i="6"/>
  <c r="H2710" i="6"/>
  <c r="H2723" i="6"/>
  <c r="H2737" i="6"/>
  <c r="H2748" i="6"/>
  <c r="H2762" i="6"/>
  <c r="H2774" i="6"/>
  <c r="H2787" i="6"/>
  <c r="H2801" i="6"/>
  <c r="H2812" i="6"/>
  <c r="H2826" i="6"/>
  <c r="H2838" i="6"/>
  <c r="H2851" i="6"/>
  <c r="H2865" i="6"/>
  <c r="H2876" i="6"/>
  <c r="H2890" i="6"/>
  <c r="H2902" i="6"/>
  <c r="H2915" i="6"/>
  <c r="H2929" i="6"/>
  <c r="H2940" i="6"/>
  <c r="H2954" i="6"/>
  <c r="H2966" i="6"/>
  <c r="H2979" i="6"/>
  <c r="H2993" i="6"/>
  <c r="H3004" i="6"/>
  <c r="H3018" i="6"/>
  <c r="H3030" i="6"/>
  <c r="H3043" i="6"/>
  <c r="H3057" i="6"/>
  <c r="H3068" i="6"/>
  <c r="H3082" i="6"/>
  <c r="H3094" i="6"/>
  <c r="H3107" i="6"/>
  <c r="H3121" i="6"/>
  <c r="H3132" i="6"/>
  <c r="H3146" i="6"/>
  <c r="H3158" i="6"/>
  <c r="H3171" i="6"/>
  <c r="H3181" i="6"/>
  <c r="H3193" i="6"/>
  <c r="H3203" i="6"/>
  <c r="H3213" i="6"/>
  <c r="H3225" i="6"/>
  <c r="H3235" i="6"/>
  <c r="H3245" i="6"/>
  <c r="H3257" i="6"/>
  <c r="H3267" i="6"/>
  <c r="H3277" i="6"/>
  <c r="H3289" i="6"/>
  <c r="H3299" i="6"/>
  <c r="H3309" i="6"/>
  <c r="H3321" i="6"/>
  <c r="H3331" i="6"/>
  <c r="H3341" i="6"/>
  <c r="H3353" i="6"/>
  <c r="H3363" i="6"/>
  <c r="H3373" i="6"/>
  <c r="H3381" i="6"/>
  <c r="H3389" i="6"/>
  <c r="H3397" i="6"/>
  <c r="H3405" i="6"/>
  <c r="H3413" i="6"/>
  <c r="H3421" i="6"/>
  <c r="H3429" i="6"/>
  <c r="H3437" i="6"/>
  <c r="H3445" i="6"/>
  <c r="H3453" i="6"/>
  <c r="H3461" i="6"/>
  <c r="H3469" i="6"/>
  <c r="H3477" i="6"/>
  <c r="H3493" i="6"/>
  <c r="H2726" i="6"/>
  <c r="H2753" i="6"/>
  <c r="H2764" i="6"/>
  <c r="H2790" i="6"/>
  <c r="H2817" i="6"/>
  <c r="H2842" i="6"/>
  <c r="H2867" i="6"/>
  <c r="H2892" i="6"/>
  <c r="H2931" i="6"/>
  <c r="H2970" i="6"/>
  <c r="H3009" i="6"/>
  <c r="H3046" i="6"/>
  <c r="H3084" i="6"/>
  <c r="H3123" i="6"/>
  <c r="H3148" i="6"/>
  <c r="H3185" i="6"/>
  <c r="H2699" i="6"/>
  <c r="H2713" i="6"/>
  <c r="H2724" i="6"/>
  <c r="H2738" i="6"/>
  <c r="H2750" i="6"/>
  <c r="H2763" i="6"/>
  <c r="H2777" i="6"/>
  <c r="H2788" i="6"/>
  <c r="H2802" i="6"/>
  <c r="H2814" i="6"/>
  <c r="H2827" i="6"/>
  <c r="H2841" i="6"/>
  <c r="H2852" i="6"/>
  <c r="H2866" i="6"/>
  <c r="H2878" i="6"/>
  <c r="H2891" i="6"/>
  <c r="H2905" i="6"/>
  <c r="H2916" i="6"/>
  <c r="H2930" i="6"/>
  <c r="H2942" i="6"/>
  <c r="H2955" i="6"/>
  <c r="H2969" i="6"/>
  <c r="H2980" i="6"/>
  <c r="H2994" i="6"/>
  <c r="H3006" i="6"/>
  <c r="H3019" i="6"/>
  <c r="H3033" i="6"/>
  <c r="H3044" i="6"/>
  <c r="H3058" i="6"/>
  <c r="H3070" i="6"/>
  <c r="H3083" i="6"/>
  <c r="H3097" i="6"/>
  <c r="H3108" i="6"/>
  <c r="H3122" i="6"/>
  <c r="H3134" i="6"/>
  <c r="H3147" i="6"/>
  <c r="H3161" i="6"/>
  <c r="H3172" i="6"/>
  <c r="H3182" i="6"/>
  <c r="H3194" i="6"/>
  <c r="H3204" i="6"/>
  <c r="H3214" i="6"/>
  <c r="H3226" i="6"/>
  <c r="H3236" i="6"/>
  <c r="H3246" i="6"/>
  <c r="H3258" i="6"/>
  <c r="H3268" i="6"/>
  <c r="H3278" i="6"/>
  <c r="H3290" i="6"/>
  <c r="H3300" i="6"/>
  <c r="H3310" i="6"/>
  <c r="H3322" i="6"/>
  <c r="H3332" i="6"/>
  <c r="H3342" i="6"/>
  <c r="H3354" i="6"/>
  <c r="H3364" i="6"/>
  <c r="H3374" i="6"/>
  <c r="H3382" i="6"/>
  <c r="H3390" i="6"/>
  <c r="H3398" i="6"/>
  <c r="H3406" i="6"/>
  <c r="H3414" i="6"/>
  <c r="H3422" i="6"/>
  <c r="H3430" i="6"/>
  <c r="H3438" i="6"/>
  <c r="H3446" i="6"/>
  <c r="H3454" i="6"/>
  <c r="H3462" i="6"/>
  <c r="H3470" i="6"/>
  <c r="H3478" i="6"/>
  <c r="H3486" i="6"/>
  <c r="H3173" i="6"/>
  <c r="H3281" i="6"/>
  <c r="H3365" i="6"/>
  <c r="H3431" i="6"/>
  <c r="H3301" i="6"/>
  <c r="H3383" i="6"/>
  <c r="H3447" i="6"/>
  <c r="H3313" i="6"/>
  <c r="H3455" i="6"/>
  <c r="H3249" i="6"/>
  <c r="H3471" i="6"/>
  <c r="H3415" i="6"/>
  <c r="H3205" i="6"/>
  <c r="H3291" i="6"/>
  <c r="H3375" i="6"/>
  <c r="H3439" i="6"/>
  <c r="H3217" i="6"/>
  <c r="H3333" i="6"/>
  <c r="H3355" i="6"/>
  <c r="H3423" i="6"/>
  <c r="H3227" i="6"/>
  <c r="H3391" i="6"/>
  <c r="H3407" i="6"/>
  <c r="H3345" i="6"/>
  <c r="H3269" i="6"/>
  <c r="H3237" i="6"/>
  <c r="H3323" i="6"/>
  <c r="H3399" i="6"/>
  <c r="H3463" i="6"/>
  <c r="H3259" i="6"/>
  <c r="H3479" i="6"/>
  <c r="H3487" i="6"/>
  <c r="H1886" i="6"/>
  <c r="H1894" i="6"/>
  <c r="H1902" i="6"/>
  <c r="H1910" i="6"/>
  <c r="H1918" i="6"/>
  <c r="H1926" i="6"/>
  <c r="H1934" i="6"/>
  <c r="H1942" i="6"/>
  <c r="H1950" i="6"/>
  <c r="H1958" i="6"/>
  <c r="H1966" i="6"/>
  <c r="H1974" i="6"/>
  <c r="H1982" i="6"/>
  <c r="H1990" i="6"/>
  <c r="H1998" i="6"/>
  <c r="H2006" i="6"/>
  <c r="H2014" i="6"/>
  <c r="H2022" i="6"/>
  <c r="H2030" i="6"/>
  <c r="H2038" i="6"/>
  <c r="H2046" i="6"/>
  <c r="H2054" i="6"/>
  <c r="H2062" i="6"/>
  <c r="H2070" i="6"/>
  <c r="H2078" i="6"/>
  <c r="H2086" i="6"/>
  <c r="H2094" i="6"/>
  <c r="H2102" i="6"/>
  <c r="H2110" i="6"/>
  <c r="H2118" i="6"/>
  <c r="H2126" i="6"/>
  <c r="H2134" i="6"/>
  <c r="H2142" i="6"/>
  <c r="H2150" i="6"/>
  <c r="H2158" i="6"/>
  <c r="H2166" i="6"/>
  <c r="H2174" i="6"/>
  <c r="H2182" i="6"/>
  <c r="H2190" i="6"/>
  <c r="H2198" i="6"/>
  <c r="H2206" i="6"/>
  <c r="H2214" i="6"/>
  <c r="H2222" i="6"/>
  <c r="H2230" i="6"/>
  <c r="H2238" i="6"/>
  <c r="H2246" i="6"/>
  <c r="H2254" i="6"/>
  <c r="H2262" i="6"/>
  <c r="H2270" i="6"/>
  <c r="H2278" i="6"/>
  <c r="H2286" i="6"/>
  <c r="H2294" i="6"/>
  <c r="H2302" i="6"/>
  <c r="H2310" i="6"/>
  <c r="H2318" i="6"/>
  <c r="H2326" i="6"/>
  <c r="H2334" i="6"/>
  <c r="H2342" i="6"/>
  <c r="H2350" i="6"/>
  <c r="H2358" i="6"/>
  <c r="H2366" i="6"/>
  <c r="H2374" i="6"/>
  <c r="H2382" i="6"/>
  <c r="H2390" i="6"/>
  <c r="H2398" i="6"/>
  <c r="H2406" i="6"/>
  <c r="H2414" i="6"/>
  <c r="H2422" i="6"/>
  <c r="H2430" i="6"/>
  <c r="H2438" i="6"/>
  <c r="H2446" i="6"/>
  <c r="H2454" i="6"/>
  <c r="H2462" i="6"/>
  <c r="H2470" i="6"/>
  <c r="H1887" i="6"/>
  <c r="H1895" i="6"/>
  <c r="H1903" i="6"/>
  <c r="H1911" i="6"/>
  <c r="H1919" i="6"/>
  <c r="H1927" i="6"/>
  <c r="H1935" i="6"/>
  <c r="H1943" i="6"/>
  <c r="H1951" i="6"/>
  <c r="H1959" i="6"/>
  <c r="H1967" i="6"/>
  <c r="H1975" i="6"/>
  <c r="H1983" i="6"/>
  <c r="H1991" i="6"/>
  <c r="H1999" i="6"/>
  <c r="H2007" i="6"/>
  <c r="H2015" i="6"/>
  <c r="H2023" i="6"/>
  <c r="H2031" i="6"/>
  <c r="H2039" i="6"/>
  <c r="H2047" i="6"/>
  <c r="H2055" i="6"/>
  <c r="H2063" i="6"/>
  <c r="H2071" i="6"/>
  <c r="H2079" i="6"/>
  <c r="H2087" i="6"/>
  <c r="H2095" i="6"/>
  <c r="H2103" i="6"/>
  <c r="H2111" i="6"/>
  <c r="H2119" i="6"/>
  <c r="H2127" i="6"/>
  <c r="H2135" i="6"/>
  <c r="H2143" i="6"/>
  <c r="H2151" i="6"/>
  <c r="H2159" i="6"/>
  <c r="H2167" i="6"/>
  <c r="H2175" i="6"/>
  <c r="H2183" i="6"/>
  <c r="H2191" i="6"/>
  <c r="H2199" i="6"/>
  <c r="H2207" i="6"/>
  <c r="H2215" i="6"/>
  <c r="H2223" i="6"/>
  <c r="H2231" i="6"/>
  <c r="H2239" i="6"/>
  <c r="H2247" i="6"/>
  <c r="H2255" i="6"/>
  <c r="H2263" i="6"/>
  <c r="H2271" i="6"/>
  <c r="H2279" i="6"/>
  <c r="H2287" i="6"/>
  <c r="H2295" i="6"/>
  <c r="H2303" i="6"/>
  <c r="H2311" i="6"/>
  <c r="H2319" i="6"/>
  <c r="H2327" i="6"/>
  <c r="H1888" i="6"/>
  <c r="H1896" i="6"/>
  <c r="H1904" i="6"/>
  <c r="H1912" i="6"/>
  <c r="H1920" i="6"/>
  <c r="H1928" i="6"/>
  <c r="H1936" i="6"/>
  <c r="H1944" i="6"/>
  <c r="H1952" i="6"/>
  <c r="H1960" i="6"/>
  <c r="H1968" i="6"/>
  <c r="H1976" i="6"/>
  <c r="H1984" i="6"/>
  <c r="H1992" i="6"/>
  <c r="H2000" i="6"/>
  <c r="H2008" i="6"/>
  <c r="H2016" i="6"/>
  <c r="H2024" i="6"/>
  <c r="H2032" i="6"/>
  <c r="H2040" i="6"/>
  <c r="H2048" i="6"/>
  <c r="H2056" i="6"/>
  <c r="H2064" i="6"/>
  <c r="H2072" i="6"/>
  <c r="H2080" i="6"/>
  <c r="H2088" i="6"/>
  <c r="H2096" i="6"/>
  <c r="H2104" i="6"/>
  <c r="H2112" i="6"/>
  <c r="H2120" i="6"/>
  <c r="H2128" i="6"/>
  <c r="H2136" i="6"/>
  <c r="H2144" i="6"/>
  <c r="H2152" i="6"/>
  <c r="H2160" i="6"/>
  <c r="H2168" i="6"/>
  <c r="H2176" i="6"/>
  <c r="H2184" i="6"/>
  <c r="H2192" i="6"/>
  <c r="H2200" i="6"/>
  <c r="H2208" i="6"/>
  <c r="H2216" i="6"/>
  <c r="H2224" i="6"/>
  <c r="H2232" i="6"/>
  <c r="H2240" i="6"/>
  <c r="H2248" i="6"/>
  <c r="H2256" i="6"/>
  <c r="H2264" i="6"/>
  <c r="H2272" i="6"/>
  <c r="H2280" i="6"/>
  <c r="H2288" i="6"/>
  <c r="H2296" i="6"/>
  <c r="H2304" i="6"/>
  <c r="H2312" i="6"/>
  <c r="H2320" i="6"/>
  <c r="H2328" i="6"/>
  <c r="H1889" i="6"/>
  <c r="H1897" i="6"/>
  <c r="H1905" i="6"/>
  <c r="H1913" i="6"/>
  <c r="H1921" i="6"/>
  <c r="H1929" i="6"/>
  <c r="H1937" i="6"/>
  <c r="H1945" i="6"/>
  <c r="H1953" i="6"/>
  <c r="H1961" i="6"/>
  <c r="H1969" i="6"/>
  <c r="H1977" i="6"/>
  <c r="H1985" i="6"/>
  <c r="H1993" i="6"/>
  <c r="H2001" i="6"/>
  <c r="H2009" i="6"/>
  <c r="H2017" i="6"/>
  <c r="H2025" i="6"/>
  <c r="H2033" i="6"/>
  <c r="H2041" i="6"/>
  <c r="H2049" i="6"/>
  <c r="H2057" i="6"/>
  <c r="H2065" i="6"/>
  <c r="H2073" i="6"/>
  <c r="H2081" i="6"/>
  <c r="H2089" i="6"/>
  <c r="H2097" i="6"/>
  <c r="H2105" i="6"/>
  <c r="H2113" i="6"/>
  <c r="H2121" i="6"/>
  <c r="H2129" i="6"/>
  <c r="H2137" i="6"/>
  <c r="H2145" i="6"/>
  <c r="H2153" i="6"/>
  <c r="H2161" i="6"/>
  <c r="H2169" i="6"/>
  <c r="H2177" i="6"/>
  <c r="H2185" i="6"/>
  <c r="H2193" i="6"/>
  <c r="H2201" i="6"/>
  <c r="H2209" i="6"/>
  <c r="H2217" i="6"/>
  <c r="H2225" i="6"/>
  <c r="H2233" i="6"/>
  <c r="H2241" i="6"/>
  <c r="H2249" i="6"/>
  <c r="H2257" i="6"/>
  <c r="H2265" i="6"/>
  <c r="H2273" i="6"/>
  <c r="H2281" i="6"/>
  <c r="H2289" i="6"/>
  <c r="H2297" i="6"/>
  <c r="H2305" i="6"/>
  <c r="H2313" i="6"/>
  <c r="H2321" i="6"/>
  <c r="H2329" i="6"/>
  <c r="H2337" i="6"/>
  <c r="H2345" i="6"/>
  <c r="H2353" i="6"/>
  <c r="H2361" i="6"/>
  <c r="H2369" i="6"/>
  <c r="H2377" i="6"/>
  <c r="H2385" i="6"/>
  <c r="H2393" i="6"/>
  <c r="H2401" i="6"/>
  <c r="H2409" i="6"/>
  <c r="H2417" i="6"/>
  <c r="H2425" i="6"/>
  <c r="H2433" i="6"/>
  <c r="H2441" i="6"/>
  <c r="H2449" i="6"/>
  <c r="H2457" i="6"/>
  <c r="H2465" i="6"/>
  <c r="H2473" i="6"/>
  <c r="H2481" i="6"/>
  <c r="H2489" i="6"/>
  <c r="H2497" i="6"/>
  <c r="H2505" i="6"/>
  <c r="H2513" i="6"/>
  <c r="H2521" i="6"/>
  <c r="H2529" i="6"/>
  <c r="H2537" i="6"/>
  <c r="H2545" i="6"/>
  <c r="H2553" i="6"/>
  <c r="H2561" i="6"/>
  <c r="H1891" i="6"/>
  <c r="H1899" i="6"/>
  <c r="H1907" i="6"/>
  <c r="H1915" i="6"/>
  <c r="H1923" i="6"/>
  <c r="H1931" i="6"/>
  <c r="H1939" i="6"/>
  <c r="H1947" i="6"/>
  <c r="H1955" i="6"/>
  <c r="H1963" i="6"/>
  <c r="H1971" i="6"/>
  <c r="H1979" i="6"/>
  <c r="H1987" i="6"/>
  <c r="H1995" i="6"/>
  <c r="H2003" i="6"/>
  <c r="H2011" i="6"/>
  <c r="H2019" i="6"/>
  <c r="H2027" i="6"/>
  <c r="H2035" i="6"/>
  <c r="H2043" i="6"/>
  <c r="H2051" i="6"/>
  <c r="H2059" i="6"/>
  <c r="H2067" i="6"/>
  <c r="H2075" i="6"/>
  <c r="H2083" i="6"/>
  <c r="H2091" i="6"/>
  <c r="H2099" i="6"/>
  <c r="H2107" i="6"/>
  <c r="H2115" i="6"/>
  <c r="H2123" i="6"/>
  <c r="H2131" i="6"/>
  <c r="H2139" i="6"/>
  <c r="H2147" i="6"/>
  <c r="H2155" i="6"/>
  <c r="H2163" i="6"/>
  <c r="H2171" i="6"/>
  <c r="H2179" i="6"/>
  <c r="H2187" i="6"/>
  <c r="H2195" i="6"/>
  <c r="H2203" i="6"/>
  <c r="H2211" i="6"/>
  <c r="H2219" i="6"/>
  <c r="H2227" i="6"/>
  <c r="H2235" i="6"/>
  <c r="H2243" i="6"/>
  <c r="H2251" i="6"/>
  <c r="H2259" i="6"/>
  <c r="H2267" i="6"/>
  <c r="H2275" i="6"/>
  <c r="H2283" i="6"/>
  <c r="H2291" i="6"/>
  <c r="H2299" i="6"/>
  <c r="H2307" i="6"/>
  <c r="H2315" i="6"/>
  <c r="H2323" i="6"/>
  <c r="H2331" i="6"/>
  <c r="H2339" i="6"/>
  <c r="H2347" i="6"/>
  <c r="H2355" i="6"/>
  <c r="H2363" i="6"/>
  <c r="H2371" i="6"/>
  <c r="H2379" i="6"/>
  <c r="H2387" i="6"/>
  <c r="H2395" i="6"/>
  <c r="H2403" i="6"/>
  <c r="H2411" i="6"/>
  <c r="H2419" i="6"/>
  <c r="H2427" i="6"/>
  <c r="H2435" i="6"/>
  <c r="H2443" i="6"/>
  <c r="H2451" i="6"/>
  <c r="H2459" i="6"/>
  <c r="H2467" i="6"/>
  <c r="H2475" i="6"/>
  <c r="H2483" i="6"/>
  <c r="H2491" i="6"/>
  <c r="H2499" i="6"/>
  <c r="H2507" i="6"/>
  <c r="H2515" i="6"/>
  <c r="H2523" i="6"/>
  <c r="H2531" i="6"/>
  <c r="H2539" i="6"/>
  <c r="H2547" i="6"/>
  <c r="H2555" i="6"/>
  <c r="H2563" i="6"/>
  <c r="H1892" i="6"/>
  <c r="H1900" i="6"/>
  <c r="H1908" i="6"/>
  <c r="H1916" i="6"/>
  <c r="H1924" i="6"/>
  <c r="H1932" i="6"/>
  <c r="H1940" i="6"/>
  <c r="H1948" i="6"/>
  <c r="H1956" i="6"/>
  <c r="H1964" i="6"/>
  <c r="H1972" i="6"/>
  <c r="H1980" i="6"/>
  <c r="H1988" i="6"/>
  <c r="H1996" i="6"/>
  <c r="H2004" i="6"/>
  <c r="H2012" i="6"/>
  <c r="H2020" i="6"/>
  <c r="H2028" i="6"/>
  <c r="H2036" i="6"/>
  <c r="H2044" i="6"/>
  <c r="H2052" i="6"/>
  <c r="H2060" i="6"/>
  <c r="H2068" i="6"/>
  <c r="H2076" i="6"/>
  <c r="H2084" i="6"/>
  <c r="H2092" i="6"/>
  <c r="H2100" i="6"/>
  <c r="H2108" i="6"/>
  <c r="H2116" i="6"/>
  <c r="H2124" i="6"/>
  <c r="H2132" i="6"/>
  <c r="H2140" i="6"/>
  <c r="H2148" i="6"/>
  <c r="H2156" i="6"/>
  <c r="H2164" i="6"/>
  <c r="H2172" i="6"/>
  <c r="H2180" i="6"/>
  <c r="H2188" i="6"/>
  <c r="H2196" i="6"/>
  <c r="H2204" i="6"/>
  <c r="H2212" i="6"/>
  <c r="H2220" i="6"/>
  <c r="H2228" i="6"/>
  <c r="H2236" i="6"/>
  <c r="H2244" i="6"/>
  <c r="H2252" i="6"/>
  <c r="H2260" i="6"/>
  <c r="H2268" i="6"/>
  <c r="H2276" i="6"/>
  <c r="H2284" i="6"/>
  <c r="H2292" i="6"/>
  <c r="H2300" i="6"/>
  <c r="H2308" i="6"/>
  <c r="H2316" i="6"/>
  <c r="H2324" i="6"/>
  <c r="H2332" i="6"/>
  <c r="H2340" i="6"/>
  <c r="H2348" i="6"/>
  <c r="H2356" i="6"/>
  <c r="H2364" i="6"/>
  <c r="H2372" i="6"/>
  <c r="H2380" i="6"/>
  <c r="H2388" i="6"/>
  <c r="H2396" i="6"/>
  <c r="H2404" i="6"/>
  <c r="H2412" i="6"/>
  <c r="H2420" i="6"/>
  <c r="H2428" i="6"/>
  <c r="H2436" i="6"/>
  <c r="H2444" i="6"/>
  <c r="H2452" i="6"/>
  <c r="H2460" i="6"/>
  <c r="H2468" i="6"/>
  <c r="H2476" i="6"/>
  <c r="H2484" i="6"/>
  <c r="H2492" i="6"/>
  <c r="H2500" i="6"/>
  <c r="H2508" i="6"/>
  <c r="H2516" i="6"/>
  <c r="H2524" i="6"/>
  <c r="H2532" i="6"/>
  <c r="H2540" i="6"/>
  <c r="H2548" i="6"/>
  <c r="H2556" i="6"/>
  <c r="H2564" i="6"/>
  <c r="H1890" i="6"/>
  <c r="H1922" i="6"/>
  <c r="H1954" i="6"/>
  <c r="H1986" i="6"/>
  <c r="H2018" i="6"/>
  <c r="H2050" i="6"/>
  <c r="H2082" i="6"/>
  <c r="H2114" i="6"/>
  <c r="H2146" i="6"/>
  <c r="H2178" i="6"/>
  <c r="H2210" i="6"/>
  <c r="H2242" i="6"/>
  <c r="H2274" i="6"/>
  <c r="H2306" i="6"/>
  <c r="H2335" i="6"/>
  <c r="H2351" i="6"/>
  <c r="H2367" i="6"/>
  <c r="H2383" i="6"/>
  <c r="H2399" i="6"/>
  <c r="H2415" i="6"/>
  <c r="H2431" i="6"/>
  <c r="H2447" i="6"/>
  <c r="H2463" i="6"/>
  <c r="H2478" i="6"/>
  <c r="H2490" i="6"/>
  <c r="H2503" i="6"/>
  <c r="H2517" i="6"/>
  <c r="H2528" i="6"/>
  <c r="H2542" i="6"/>
  <c r="H2554" i="6"/>
  <c r="H2567" i="6"/>
  <c r="H2575" i="6"/>
  <c r="H2583" i="6"/>
  <c r="H2591" i="6"/>
  <c r="H2599" i="6"/>
  <c r="H2607" i="6"/>
  <c r="H2615" i="6"/>
  <c r="H2623" i="6"/>
  <c r="H2631" i="6"/>
  <c r="H2639" i="6"/>
  <c r="H2647" i="6"/>
  <c r="H2655" i="6"/>
  <c r="H2663" i="6"/>
  <c r="H2671" i="6"/>
  <c r="H2679" i="6"/>
  <c r="H2687" i="6"/>
  <c r="H2518" i="6"/>
  <c r="H2543" i="6"/>
  <c r="H2557" i="6"/>
  <c r="H2576" i="6"/>
  <c r="H2592" i="6"/>
  <c r="H2608" i="6"/>
  <c r="H2616" i="6"/>
  <c r="H2632" i="6"/>
  <c r="H2648" i="6"/>
  <c r="H2664" i="6"/>
  <c r="H2680" i="6"/>
  <c r="H2625" i="6"/>
  <c r="H2641" i="6"/>
  <c r="H2657" i="6"/>
  <c r="H2681" i="6"/>
  <c r="H1981" i="6"/>
  <c r="H2269" i="6"/>
  <c r="H2349" i="6"/>
  <c r="H2397" i="6"/>
  <c r="H2445" i="6"/>
  <c r="H2502" i="6"/>
  <c r="H2541" i="6"/>
  <c r="H2574" i="6"/>
  <c r="H2598" i="6"/>
  <c r="H2622" i="6"/>
  <c r="H2646" i="6"/>
  <c r="H2670" i="6"/>
  <c r="H1893" i="6"/>
  <c r="H1925" i="6"/>
  <c r="H1957" i="6"/>
  <c r="H1989" i="6"/>
  <c r="H2021" i="6"/>
  <c r="H2053" i="6"/>
  <c r="H2085" i="6"/>
  <c r="H2117" i="6"/>
  <c r="H2149" i="6"/>
  <c r="H2181" i="6"/>
  <c r="H2213" i="6"/>
  <c r="H2245" i="6"/>
  <c r="H2277" i="6"/>
  <c r="H2309" i="6"/>
  <c r="H2336" i="6"/>
  <c r="H2352" i="6"/>
  <c r="H2368" i="6"/>
  <c r="H2384" i="6"/>
  <c r="H2400" i="6"/>
  <c r="H2416" i="6"/>
  <c r="H2432" i="6"/>
  <c r="H2448" i="6"/>
  <c r="H2464" i="6"/>
  <c r="H2479" i="6"/>
  <c r="H2493" i="6"/>
  <c r="H2504" i="6"/>
  <c r="H2530" i="6"/>
  <c r="H2568" i="6"/>
  <c r="H2584" i="6"/>
  <c r="H2600" i="6"/>
  <c r="H2624" i="6"/>
  <c r="H2640" i="6"/>
  <c r="H2656" i="6"/>
  <c r="H2672" i="6"/>
  <c r="H2688" i="6"/>
  <c r="H2649" i="6"/>
  <c r="H2673" i="6"/>
  <c r="H1917" i="6"/>
  <c r="H2045" i="6"/>
  <c r="H2109" i="6"/>
  <c r="H2173" i="6"/>
  <c r="H2237" i="6"/>
  <c r="H2333" i="6"/>
  <c r="H2381" i="6"/>
  <c r="H2429" i="6"/>
  <c r="H2461" i="6"/>
  <c r="H2488" i="6"/>
  <c r="H2527" i="6"/>
  <c r="H2566" i="6"/>
  <c r="H2590" i="6"/>
  <c r="H2614" i="6"/>
  <c r="H2638" i="6"/>
  <c r="H2662" i="6"/>
  <c r="H2678" i="6"/>
  <c r="H1898" i="6"/>
  <c r="H1930" i="6"/>
  <c r="H1962" i="6"/>
  <c r="H1994" i="6"/>
  <c r="H2026" i="6"/>
  <c r="H2058" i="6"/>
  <c r="H2090" i="6"/>
  <c r="H2122" i="6"/>
  <c r="H2154" i="6"/>
  <c r="H2186" i="6"/>
  <c r="H2218" i="6"/>
  <c r="H2250" i="6"/>
  <c r="H2282" i="6"/>
  <c r="H2314" i="6"/>
  <c r="H2338" i="6"/>
  <c r="H2354" i="6"/>
  <c r="H2370" i="6"/>
  <c r="H2386" i="6"/>
  <c r="H2402" i="6"/>
  <c r="H2418" i="6"/>
  <c r="H2434" i="6"/>
  <c r="H2450" i="6"/>
  <c r="H2466" i="6"/>
  <c r="H2480" i="6"/>
  <c r="H2494" i="6"/>
  <c r="H2506" i="6"/>
  <c r="H2519" i="6"/>
  <c r="H2533" i="6"/>
  <c r="H2544" i="6"/>
  <c r="H2558" i="6"/>
  <c r="H2569" i="6"/>
  <c r="H2577" i="6"/>
  <c r="H2585" i="6"/>
  <c r="H2593" i="6"/>
  <c r="H2601" i="6"/>
  <c r="H2609" i="6"/>
  <c r="H2617" i="6"/>
  <c r="H2633" i="6"/>
  <c r="H2665" i="6"/>
  <c r="H2689" i="6"/>
  <c r="H1949" i="6"/>
  <c r="H2013" i="6"/>
  <c r="H2077" i="6"/>
  <c r="H2141" i="6"/>
  <c r="H2205" i="6"/>
  <c r="H2301" i="6"/>
  <c r="H2365" i="6"/>
  <c r="H2413" i="6"/>
  <c r="H2477" i="6"/>
  <c r="H2514" i="6"/>
  <c r="H2552" i="6"/>
  <c r="H2582" i="6"/>
  <c r="H2606" i="6"/>
  <c r="H2630" i="6"/>
  <c r="H2654" i="6"/>
  <c r="H2686" i="6"/>
  <c r="H1901" i="6"/>
  <c r="H1933" i="6"/>
  <c r="H1965" i="6"/>
  <c r="H1997" i="6"/>
  <c r="H2029" i="6"/>
  <c r="H2061" i="6"/>
  <c r="H2093" i="6"/>
  <c r="H2125" i="6"/>
  <c r="H2157" i="6"/>
  <c r="H2189" i="6"/>
  <c r="H2221" i="6"/>
  <c r="H2253" i="6"/>
  <c r="H2285" i="6"/>
  <c r="H2317" i="6"/>
  <c r="H2341" i="6"/>
  <c r="H2357" i="6"/>
  <c r="H2373" i="6"/>
  <c r="H2389" i="6"/>
  <c r="H2405" i="6"/>
  <c r="H2421" i="6"/>
  <c r="H2437" i="6"/>
  <c r="H2453" i="6"/>
  <c r="H2469" i="6"/>
  <c r="H2482" i="6"/>
  <c r="H2495" i="6"/>
  <c r="H2509" i="6"/>
  <c r="H2520" i="6"/>
  <c r="H2534" i="6"/>
  <c r="H2546" i="6"/>
  <c r="H2559" i="6"/>
  <c r="H2570" i="6"/>
  <c r="H2578" i="6"/>
  <c r="H2586" i="6"/>
  <c r="H2594" i="6"/>
  <c r="H2602" i="6"/>
  <c r="H2610" i="6"/>
  <c r="H2618" i="6"/>
  <c r="H2626" i="6"/>
  <c r="H2634" i="6"/>
  <c r="H2642" i="6"/>
  <c r="H2650" i="6"/>
  <c r="H2658" i="6"/>
  <c r="H2666" i="6"/>
  <c r="H2674" i="6"/>
  <c r="H2682" i="6"/>
  <c r="H1906" i="6"/>
  <c r="H1938" i="6"/>
  <c r="H1970" i="6"/>
  <c r="H2002" i="6"/>
  <c r="H2034" i="6"/>
  <c r="H2066" i="6"/>
  <c r="H2098" i="6"/>
  <c r="H2130" i="6"/>
  <c r="H2162" i="6"/>
  <c r="H2194" i="6"/>
  <c r="H2226" i="6"/>
  <c r="H2258" i="6"/>
  <c r="H2290" i="6"/>
  <c r="H2322" i="6"/>
  <c r="H2343" i="6"/>
  <c r="H2359" i="6"/>
  <c r="H2375" i="6"/>
  <c r="H2391" i="6"/>
  <c r="H2407" i="6"/>
  <c r="H2423" i="6"/>
  <c r="H2439" i="6"/>
  <c r="H2455" i="6"/>
  <c r="H2471" i="6"/>
  <c r="H2485" i="6"/>
  <c r="H2496" i="6"/>
  <c r="H2510" i="6"/>
  <c r="H2522" i="6"/>
  <c r="H2535" i="6"/>
  <c r="H2549" i="6"/>
  <c r="H2560" i="6"/>
  <c r="H2571" i="6"/>
  <c r="H2579" i="6"/>
  <c r="H2587" i="6"/>
  <c r="H2595" i="6"/>
  <c r="H2603" i="6"/>
  <c r="H2611" i="6"/>
  <c r="H2619" i="6"/>
  <c r="H2627" i="6"/>
  <c r="H2635" i="6"/>
  <c r="H2643" i="6"/>
  <c r="H2651" i="6"/>
  <c r="H2659" i="6"/>
  <c r="H2667" i="6"/>
  <c r="H2675" i="6"/>
  <c r="H2683" i="6"/>
  <c r="H1909" i="6"/>
  <c r="H1941" i="6"/>
  <c r="H1973" i="6"/>
  <c r="H2005" i="6"/>
  <c r="H2037" i="6"/>
  <c r="H2069" i="6"/>
  <c r="H2101" i="6"/>
  <c r="H2133" i="6"/>
  <c r="H2165" i="6"/>
  <c r="H2197" i="6"/>
  <c r="H2229" i="6"/>
  <c r="H2261" i="6"/>
  <c r="H2293" i="6"/>
  <c r="H2325" i="6"/>
  <c r="H2344" i="6"/>
  <c r="H2360" i="6"/>
  <c r="H2376" i="6"/>
  <c r="H2392" i="6"/>
  <c r="H2408" i="6"/>
  <c r="H2424" i="6"/>
  <c r="H2440" i="6"/>
  <c r="H2456" i="6"/>
  <c r="H2472" i="6"/>
  <c r="H2486" i="6"/>
  <c r="H2498" i="6"/>
  <c r="H2511" i="6"/>
  <c r="H2525" i="6"/>
  <c r="H2536" i="6"/>
  <c r="H2550" i="6"/>
  <c r="H2562" i="6"/>
  <c r="H2572" i="6"/>
  <c r="H2580" i="6"/>
  <c r="H2588" i="6"/>
  <c r="H2596" i="6"/>
  <c r="H2604" i="6"/>
  <c r="H2612" i="6"/>
  <c r="H2620" i="6"/>
  <c r="H2628" i="6"/>
  <c r="H2636" i="6"/>
  <c r="H2644" i="6"/>
  <c r="H2652" i="6"/>
  <c r="H2660" i="6"/>
  <c r="H2668" i="6"/>
  <c r="H2676" i="6"/>
  <c r="H2684" i="6"/>
  <c r="H1914" i="6"/>
  <c r="H1946" i="6"/>
  <c r="H1978" i="6"/>
  <c r="H2010" i="6"/>
  <c r="H2042" i="6"/>
  <c r="H2074" i="6"/>
  <c r="H2106" i="6"/>
  <c r="H2138" i="6"/>
  <c r="H2170" i="6"/>
  <c r="H2202" i="6"/>
  <c r="H2234" i="6"/>
  <c r="H2266" i="6"/>
  <c r="H2298" i="6"/>
  <c r="H2330" i="6"/>
  <c r="H2346" i="6"/>
  <c r="H2362" i="6"/>
  <c r="H2378" i="6"/>
  <c r="H2394" i="6"/>
  <c r="H2410" i="6"/>
  <c r="H2426" i="6"/>
  <c r="H2442" i="6"/>
  <c r="H2458" i="6"/>
  <c r="H2474" i="6"/>
  <c r="H2487" i="6"/>
  <c r="H2501" i="6"/>
  <c r="H2512" i="6"/>
  <c r="H2526" i="6"/>
  <c r="H2538" i="6"/>
  <c r="H2551" i="6"/>
  <c r="H2565" i="6"/>
  <c r="H2573" i="6"/>
  <c r="H2581" i="6"/>
  <c r="H2589" i="6"/>
  <c r="H2597" i="6"/>
  <c r="H2605" i="6"/>
  <c r="H2613" i="6"/>
  <c r="H2621" i="6"/>
  <c r="H2629" i="6"/>
  <c r="H2637" i="6"/>
  <c r="H2645" i="6"/>
  <c r="H2653" i="6"/>
  <c r="H2661" i="6"/>
  <c r="H2669" i="6"/>
  <c r="H2677" i="6"/>
  <c r="H2685" i="6"/>
  <c r="H1738" i="6"/>
  <c r="H1746" i="6"/>
  <c r="H1754" i="6"/>
  <c r="H1762" i="6"/>
  <c r="H1770" i="6"/>
  <c r="H1778" i="6"/>
  <c r="H1786" i="6"/>
  <c r="H1794" i="6"/>
  <c r="H1802" i="6"/>
  <c r="H1810" i="6"/>
  <c r="H1818" i="6"/>
  <c r="H1826" i="6"/>
  <c r="H1834" i="6"/>
  <c r="H1842" i="6"/>
  <c r="H1850" i="6"/>
  <c r="H1858" i="6"/>
  <c r="H1866" i="6"/>
  <c r="H1874" i="6"/>
  <c r="H1882" i="6"/>
  <c r="H1739" i="6"/>
  <c r="H1747" i="6"/>
  <c r="H1755" i="6"/>
  <c r="H1763" i="6"/>
  <c r="H1771" i="6"/>
  <c r="H1779" i="6"/>
  <c r="H1787" i="6"/>
  <c r="H1795" i="6"/>
  <c r="H1803" i="6"/>
  <c r="H1811" i="6"/>
  <c r="H1819" i="6"/>
  <c r="H1827" i="6"/>
  <c r="H1835" i="6"/>
  <c r="H1843" i="6"/>
  <c r="H1851" i="6"/>
  <c r="H1859" i="6"/>
  <c r="H1867" i="6"/>
  <c r="H1875" i="6"/>
  <c r="H1883" i="6"/>
  <c r="H1745" i="6"/>
  <c r="H1769" i="6"/>
  <c r="H1801" i="6"/>
  <c r="H1825" i="6"/>
  <c r="H1849" i="6"/>
  <c r="H1881" i="6"/>
  <c r="H1740" i="6"/>
  <c r="H1748" i="6"/>
  <c r="H1756" i="6"/>
  <c r="H1764" i="6"/>
  <c r="H1772" i="6"/>
  <c r="H1780" i="6"/>
  <c r="H1788" i="6"/>
  <c r="H1796" i="6"/>
  <c r="H1804" i="6"/>
  <c r="H1812" i="6"/>
  <c r="H1820" i="6"/>
  <c r="H1828" i="6"/>
  <c r="H1836" i="6"/>
  <c r="H1844" i="6"/>
  <c r="H1852" i="6"/>
  <c r="H1860" i="6"/>
  <c r="H1868" i="6"/>
  <c r="H1876" i="6"/>
  <c r="H1884" i="6"/>
  <c r="H1877" i="6"/>
  <c r="H1737" i="6"/>
  <c r="H1761" i="6"/>
  <c r="H1785" i="6"/>
  <c r="H1793" i="6"/>
  <c r="H1817" i="6"/>
  <c r="H1841" i="6"/>
  <c r="H1865" i="6"/>
  <c r="H1873" i="6"/>
  <c r="H1741" i="6"/>
  <c r="H1749" i="6"/>
  <c r="H1757" i="6"/>
  <c r="H1765" i="6"/>
  <c r="H1773" i="6"/>
  <c r="H1781" i="6"/>
  <c r="H1789" i="6"/>
  <c r="H1797" i="6"/>
  <c r="H1805" i="6"/>
  <c r="H1813" i="6"/>
  <c r="H1821" i="6"/>
  <c r="H1829" i="6"/>
  <c r="H1837" i="6"/>
  <c r="H1845" i="6"/>
  <c r="H1853" i="6"/>
  <c r="H1861" i="6"/>
  <c r="H1869" i="6"/>
  <c r="H1885" i="6"/>
  <c r="H1753" i="6"/>
  <c r="H1777" i="6"/>
  <c r="H1809" i="6"/>
  <c r="H1833" i="6"/>
  <c r="H1857" i="6"/>
  <c r="H1742" i="6"/>
  <c r="H1750" i="6"/>
  <c r="H1758" i="6"/>
  <c r="H1766" i="6"/>
  <c r="H1774" i="6"/>
  <c r="H1782" i="6"/>
  <c r="H1790" i="6"/>
  <c r="H1798" i="6"/>
  <c r="H1806" i="6"/>
  <c r="H1814" i="6"/>
  <c r="H1822" i="6"/>
  <c r="H1830" i="6"/>
  <c r="H1838" i="6"/>
  <c r="H1846" i="6"/>
  <c r="H1854" i="6"/>
  <c r="H1862" i="6"/>
  <c r="H1870" i="6"/>
  <c r="H1878" i="6"/>
  <c r="H1735" i="6"/>
  <c r="H1743" i="6"/>
  <c r="H1751" i="6"/>
  <c r="H1759" i="6"/>
  <c r="H1767" i="6"/>
  <c r="H1775" i="6"/>
  <c r="H1783" i="6"/>
  <c r="H1791" i="6"/>
  <c r="H1799" i="6"/>
  <c r="H1807" i="6"/>
  <c r="H1815" i="6"/>
  <c r="H1823" i="6"/>
  <c r="H1831" i="6"/>
  <c r="H1839" i="6"/>
  <c r="H1847" i="6"/>
  <c r="H1855" i="6"/>
  <c r="H1863" i="6"/>
  <c r="H1871" i="6"/>
  <c r="H1879" i="6"/>
  <c r="H1736" i="6"/>
  <c r="H1744" i="6"/>
  <c r="H1752" i="6"/>
  <c r="H1760" i="6"/>
  <c r="H1768" i="6"/>
  <c r="H1776" i="6"/>
  <c r="H1784" i="6"/>
  <c r="H1792" i="6"/>
  <c r="H1800" i="6"/>
  <c r="H1808" i="6"/>
  <c r="H1816" i="6"/>
  <c r="H1824" i="6"/>
  <c r="H1832" i="6"/>
  <c r="H1840" i="6"/>
  <c r="H1848" i="6"/>
  <c r="H1856" i="6"/>
  <c r="H1864" i="6"/>
  <c r="H1872" i="6"/>
  <c r="H1880" i="6"/>
  <c r="D9" i="4"/>
  <c r="E10" i="4" s="1"/>
  <c r="D13" i="4"/>
  <c r="D7" i="4"/>
  <c r="J10" i="4"/>
  <c r="D12" i="4"/>
  <c r="N14" i="4"/>
  <c r="N26" i="4"/>
  <c r="N12" i="4"/>
  <c r="N21" i="4"/>
  <c r="N20" i="4"/>
  <c r="N18" i="4"/>
  <c r="N28" i="4"/>
  <c r="N24" i="4"/>
  <c r="N27" i="4"/>
  <c r="N13" i="4"/>
  <c r="N25" i="4"/>
  <c r="N23" i="4"/>
  <c r="O25" i="4" s="1"/>
  <c r="N38" i="4"/>
  <c r="N16" i="4"/>
  <c r="O19" i="4" s="1"/>
  <c r="N42" i="4"/>
  <c r="N30" i="4"/>
  <c r="N41" i="4"/>
  <c r="N9" i="4"/>
  <c r="O10" i="4" s="1"/>
  <c r="N40" i="4"/>
  <c r="N37" i="4"/>
  <c r="N39" i="4"/>
  <c r="N10" i="4"/>
  <c r="N34" i="4"/>
  <c r="N33" i="4"/>
  <c r="N19" i="4"/>
  <c r="N32" i="4"/>
  <c r="N31" i="4"/>
  <c r="N35" i="4"/>
  <c r="J18" i="4"/>
  <c r="J19" i="4"/>
  <c r="J17" i="4"/>
  <c r="J11" i="4"/>
  <c r="J39" i="4"/>
  <c r="J33" i="4"/>
  <c r="J12" i="4"/>
  <c r="J32" i="4"/>
  <c r="J40" i="4"/>
  <c r="D5" i="4"/>
  <c r="M17" i="4"/>
  <c r="N17" i="4" s="1"/>
  <c r="M11" i="4"/>
  <c r="N11" i="4" s="1"/>
  <c r="M23" i="4"/>
  <c r="H208" i="5"/>
  <c r="G208" i="5" s="1"/>
  <c r="H207" i="5"/>
  <c r="G207" i="5" s="1"/>
  <c r="H206" i="5"/>
  <c r="G206" i="5" s="1"/>
  <c r="H205" i="5"/>
  <c r="G205" i="5" s="1"/>
  <c r="H204" i="5"/>
  <c r="G204" i="5" s="1"/>
  <c r="H203" i="5"/>
  <c r="G203" i="5" s="1"/>
  <c r="H202" i="5"/>
  <c r="G202" i="5" s="1"/>
  <c r="H201" i="5"/>
  <c r="G201" i="5" s="1"/>
  <c r="H200" i="5"/>
  <c r="G200" i="5" s="1"/>
  <c r="H199" i="5"/>
  <c r="G199" i="5" s="1"/>
  <c r="H198" i="5"/>
  <c r="G198" i="5" s="1"/>
  <c r="H197" i="5"/>
  <c r="G197" i="5" s="1"/>
  <c r="H196" i="5"/>
  <c r="G196" i="5" s="1"/>
  <c r="H195" i="5"/>
  <c r="G195" i="5" s="1"/>
  <c r="H194" i="5"/>
  <c r="G194" i="5" s="1"/>
  <c r="H193" i="5"/>
  <c r="G193" i="5" s="1"/>
  <c r="H192" i="5"/>
  <c r="G192" i="5" s="1"/>
  <c r="H191" i="5"/>
  <c r="G191" i="5" s="1"/>
  <c r="H190" i="5"/>
  <c r="G190" i="5" s="1"/>
  <c r="H189" i="5"/>
  <c r="G189" i="5" s="1"/>
  <c r="H188" i="5"/>
  <c r="G188" i="5" s="1"/>
  <c r="H187" i="5"/>
  <c r="G187" i="5" s="1"/>
  <c r="H186" i="5"/>
  <c r="G186" i="5" s="1"/>
  <c r="H185" i="5"/>
  <c r="G185" i="5" s="1"/>
  <c r="H184" i="5"/>
  <c r="G184" i="5" s="1"/>
  <c r="H183" i="5"/>
  <c r="G183" i="5" s="1"/>
  <c r="H182" i="5"/>
  <c r="G182" i="5" s="1"/>
  <c r="H181" i="5"/>
  <c r="G181" i="5" s="1"/>
  <c r="H180" i="5"/>
  <c r="G180" i="5" s="1"/>
  <c r="H179" i="5"/>
  <c r="G179" i="5" s="1"/>
  <c r="H178" i="5"/>
  <c r="G178" i="5" s="1"/>
  <c r="H177" i="5"/>
  <c r="G177" i="5" s="1"/>
  <c r="H176" i="5"/>
  <c r="G176" i="5" s="1"/>
  <c r="H175" i="5"/>
  <c r="G175" i="5" s="1"/>
  <c r="H174" i="5"/>
  <c r="G174" i="5" s="1"/>
  <c r="H173" i="5"/>
  <c r="G173" i="5" s="1"/>
  <c r="H172" i="5"/>
  <c r="G172" i="5" s="1"/>
  <c r="H171" i="5"/>
  <c r="G171" i="5" s="1"/>
  <c r="H170" i="5"/>
  <c r="G170" i="5" s="1"/>
  <c r="H169" i="5"/>
  <c r="G169" i="5" s="1"/>
  <c r="H168" i="5"/>
  <c r="G168" i="5" s="1"/>
  <c r="H167" i="5"/>
  <c r="G167" i="5" s="1"/>
  <c r="H166" i="5"/>
  <c r="G166" i="5" s="1"/>
  <c r="H165" i="5"/>
  <c r="G165" i="5" s="1"/>
  <c r="H164" i="5"/>
  <c r="G164" i="5" s="1"/>
  <c r="H163" i="5"/>
  <c r="G163" i="5" s="1"/>
  <c r="H162" i="5"/>
  <c r="G162" i="5" s="1"/>
  <c r="H161" i="5"/>
  <c r="G161" i="5" s="1"/>
  <c r="H160" i="5"/>
  <c r="G160" i="5" s="1"/>
  <c r="H159" i="5"/>
  <c r="G159" i="5" s="1"/>
  <c r="H158" i="5"/>
  <c r="G158" i="5" s="1"/>
  <c r="H157" i="5"/>
  <c r="G157" i="5" s="1"/>
  <c r="H156" i="5"/>
  <c r="G156" i="5" s="1"/>
  <c r="H155" i="5"/>
  <c r="G155" i="5" s="1"/>
  <c r="H154" i="5"/>
  <c r="G154" i="5" s="1"/>
  <c r="H153" i="5"/>
  <c r="G153" i="5" s="1"/>
  <c r="H152" i="5"/>
  <c r="G152" i="5" s="1"/>
  <c r="H151" i="5"/>
  <c r="G151" i="5" s="1"/>
  <c r="H150" i="5"/>
  <c r="G150" i="5" s="1"/>
  <c r="H149" i="5"/>
  <c r="G149" i="5" s="1"/>
  <c r="H148" i="5"/>
  <c r="G148" i="5" s="1"/>
  <c r="H147" i="5"/>
  <c r="G147" i="5" s="1"/>
  <c r="H146" i="5"/>
  <c r="G146" i="5" s="1"/>
  <c r="H145" i="5"/>
  <c r="G145" i="5" s="1"/>
  <c r="H144" i="5"/>
  <c r="G144" i="5" s="1"/>
  <c r="H143" i="5"/>
  <c r="G143" i="5" s="1"/>
  <c r="H142" i="5"/>
  <c r="G142" i="5" s="1"/>
  <c r="H141" i="5"/>
  <c r="G141" i="5" s="1"/>
  <c r="H140" i="5"/>
  <c r="G140" i="5" s="1"/>
  <c r="H139" i="5"/>
  <c r="G139" i="5" s="1"/>
  <c r="H138" i="5"/>
  <c r="G138" i="5" s="1"/>
  <c r="H137" i="5"/>
  <c r="G137" i="5" s="1"/>
  <c r="H136" i="5"/>
  <c r="G136" i="5" s="1"/>
  <c r="H135" i="5"/>
  <c r="G135" i="5" s="1"/>
  <c r="H134" i="5"/>
  <c r="G134" i="5" s="1"/>
  <c r="H133" i="5"/>
  <c r="G133" i="5" s="1"/>
  <c r="H132" i="5"/>
  <c r="G132" i="5" s="1"/>
  <c r="H131" i="5"/>
  <c r="G131" i="5" s="1"/>
  <c r="H130" i="5"/>
  <c r="G130" i="5" s="1"/>
  <c r="H129" i="5"/>
  <c r="G129" i="5" s="1"/>
  <c r="H128" i="5"/>
  <c r="G128" i="5" s="1"/>
  <c r="H127" i="5"/>
  <c r="G127" i="5" s="1"/>
  <c r="H126" i="5"/>
  <c r="G126" i="5" s="1"/>
  <c r="H125" i="5"/>
  <c r="G125" i="5" s="1"/>
  <c r="H124" i="5"/>
  <c r="G124" i="5" s="1"/>
  <c r="H123" i="5"/>
  <c r="G123" i="5" s="1"/>
  <c r="H122" i="5"/>
  <c r="G122" i="5" s="1"/>
  <c r="H121" i="5"/>
  <c r="G121" i="5" s="1"/>
  <c r="H120" i="5"/>
  <c r="G120" i="5" s="1"/>
  <c r="H119" i="5"/>
  <c r="G119" i="5" s="1"/>
  <c r="H118" i="5"/>
  <c r="G118" i="5" s="1"/>
  <c r="H117" i="5"/>
  <c r="G117" i="5" s="1"/>
  <c r="H116" i="5"/>
  <c r="G116" i="5" s="1"/>
  <c r="H115" i="5"/>
  <c r="G115" i="5" s="1"/>
  <c r="H114" i="5"/>
  <c r="G114" i="5" s="1"/>
  <c r="H113" i="5"/>
  <c r="G113" i="5" s="1"/>
  <c r="H112" i="5"/>
  <c r="G112" i="5" s="1"/>
  <c r="H111" i="5"/>
  <c r="G111" i="5" s="1"/>
  <c r="H110" i="5"/>
  <c r="G110" i="5" s="1"/>
  <c r="H109" i="5"/>
  <c r="G109" i="5" s="1"/>
  <c r="H108" i="5"/>
  <c r="G108" i="5" s="1"/>
  <c r="H107" i="5"/>
  <c r="G107" i="5" s="1"/>
  <c r="H106" i="5"/>
  <c r="G106" i="5" s="1"/>
  <c r="H105" i="5"/>
  <c r="G105" i="5" s="1"/>
  <c r="H104" i="5"/>
  <c r="G104" i="5" s="1"/>
  <c r="H103" i="5"/>
  <c r="G103" i="5" s="1"/>
  <c r="H102" i="5"/>
  <c r="G102" i="5" s="1"/>
  <c r="H101" i="5"/>
  <c r="G101" i="5" s="1"/>
  <c r="H100" i="5"/>
  <c r="G100" i="5" s="1"/>
  <c r="H99" i="5"/>
  <c r="G99" i="5" s="1"/>
  <c r="H98" i="5"/>
  <c r="G98" i="5" s="1"/>
  <c r="H97" i="5"/>
  <c r="G97" i="5" s="1"/>
  <c r="H96" i="5"/>
  <c r="G96" i="5" s="1"/>
  <c r="H95" i="5"/>
  <c r="G95" i="5" s="1"/>
  <c r="H94" i="5"/>
  <c r="G94" i="5" s="1"/>
  <c r="H93" i="5"/>
  <c r="G93" i="5" s="1"/>
  <c r="H92" i="5"/>
  <c r="G92" i="5" s="1"/>
  <c r="H91" i="5"/>
  <c r="G91" i="5" s="1"/>
  <c r="H90" i="5"/>
  <c r="G90" i="5" s="1"/>
  <c r="H89" i="5"/>
  <c r="G89" i="5" s="1"/>
  <c r="H88" i="5"/>
  <c r="G88" i="5" s="1"/>
  <c r="H87" i="5"/>
  <c r="G87" i="5" s="1"/>
  <c r="H86" i="5"/>
  <c r="G86" i="5" s="1"/>
  <c r="H85" i="5"/>
  <c r="G85" i="5" s="1"/>
  <c r="H84" i="5"/>
  <c r="G84" i="5" s="1"/>
  <c r="H83" i="5"/>
  <c r="G83" i="5" s="1"/>
  <c r="H82" i="5"/>
  <c r="G82" i="5" s="1"/>
  <c r="H81" i="5"/>
  <c r="G81" i="5" s="1"/>
  <c r="H80" i="5"/>
  <c r="G80" i="5" s="1"/>
  <c r="H79" i="5"/>
  <c r="G79" i="5" s="1"/>
  <c r="H78" i="5"/>
  <c r="G78" i="5" s="1"/>
  <c r="H77" i="5"/>
  <c r="G77" i="5" s="1"/>
  <c r="H76" i="5"/>
  <c r="G76" i="5" s="1"/>
  <c r="H75" i="5"/>
  <c r="G75" i="5" s="1"/>
  <c r="H74" i="5"/>
  <c r="G74" i="5" s="1"/>
  <c r="H73" i="5"/>
  <c r="G73" i="5" s="1"/>
  <c r="H72" i="5"/>
  <c r="G72" i="5" s="1"/>
  <c r="H71" i="5"/>
  <c r="G71" i="5" s="1"/>
  <c r="H70" i="5"/>
  <c r="G70" i="5" s="1"/>
  <c r="H69" i="5"/>
  <c r="G69" i="5" s="1"/>
  <c r="H68" i="5"/>
  <c r="G68" i="5" s="1"/>
  <c r="H67" i="5"/>
  <c r="G67" i="5" s="1"/>
  <c r="H66" i="5"/>
  <c r="G66" i="5" s="1"/>
  <c r="H65" i="5"/>
  <c r="G65" i="5" s="1"/>
  <c r="H64" i="5"/>
  <c r="G64" i="5" s="1"/>
  <c r="H63" i="5"/>
  <c r="G63" i="5" s="1"/>
  <c r="H62" i="5"/>
  <c r="G62" i="5" s="1"/>
  <c r="H61" i="5"/>
  <c r="G61" i="5" s="1"/>
  <c r="H60" i="5"/>
  <c r="G60" i="5" s="1"/>
  <c r="H59" i="5"/>
  <c r="G59" i="5" s="1"/>
  <c r="H58" i="5"/>
  <c r="G58" i="5" s="1"/>
  <c r="H57" i="5"/>
  <c r="G57" i="5" s="1"/>
  <c r="H56" i="5"/>
  <c r="G56" i="5" s="1"/>
  <c r="H55" i="5"/>
  <c r="G55" i="5" s="1"/>
  <c r="H54" i="5"/>
  <c r="G54" i="5" s="1"/>
  <c r="H53" i="5"/>
  <c r="G53" i="5" s="1"/>
  <c r="H52" i="5"/>
  <c r="G52" i="5" s="1"/>
  <c r="H51" i="5"/>
  <c r="G51" i="5" s="1"/>
  <c r="H50" i="5"/>
  <c r="G50" i="5" s="1"/>
  <c r="H49" i="5"/>
  <c r="G49" i="5" s="1"/>
  <c r="H48" i="5"/>
  <c r="G48" i="5" s="1"/>
  <c r="H47" i="5"/>
  <c r="G47" i="5" s="1"/>
  <c r="H46" i="5"/>
  <c r="G46" i="5" s="1"/>
  <c r="H45" i="5"/>
  <c r="G45" i="5" s="1"/>
  <c r="H44" i="5"/>
  <c r="G44" i="5" s="1"/>
  <c r="H43" i="5"/>
  <c r="G43" i="5" s="1"/>
  <c r="H42" i="5"/>
  <c r="G42" i="5" s="1"/>
  <c r="H41" i="5"/>
  <c r="G41" i="5" s="1"/>
  <c r="H40" i="5"/>
  <c r="G40" i="5" s="1"/>
  <c r="H39" i="5"/>
  <c r="G39" i="5" s="1"/>
  <c r="H38" i="5"/>
  <c r="G38" i="5" s="1"/>
  <c r="H37" i="5"/>
  <c r="G37" i="5" s="1"/>
  <c r="H36" i="5"/>
  <c r="G36" i="5" s="1"/>
  <c r="H35" i="5"/>
  <c r="G35" i="5" s="1"/>
  <c r="H34" i="5"/>
  <c r="G34" i="5" s="1"/>
  <c r="H33" i="5"/>
  <c r="G33" i="5" s="1"/>
  <c r="H32" i="5"/>
  <c r="G32" i="5" s="1"/>
  <c r="H31" i="5"/>
  <c r="G31" i="5" s="1"/>
  <c r="H30" i="5"/>
  <c r="G30" i="5" s="1"/>
  <c r="H29" i="5"/>
  <c r="G29" i="5" s="1"/>
  <c r="H28" i="5"/>
  <c r="G28" i="5" s="1"/>
  <c r="H27" i="5"/>
  <c r="G27" i="5" s="1"/>
  <c r="H26" i="5"/>
  <c r="G26" i="5" s="1"/>
  <c r="H25" i="5"/>
  <c r="G25" i="5" s="1"/>
  <c r="H24" i="5"/>
  <c r="G24" i="5" s="1"/>
  <c r="H23" i="5"/>
  <c r="G23" i="5" s="1"/>
  <c r="H22" i="5"/>
  <c r="G22" i="5" s="1"/>
  <c r="H21" i="5"/>
  <c r="G21" i="5" s="1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E11" i="4" l="1"/>
  <c r="H5" i="4"/>
  <c r="H6" i="4" s="1"/>
  <c r="D23" i="4"/>
  <c r="D16" i="4"/>
  <c r="D37" i="4"/>
  <c r="D30" i="4"/>
  <c r="D10" i="4"/>
  <c r="M16" i="4"/>
  <c r="O21" i="4" s="1"/>
  <c r="D33" i="4"/>
  <c r="D21" i="4"/>
  <c r="D11" i="4"/>
  <c r="D42" i="4"/>
  <c r="D32" i="4"/>
  <c r="D20" i="4"/>
  <c r="D41" i="4"/>
  <c r="D31" i="4"/>
  <c r="D19" i="4"/>
  <c r="D39" i="4"/>
  <c r="D27" i="4"/>
  <c r="D35" i="4"/>
  <c r="D25" i="4"/>
  <c r="D34" i="4"/>
  <c r="D24" i="4"/>
  <c r="D40" i="4"/>
  <c r="D28" i="4"/>
  <c r="D18" i="4"/>
  <c r="D17" i="4"/>
  <c r="D38" i="4"/>
  <c r="D26" i="4"/>
  <c r="D14" i="4"/>
  <c r="N7" i="4"/>
  <c r="O24" i="4"/>
  <c r="O32" i="4"/>
  <c r="O42" i="4"/>
  <c r="O39" i="4"/>
  <c r="O40" i="4"/>
  <c r="O33" i="4"/>
  <c r="O34" i="4"/>
  <c r="O38" i="4"/>
  <c r="O41" i="4"/>
  <c r="O35" i="4"/>
  <c r="O31" i="4"/>
  <c r="M9" i="4"/>
  <c r="O11" i="4" s="1"/>
  <c r="O20" i="4"/>
  <c r="O17" i="4"/>
  <c r="O18" i="4"/>
  <c r="O26" i="4"/>
  <c r="O28" i="4"/>
  <c r="O27" i="4"/>
  <c r="E31" i="4" l="1"/>
  <c r="E32" i="4"/>
  <c r="E33" i="4"/>
  <c r="E39" i="4"/>
  <c r="E38" i="4"/>
  <c r="E40" i="4"/>
  <c r="E17" i="4"/>
  <c r="E18" i="4"/>
  <c r="E19" i="4"/>
  <c r="E12" i="4"/>
  <c r="E25" i="4"/>
  <c r="E26" i="4"/>
  <c r="E24" i="4"/>
  <c r="O12" i="4"/>
  <c r="O14" i="4"/>
  <c r="O13" i="4"/>
  <c r="I5" i="4" l="1"/>
  <c r="I23" i="4"/>
  <c r="G10" i="5"/>
  <c r="G18" i="5"/>
  <c r="G11" i="5"/>
  <c r="G19" i="5"/>
  <c r="G12" i="5"/>
  <c r="G20" i="5"/>
  <c r="G13" i="5"/>
  <c r="G14" i="5"/>
  <c r="G15" i="5"/>
  <c r="G16" i="5"/>
  <c r="G17" i="5"/>
  <c r="G9" i="5"/>
  <c r="G2" i="5"/>
  <c r="G5" i="5"/>
  <c r="G8" i="5"/>
  <c r="G3" i="5"/>
  <c r="G7" i="5"/>
  <c r="G6" i="5"/>
  <c r="G4" i="5"/>
  <c r="J26" i="4" l="1"/>
  <c r="J25" i="4"/>
  <c r="J24" i="4"/>
</calcChain>
</file>

<file path=xl/sharedStrings.xml><?xml version="1.0" encoding="utf-8"?>
<sst xmlns="http://schemas.openxmlformats.org/spreadsheetml/2006/main" count="157" uniqueCount="46">
  <si>
    <t>CPF/CNPJ Comitente</t>
  </si>
  <si>
    <t>DATA DE EMISSÃO DA LISTAGEM</t>
  </si>
  <si>
    <t>TOTAL</t>
  </si>
  <si>
    <t>FORA DE CIRCULAÇÃO</t>
  </si>
  <si>
    <t>QUÓRUM</t>
  </si>
  <si>
    <t>%</t>
  </si>
  <si>
    <t>SIM</t>
  </si>
  <si>
    <t>NÃO</t>
  </si>
  <si>
    <t>SUSPENSÃO</t>
  </si>
  <si>
    <t>ABSTENÇÃO</t>
  </si>
  <si>
    <t>ABERTO</t>
  </si>
  <si>
    <t>Quantidade</t>
  </si>
  <si>
    <t>Representante</t>
  </si>
  <si>
    <t>Voto 1</t>
  </si>
  <si>
    <t>Voto 2</t>
  </si>
  <si>
    <t>Voto 3</t>
  </si>
  <si>
    <t>Gestor</t>
  </si>
  <si>
    <t>Em caso de Abstenção</t>
  </si>
  <si>
    <t xml:space="preserve">PU </t>
  </si>
  <si>
    <t>Saldo Devedor</t>
  </si>
  <si>
    <t>Posição $</t>
  </si>
  <si>
    <t>Posição %</t>
  </si>
  <si>
    <t>Agente Custodia</t>
  </si>
  <si>
    <t>Tipo Pessoa</t>
  </si>
  <si>
    <t>Quantidade Circulação</t>
  </si>
  <si>
    <t>Quantidade Presentes</t>
  </si>
  <si>
    <t>Presença
 (OK ou FORA)</t>
  </si>
  <si>
    <t>Presença 
(OK ou Fora)</t>
  </si>
  <si>
    <t>Razão Social</t>
  </si>
  <si>
    <t>CNPJ</t>
  </si>
  <si>
    <t>Conta</t>
  </si>
  <si>
    <t>Tipo conta</t>
  </si>
  <si>
    <t>Nome comitente</t>
  </si>
  <si>
    <t>Documento Participante</t>
  </si>
  <si>
    <t>EM CIRCULAÇÃO</t>
  </si>
  <si>
    <t>abstenção</t>
  </si>
  <si>
    <t>Item1</t>
  </si>
  <si>
    <t>Item 1</t>
  </si>
  <si>
    <t>Item 2</t>
  </si>
  <si>
    <t>Item 3</t>
  </si>
  <si>
    <t>Item 4</t>
  </si>
  <si>
    <t>Item 5</t>
  </si>
  <si>
    <t>Séries</t>
  </si>
  <si>
    <t>Documentos</t>
  </si>
  <si>
    <t>Gestão</t>
  </si>
  <si>
    <t>única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</si>
</sst>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&quot;R$&quot;\ * #,##0.0000_-;\-&quot;R$&quot;\ * #,##0.0000_-;_-&quot;R$&quot;\ * &quot;-&quot;??_-;_-@_-"/>
    <numFmt numFmtId="166" formatCode="_-&quot;R$&quot;\ * #,##0.0000_-;\-&quot;R$&quot;\ * #,##0.0000_-;_-&quot;R$&quot;\ * &quot;-&quot;????_-;_-@_-"/>
    <numFmt numFmtId="167" formatCode="_-* #,##0.000_-;\-* #,##0.000_-;_-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47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5" fillId="0" borderId="0"/>
  </cellStyleXfs>
  <cellXfs count="137">
    <xf numFmtId="0" fontId="0" fillId="0" borderId="0" xfId="0"/>
    <xf numFmtId="0" fontId="13" fillId="0" borderId="0" xfId="0" applyFont="1"/>
    <xf numFmtId="0" fontId="16" fillId="0" borderId="0" xfId="0" applyFont="1"/>
    <xf numFmtId="0" fontId="16" fillId="34" borderId="10" xfId="0" applyFont="1" applyFill="1" applyBorder="1"/>
    <xf numFmtId="0" fontId="16" fillId="34" borderId="12" xfId="0" applyFont="1" applyFill="1" applyBorder="1"/>
    <xf numFmtId="0" fontId="16" fillId="34" borderId="15" xfId="0" applyFont="1" applyFill="1" applyBorder="1"/>
    <xf numFmtId="10" fontId="16" fillId="34" borderId="17" xfId="1" applyNumberFormat="1" applyFont="1" applyFill="1" applyBorder="1"/>
    <xf numFmtId="0" fontId="16" fillId="0" borderId="13" xfId="0" applyFont="1" applyBorder="1"/>
    <xf numFmtId="10" fontId="16" fillId="0" borderId="14" xfId="1" applyNumberFormat="1" applyFont="1" applyFill="1" applyBorder="1"/>
    <xf numFmtId="0" fontId="18" fillId="0" borderId="0" xfId="0" applyFont="1"/>
    <xf numFmtId="0" fontId="19" fillId="0" borderId="0" xfId="0" applyFont="1"/>
    <xf numFmtId="10" fontId="0" fillId="0" borderId="0" xfId="1" applyNumberFormat="1" applyFont="1"/>
    <xf numFmtId="164" fontId="16" fillId="34" borderId="11" xfId="43" applyNumberFormat="1" applyFont="1" applyFill="1" applyBorder="1" applyAlignment="1"/>
    <xf numFmtId="164" fontId="16" fillId="0" borderId="0" xfId="43" applyNumberFormat="1" applyFont="1" applyFill="1" applyBorder="1"/>
    <xf numFmtId="164" fontId="16" fillId="34" borderId="16" xfId="43" applyNumberFormat="1" applyFont="1" applyFill="1" applyBorder="1"/>
    <xf numFmtId="164" fontId="16" fillId="0" borderId="16" xfId="43" applyNumberFormat="1" applyFont="1" applyBorder="1" applyAlignment="1">
      <alignment horizontal="center" vertical="center"/>
    </xf>
    <xf numFmtId="164" fontId="16" fillId="0" borderId="0" xfId="43" applyNumberFormat="1" applyFont="1" applyBorder="1" applyAlignment="1">
      <alignment horizontal="center" vertical="center"/>
    </xf>
    <xf numFmtId="164" fontId="16" fillId="0" borderId="11" xfId="43" applyNumberFormat="1" applyFont="1" applyBorder="1" applyAlignment="1">
      <alignment horizontal="center" vertical="center"/>
    </xf>
    <xf numFmtId="164" fontId="16" fillId="0" borderId="0" xfId="0" applyNumberFormat="1" applyFont="1"/>
    <xf numFmtId="0" fontId="16" fillId="0" borderId="10" xfId="0" applyFont="1" applyBorder="1"/>
    <xf numFmtId="10" fontId="16" fillId="0" borderId="12" xfId="1" applyNumberFormat="1" applyFont="1" applyBorder="1" applyAlignment="1">
      <alignment horizontal="center" vertical="center"/>
    </xf>
    <xf numFmtId="10" fontId="16" fillId="0" borderId="14" xfId="1" applyNumberFormat="1" applyFont="1" applyBorder="1" applyAlignment="1">
      <alignment horizontal="center" vertical="center"/>
    </xf>
    <xf numFmtId="10" fontId="16" fillId="0" borderId="0" xfId="1" applyNumberFormat="1" applyFont="1"/>
    <xf numFmtId="0" fontId="16" fillId="0" borderId="15" xfId="0" applyFont="1" applyBorder="1"/>
    <xf numFmtId="10" fontId="16" fillId="0" borderId="17" xfId="1" applyNumberFormat="1" applyFont="1" applyBorder="1" applyAlignment="1">
      <alignment horizontal="center" vertical="center"/>
    </xf>
    <xf numFmtId="0" fontId="21" fillId="0" borderId="0" xfId="0" applyFont="1"/>
    <xf numFmtId="164" fontId="0" fillId="0" borderId="0" xfId="43" applyNumberFormat="1" applyFont="1"/>
    <xf numFmtId="0" fontId="21" fillId="34" borderId="0" xfId="0" applyFont="1" applyFill="1"/>
    <xf numFmtId="0" fontId="20" fillId="33" borderId="0" xfId="0" applyFont="1" applyFill="1" applyAlignment="1">
      <alignment horizontal="left" vertical="center"/>
    </xf>
    <xf numFmtId="0" fontId="20" fillId="33" borderId="0" xfId="0" applyFont="1" applyFill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1" fillId="0" borderId="14" xfId="0" applyFont="1" applyBorder="1"/>
    <xf numFmtId="0" fontId="21" fillId="34" borderId="14" xfId="0" applyFont="1" applyFill="1" applyBorder="1"/>
    <xf numFmtId="0" fontId="20" fillId="33" borderId="19" xfId="0" applyFont="1" applyFill="1" applyBorder="1" applyAlignment="1">
      <alignment horizontal="center" vertical="center"/>
    </xf>
    <xf numFmtId="0" fontId="21" fillId="0" borderId="20" xfId="0" applyFont="1" applyBorder="1"/>
    <xf numFmtId="0" fontId="21" fillId="34" borderId="20" xfId="0" applyFont="1" applyFill="1" applyBorder="1"/>
    <xf numFmtId="0" fontId="16" fillId="34" borderId="18" xfId="0" applyFont="1" applyFill="1" applyBorder="1" applyAlignment="1">
      <alignment horizontal="center" vertical="center"/>
    </xf>
    <xf numFmtId="10" fontId="16" fillId="0" borderId="19" xfId="1" applyNumberFormat="1" applyFont="1" applyBorder="1"/>
    <xf numFmtId="10" fontId="16" fillId="0" borderId="20" xfId="1" applyNumberFormat="1" applyFont="1" applyBorder="1"/>
    <xf numFmtId="10" fontId="16" fillId="0" borderId="21" xfId="1" applyNumberFormat="1" applyFont="1" applyBorder="1"/>
    <xf numFmtId="0" fontId="19" fillId="0" borderId="20" xfId="0" applyFont="1" applyBorder="1"/>
    <xf numFmtId="0" fontId="21" fillId="0" borderId="0" xfId="0" applyFont="1" applyAlignment="1">
      <alignment horizontal="left"/>
    </xf>
    <xf numFmtId="10" fontId="21" fillId="0" borderId="0" xfId="0" applyNumberFormat="1" applyFont="1" applyAlignment="1">
      <alignment horizontal="left"/>
    </xf>
    <xf numFmtId="0" fontId="21" fillId="34" borderId="0" xfId="0" applyFont="1" applyFill="1" applyAlignment="1">
      <alignment horizontal="left"/>
    </xf>
    <xf numFmtId="10" fontId="21" fillId="34" borderId="0" xfId="0" applyNumberFormat="1" applyFont="1" applyFill="1" applyAlignment="1">
      <alignment horizontal="left"/>
    </xf>
    <xf numFmtId="0" fontId="18" fillId="34" borderId="13" xfId="0" applyFont="1" applyFill="1" applyBorder="1" applyAlignment="1">
      <alignment horizontal="left"/>
    </xf>
    <xf numFmtId="0" fontId="18" fillId="0" borderId="0" xfId="0" applyFont="1" applyAlignment="1">
      <alignment horizontal="left"/>
    </xf>
    <xf numFmtId="0" fontId="18" fillId="34" borderId="0" xfId="0" applyFont="1" applyFill="1" applyAlignment="1">
      <alignment horizontal="left"/>
    </xf>
    <xf numFmtId="0" fontId="19" fillId="34" borderId="0" xfId="0" applyFont="1" applyFill="1"/>
    <xf numFmtId="0" fontId="19" fillId="34" borderId="20" xfId="0" applyFont="1" applyFill="1" applyBorder="1"/>
    <xf numFmtId="0" fontId="19" fillId="0" borderId="14" xfId="0" applyFont="1" applyBorder="1"/>
    <xf numFmtId="0" fontId="19" fillId="34" borderId="14" xfId="0" applyFont="1" applyFill="1" applyBorder="1"/>
    <xf numFmtId="0" fontId="21" fillId="34" borderId="0" xfId="0" applyFont="1" applyFill="1" applyAlignment="1">
      <alignment horizontal="right"/>
    </xf>
    <xf numFmtId="0" fontId="21" fillId="0" borderId="0" xfId="0" applyFont="1" applyAlignment="1">
      <alignment horizontal="right"/>
    </xf>
    <xf numFmtId="0" fontId="21" fillId="36" borderId="0" xfId="0" applyFont="1" applyFill="1" applyAlignment="1">
      <alignment horizontal="right"/>
    </xf>
    <xf numFmtId="0" fontId="18" fillId="0" borderId="0" xfId="0" applyFont="1" applyAlignment="1">
      <alignment horizontal="right"/>
    </xf>
    <xf numFmtId="0" fontId="18" fillId="34" borderId="0" xfId="0" applyFont="1" applyFill="1" applyAlignment="1">
      <alignment horizontal="right"/>
    </xf>
    <xf numFmtId="0" fontId="18" fillId="0" borderId="0" xfId="0" applyFont="1" applyAlignment="1">
      <alignment horizontal="center"/>
    </xf>
    <xf numFmtId="0" fontId="18" fillId="34" borderId="0" xfId="0" applyFont="1" applyFill="1" applyAlignment="1">
      <alignment horizontal="center"/>
    </xf>
    <xf numFmtId="44" fontId="16" fillId="34" borderId="11" xfId="45" applyFont="1" applyFill="1" applyBorder="1" applyAlignment="1"/>
    <xf numFmtId="44" fontId="16" fillId="0" borderId="0" xfId="45" applyFont="1" applyFill="1" applyBorder="1"/>
    <xf numFmtId="44" fontId="16" fillId="34" borderId="16" xfId="45" applyFont="1" applyFill="1" applyBorder="1"/>
    <xf numFmtId="44" fontId="16" fillId="0" borderId="0" xfId="45" applyFont="1"/>
    <xf numFmtId="44" fontId="16" fillId="0" borderId="11" xfId="45" applyFont="1" applyBorder="1" applyAlignment="1">
      <alignment horizontal="center" vertical="center"/>
    </xf>
    <xf numFmtId="44" fontId="16" fillId="0" borderId="0" xfId="45" applyFont="1" applyBorder="1" applyAlignment="1">
      <alignment horizontal="center" vertical="center"/>
    </xf>
    <xf numFmtId="44" fontId="16" fillId="0" borderId="16" xfId="45" applyFont="1" applyBorder="1" applyAlignment="1">
      <alignment horizontal="center" vertical="center"/>
    </xf>
    <xf numFmtId="1" fontId="21" fillId="34" borderId="0" xfId="0" applyNumberFormat="1" applyFont="1" applyFill="1" applyAlignment="1">
      <alignment horizontal="center"/>
    </xf>
    <xf numFmtId="1" fontId="21" fillId="0" borderId="0" xfId="0" applyNumberFormat="1" applyFont="1" applyAlignment="1">
      <alignment horizontal="center"/>
    </xf>
    <xf numFmtId="0" fontId="21" fillId="34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165" fontId="21" fillId="37" borderId="0" xfId="45" applyNumberFormat="1" applyFont="1" applyFill="1" applyBorder="1" applyAlignment="1">
      <alignment horizontal="center" vertical="center"/>
    </xf>
    <xf numFmtId="10" fontId="21" fillId="37" borderId="0" xfId="1" applyNumberFormat="1" applyFont="1" applyFill="1" applyBorder="1" applyAlignment="1">
      <alignment horizontal="center" vertical="center"/>
    </xf>
    <xf numFmtId="10" fontId="20" fillId="37" borderId="0" xfId="1" applyNumberFormat="1" applyFont="1" applyFill="1" applyAlignment="1">
      <alignment horizontal="center" vertical="center"/>
    </xf>
    <xf numFmtId="0" fontId="23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20" fillId="38" borderId="0" xfId="0" applyFont="1" applyFill="1" applyAlignment="1">
      <alignment horizontal="center" vertical="center"/>
    </xf>
    <xf numFmtId="0" fontId="20" fillId="37" borderId="0" xfId="0" applyFont="1" applyFill="1" applyAlignment="1">
      <alignment horizontal="center" vertical="center"/>
    </xf>
    <xf numFmtId="10" fontId="16" fillId="0" borderId="17" xfId="1" applyNumberFormat="1" applyFont="1" applyBorder="1"/>
    <xf numFmtId="164" fontId="0" fillId="0" borderId="0" xfId="0" applyNumberFormat="1"/>
    <xf numFmtId="167" fontId="0" fillId="0" borderId="0" xfId="0" applyNumberFormat="1"/>
    <xf numFmtId="1" fontId="20" fillId="38" borderId="0" xfId="0" applyNumberFormat="1" applyFont="1" applyFill="1" applyAlignment="1">
      <alignment horizontal="center" vertical="center"/>
    </xf>
    <xf numFmtId="0" fontId="18" fillId="36" borderId="22" xfId="1" applyNumberFormat="1" applyFont="1" applyFill="1" applyBorder="1" applyAlignment="1">
      <alignment horizontal="center"/>
    </xf>
    <xf numFmtId="1" fontId="18" fillId="36" borderId="22" xfId="1" applyNumberFormat="1" applyFont="1" applyFill="1" applyBorder="1" applyAlignment="1">
      <alignment horizontal="center"/>
    </xf>
    <xf numFmtId="0" fontId="18" fillId="36" borderId="22" xfId="1" applyNumberFormat="1" applyFont="1" applyFill="1" applyBorder="1"/>
    <xf numFmtId="0" fontId="18" fillId="36" borderId="22" xfId="1" applyNumberFormat="1" applyFont="1" applyFill="1" applyBorder="1" applyAlignment="1">
      <alignment horizontal="right"/>
    </xf>
    <xf numFmtId="10" fontId="18" fillId="36" borderId="22" xfId="1" applyNumberFormat="1" applyFont="1" applyFill="1" applyBorder="1" applyAlignment="1">
      <alignment vertical="center"/>
    </xf>
    <xf numFmtId="0" fontId="18" fillId="36" borderId="22" xfId="0" applyFont="1" applyFill="1" applyBorder="1"/>
    <xf numFmtId="0" fontId="19" fillId="36" borderId="22" xfId="0" applyFont="1" applyFill="1" applyBorder="1"/>
    <xf numFmtId="0" fontId="19" fillId="36" borderId="22" xfId="0" applyFont="1" applyFill="1" applyBorder="1" applyAlignment="1">
      <alignment horizontal="center"/>
    </xf>
    <xf numFmtId="0" fontId="0" fillId="36" borderId="22" xfId="0" applyFill="1" applyBorder="1"/>
    <xf numFmtId="165" fontId="19" fillId="36" borderId="22" xfId="45" applyNumberFormat="1" applyFont="1" applyFill="1" applyBorder="1"/>
    <xf numFmtId="166" fontId="19" fillId="36" borderId="22" xfId="0" applyNumberFormat="1" applyFont="1" applyFill="1" applyBorder="1"/>
    <xf numFmtId="10" fontId="19" fillId="36" borderId="22" xfId="1" applyNumberFormat="1" applyFont="1" applyFill="1" applyBorder="1"/>
    <xf numFmtId="0" fontId="19" fillId="36" borderId="0" xfId="0" applyFont="1" applyFill="1"/>
    <xf numFmtId="3" fontId="18" fillId="36" borderId="22" xfId="1" applyNumberFormat="1" applyFont="1" applyFill="1" applyBorder="1" applyAlignment="1">
      <alignment horizontal="right"/>
    </xf>
    <xf numFmtId="10" fontId="18" fillId="36" borderId="22" xfId="1" applyNumberFormat="1" applyFont="1" applyFill="1" applyBorder="1" applyAlignment="1">
      <alignment horizontal="center"/>
    </xf>
    <xf numFmtId="10" fontId="18" fillId="36" borderId="22" xfId="1" applyNumberFormat="1" applyFont="1" applyFill="1" applyBorder="1"/>
    <xf numFmtId="165" fontId="0" fillId="36" borderId="22" xfId="45" applyNumberFormat="1" applyFont="1" applyFill="1" applyBorder="1"/>
    <xf numFmtId="10" fontId="0" fillId="36" borderId="22" xfId="1" applyNumberFormat="1" applyFont="1" applyFill="1" applyBorder="1"/>
    <xf numFmtId="3" fontId="18" fillId="36" borderId="22" xfId="1" applyNumberFormat="1" applyFont="1" applyFill="1" applyBorder="1"/>
    <xf numFmtId="0" fontId="18" fillId="36" borderId="0" xfId="1" applyNumberFormat="1" applyFont="1" applyFill="1" applyBorder="1" applyAlignment="1">
      <alignment horizontal="center"/>
    </xf>
    <xf numFmtId="1" fontId="18" fillId="36" borderId="0" xfId="1" applyNumberFormat="1" applyFont="1" applyFill="1" applyBorder="1" applyAlignment="1">
      <alignment horizontal="center"/>
    </xf>
    <xf numFmtId="0" fontId="18" fillId="36" borderId="0" xfId="1" applyNumberFormat="1" applyFont="1" applyFill="1" applyBorder="1"/>
    <xf numFmtId="0" fontId="18" fillId="36" borderId="0" xfId="1" applyNumberFormat="1" applyFont="1" applyFill="1" applyBorder="1" applyAlignment="1">
      <alignment horizontal="right"/>
    </xf>
    <xf numFmtId="0" fontId="18" fillId="36" borderId="0" xfId="0" applyFont="1" applyFill="1"/>
    <xf numFmtId="165" fontId="19" fillId="36" borderId="0" xfId="45" applyNumberFormat="1" applyFont="1" applyFill="1" applyBorder="1"/>
    <xf numFmtId="10" fontId="19" fillId="36" borderId="0" xfId="1" applyNumberFormat="1" applyFont="1" applyFill="1" applyBorder="1"/>
    <xf numFmtId="0" fontId="0" fillId="36" borderId="0" xfId="0" applyFill="1"/>
    <xf numFmtId="3" fontId="18" fillId="36" borderId="0" xfId="1" applyNumberFormat="1" applyFont="1" applyFill="1" applyBorder="1" applyAlignment="1">
      <alignment horizontal="right"/>
    </xf>
    <xf numFmtId="10" fontId="18" fillId="36" borderId="0" xfId="1" applyNumberFormat="1" applyFont="1" applyFill="1" applyBorder="1" applyAlignment="1">
      <alignment horizontal="center"/>
    </xf>
    <xf numFmtId="10" fontId="18" fillId="36" borderId="0" xfId="1" applyNumberFormat="1" applyFont="1" applyFill="1" applyBorder="1"/>
    <xf numFmtId="165" fontId="0" fillId="36" borderId="0" xfId="45" applyNumberFormat="1" applyFont="1" applyFill="1" applyBorder="1"/>
    <xf numFmtId="10" fontId="0" fillId="36" borderId="0" xfId="1" applyNumberFormat="1" applyFont="1" applyFill="1" applyBorder="1"/>
    <xf numFmtId="0" fontId="19" fillId="36" borderId="0" xfId="0" applyFont="1" applyFill="1" applyAlignment="1">
      <alignment horizontal="center"/>
    </xf>
    <xf numFmtId="3" fontId="18" fillId="36" borderId="0" xfId="1" applyNumberFormat="1" applyFont="1" applyFill="1" applyBorder="1"/>
    <xf numFmtId="0" fontId="18" fillId="0" borderId="22" xfId="1" applyNumberFormat="1" applyFont="1" applyFill="1" applyBorder="1"/>
    <xf numFmtId="1" fontId="18" fillId="0" borderId="22" xfId="1" applyNumberFormat="1" applyFont="1" applyFill="1" applyBorder="1" applyAlignment="1">
      <alignment horizontal="center"/>
    </xf>
    <xf numFmtId="0" fontId="18" fillId="0" borderId="22" xfId="1" applyNumberFormat="1" applyFont="1" applyFill="1" applyBorder="1" applyAlignment="1">
      <alignment horizontal="center"/>
    </xf>
    <xf numFmtId="10" fontId="18" fillId="0" borderId="22" xfId="1" applyNumberFormat="1" applyFont="1" applyFill="1" applyBorder="1" applyAlignment="1">
      <alignment vertical="center"/>
    </xf>
    <xf numFmtId="0" fontId="19" fillId="0" borderId="22" xfId="0" applyFont="1" applyBorder="1" applyAlignment="1">
      <alignment horizontal="center"/>
    </xf>
    <xf numFmtId="2" fontId="18" fillId="36" borderId="22" xfId="1" applyNumberFormat="1" applyFont="1" applyFill="1" applyBorder="1" applyAlignment="1">
      <alignment horizontal="center"/>
    </xf>
    <xf numFmtId="0" fontId="18" fillId="0" borderId="0" xfId="1" applyNumberFormat="1" applyFont="1" applyFill="1" applyBorder="1"/>
    <xf numFmtId="10" fontId="18" fillId="0" borderId="0" xfId="1" applyNumberFormat="1" applyFont="1" applyFill="1" applyBorder="1"/>
    <xf numFmtId="1" fontId="18" fillId="0" borderId="0" xfId="1" applyNumberFormat="1" applyFont="1" applyFill="1" applyBorder="1" applyAlignment="1">
      <alignment horizontal="center"/>
    </xf>
    <xf numFmtId="0" fontId="18" fillId="0" borderId="0" xfId="1" applyNumberFormat="1" applyFont="1" applyFill="1" applyBorder="1" applyAlignment="1">
      <alignment horizontal="center"/>
    </xf>
    <xf numFmtId="0" fontId="18" fillId="0" borderId="0" xfId="1" applyNumberFormat="1" applyFont="1" applyFill="1" applyBorder="1" applyAlignment="1">
      <alignment horizontal="right"/>
    </xf>
    <xf numFmtId="166" fontId="19" fillId="36" borderId="0" xfId="0" applyNumberFormat="1" applyFont="1" applyFill="1"/>
    <xf numFmtId="3" fontId="18" fillId="0" borderId="0" xfId="0" applyNumberFormat="1" applyFont="1" applyAlignment="1">
      <alignment horizontal="right"/>
    </xf>
    <xf numFmtId="3" fontId="18" fillId="34" borderId="0" xfId="0" applyNumberFormat="1" applyFont="1" applyFill="1" applyAlignment="1">
      <alignment horizontal="right"/>
    </xf>
    <xf numFmtId="1" fontId="18" fillId="36" borderId="22" xfId="1" applyNumberFormat="1" applyFont="1" applyFill="1" applyBorder="1" applyAlignment="1">
      <alignment horizontal="right"/>
    </xf>
    <xf numFmtId="1" fontId="18" fillId="36" borderId="22" xfId="1" applyNumberFormat="1" applyFont="1" applyFill="1" applyBorder="1"/>
    <xf numFmtId="1" fontId="18" fillId="0" borderId="22" xfId="1" applyNumberFormat="1" applyFont="1" applyFill="1" applyBorder="1" applyAlignment="1">
      <alignment horizontal="right"/>
    </xf>
    <xf numFmtId="1" fontId="20" fillId="38" borderId="0" xfId="0" applyNumberFormat="1" applyFont="1" applyFill="1" applyAlignment="1">
      <alignment horizontal="center" vertical="center" wrapText="1"/>
    </xf>
    <xf numFmtId="1" fontId="21" fillId="34" borderId="0" xfId="0" applyNumberFormat="1" applyFont="1" applyFill="1" applyAlignment="1">
      <alignment horizontal="left"/>
    </xf>
    <xf numFmtId="1" fontId="18" fillId="36" borderId="22" xfId="1" applyNumberFormat="1" applyFont="1" applyFill="1" applyBorder="1" applyAlignment="1"/>
    <xf numFmtId="0" fontId="24" fillId="35" borderId="0" xfId="0" applyFont="1" applyFill="1" applyAlignment="1">
      <alignment horizontal="center"/>
    </xf>
  </cellXfs>
  <cellStyles count="47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45" builtinId="4"/>
    <cellStyle name="Neutro" xfId="9" builtinId="28" customBuiltin="1"/>
    <cellStyle name="Normal" xfId="0" builtinId="0"/>
    <cellStyle name="Normal 2" xfId="46" xr:uid="{BE8F15E7-37CA-498D-9D94-290E7D0B42FE}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43" builtinId="3"/>
    <cellStyle name="Vírgula 2" xfId="44" xr:uid="{00000000-0005-0000-0000-00002C000000}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4"/>
  <dimension ref="A1:L361"/>
  <sheetViews>
    <sheetView showGridLines="0" tabSelected="1" workbookViewId="0">
      <selection activeCell="B4" sqref="B4"/>
    </sheetView>
  </sheetViews>
  <sheetFormatPr defaultColWidth="9.109375" defaultRowHeight="12" x14ac:dyDescent="0.25"/>
  <cols>
    <col min="1" max="1" width="21.44140625" style="9" customWidth="1"/>
    <col min="2" max="2" width="39.6640625" style="9" customWidth="1"/>
    <col min="3" max="3" width="20.6640625" style="58" customWidth="1"/>
    <col min="4" max="4" width="17.33203125" style="9" customWidth="1"/>
    <col min="5" max="5" width="19.5546875" style="9" customWidth="1"/>
    <col min="6" max="6" width="13.109375" style="58" customWidth="1"/>
    <col min="7" max="7" width="6.6640625" style="9" bestFit="1" customWidth="1"/>
    <col min="8" max="8" width="14.109375" style="9" hidden="1" customWidth="1"/>
    <col min="9" max="9" width="13.33203125" style="10" hidden="1" customWidth="1"/>
    <col min="10" max="12" width="0" style="10" hidden="1" customWidth="1"/>
    <col min="13" max="16384" width="9.109375" style="10"/>
  </cols>
  <sheetData>
    <row r="1" spans="1:12" s="1" customFormat="1" ht="30" customHeight="1" x14ac:dyDescent="0.3">
      <c r="A1" s="28" t="s">
        <v>16</v>
      </c>
      <c r="B1" s="76" t="s">
        <v>28</v>
      </c>
      <c r="C1" s="81" t="s">
        <v>29</v>
      </c>
      <c r="D1" s="76" t="s">
        <v>30</v>
      </c>
      <c r="E1" s="76" t="s">
        <v>31</v>
      </c>
      <c r="F1" s="81" t="s">
        <v>11</v>
      </c>
      <c r="G1" s="77" t="s">
        <v>5</v>
      </c>
      <c r="H1" s="75" t="s">
        <v>27</v>
      </c>
      <c r="I1" s="34" t="s">
        <v>12</v>
      </c>
      <c r="J1" s="29" t="s">
        <v>13</v>
      </c>
      <c r="K1" s="30" t="s">
        <v>14</v>
      </c>
      <c r="L1" s="31" t="s">
        <v>15</v>
      </c>
    </row>
    <row r="2" spans="1:12" x14ac:dyDescent="0.25">
      <c r="A2" s="27"/>
      <c r="C2" s="67"/>
      <c r="D2" s="27"/>
      <c r="E2" s="134"/>
      <c r="F2" s="67"/>
      <c r="G2" s="45" t="e">
        <f>IF(OR(MID(D2,7,2)="10",MID(D2,7,2)="20",MID(D2,7,2)="68"),SUMIF(COMITENTES!#REF!,D2,COMITENTES!$H:$H),IF(H2="fora",0%,F2/QUÓRUM!$H$4))</f>
        <v>#DIV/0!</v>
      </c>
      <c r="H2" s="46" t="str">
        <f t="shared" ref="H2:H12" si="0">IF(OR(MID(D2,7,2)="10",MID(D2,7,2)="20",MID(D2,7,2)="68"),"PREENCHER NA PRÓXIMA ABA","")</f>
        <v/>
      </c>
      <c r="I2" s="36"/>
      <c r="J2" s="27"/>
      <c r="K2" s="27"/>
      <c r="L2" s="33"/>
    </row>
    <row r="3" spans="1:12" x14ac:dyDescent="0.25">
      <c r="A3" s="25"/>
      <c r="B3" s="25"/>
      <c r="C3" s="68"/>
      <c r="D3" s="25"/>
      <c r="E3" s="25"/>
      <c r="F3" s="68"/>
      <c r="G3" s="43" t="e">
        <f>IF(OR(MID(D3,7,2)="10",MID(D3,7,2)="20",MID(D3,7,2)="68"),SUMIF(COMITENTES!#REF!,D3,COMITENTES!$H:$H),IF(H3="fora",0%,F3/QUÓRUM!$H$4))</f>
        <v>#DIV/0!</v>
      </c>
      <c r="H3" s="46" t="str">
        <f t="shared" si="0"/>
        <v/>
      </c>
      <c r="I3" s="35"/>
      <c r="J3" s="25"/>
      <c r="K3" s="25"/>
      <c r="L3" s="32"/>
    </row>
    <row r="4" spans="1:12" x14ac:dyDescent="0.25">
      <c r="A4" s="27"/>
      <c r="B4" s="27"/>
      <c r="C4" s="67"/>
      <c r="D4" s="27"/>
      <c r="E4" s="27"/>
      <c r="F4" s="67"/>
      <c r="G4" s="45" t="e">
        <f>IF(OR(MID(D4,7,2)="10",MID(D4,7,2)="20",MID(D4,7,2)="68"),SUMIF(COMITENTES!#REF!,D4,COMITENTES!$H:$H),IF(H4="fora",0%,F4/QUÓRUM!$H$4))</f>
        <v>#DIV/0!</v>
      </c>
      <c r="H4" s="46" t="str">
        <f t="shared" si="0"/>
        <v/>
      </c>
      <c r="I4" s="36"/>
      <c r="J4" s="27"/>
      <c r="K4" s="27"/>
      <c r="L4" s="33"/>
    </row>
    <row r="5" spans="1:12" x14ac:dyDescent="0.25">
      <c r="A5" s="25"/>
      <c r="B5" s="25"/>
      <c r="C5" s="68"/>
      <c r="D5" s="25"/>
      <c r="E5" s="25"/>
      <c r="F5" s="68"/>
      <c r="G5" s="43" t="e">
        <f>IF(OR(MID(D5,7,2)="10",MID(D5,7,2)="20",MID(D5,7,2)="68"),SUMIF(COMITENTES!#REF!,D5,COMITENTES!$H:$H),IF(H5="fora",0%,F5/QUÓRUM!$H$4))</f>
        <v>#DIV/0!</v>
      </c>
      <c r="H5" s="46" t="str">
        <f t="shared" si="0"/>
        <v/>
      </c>
      <c r="I5" s="35"/>
      <c r="J5" s="25"/>
      <c r="K5" s="25"/>
      <c r="L5" s="32"/>
    </row>
    <row r="6" spans="1:12" x14ac:dyDescent="0.25">
      <c r="A6" s="27"/>
      <c r="B6" s="27"/>
      <c r="C6" s="67"/>
      <c r="D6" s="27"/>
      <c r="E6" s="27"/>
      <c r="F6" s="67"/>
      <c r="G6" s="45" t="e">
        <f>IF(OR(MID(D6,7,2)="10",MID(D6,7,2)="20",MID(D6,7,2)="68"),SUMIF(COMITENTES!#REF!,D6,COMITENTES!$H:$H),IF(H6="fora",0%,F6/QUÓRUM!$H$4))</f>
        <v>#DIV/0!</v>
      </c>
      <c r="H6" s="46" t="str">
        <f t="shared" si="0"/>
        <v/>
      </c>
      <c r="I6" s="36"/>
      <c r="J6" s="27"/>
      <c r="K6" s="27"/>
      <c r="L6" s="33"/>
    </row>
    <row r="7" spans="1:12" x14ac:dyDescent="0.25">
      <c r="A7" s="25"/>
      <c r="B7" s="25"/>
      <c r="C7" s="68"/>
      <c r="D7" s="25"/>
      <c r="E7" s="25"/>
      <c r="F7" s="68"/>
      <c r="G7" s="43" t="e">
        <f>IF(OR(MID(D7,7,2)="10",MID(D7,7,2)="20",MID(D7,7,2)="68"),SUMIF(COMITENTES!#REF!,D7,COMITENTES!$H:$H),IF(H7="fora",0%,F7/QUÓRUM!$H$4))</f>
        <v>#DIV/0!</v>
      </c>
      <c r="H7" s="46" t="str">
        <f t="shared" si="0"/>
        <v/>
      </c>
      <c r="I7" s="35"/>
      <c r="J7" s="25"/>
      <c r="K7" s="25"/>
      <c r="L7" s="32"/>
    </row>
    <row r="8" spans="1:12" x14ac:dyDescent="0.25">
      <c r="A8" s="27"/>
      <c r="B8" s="27"/>
      <c r="C8" s="67"/>
      <c r="D8" s="27"/>
      <c r="E8" s="27"/>
      <c r="F8" s="67"/>
      <c r="G8" s="45" t="e">
        <f>IF(OR(MID(D8,7,2)="10",MID(D8,7,2)="20",MID(D8,7,2)="68"),SUMIF(COMITENTES!#REF!,D8,COMITENTES!$H:$H),IF(H8="fora",0%,F8/QUÓRUM!$H$4))</f>
        <v>#DIV/0!</v>
      </c>
      <c r="H8" s="46" t="str">
        <f t="shared" si="0"/>
        <v/>
      </c>
      <c r="I8" s="36"/>
      <c r="J8" s="27"/>
      <c r="K8" s="27"/>
      <c r="L8" s="33"/>
    </row>
    <row r="9" spans="1:12" x14ac:dyDescent="0.25">
      <c r="A9" s="25"/>
      <c r="B9" s="25"/>
      <c r="C9" s="68"/>
      <c r="D9" s="25"/>
      <c r="E9" s="25"/>
      <c r="F9" s="68"/>
      <c r="G9" s="43" t="e">
        <f>IF(OR(MID(D9,7,2)="10",MID(D9,7,2)="20",MID(D9,7,2)="68"),SUMIF(COMITENTES!#REF!,D9,COMITENTES!$H:$H),IF(H9="fora",0%,F9/QUÓRUM!$H$4))</f>
        <v>#DIV/0!</v>
      </c>
      <c r="H9" s="46" t="str">
        <f t="shared" si="0"/>
        <v/>
      </c>
      <c r="I9" s="35"/>
      <c r="J9" s="25"/>
      <c r="K9" s="25"/>
      <c r="L9" s="32"/>
    </row>
    <row r="10" spans="1:12" x14ac:dyDescent="0.25">
      <c r="A10" s="27"/>
      <c r="B10" s="27"/>
      <c r="C10" s="67"/>
      <c r="D10" s="27"/>
      <c r="E10" s="27"/>
      <c r="F10" s="67"/>
      <c r="G10" s="45" t="e">
        <f>IF(OR(MID(D10,7,2)="10",MID(D10,7,2)="20",MID(D10,7,2)="68"),SUMIF(COMITENTES!#REF!,D10,COMITENTES!$H:$H),IF(H10="fora",0%,F10/QUÓRUM!$H$4))</f>
        <v>#DIV/0!</v>
      </c>
      <c r="H10" s="46" t="str">
        <f t="shared" si="0"/>
        <v/>
      </c>
      <c r="I10" s="36"/>
      <c r="J10" s="27"/>
      <c r="K10" s="27"/>
      <c r="L10" s="33"/>
    </row>
    <row r="11" spans="1:12" x14ac:dyDescent="0.25">
      <c r="A11" s="25"/>
      <c r="B11" s="25"/>
      <c r="C11" s="68"/>
      <c r="D11" s="25"/>
      <c r="E11" s="25"/>
      <c r="F11" s="68"/>
      <c r="G11" s="43" t="e">
        <f>IF(OR(MID(D11,7,2)="10",MID(D11,7,2)="20",MID(D11,7,2)="68"),SUMIF(COMITENTES!#REF!,D11,COMITENTES!$H:$H),IF(H11="fora",0%,F11/QUÓRUM!$H$4))</f>
        <v>#DIV/0!</v>
      </c>
      <c r="H11" s="46" t="str">
        <f t="shared" si="0"/>
        <v/>
      </c>
      <c r="I11" s="35"/>
      <c r="J11" s="25"/>
      <c r="K11" s="25"/>
      <c r="L11" s="32"/>
    </row>
    <row r="12" spans="1:12" x14ac:dyDescent="0.25">
      <c r="A12" s="27"/>
      <c r="B12" s="27"/>
      <c r="C12" s="67"/>
      <c r="D12" s="27"/>
      <c r="E12" s="27"/>
      <c r="F12" s="67"/>
      <c r="G12" s="45" t="e">
        <f>IF(OR(MID(D12,7,2)="10",MID(D12,7,2)="20",MID(D12,7,2)="68"),SUMIF(COMITENTES!#REF!,D12,COMITENTES!$H:$H),IF(H12="fora",0%,F12/QUÓRUM!$H$4))</f>
        <v>#DIV/0!</v>
      </c>
      <c r="H12" s="46" t="str">
        <f t="shared" si="0"/>
        <v/>
      </c>
      <c r="I12" s="36"/>
      <c r="J12" s="27"/>
      <c r="K12" s="27"/>
      <c r="L12" s="33"/>
    </row>
    <row r="13" spans="1:12" x14ac:dyDescent="0.25">
      <c r="A13" s="25"/>
      <c r="B13" s="25"/>
      <c r="C13" s="68"/>
      <c r="D13" s="25"/>
      <c r="E13" s="25"/>
      <c r="F13" s="68"/>
      <c r="G13" s="43" t="e">
        <f>IF(OR(MID(D13,7,2)="10",MID(D13,7,2)="20",MID(D13,7,2)="68"),SUMIF(COMITENTES!#REF!,D13,COMITENTES!$H:$H),IF(H13="fora",0%,F13/QUÓRUM!$H$4))</f>
        <v>#DIV/0!</v>
      </c>
      <c r="H13" s="46" t="str">
        <f t="shared" ref="H13:H65" si="1">IF(OR(MID(D13,7,2)="10",MID(D13,7,2)="20",MID(D13,7,2)="68"),"PREENCHER NA PRÓXIMA ABA","")</f>
        <v/>
      </c>
      <c r="I13" s="35"/>
      <c r="J13" s="25"/>
      <c r="K13" s="25"/>
      <c r="L13" s="32"/>
    </row>
    <row r="14" spans="1:12" x14ac:dyDescent="0.25">
      <c r="A14" s="27"/>
      <c r="B14" s="27"/>
      <c r="C14" s="67"/>
      <c r="D14" s="27"/>
      <c r="E14" s="27"/>
      <c r="F14" s="67"/>
      <c r="G14" s="45" t="e">
        <f>IF(OR(MID(D14,7,2)="10",MID(D14,7,2)="20",MID(D14,7,2)="68"),SUMIF(COMITENTES!#REF!,D14,COMITENTES!$H:$H),IF(H14="fora",0%,F14/QUÓRUM!$H$4))</f>
        <v>#DIV/0!</v>
      </c>
      <c r="H14" s="46" t="str">
        <f t="shared" si="1"/>
        <v/>
      </c>
      <c r="I14" s="36"/>
      <c r="J14" s="27"/>
      <c r="K14" s="27"/>
      <c r="L14" s="33"/>
    </row>
    <row r="15" spans="1:12" x14ac:dyDescent="0.25">
      <c r="A15" s="25"/>
      <c r="B15" s="42"/>
      <c r="C15" s="68"/>
      <c r="D15" s="42"/>
      <c r="E15" s="42"/>
      <c r="F15" s="68"/>
      <c r="G15" s="43" t="e">
        <f>IF(OR(MID(D15,7,2)="10",MID(D15,7,2)="20",MID(D15,7,2)="68"),SUMIF(COMITENTES!#REF!,D15,COMITENTES!$H:$H),IF(H15="fora",0%,F15/QUÓRUM!$H$4))</f>
        <v>#DIV/0!</v>
      </c>
      <c r="H15" s="46" t="str">
        <f t="shared" si="1"/>
        <v/>
      </c>
      <c r="I15" s="35"/>
      <c r="J15" s="25"/>
      <c r="K15" s="25"/>
      <c r="L15" s="32"/>
    </row>
    <row r="16" spans="1:12" x14ac:dyDescent="0.25">
      <c r="A16" s="27"/>
      <c r="B16" s="44"/>
      <c r="C16" s="67"/>
      <c r="D16" s="44"/>
      <c r="E16" s="44"/>
      <c r="F16" s="67"/>
      <c r="G16" s="45" t="e">
        <f>IF(OR(MID(D16,7,2)="10",MID(D16,7,2)="20",MID(D16,7,2)="68"),SUMIF(COMITENTES!#REF!,D16,COMITENTES!$H:$H),IF(H16="fora",0%,F16/QUÓRUM!$H$4))</f>
        <v>#DIV/0!</v>
      </c>
      <c r="H16" s="46" t="str">
        <f t="shared" si="1"/>
        <v/>
      </c>
      <c r="I16" s="36"/>
      <c r="J16" s="27"/>
      <c r="K16" s="27"/>
      <c r="L16" s="33"/>
    </row>
    <row r="17" spans="1:12" x14ac:dyDescent="0.25">
      <c r="A17" s="25"/>
      <c r="B17" s="42"/>
      <c r="C17" s="68"/>
      <c r="D17" s="42"/>
      <c r="E17" s="42"/>
      <c r="F17" s="68"/>
      <c r="G17" s="43" t="e">
        <f>IF(OR(MID(D17,7,2)="10",MID(D17,7,2)="20",MID(D17,7,2)="68"),SUMIF(COMITENTES!#REF!,D17,COMITENTES!$H:$H),IF(H17="fora",0%,F17/QUÓRUM!$H$4))</f>
        <v>#DIV/0!</v>
      </c>
      <c r="H17" s="46" t="str">
        <f t="shared" si="1"/>
        <v/>
      </c>
      <c r="I17" s="35"/>
      <c r="J17" s="25"/>
      <c r="K17" s="25"/>
      <c r="L17" s="32"/>
    </row>
    <row r="18" spans="1:12" x14ac:dyDescent="0.25">
      <c r="A18" s="27"/>
      <c r="B18" s="44"/>
      <c r="C18" s="67"/>
      <c r="D18" s="44"/>
      <c r="E18" s="44"/>
      <c r="F18" s="67"/>
      <c r="G18" s="45" t="e">
        <f>IF(OR(MID(D18,7,2)="10",MID(D18,7,2)="20",MID(D18,7,2)="68"),SUMIF(COMITENTES!#REF!,D18,COMITENTES!$H:$H),IF(H18="fora",0%,F18/QUÓRUM!$H$4))</f>
        <v>#DIV/0!</v>
      </c>
      <c r="H18" s="46" t="str">
        <f t="shared" si="1"/>
        <v/>
      </c>
      <c r="I18" s="36"/>
      <c r="J18" s="27"/>
      <c r="K18" s="27"/>
      <c r="L18" s="33"/>
    </row>
    <row r="19" spans="1:12" x14ac:dyDescent="0.25">
      <c r="A19" s="25"/>
      <c r="B19" s="42"/>
      <c r="C19" s="68"/>
      <c r="D19" s="42"/>
      <c r="E19" s="42"/>
      <c r="F19" s="68"/>
      <c r="G19" s="43" t="e">
        <f>IF(OR(MID(D19,7,2)="10",MID(D19,7,2)="20",MID(D19,7,2)="68"),SUMIF(COMITENTES!#REF!,D19,COMITENTES!$H:$H),IF(H19="fora",0%,F19/QUÓRUM!$H$4))</f>
        <v>#DIV/0!</v>
      </c>
      <c r="H19" s="46" t="str">
        <f t="shared" si="1"/>
        <v/>
      </c>
      <c r="I19" s="35"/>
      <c r="J19" s="25"/>
      <c r="K19" s="25"/>
      <c r="L19" s="32"/>
    </row>
    <row r="20" spans="1:12" x14ac:dyDescent="0.25">
      <c r="A20" s="27"/>
      <c r="B20" s="44"/>
      <c r="C20" s="67"/>
      <c r="D20" s="44"/>
      <c r="E20" s="44"/>
      <c r="F20" s="67"/>
      <c r="G20" s="45" t="e">
        <f>IF(OR(MID(D20,7,2)="10",MID(D20,7,2)="20",MID(D20,7,2)="68"),SUMIF(COMITENTES!#REF!,D20,COMITENTES!$H:$H),IF(H20="fora",0%,F20/QUÓRUM!$H$4))</f>
        <v>#DIV/0!</v>
      </c>
      <c r="H20" s="46" t="str">
        <f t="shared" si="1"/>
        <v/>
      </c>
      <c r="I20" s="36"/>
      <c r="J20" s="27"/>
      <c r="K20" s="27"/>
      <c r="L20" s="33"/>
    </row>
    <row r="21" spans="1:12" x14ac:dyDescent="0.25">
      <c r="A21" s="25"/>
      <c r="B21" s="42"/>
      <c r="C21" s="68"/>
      <c r="D21" s="42"/>
      <c r="E21" s="42"/>
      <c r="F21" s="68"/>
      <c r="G21" s="45" t="e">
        <f>IF(OR(MID(D21,7,2)="10",MID(D21,7,2)="20",MID(D21,7,2)="68"),SUMIF(COMITENTES!#REF!,D21,COMITENTES!$H:$H),IF(H21="fora",0%,F21/QUÓRUM!$H$4))</f>
        <v>#DIV/0!</v>
      </c>
      <c r="H21" s="46" t="str">
        <f t="shared" si="1"/>
        <v/>
      </c>
      <c r="I21" s="35"/>
      <c r="J21" s="25"/>
      <c r="K21" s="25"/>
      <c r="L21" s="32"/>
    </row>
    <row r="22" spans="1:12" x14ac:dyDescent="0.25">
      <c r="A22" s="27"/>
      <c r="B22" s="44"/>
      <c r="C22" s="67"/>
      <c r="D22" s="44"/>
      <c r="E22" s="44"/>
      <c r="F22" s="67"/>
      <c r="G22" s="45" t="e">
        <f>IF(OR(MID(D22,7,2)="10",MID(D22,7,2)="20",MID(D22,7,2)="68"),SUMIF(COMITENTES!#REF!,D22,COMITENTES!$H:$H),IF(H22="fora",0%,F22/QUÓRUM!$H$4))</f>
        <v>#DIV/0!</v>
      </c>
      <c r="H22" s="46" t="str">
        <f t="shared" si="1"/>
        <v/>
      </c>
      <c r="I22" s="36"/>
      <c r="J22" s="27"/>
      <c r="K22" s="27"/>
      <c r="L22" s="33"/>
    </row>
    <row r="23" spans="1:12" x14ac:dyDescent="0.25">
      <c r="A23" s="25"/>
      <c r="B23" s="42"/>
      <c r="C23" s="68"/>
      <c r="D23" s="42"/>
      <c r="E23" s="42"/>
      <c r="F23" s="68"/>
      <c r="G23" s="45" t="e">
        <f>IF(OR(MID(D23,7,2)="10",MID(D23,7,2)="20",MID(D23,7,2)="68"),SUMIF(COMITENTES!#REF!,D23,COMITENTES!$H:$H),IF(H23="fora",0%,F23/QUÓRUM!$H$4))</f>
        <v>#DIV/0!</v>
      </c>
      <c r="H23" s="46" t="str">
        <f t="shared" si="1"/>
        <v/>
      </c>
      <c r="I23" s="35"/>
      <c r="J23" s="25"/>
      <c r="K23" s="25"/>
      <c r="L23" s="32"/>
    </row>
    <row r="24" spans="1:12" x14ac:dyDescent="0.25">
      <c r="A24" s="27"/>
      <c r="B24" s="44"/>
      <c r="C24" s="67"/>
      <c r="D24" s="44"/>
      <c r="E24" s="44"/>
      <c r="F24" s="67"/>
      <c r="G24" s="45" t="e">
        <f>IF(OR(MID(D24,7,2)="10",MID(D24,7,2)="20",MID(D24,7,2)="68"),SUMIF(COMITENTES!#REF!,D24,COMITENTES!$H:$H),IF(H24="fora",0%,F24/QUÓRUM!$H$4))</f>
        <v>#DIV/0!</v>
      </c>
      <c r="H24" s="46" t="str">
        <f t="shared" si="1"/>
        <v/>
      </c>
      <c r="I24" s="36"/>
      <c r="J24" s="27"/>
      <c r="K24" s="27"/>
      <c r="L24" s="33"/>
    </row>
    <row r="25" spans="1:12" x14ac:dyDescent="0.25">
      <c r="A25" s="25"/>
      <c r="B25" s="42"/>
      <c r="C25" s="68"/>
      <c r="D25" s="42"/>
      <c r="E25" s="42"/>
      <c r="F25" s="68"/>
      <c r="G25" s="45" t="e">
        <f>IF(OR(MID(D25,7,2)="10",MID(D25,7,2)="20",MID(D25,7,2)="68"),SUMIF(COMITENTES!#REF!,D25,COMITENTES!$H:$H),IF(H25="fora",0%,F25/QUÓRUM!$H$4))</f>
        <v>#DIV/0!</v>
      </c>
      <c r="H25" s="46" t="str">
        <f t="shared" si="1"/>
        <v/>
      </c>
      <c r="I25" s="35"/>
      <c r="J25" s="25"/>
      <c r="K25" s="25"/>
      <c r="L25" s="32"/>
    </row>
    <row r="26" spans="1:12" x14ac:dyDescent="0.25">
      <c r="A26" s="27"/>
      <c r="B26" s="44"/>
      <c r="C26" s="67"/>
      <c r="D26" s="44"/>
      <c r="E26" s="44"/>
      <c r="F26" s="67"/>
      <c r="G26" s="45" t="e">
        <f>IF(OR(MID(D26,7,2)="10",MID(D26,7,2)="20",MID(D26,7,2)="68"),SUMIF(COMITENTES!#REF!,D26,COMITENTES!$H:$H),IF(H26="fora",0%,F26/QUÓRUM!$H$4))</f>
        <v>#DIV/0!</v>
      </c>
      <c r="H26" s="46" t="str">
        <f t="shared" si="1"/>
        <v/>
      </c>
      <c r="I26" s="36"/>
      <c r="J26" s="27"/>
      <c r="K26" s="27"/>
      <c r="L26" s="33"/>
    </row>
    <row r="27" spans="1:12" x14ac:dyDescent="0.25">
      <c r="A27" s="25"/>
      <c r="B27" s="42"/>
      <c r="C27" s="68"/>
      <c r="D27" s="42"/>
      <c r="E27" s="42"/>
      <c r="F27" s="68"/>
      <c r="G27" s="45" t="e">
        <f>IF(OR(MID(D27,7,2)="10",MID(D27,7,2)="20",MID(D27,7,2)="68"),SUMIF(COMITENTES!#REF!,D27,COMITENTES!$H:$H),IF(H27="fora",0%,F27/QUÓRUM!$H$4))</f>
        <v>#DIV/0!</v>
      </c>
      <c r="H27" s="46" t="str">
        <f t="shared" si="1"/>
        <v/>
      </c>
      <c r="I27" s="35"/>
      <c r="J27" s="25"/>
      <c r="K27" s="25"/>
      <c r="L27" s="32"/>
    </row>
    <row r="28" spans="1:12" x14ac:dyDescent="0.25">
      <c r="A28" s="27"/>
      <c r="B28" s="44"/>
      <c r="C28" s="67"/>
      <c r="D28" s="44"/>
      <c r="E28" s="44"/>
      <c r="F28" s="67"/>
      <c r="G28" s="45" t="e">
        <f>IF(OR(MID(D28,7,2)="10",MID(D28,7,2)="20",MID(D28,7,2)="68"),SUMIF(COMITENTES!#REF!,D28,COMITENTES!$H:$H),IF(H28="fora",0%,F28/QUÓRUM!$H$4))</f>
        <v>#DIV/0!</v>
      </c>
      <c r="H28" s="46" t="str">
        <f t="shared" si="1"/>
        <v/>
      </c>
      <c r="I28" s="36"/>
      <c r="J28" s="27"/>
      <c r="K28" s="27"/>
      <c r="L28" s="33"/>
    </row>
    <row r="29" spans="1:12" x14ac:dyDescent="0.25">
      <c r="A29" s="25"/>
      <c r="B29" s="42"/>
      <c r="C29" s="68"/>
      <c r="D29" s="42"/>
      <c r="E29" s="42"/>
      <c r="F29" s="68"/>
      <c r="G29" s="45" t="e">
        <f>IF(OR(MID(D29,7,2)="10",MID(D29,7,2)="20",MID(D29,7,2)="68"),SUMIF(COMITENTES!#REF!,D29,COMITENTES!$H:$H),IF(H29="fora",0%,F29/QUÓRUM!$H$4))</f>
        <v>#DIV/0!</v>
      </c>
      <c r="H29" s="46" t="str">
        <f t="shared" si="1"/>
        <v/>
      </c>
      <c r="I29" s="35"/>
      <c r="J29" s="25"/>
      <c r="K29" s="25"/>
      <c r="L29" s="32"/>
    </row>
    <row r="30" spans="1:12" x14ac:dyDescent="0.25">
      <c r="A30" s="27"/>
      <c r="B30" s="44"/>
      <c r="C30" s="67"/>
      <c r="D30" s="44"/>
      <c r="E30" s="44"/>
      <c r="F30" s="67"/>
      <c r="G30" s="45" t="e">
        <f>IF(OR(MID(D30,7,2)="10",MID(D30,7,2)="20",MID(D30,7,2)="68"),SUMIF(COMITENTES!#REF!,D30,COMITENTES!$H:$H),IF(H30="fora",0%,F30/QUÓRUM!$H$4))</f>
        <v>#DIV/0!</v>
      </c>
      <c r="H30" s="46" t="str">
        <f t="shared" si="1"/>
        <v/>
      </c>
      <c r="I30" s="36"/>
      <c r="J30" s="27"/>
      <c r="K30" s="27"/>
      <c r="L30" s="33"/>
    </row>
    <row r="31" spans="1:12" x14ac:dyDescent="0.25">
      <c r="A31" s="25"/>
      <c r="B31" s="42"/>
      <c r="C31" s="68"/>
      <c r="D31" s="42"/>
      <c r="E31" s="42"/>
      <c r="F31" s="68"/>
      <c r="G31" s="45" t="e">
        <f>IF(OR(MID(D31,7,2)="10",MID(D31,7,2)="20",MID(D31,7,2)="68"),SUMIF(COMITENTES!#REF!,D31,COMITENTES!$H:$H),IF(H31="fora",0%,F31/QUÓRUM!$H$4))</f>
        <v>#DIV/0!</v>
      </c>
      <c r="H31" s="46" t="str">
        <f t="shared" si="1"/>
        <v/>
      </c>
      <c r="I31" s="35"/>
      <c r="J31" s="25"/>
      <c r="K31" s="25"/>
      <c r="L31" s="32"/>
    </row>
    <row r="32" spans="1:12" x14ac:dyDescent="0.25">
      <c r="A32" s="27"/>
      <c r="B32" s="44"/>
      <c r="C32" s="67"/>
      <c r="D32" s="44"/>
      <c r="E32" s="44"/>
      <c r="F32" s="67"/>
      <c r="G32" s="45" t="e">
        <f>IF(OR(MID(D32,7,2)="10",MID(D32,7,2)="20",MID(D32,7,2)="68"),SUMIF(COMITENTES!#REF!,D32,COMITENTES!$H:$H),IF(H32="fora",0%,F32/QUÓRUM!$H$4))</f>
        <v>#DIV/0!</v>
      </c>
      <c r="H32" s="46" t="str">
        <f t="shared" si="1"/>
        <v/>
      </c>
      <c r="I32" s="36"/>
      <c r="J32" s="27"/>
      <c r="K32" s="27"/>
      <c r="L32" s="33"/>
    </row>
    <row r="33" spans="1:12" x14ac:dyDescent="0.25">
      <c r="A33" s="25"/>
      <c r="B33" s="42"/>
      <c r="C33" s="68"/>
      <c r="D33" s="42"/>
      <c r="E33" s="42"/>
      <c r="F33" s="68"/>
      <c r="G33" s="45" t="e">
        <f>IF(OR(MID(D33,7,2)="10",MID(D33,7,2)="20",MID(D33,7,2)="68"),SUMIF(COMITENTES!#REF!,D33,COMITENTES!$H:$H),IF(H33="fora",0%,F33/QUÓRUM!$H$4))</f>
        <v>#DIV/0!</v>
      </c>
      <c r="H33" s="46" t="str">
        <f t="shared" si="1"/>
        <v/>
      </c>
      <c r="I33" s="35"/>
      <c r="J33" s="25"/>
      <c r="K33" s="25"/>
      <c r="L33" s="32"/>
    </row>
    <row r="34" spans="1:12" x14ac:dyDescent="0.25">
      <c r="A34" s="27"/>
      <c r="B34" s="44"/>
      <c r="C34" s="67"/>
      <c r="D34" s="44"/>
      <c r="E34" s="44"/>
      <c r="F34" s="67"/>
      <c r="G34" s="45" t="e">
        <f>IF(OR(MID(D34,7,2)="10",MID(D34,7,2)="20",MID(D34,7,2)="68"),SUMIF(COMITENTES!#REF!,D34,COMITENTES!$H:$H),IF(H34="fora",0%,F34/QUÓRUM!$H$4))</f>
        <v>#DIV/0!</v>
      </c>
      <c r="H34" s="46" t="str">
        <f t="shared" si="1"/>
        <v/>
      </c>
      <c r="I34" s="36"/>
      <c r="J34" s="27"/>
      <c r="K34" s="27"/>
      <c r="L34" s="33"/>
    </row>
    <row r="35" spans="1:12" x14ac:dyDescent="0.25">
      <c r="A35" s="25"/>
      <c r="B35" s="42"/>
      <c r="C35" s="68"/>
      <c r="D35" s="42"/>
      <c r="E35" s="42"/>
      <c r="F35" s="68"/>
      <c r="G35" s="45" t="e">
        <f>IF(OR(MID(D35,7,2)="10",MID(D35,7,2)="20",MID(D35,7,2)="68"),SUMIF(COMITENTES!#REF!,D35,COMITENTES!$H:$H),IF(H35="fora",0%,F35/QUÓRUM!$H$4))</f>
        <v>#DIV/0!</v>
      </c>
      <c r="H35" s="46" t="str">
        <f t="shared" si="1"/>
        <v/>
      </c>
      <c r="I35" s="35"/>
      <c r="J35" s="25"/>
      <c r="K35" s="25"/>
      <c r="L35" s="32"/>
    </row>
    <row r="36" spans="1:12" x14ac:dyDescent="0.25">
      <c r="A36" s="27"/>
      <c r="B36" s="44"/>
      <c r="C36" s="67"/>
      <c r="D36" s="44"/>
      <c r="E36" s="44"/>
      <c r="F36" s="67"/>
      <c r="G36" s="45" t="e">
        <f>IF(OR(MID(D36,7,2)="10",MID(D36,7,2)="20",MID(D36,7,2)="68"),SUMIF(COMITENTES!#REF!,D36,COMITENTES!$H:$H),IF(H36="fora",0%,F36/QUÓRUM!$H$4))</f>
        <v>#DIV/0!</v>
      </c>
      <c r="H36" s="46" t="str">
        <f t="shared" si="1"/>
        <v/>
      </c>
      <c r="I36" s="36"/>
      <c r="J36" s="27"/>
      <c r="K36" s="27"/>
      <c r="L36" s="33"/>
    </row>
    <row r="37" spans="1:12" x14ac:dyDescent="0.25">
      <c r="A37" s="25"/>
      <c r="B37" s="42"/>
      <c r="C37" s="70"/>
      <c r="D37" s="42"/>
      <c r="E37" s="42"/>
      <c r="F37" s="68"/>
      <c r="G37" s="45" t="e">
        <f>IF(OR(MID(D37,7,2)="10",MID(D37,7,2)="20",MID(D37,7,2)="68"),SUMIF(COMITENTES!#REF!,D37,COMITENTES!$H:$H),IF(H37="fora",0%,F37/QUÓRUM!$H$4))</f>
        <v>#DIV/0!</v>
      </c>
      <c r="H37" s="46" t="str">
        <f t="shared" si="1"/>
        <v/>
      </c>
      <c r="I37" s="35"/>
      <c r="J37" s="25"/>
      <c r="K37" s="25"/>
      <c r="L37" s="32"/>
    </row>
    <row r="38" spans="1:12" x14ac:dyDescent="0.25">
      <c r="A38" s="27"/>
      <c r="B38" s="44"/>
      <c r="C38" s="69"/>
      <c r="D38" s="44"/>
      <c r="E38" s="44"/>
      <c r="F38" s="67"/>
      <c r="G38" s="45" t="e">
        <f>IF(OR(MID(D38,7,2)="10",MID(D38,7,2)="20",MID(D38,7,2)="68"),SUMIF(COMITENTES!#REF!,D38,COMITENTES!$H:$H),IF(H38="fora",0%,F38/QUÓRUM!$H$4))</f>
        <v>#DIV/0!</v>
      </c>
      <c r="H38" s="46" t="str">
        <f t="shared" si="1"/>
        <v/>
      </c>
      <c r="I38" s="36"/>
      <c r="J38" s="27"/>
      <c r="K38" s="27"/>
      <c r="L38" s="33"/>
    </row>
    <row r="39" spans="1:12" x14ac:dyDescent="0.25">
      <c r="A39" s="25"/>
      <c r="B39" s="42"/>
      <c r="C39" s="70"/>
      <c r="D39" s="42"/>
      <c r="E39" s="42"/>
      <c r="F39" s="68"/>
      <c r="G39" s="45" t="e">
        <f>IF(OR(MID(D39,7,2)="10",MID(D39,7,2)="20",MID(D39,7,2)="68"),SUMIF(COMITENTES!#REF!,D39,COMITENTES!$H:$H),IF(H39="fora",0%,F39/QUÓRUM!$H$4))</f>
        <v>#DIV/0!</v>
      </c>
      <c r="H39" s="46" t="str">
        <f t="shared" si="1"/>
        <v/>
      </c>
      <c r="I39" s="35"/>
      <c r="J39" s="25"/>
      <c r="K39" s="25"/>
      <c r="L39" s="32"/>
    </row>
    <row r="40" spans="1:12" x14ac:dyDescent="0.25">
      <c r="A40" s="27"/>
      <c r="B40" s="44"/>
      <c r="C40" s="69"/>
      <c r="D40" s="44"/>
      <c r="E40" s="44"/>
      <c r="F40" s="67"/>
      <c r="G40" s="45" t="e">
        <f>IF(OR(MID(D40,7,2)="10",MID(D40,7,2)="20",MID(D40,7,2)="68"),SUMIF(COMITENTES!#REF!,D40,COMITENTES!$H:$H),IF(H40="fora",0%,F40/QUÓRUM!$H$4))</f>
        <v>#DIV/0!</v>
      </c>
      <c r="H40" s="46" t="str">
        <f t="shared" si="1"/>
        <v/>
      </c>
      <c r="I40" s="36"/>
      <c r="J40" s="27"/>
      <c r="K40" s="27"/>
      <c r="L40" s="33"/>
    </row>
    <row r="41" spans="1:12" x14ac:dyDescent="0.25">
      <c r="B41" s="47"/>
      <c r="D41" s="47"/>
      <c r="E41" s="47"/>
      <c r="F41" s="68"/>
      <c r="G41" s="45" t="e">
        <f>IF(OR(MID(D41,7,2)="10",MID(D41,7,2)="20",MID(D41,7,2)="68"),SUMIF(COMITENTES!#REF!,D41,COMITENTES!$H:$H),IF(H41="fora",0%,F41/QUÓRUM!$H$4))</f>
        <v>#DIV/0!</v>
      </c>
      <c r="H41" s="46" t="str">
        <f t="shared" si="1"/>
        <v/>
      </c>
      <c r="I41" s="41"/>
      <c r="L41" s="51"/>
    </row>
    <row r="42" spans="1:12" x14ac:dyDescent="0.25">
      <c r="A42" s="27"/>
      <c r="B42" s="48"/>
      <c r="C42" s="59"/>
      <c r="D42" s="48"/>
      <c r="E42" s="48"/>
      <c r="F42" s="67"/>
      <c r="G42" s="45" t="e">
        <f>IF(OR(MID(D42,7,2)="10",MID(D42,7,2)="20",MID(D42,7,2)="68"),SUMIF(COMITENTES!#REF!,D42,COMITENTES!$H:$H),IF(H42="fora",0%,F42/QUÓRUM!$H$4))</f>
        <v>#DIV/0!</v>
      </c>
      <c r="H42" s="46" t="str">
        <f t="shared" si="1"/>
        <v/>
      </c>
      <c r="I42" s="50"/>
      <c r="J42" s="49"/>
      <c r="K42" s="49"/>
      <c r="L42" s="52"/>
    </row>
    <row r="43" spans="1:12" x14ac:dyDescent="0.25">
      <c r="A43" s="25"/>
      <c r="B43" s="47"/>
      <c r="D43" s="47"/>
      <c r="E43" s="47"/>
      <c r="F43" s="68"/>
      <c r="G43" s="45" t="e">
        <f>IF(OR(MID(D43,7,2)="10",MID(D43,7,2)="20",MID(D43,7,2)="68"),SUMIF(COMITENTES!#REF!,D43,COMITENTES!$H:$H),IF(H43="fora",0%,F43/QUÓRUM!$H$4))</f>
        <v>#DIV/0!</v>
      </c>
      <c r="H43" s="46" t="str">
        <f t="shared" si="1"/>
        <v/>
      </c>
      <c r="I43" s="41"/>
      <c r="L43" s="51"/>
    </row>
    <row r="44" spans="1:12" x14ac:dyDescent="0.25">
      <c r="A44" s="27"/>
      <c r="B44" s="48"/>
      <c r="C44" s="59"/>
      <c r="D44" s="48"/>
      <c r="E44" s="48"/>
      <c r="F44" s="67"/>
      <c r="G44" s="45" t="e">
        <f>IF(OR(MID(D44,7,2)="10",MID(D44,7,2)="20",MID(D44,7,2)="68"),SUMIF(COMITENTES!#REF!,D44,COMITENTES!$H:$H),IF(H44="fora",0%,F44/QUÓRUM!$H$4))</f>
        <v>#DIV/0!</v>
      </c>
      <c r="H44" s="46" t="str">
        <f t="shared" si="1"/>
        <v/>
      </c>
      <c r="I44" s="50"/>
      <c r="J44" s="49"/>
      <c r="K44" s="49"/>
      <c r="L44" s="52"/>
    </row>
    <row r="45" spans="1:12" x14ac:dyDescent="0.25">
      <c r="A45" s="25"/>
      <c r="B45" s="47"/>
      <c r="D45" s="47"/>
      <c r="E45" s="47"/>
      <c r="F45" s="68"/>
      <c r="G45" s="45" t="e">
        <f>IF(OR(MID(D45,7,2)="10",MID(D45,7,2)="20",MID(D45,7,2)="68"),SUMIF(COMITENTES!#REF!,D45,COMITENTES!$H:$H),IF(H45="fora",0%,F45/QUÓRUM!$H$4))</f>
        <v>#DIV/0!</v>
      </c>
      <c r="H45" s="46" t="str">
        <f t="shared" si="1"/>
        <v/>
      </c>
      <c r="I45" s="41"/>
      <c r="L45" s="51"/>
    </row>
    <row r="46" spans="1:12" x14ac:dyDescent="0.25">
      <c r="A46" s="27"/>
      <c r="B46" s="48"/>
      <c r="C46" s="59"/>
      <c r="D46" s="48"/>
      <c r="E46" s="48"/>
      <c r="F46" s="67"/>
      <c r="G46" s="45" t="e">
        <f>IF(OR(MID(D46,7,2)="10",MID(D46,7,2)="20",MID(D46,7,2)="68"),SUMIF(COMITENTES!#REF!,D46,COMITENTES!$H:$H),IF(H46="fora",0%,F46/QUÓRUM!$H$4))</f>
        <v>#DIV/0!</v>
      </c>
      <c r="H46" s="46" t="str">
        <f t="shared" si="1"/>
        <v/>
      </c>
      <c r="I46" s="50"/>
      <c r="J46" s="49"/>
      <c r="K46" s="49"/>
      <c r="L46" s="52"/>
    </row>
    <row r="47" spans="1:12" x14ac:dyDescent="0.25">
      <c r="A47" s="25"/>
      <c r="B47" s="47"/>
      <c r="D47" s="47"/>
      <c r="E47" s="47"/>
      <c r="F47" s="128"/>
      <c r="G47" s="45" t="e">
        <f>IF(OR(MID(D47,7,2)="10",MID(D47,7,2)="20",MID(D47,7,2)="68"),SUMIF(COMITENTES!#REF!,D47,COMITENTES!$H:$H),IF(H47="fora",0%,F47/QUÓRUM!$H$4))</f>
        <v>#DIV/0!</v>
      </c>
      <c r="H47" s="46" t="str">
        <f t="shared" si="1"/>
        <v/>
      </c>
      <c r="I47" s="41"/>
      <c r="L47" s="51"/>
    </row>
    <row r="48" spans="1:12" x14ac:dyDescent="0.25">
      <c r="A48" s="27"/>
      <c r="B48" s="48"/>
      <c r="C48" s="59"/>
      <c r="D48" s="48"/>
      <c r="E48" s="48"/>
      <c r="F48" s="129"/>
      <c r="G48" s="45" t="e">
        <f>IF(OR(MID(D48,7,2)="10",MID(D48,7,2)="20",MID(D48,7,2)="68"),SUMIF(COMITENTES!#REF!,D48,COMITENTES!$H:$H),IF(H48="fora",0%,F48/QUÓRUM!$H$4))</f>
        <v>#DIV/0!</v>
      </c>
      <c r="H48" s="46" t="str">
        <f t="shared" si="1"/>
        <v/>
      </c>
      <c r="I48" s="50"/>
      <c r="J48" s="49"/>
      <c r="K48" s="49"/>
      <c r="L48" s="52"/>
    </row>
    <row r="49" spans="1:12" x14ac:dyDescent="0.25">
      <c r="A49" s="25"/>
      <c r="B49" s="47"/>
      <c r="D49" s="47"/>
      <c r="E49" s="47"/>
      <c r="F49" s="128"/>
      <c r="G49" s="45" t="e">
        <f>IF(OR(MID(D49,7,2)="10",MID(D49,7,2)="20",MID(D49,7,2)="68"),SUMIF(COMITENTES!#REF!,D49,COMITENTES!$H:$H),IF(H49="fora",0%,F49/QUÓRUM!$H$4))</f>
        <v>#DIV/0!</v>
      </c>
      <c r="H49" s="46" t="str">
        <f t="shared" si="1"/>
        <v/>
      </c>
      <c r="I49" s="41"/>
      <c r="L49" s="51"/>
    </row>
    <row r="50" spans="1:12" x14ac:dyDescent="0.25">
      <c r="A50" s="27"/>
      <c r="B50" s="48"/>
      <c r="C50" s="59"/>
      <c r="D50" s="48"/>
      <c r="E50" s="48"/>
      <c r="F50" s="129"/>
      <c r="G50" s="45" t="e">
        <f>IF(OR(MID(D50,7,2)="10",MID(D50,7,2)="20",MID(D50,7,2)="68"),SUMIF(COMITENTES!#REF!,D50,COMITENTES!$H:$H),IF(H50="fora",0%,F50/QUÓRUM!$H$4))</f>
        <v>#DIV/0!</v>
      </c>
      <c r="H50" s="46" t="str">
        <f t="shared" si="1"/>
        <v/>
      </c>
      <c r="I50" s="50"/>
      <c r="J50" s="49"/>
      <c r="K50" s="49"/>
      <c r="L50" s="52"/>
    </row>
    <row r="51" spans="1:12" x14ac:dyDescent="0.25">
      <c r="A51" s="25"/>
      <c r="B51" s="47"/>
      <c r="D51" s="47"/>
      <c r="E51" s="47"/>
      <c r="F51" s="56"/>
      <c r="G51" s="45" t="e">
        <f>IF(OR(MID(D51,7,2)="10",MID(D51,7,2)="20",MID(D51,7,2)="68"),SUMIF(COMITENTES!#REF!,D51,COMITENTES!$H:$H),IF(H51="fora",0%,F51/QUÓRUM!$H$4))</f>
        <v>#DIV/0!</v>
      </c>
      <c r="H51" s="46" t="str">
        <f t="shared" si="1"/>
        <v/>
      </c>
      <c r="I51" s="41"/>
      <c r="L51" s="51"/>
    </row>
    <row r="52" spans="1:12" x14ac:dyDescent="0.25">
      <c r="A52" s="27"/>
      <c r="B52" s="48"/>
      <c r="C52" s="59"/>
      <c r="D52" s="48"/>
      <c r="E52" s="48"/>
      <c r="F52" s="57"/>
      <c r="G52" s="45" t="e">
        <f>IF(OR(MID(D52,7,2)="10",MID(D52,7,2)="20",MID(D52,7,2)="68"),SUMIF(COMITENTES!#REF!,D52,COMITENTES!$H:$H),IF(H52="fora",0%,F52/QUÓRUM!$H$4))</f>
        <v>#DIV/0!</v>
      </c>
      <c r="H52" s="46" t="str">
        <f t="shared" si="1"/>
        <v/>
      </c>
      <c r="I52" s="50"/>
      <c r="J52" s="49"/>
      <c r="K52" s="49"/>
      <c r="L52" s="52"/>
    </row>
    <row r="53" spans="1:12" x14ac:dyDescent="0.25">
      <c r="B53" s="47"/>
      <c r="D53" s="47"/>
      <c r="E53" s="47"/>
      <c r="F53" s="56"/>
      <c r="G53" s="45" t="e">
        <f>IF(OR(MID(D53,7,2)="10",MID(D53,7,2)="20",MID(D53,7,2)="68"),SUMIF(COMITENTES!#REF!,D53,COMITENTES!$H:$H),IF(H53="fora",0%,F53/QUÓRUM!$H$4))</f>
        <v>#DIV/0!</v>
      </c>
      <c r="H53" s="46" t="str">
        <f t="shared" si="1"/>
        <v/>
      </c>
      <c r="I53" s="41"/>
      <c r="L53" s="51"/>
    </row>
    <row r="54" spans="1:12" x14ac:dyDescent="0.25">
      <c r="A54" s="27"/>
      <c r="B54" s="48"/>
      <c r="C54" s="59"/>
      <c r="D54" s="48"/>
      <c r="E54" s="48"/>
      <c r="F54" s="57"/>
      <c r="G54" s="45" t="e">
        <f>IF(OR(MID(D54,7,2)="10",MID(D54,7,2)="20",MID(D54,7,2)="68"),SUMIF(COMITENTES!#REF!,D54,COMITENTES!$H:$H),IF(H54="fora",0%,F54/QUÓRUM!$H$4))</f>
        <v>#DIV/0!</v>
      </c>
      <c r="H54" s="46" t="str">
        <f t="shared" si="1"/>
        <v/>
      </c>
      <c r="I54" s="50"/>
      <c r="J54" s="49"/>
      <c r="K54" s="49"/>
      <c r="L54" s="52"/>
    </row>
    <row r="55" spans="1:12" x14ac:dyDescent="0.25">
      <c r="A55" s="25"/>
      <c r="B55" s="47"/>
      <c r="D55" s="47"/>
      <c r="E55" s="47"/>
      <c r="F55" s="56"/>
      <c r="G55" s="45" t="e">
        <f>IF(OR(MID(D55,7,2)="10",MID(D55,7,2)="20",MID(D55,7,2)="68"),SUMIF(COMITENTES!#REF!,D55,COMITENTES!$H:$H),IF(H55="fora",0%,F55/QUÓRUM!$H$4))</f>
        <v>#DIV/0!</v>
      </c>
      <c r="H55" s="46" t="str">
        <f t="shared" si="1"/>
        <v/>
      </c>
      <c r="I55" s="41"/>
      <c r="L55" s="51"/>
    </row>
    <row r="56" spans="1:12" x14ac:dyDescent="0.25">
      <c r="A56" s="27"/>
      <c r="B56" s="48"/>
      <c r="C56" s="59"/>
      <c r="D56" s="48"/>
      <c r="E56" s="48"/>
      <c r="F56" s="57"/>
      <c r="G56" s="45" t="e">
        <f>IF(OR(MID(D56,7,2)="10",MID(D56,7,2)="20",MID(D56,7,2)="68"),SUMIF(COMITENTES!#REF!,D56,COMITENTES!$H:$H),IF(H56="fora",0%,F56/QUÓRUM!$H$4))</f>
        <v>#DIV/0!</v>
      </c>
      <c r="H56" s="46" t="str">
        <f t="shared" si="1"/>
        <v/>
      </c>
      <c r="I56" s="50"/>
      <c r="J56" s="49"/>
      <c r="K56" s="49"/>
      <c r="L56" s="52"/>
    </row>
    <row r="57" spans="1:12" x14ac:dyDescent="0.25">
      <c r="A57" s="25"/>
      <c r="B57" s="47"/>
      <c r="D57" s="47"/>
      <c r="E57" s="47"/>
      <c r="F57" s="56"/>
      <c r="G57" s="45" t="e">
        <f>IF(OR(MID(D57,7,2)="10",MID(D57,7,2)="20",MID(D57,7,2)="68"),SUMIF(COMITENTES!#REF!,D57,COMITENTES!$H:$H),IF(H57="fora",0%,F57/QUÓRUM!$H$4))</f>
        <v>#DIV/0!</v>
      </c>
      <c r="H57" s="46" t="str">
        <f t="shared" si="1"/>
        <v/>
      </c>
      <c r="I57" s="41"/>
      <c r="L57" s="51"/>
    </row>
    <row r="58" spans="1:12" x14ac:dyDescent="0.25">
      <c r="A58" s="27"/>
      <c r="B58" s="48"/>
      <c r="C58" s="59"/>
      <c r="D58" s="48"/>
      <c r="E58" s="48"/>
      <c r="F58" s="57"/>
      <c r="G58" s="45" t="e">
        <f>IF(OR(MID(D58,7,2)="10",MID(D58,7,2)="20",MID(D58,7,2)="68"),SUMIF(COMITENTES!#REF!,D58,COMITENTES!$H:$H),IF(H58="fora",0%,F58/QUÓRUM!$H$4))</f>
        <v>#DIV/0!</v>
      </c>
      <c r="H58" s="46" t="str">
        <f t="shared" si="1"/>
        <v/>
      </c>
      <c r="I58" s="50"/>
      <c r="J58" s="49"/>
      <c r="K58" s="49"/>
      <c r="L58" s="52"/>
    </row>
    <row r="59" spans="1:12" x14ac:dyDescent="0.25">
      <c r="A59" s="25"/>
      <c r="B59" s="47"/>
      <c r="D59" s="47"/>
      <c r="E59" s="47"/>
      <c r="F59" s="56"/>
      <c r="G59" s="45" t="e">
        <f>IF(OR(MID(D59,7,2)="10",MID(D59,7,2)="20",MID(D59,7,2)="68"),SUMIF(COMITENTES!#REF!,D59,COMITENTES!$H:$H),IF(H59="fora",0%,F59/QUÓRUM!$H$4))</f>
        <v>#DIV/0!</v>
      </c>
      <c r="H59" s="46" t="str">
        <f t="shared" si="1"/>
        <v/>
      </c>
      <c r="I59" s="41"/>
      <c r="L59" s="51"/>
    </row>
    <row r="60" spans="1:12" x14ac:dyDescent="0.25">
      <c r="A60" s="27"/>
      <c r="B60" s="48"/>
      <c r="C60" s="59"/>
      <c r="D60" s="48"/>
      <c r="E60" s="48"/>
      <c r="F60" s="57"/>
      <c r="G60" s="45" t="e">
        <f>IF(OR(MID(D60,7,2)="10",MID(D60,7,2)="20",MID(D60,7,2)="68"),SUMIF(COMITENTES!#REF!,D60,COMITENTES!$H:$H),IF(H60="fora",0%,F60/QUÓRUM!$H$4))</f>
        <v>#DIV/0!</v>
      </c>
      <c r="H60" s="46" t="str">
        <f t="shared" si="1"/>
        <v/>
      </c>
      <c r="I60" s="50"/>
      <c r="J60" s="49"/>
      <c r="K60" s="49"/>
      <c r="L60" s="52"/>
    </row>
    <row r="61" spans="1:12" x14ac:dyDescent="0.25">
      <c r="A61" s="25"/>
      <c r="B61" s="47"/>
      <c r="D61" s="47"/>
      <c r="E61" s="47"/>
      <c r="F61" s="56"/>
      <c r="G61" s="45" t="e">
        <f>IF(OR(MID(D61,7,2)="10",MID(D61,7,2)="20",MID(D61,7,2)="68"),SUMIF(COMITENTES!#REF!,D61,COMITENTES!$H:$H),IF(H61="fora",0%,F61/QUÓRUM!$H$4))</f>
        <v>#DIV/0!</v>
      </c>
      <c r="H61" s="46" t="str">
        <f t="shared" si="1"/>
        <v/>
      </c>
      <c r="I61" s="41"/>
      <c r="L61" s="51"/>
    </row>
    <row r="62" spans="1:12" x14ac:dyDescent="0.25">
      <c r="A62" s="27"/>
      <c r="B62" s="48"/>
      <c r="C62" s="59"/>
      <c r="D62" s="48"/>
      <c r="E62" s="48"/>
      <c r="F62" s="57"/>
      <c r="G62" s="45" t="e">
        <f>IF(OR(MID(D62,7,2)="10",MID(D62,7,2)="20",MID(D62,7,2)="68"),SUMIF(COMITENTES!#REF!,D62,COMITENTES!$H:$H),IF(H62="fora",0%,F62/QUÓRUM!$H$4))</f>
        <v>#DIV/0!</v>
      </c>
      <c r="H62" s="46" t="str">
        <f t="shared" si="1"/>
        <v/>
      </c>
      <c r="I62" s="50"/>
      <c r="J62" s="49"/>
      <c r="K62" s="49"/>
      <c r="L62" s="52"/>
    </row>
    <row r="63" spans="1:12" x14ac:dyDescent="0.25">
      <c r="A63" s="25"/>
      <c r="B63" s="47"/>
      <c r="D63" s="47"/>
      <c r="E63" s="47"/>
      <c r="F63" s="56"/>
      <c r="G63" s="45" t="e">
        <f>IF(OR(MID(D63,7,2)="10",MID(D63,7,2)="20",MID(D63,7,2)="68"),SUMIF(COMITENTES!#REF!,D63,COMITENTES!$H:$H),IF(H63="fora",0%,F63/QUÓRUM!$H$4))</f>
        <v>#DIV/0!</v>
      </c>
      <c r="H63" s="46" t="str">
        <f t="shared" si="1"/>
        <v/>
      </c>
      <c r="I63" s="41"/>
      <c r="L63" s="51"/>
    </row>
    <row r="64" spans="1:12" x14ac:dyDescent="0.25">
      <c r="A64" s="27"/>
      <c r="B64" s="48"/>
      <c r="C64" s="59"/>
      <c r="D64" s="48"/>
      <c r="E64" s="48"/>
      <c r="F64" s="57"/>
      <c r="G64" s="45" t="e">
        <f>IF(OR(MID(D64,7,2)="10",MID(D64,7,2)="20",MID(D64,7,2)="68"),SUMIF(COMITENTES!#REF!,D64,COMITENTES!$H:$H),IF(H64="fora",0%,F64/QUÓRUM!$H$4))</f>
        <v>#DIV/0!</v>
      </c>
      <c r="H64" s="46" t="str">
        <f t="shared" si="1"/>
        <v/>
      </c>
      <c r="I64" s="50"/>
      <c r="J64" s="49"/>
      <c r="K64" s="49"/>
      <c r="L64" s="52"/>
    </row>
    <row r="65" spans="1:12" x14ac:dyDescent="0.25">
      <c r="B65" s="47"/>
      <c r="D65" s="47"/>
      <c r="E65" s="47"/>
      <c r="F65" s="56"/>
      <c r="G65" s="45" t="e">
        <f>IF(OR(MID(D65,7,2)="10",MID(D65,7,2)="20",MID(D65,7,2)="68"),SUMIF(COMITENTES!#REF!,D65,COMITENTES!$H:$H),IF(H65="fora",0%,F65/QUÓRUM!$H$4))</f>
        <v>#DIV/0!</v>
      </c>
      <c r="H65" s="46" t="str">
        <f t="shared" si="1"/>
        <v/>
      </c>
    </row>
    <row r="66" spans="1:12" x14ac:dyDescent="0.25">
      <c r="A66" s="27"/>
      <c r="B66" s="48"/>
      <c r="C66" s="59"/>
      <c r="D66" s="48"/>
      <c r="E66" s="48"/>
      <c r="F66" s="57"/>
      <c r="G66" s="45" t="e">
        <f>IF(OR(MID(D66,7,2)="10",MID(D66,7,2)="20",MID(D66,7,2)="68"),SUMIF(COMITENTES!#REF!,D66,COMITENTES!$H:$H),IF(H66="fora",0%,F66/QUÓRUM!$H$4))</f>
        <v>#DIV/0!</v>
      </c>
      <c r="H66" s="46" t="str">
        <f t="shared" ref="H66:H129" si="2">IF(OR(MID(D66,7,2)="10",MID(D66,7,2)="20",MID(D66,7,2)="68"),"PREENCHER NA PRÓXIMA ABA","")</f>
        <v/>
      </c>
      <c r="I66" s="50"/>
      <c r="J66" s="49"/>
      <c r="K66" s="49"/>
      <c r="L66" s="52"/>
    </row>
    <row r="67" spans="1:12" x14ac:dyDescent="0.25">
      <c r="B67" s="47"/>
      <c r="D67" s="47"/>
      <c r="E67" s="47"/>
      <c r="F67" s="56"/>
      <c r="G67" s="45" t="e">
        <f>IF(OR(MID(D67,7,2)="10",MID(D67,7,2)="20",MID(D67,7,2)="68"),SUMIF(COMITENTES!#REF!,D67,COMITENTES!$H:$H),IF(H67="fora",0%,F67/QUÓRUM!$H$4))</f>
        <v>#DIV/0!</v>
      </c>
      <c r="H67" s="46" t="str">
        <f t="shared" si="2"/>
        <v/>
      </c>
    </row>
    <row r="68" spans="1:12" x14ac:dyDescent="0.25">
      <c r="A68" s="27"/>
      <c r="B68" s="48"/>
      <c r="C68" s="59"/>
      <c r="D68" s="48"/>
      <c r="E68" s="48"/>
      <c r="F68" s="57"/>
      <c r="G68" s="45" t="e">
        <f>IF(OR(MID(D68,7,2)="10",MID(D68,7,2)="20",MID(D68,7,2)="68"),SUMIF(COMITENTES!#REF!,D68,COMITENTES!$H:$H),IF(H68="fora",0%,F68/QUÓRUM!$H$4))</f>
        <v>#DIV/0!</v>
      </c>
      <c r="H68" s="46" t="str">
        <f t="shared" si="2"/>
        <v/>
      </c>
      <c r="I68" s="50"/>
      <c r="J68" s="49"/>
      <c r="K68" s="49"/>
      <c r="L68" s="52"/>
    </row>
    <row r="69" spans="1:12" x14ac:dyDescent="0.25">
      <c r="F69" s="56"/>
      <c r="G69" s="45" t="e">
        <f>IF(OR(MID(D69,7,2)="10",MID(D69,7,2)="20",MID(D69,7,2)="68"),SUMIF(COMITENTES!#REF!,D69,COMITENTES!$H:$H),IF(H69="fora",0%,F69/QUÓRUM!$H$4))</f>
        <v>#DIV/0!</v>
      </c>
      <c r="H69" s="46" t="str">
        <f t="shared" si="2"/>
        <v/>
      </c>
    </row>
    <row r="70" spans="1:12" x14ac:dyDescent="0.25">
      <c r="A70" s="27"/>
      <c r="B70" s="48"/>
      <c r="C70" s="59"/>
      <c r="D70" s="48"/>
      <c r="E70" s="48"/>
      <c r="F70" s="57"/>
      <c r="G70" s="45" t="e">
        <f>IF(OR(MID(D70,7,2)="10",MID(D70,7,2)="20",MID(D70,7,2)="68"),SUMIF(COMITENTES!#REF!,D70,COMITENTES!$H:$H),IF(H70="fora",0%,F70/QUÓRUM!$H$4))</f>
        <v>#DIV/0!</v>
      </c>
      <c r="H70" s="46" t="str">
        <f t="shared" si="2"/>
        <v/>
      </c>
      <c r="I70" s="50"/>
      <c r="J70" s="49"/>
      <c r="K70" s="49"/>
      <c r="L70" s="52"/>
    </row>
    <row r="71" spans="1:12" x14ac:dyDescent="0.25">
      <c r="F71" s="56"/>
      <c r="G71" s="45" t="e">
        <f>IF(OR(MID(D71,7,2)="10",MID(D71,7,2)="20",MID(D71,7,2)="68"),SUMIF(COMITENTES!#REF!,D71,COMITENTES!$H:$H),IF(H71="fora",0%,F71/QUÓRUM!$H$4))</f>
        <v>#DIV/0!</v>
      </c>
      <c r="H71" s="46" t="str">
        <f t="shared" si="2"/>
        <v/>
      </c>
    </row>
    <row r="72" spans="1:12" x14ac:dyDescent="0.25">
      <c r="A72" s="27"/>
      <c r="B72" s="48"/>
      <c r="C72" s="59"/>
      <c r="D72" s="48"/>
      <c r="E72" s="48"/>
      <c r="F72" s="57"/>
      <c r="G72" s="45" t="e">
        <f>IF(OR(MID(D72,7,2)="10",MID(D72,7,2)="20",MID(D72,7,2)="68"),SUMIF(COMITENTES!#REF!,D72,COMITENTES!$H:$H),IF(H72="fora",0%,F72/QUÓRUM!$H$4))</f>
        <v>#DIV/0!</v>
      </c>
      <c r="H72" s="46" t="str">
        <f t="shared" si="2"/>
        <v/>
      </c>
      <c r="I72" s="50"/>
      <c r="J72" s="49"/>
      <c r="K72" s="49"/>
      <c r="L72" s="52"/>
    </row>
    <row r="73" spans="1:12" x14ac:dyDescent="0.25">
      <c r="F73" s="56"/>
      <c r="G73" s="45" t="e">
        <f>IF(OR(MID(D73,7,2)="10",MID(D73,7,2)="20",MID(D73,7,2)="68"),SUMIF(COMITENTES!#REF!,D73,COMITENTES!$H:$H),IF(H73="fora",0%,F73/QUÓRUM!$H$4))</f>
        <v>#DIV/0!</v>
      </c>
      <c r="H73" s="46" t="str">
        <f t="shared" si="2"/>
        <v/>
      </c>
    </row>
    <row r="74" spans="1:12" x14ac:dyDescent="0.25">
      <c r="A74" s="27"/>
      <c r="B74" s="48"/>
      <c r="C74" s="59"/>
      <c r="D74" s="48"/>
      <c r="E74" s="48"/>
      <c r="F74" s="57"/>
      <c r="G74" s="45" t="e">
        <f>IF(OR(MID(D74,7,2)="10",MID(D74,7,2)="20",MID(D74,7,2)="68"),SUMIF(COMITENTES!#REF!,D74,COMITENTES!$H:$H),IF(H74="fora",0%,F74/QUÓRUM!$H$4))</f>
        <v>#DIV/0!</v>
      </c>
      <c r="H74" s="46" t="str">
        <f t="shared" si="2"/>
        <v/>
      </c>
      <c r="I74" s="50"/>
      <c r="J74" s="49"/>
      <c r="K74" s="49"/>
      <c r="L74" s="52"/>
    </row>
    <row r="75" spans="1:12" x14ac:dyDescent="0.25">
      <c r="F75" s="56"/>
      <c r="G75" s="45" t="e">
        <f>IF(OR(MID(D75,7,2)="10",MID(D75,7,2)="20",MID(D75,7,2)="68"),SUMIF(COMITENTES!#REF!,D75,COMITENTES!$H:$H),IF(H75="fora",0%,F75/QUÓRUM!$H$4))</f>
        <v>#DIV/0!</v>
      </c>
      <c r="H75" s="46" t="str">
        <f t="shared" si="2"/>
        <v/>
      </c>
    </row>
    <row r="76" spans="1:12" x14ac:dyDescent="0.25">
      <c r="A76" s="27"/>
      <c r="B76" s="48"/>
      <c r="C76" s="59"/>
      <c r="D76" s="48"/>
      <c r="E76" s="48"/>
      <c r="F76" s="57"/>
      <c r="G76" s="45" t="e">
        <f>IF(OR(MID(D76,7,2)="10",MID(D76,7,2)="20",MID(D76,7,2)="68"),SUMIF(COMITENTES!#REF!,D76,COMITENTES!$H:$H),IF(H76="fora",0%,F76/QUÓRUM!$H$4))</f>
        <v>#DIV/0!</v>
      </c>
      <c r="H76" s="46" t="str">
        <f t="shared" si="2"/>
        <v/>
      </c>
      <c r="I76" s="50"/>
      <c r="J76" s="49"/>
      <c r="K76" s="49"/>
      <c r="L76" s="52"/>
    </row>
    <row r="77" spans="1:12" x14ac:dyDescent="0.25">
      <c r="F77" s="56"/>
      <c r="G77" s="45" t="e">
        <f>IF(OR(MID(D77,7,2)="10",MID(D77,7,2)="20",MID(D77,7,2)="68"),SUMIF(COMITENTES!#REF!,D77,COMITENTES!$H:$H),IF(H77="fora",0%,F77/QUÓRUM!$H$4))</f>
        <v>#DIV/0!</v>
      </c>
      <c r="H77" s="46" t="str">
        <f t="shared" si="2"/>
        <v/>
      </c>
    </row>
    <row r="78" spans="1:12" x14ac:dyDescent="0.25">
      <c r="A78" s="27"/>
      <c r="B78" s="48"/>
      <c r="C78" s="59"/>
      <c r="D78" s="48"/>
      <c r="E78" s="48"/>
      <c r="F78" s="57"/>
      <c r="G78" s="45" t="e">
        <f>IF(OR(MID(D78,7,2)="10",MID(D78,7,2)="20",MID(D78,7,2)="68"),SUMIF(COMITENTES!#REF!,D78,COMITENTES!$H:$H),IF(H78="fora",0%,F78/QUÓRUM!$H$4))</f>
        <v>#DIV/0!</v>
      </c>
      <c r="H78" s="46" t="str">
        <f t="shared" si="2"/>
        <v/>
      </c>
      <c r="I78" s="50"/>
      <c r="J78" s="49"/>
      <c r="K78" s="49"/>
      <c r="L78" s="52"/>
    </row>
    <row r="79" spans="1:12" x14ac:dyDescent="0.25">
      <c r="F79" s="56"/>
      <c r="G79" s="45" t="e">
        <f>IF(OR(MID(D79,7,2)="10",MID(D79,7,2)="20",MID(D79,7,2)="68"),SUMIF(COMITENTES!#REF!,D79,COMITENTES!$H:$H),IF(H79="fora",0%,F79/QUÓRUM!$H$4))</f>
        <v>#DIV/0!</v>
      </c>
      <c r="H79" s="46" t="str">
        <f t="shared" si="2"/>
        <v/>
      </c>
    </row>
    <row r="80" spans="1:12" x14ac:dyDescent="0.25">
      <c r="A80" s="27"/>
      <c r="B80" s="48"/>
      <c r="C80" s="59"/>
      <c r="D80" s="48"/>
      <c r="E80" s="48"/>
      <c r="F80" s="57"/>
      <c r="G80" s="45" t="e">
        <f>IF(OR(MID(D80,7,2)="10",MID(D80,7,2)="20",MID(D80,7,2)="68"),SUMIF(COMITENTES!#REF!,D80,COMITENTES!$H:$H),IF(H80="fora",0%,F80/QUÓRUM!$H$4))</f>
        <v>#DIV/0!</v>
      </c>
      <c r="H80" s="46" t="str">
        <f t="shared" si="2"/>
        <v/>
      </c>
      <c r="I80" s="50"/>
      <c r="J80" s="49"/>
      <c r="K80" s="49"/>
      <c r="L80" s="52"/>
    </row>
    <row r="81" spans="1:12" x14ac:dyDescent="0.25">
      <c r="F81" s="56"/>
      <c r="G81" s="45" t="e">
        <f>IF(OR(MID(D81,7,2)="10",MID(D81,7,2)="20",MID(D81,7,2)="68"),SUMIF(COMITENTES!#REF!,D81,COMITENTES!$H:$H),IF(H81="fora",0%,F81/QUÓRUM!$H$4))</f>
        <v>#DIV/0!</v>
      </c>
      <c r="H81" s="46" t="str">
        <f t="shared" si="2"/>
        <v/>
      </c>
    </row>
    <row r="82" spans="1:12" x14ac:dyDescent="0.25">
      <c r="A82" s="27"/>
      <c r="B82" s="48"/>
      <c r="C82" s="59"/>
      <c r="D82" s="48"/>
      <c r="E82" s="48"/>
      <c r="F82" s="57"/>
      <c r="G82" s="45" t="e">
        <f>IF(OR(MID(D82,7,2)="10",MID(D82,7,2)="20",MID(D82,7,2)="68"),SUMIF(COMITENTES!#REF!,D82,COMITENTES!$H:$H),IF(H82="fora",0%,F82/QUÓRUM!$H$4))</f>
        <v>#DIV/0!</v>
      </c>
      <c r="H82" s="46" t="str">
        <f t="shared" si="2"/>
        <v/>
      </c>
      <c r="I82" s="50"/>
      <c r="J82" s="49"/>
      <c r="K82" s="49"/>
      <c r="L82" s="52"/>
    </row>
    <row r="83" spans="1:12" x14ac:dyDescent="0.25">
      <c r="F83" s="56"/>
      <c r="G83" s="45" t="e">
        <f>IF(OR(MID(D83,7,2)="10",MID(D83,7,2)="20",MID(D83,7,2)="68"),SUMIF(COMITENTES!#REF!,D83,COMITENTES!$H:$H),IF(H83="fora",0%,F83/QUÓRUM!$H$4))</f>
        <v>#DIV/0!</v>
      </c>
      <c r="H83" s="46" t="str">
        <f t="shared" si="2"/>
        <v/>
      </c>
    </row>
    <row r="84" spans="1:12" x14ac:dyDescent="0.25">
      <c r="A84" s="27"/>
      <c r="B84" s="48"/>
      <c r="C84" s="59"/>
      <c r="D84" s="48"/>
      <c r="E84" s="48"/>
      <c r="F84" s="57"/>
      <c r="G84" s="45" t="e">
        <f>IF(OR(MID(D84,7,2)="10",MID(D84,7,2)="20",MID(D84,7,2)="68"),SUMIF(COMITENTES!#REF!,D84,COMITENTES!$H:$H),IF(H84="fora",0%,F84/QUÓRUM!$H$4))</f>
        <v>#DIV/0!</v>
      </c>
      <c r="H84" s="46" t="str">
        <f t="shared" si="2"/>
        <v/>
      </c>
      <c r="I84" s="50"/>
      <c r="J84" s="49"/>
      <c r="K84" s="49"/>
      <c r="L84" s="52"/>
    </row>
    <row r="85" spans="1:12" x14ac:dyDescent="0.25">
      <c r="F85" s="56"/>
      <c r="G85" s="45" t="e">
        <f>IF(OR(MID(D85,7,2)="10",MID(D85,7,2)="20",MID(D85,7,2)="68"),SUMIF(COMITENTES!#REF!,D85,COMITENTES!$H:$H),IF(H85="fora",0%,F85/QUÓRUM!$H$4))</f>
        <v>#DIV/0!</v>
      </c>
      <c r="H85" s="46" t="str">
        <f t="shared" si="2"/>
        <v/>
      </c>
    </row>
    <row r="86" spans="1:12" x14ac:dyDescent="0.25">
      <c r="A86" s="27"/>
      <c r="B86" s="48"/>
      <c r="C86" s="59"/>
      <c r="D86" s="48"/>
      <c r="E86" s="48"/>
      <c r="F86" s="57"/>
      <c r="G86" s="45" t="e">
        <f>IF(OR(MID(D86,7,2)="10",MID(D86,7,2)="20",MID(D86,7,2)="68"),SUMIF(COMITENTES!#REF!,D86,COMITENTES!$H:$H),IF(H86="fora",0%,F86/QUÓRUM!$H$4))</f>
        <v>#DIV/0!</v>
      </c>
      <c r="H86" s="46" t="str">
        <f t="shared" si="2"/>
        <v/>
      </c>
      <c r="I86" s="50"/>
      <c r="J86" s="49"/>
      <c r="K86" s="49"/>
      <c r="L86" s="52"/>
    </row>
    <row r="87" spans="1:12" x14ac:dyDescent="0.25">
      <c r="F87" s="56"/>
      <c r="G87" s="45" t="e">
        <f>IF(OR(MID(D87,7,2)="10",MID(D87,7,2)="20",MID(D87,7,2)="68"),SUMIF(COMITENTES!#REF!,D87,COMITENTES!$H:$H),IF(H87="fora",0%,F87/QUÓRUM!$H$4))</f>
        <v>#DIV/0!</v>
      </c>
      <c r="H87" s="46" t="str">
        <f t="shared" si="2"/>
        <v/>
      </c>
    </row>
    <row r="88" spans="1:12" x14ac:dyDescent="0.25">
      <c r="A88" s="27"/>
      <c r="B88" s="48"/>
      <c r="C88" s="59"/>
      <c r="D88" s="48"/>
      <c r="E88" s="48"/>
      <c r="F88" s="57"/>
      <c r="G88" s="45" t="e">
        <f>IF(OR(MID(D88,7,2)="10",MID(D88,7,2)="20",MID(D88,7,2)="68"),SUMIF(COMITENTES!#REF!,D88,COMITENTES!$H:$H),IF(H88="fora",0%,F88/QUÓRUM!$H$4))</f>
        <v>#DIV/0!</v>
      </c>
      <c r="H88" s="46" t="str">
        <f t="shared" si="2"/>
        <v/>
      </c>
      <c r="I88" s="50"/>
      <c r="J88" s="49"/>
      <c r="K88" s="49"/>
      <c r="L88" s="52"/>
    </row>
    <row r="89" spans="1:12" x14ac:dyDescent="0.25">
      <c r="F89" s="56"/>
      <c r="G89" s="45" t="e">
        <f>IF(OR(MID(D89,7,2)="10",MID(D89,7,2)="20",MID(D89,7,2)="68"),SUMIF(COMITENTES!#REF!,D89,COMITENTES!$H:$H),IF(H89="fora",0%,F89/QUÓRUM!$H$4))</f>
        <v>#DIV/0!</v>
      </c>
      <c r="H89" s="46" t="str">
        <f t="shared" si="2"/>
        <v/>
      </c>
    </row>
    <row r="90" spans="1:12" x14ac:dyDescent="0.25">
      <c r="A90" s="27"/>
      <c r="B90" s="48"/>
      <c r="C90" s="59"/>
      <c r="D90" s="48"/>
      <c r="E90" s="48"/>
      <c r="F90" s="57"/>
      <c r="G90" s="45" t="e">
        <f>IF(OR(MID(D90,7,2)="10",MID(D90,7,2)="20",MID(D90,7,2)="68"),SUMIF(COMITENTES!#REF!,D90,COMITENTES!$H:$H),IF(H90="fora",0%,F90/QUÓRUM!$H$4))</f>
        <v>#DIV/0!</v>
      </c>
      <c r="H90" s="46" t="str">
        <f t="shared" si="2"/>
        <v/>
      </c>
      <c r="I90" s="50"/>
      <c r="J90" s="49"/>
      <c r="K90" s="49"/>
      <c r="L90" s="52"/>
    </row>
    <row r="91" spans="1:12" x14ac:dyDescent="0.25">
      <c r="F91" s="56"/>
      <c r="G91" s="45" t="e">
        <f>IF(OR(MID(D91,7,2)="10",MID(D91,7,2)="20",MID(D91,7,2)="68"),SUMIF(COMITENTES!#REF!,D91,COMITENTES!$H:$H),IF(H91="fora",0%,F91/QUÓRUM!$H$4))</f>
        <v>#DIV/0!</v>
      </c>
      <c r="H91" s="46" t="str">
        <f t="shared" si="2"/>
        <v/>
      </c>
    </row>
    <row r="92" spans="1:12" x14ac:dyDescent="0.25">
      <c r="A92" s="27"/>
      <c r="B92" s="48"/>
      <c r="C92" s="59"/>
      <c r="D92" s="48"/>
      <c r="E92" s="48"/>
      <c r="F92" s="57"/>
      <c r="G92" s="45" t="e">
        <f>IF(OR(MID(D92,7,2)="10",MID(D92,7,2)="20",MID(D92,7,2)="68"),SUMIF(COMITENTES!#REF!,D92,COMITENTES!$H:$H),IF(H92="fora",0%,F92/QUÓRUM!$H$4))</f>
        <v>#DIV/0!</v>
      </c>
      <c r="H92" s="46" t="str">
        <f t="shared" si="2"/>
        <v/>
      </c>
      <c r="I92" s="50"/>
      <c r="J92" s="49"/>
      <c r="K92" s="49"/>
      <c r="L92" s="52"/>
    </row>
    <row r="93" spans="1:12" x14ac:dyDescent="0.25">
      <c r="F93" s="56"/>
      <c r="G93" s="45" t="e">
        <f>IF(OR(MID(D93,7,2)="10",MID(D93,7,2)="20",MID(D93,7,2)="68"),SUMIF(COMITENTES!#REF!,D93,COMITENTES!$H:$H),IF(H93="fora",0%,F93/QUÓRUM!$H$4))</f>
        <v>#DIV/0!</v>
      </c>
      <c r="H93" s="46" t="str">
        <f t="shared" si="2"/>
        <v/>
      </c>
    </row>
    <row r="94" spans="1:12" x14ac:dyDescent="0.25">
      <c r="A94" s="27"/>
      <c r="B94" s="48"/>
      <c r="C94" s="59"/>
      <c r="D94" s="48"/>
      <c r="E94" s="48"/>
      <c r="F94" s="57"/>
      <c r="G94" s="45" t="e">
        <f>IF(OR(MID(D94,7,2)="10",MID(D94,7,2)="20",MID(D94,7,2)="68"),SUMIF(COMITENTES!#REF!,D94,COMITENTES!$H:$H),IF(H94="fora",0%,F94/QUÓRUM!$H$4))</f>
        <v>#DIV/0!</v>
      </c>
      <c r="H94" s="46" t="str">
        <f t="shared" si="2"/>
        <v/>
      </c>
      <c r="I94" s="50"/>
      <c r="J94" s="49"/>
      <c r="K94" s="49"/>
      <c r="L94" s="52"/>
    </row>
    <row r="95" spans="1:12" x14ac:dyDescent="0.25">
      <c r="F95" s="56"/>
      <c r="G95" s="45" t="e">
        <f>IF(OR(MID(D95,7,2)="10",MID(D95,7,2)="20",MID(D95,7,2)="68"),SUMIF(COMITENTES!#REF!,D95,COMITENTES!$H:$H),IF(H95="fora",0%,F95/QUÓRUM!$H$4))</f>
        <v>#DIV/0!</v>
      </c>
      <c r="H95" s="46" t="str">
        <f t="shared" si="2"/>
        <v/>
      </c>
    </row>
    <row r="96" spans="1:12" x14ac:dyDescent="0.25">
      <c r="A96" s="27"/>
      <c r="B96" s="48"/>
      <c r="C96" s="59"/>
      <c r="D96" s="48"/>
      <c r="E96" s="48"/>
      <c r="F96" s="57"/>
      <c r="G96" s="45" t="e">
        <f>IF(OR(MID(D96,7,2)="10",MID(D96,7,2)="20",MID(D96,7,2)="68"),SUMIF(COMITENTES!#REF!,D96,COMITENTES!$H:$H),IF(H96="fora",0%,F96/QUÓRUM!$H$4))</f>
        <v>#DIV/0!</v>
      </c>
      <c r="H96" s="46" t="str">
        <f t="shared" si="2"/>
        <v/>
      </c>
      <c r="I96" s="50"/>
      <c r="J96" s="49"/>
      <c r="K96" s="49"/>
      <c r="L96" s="52"/>
    </row>
    <row r="97" spans="1:12" x14ac:dyDescent="0.25">
      <c r="F97" s="56"/>
      <c r="G97" s="45" t="e">
        <f>IF(OR(MID(D97,7,2)="10",MID(D97,7,2)="20",MID(D97,7,2)="68"),SUMIF(COMITENTES!#REF!,D97,COMITENTES!$H:$H),IF(H97="fora",0%,F97/QUÓRUM!$H$4))</f>
        <v>#DIV/0!</v>
      </c>
      <c r="H97" s="46" t="str">
        <f t="shared" si="2"/>
        <v/>
      </c>
    </row>
    <row r="98" spans="1:12" x14ac:dyDescent="0.25">
      <c r="A98" s="27"/>
      <c r="B98" s="48"/>
      <c r="C98" s="59"/>
      <c r="D98" s="48"/>
      <c r="E98" s="48"/>
      <c r="F98" s="57"/>
      <c r="G98" s="45" t="e">
        <f>IF(OR(MID(D98,7,2)="10",MID(D98,7,2)="20",MID(D98,7,2)="68"),SUMIF(COMITENTES!#REF!,D98,COMITENTES!$H:$H),IF(H98="fora",0%,F98/QUÓRUM!$H$4))</f>
        <v>#DIV/0!</v>
      </c>
      <c r="H98" s="46" t="str">
        <f t="shared" si="2"/>
        <v/>
      </c>
      <c r="I98" s="50"/>
      <c r="J98" s="49"/>
      <c r="K98" s="49"/>
      <c r="L98" s="52"/>
    </row>
    <row r="99" spans="1:12" x14ac:dyDescent="0.25">
      <c r="F99" s="56"/>
      <c r="G99" s="45" t="e">
        <f>IF(OR(MID(D99,7,2)="10",MID(D99,7,2)="20",MID(D99,7,2)="68"),SUMIF(COMITENTES!#REF!,D99,COMITENTES!$H:$H),IF(H99="fora",0%,F99/QUÓRUM!$H$4))</f>
        <v>#DIV/0!</v>
      </c>
      <c r="H99" s="46" t="str">
        <f t="shared" si="2"/>
        <v/>
      </c>
    </row>
    <row r="100" spans="1:12" x14ac:dyDescent="0.25">
      <c r="A100" s="27"/>
      <c r="B100" s="48"/>
      <c r="C100" s="59"/>
      <c r="D100" s="48"/>
      <c r="E100" s="48"/>
      <c r="F100" s="57"/>
      <c r="G100" s="45" t="e">
        <f>IF(OR(MID(D100,7,2)="10",MID(D100,7,2)="20",MID(D100,7,2)="68"),SUMIF(COMITENTES!#REF!,D100,COMITENTES!$H:$H),IF(H100="fora",0%,F100/QUÓRUM!$H$4))</f>
        <v>#DIV/0!</v>
      </c>
      <c r="H100" s="46" t="str">
        <f t="shared" si="2"/>
        <v/>
      </c>
      <c r="I100" s="50"/>
      <c r="J100" s="49"/>
      <c r="K100" s="49"/>
      <c r="L100" s="52"/>
    </row>
    <row r="101" spans="1:12" x14ac:dyDescent="0.25">
      <c r="F101" s="56"/>
      <c r="G101" s="45" t="e">
        <f>IF(OR(MID(D101,7,2)="10",MID(D101,7,2)="20",MID(D101,7,2)="68"),SUMIF(COMITENTES!#REF!,D101,COMITENTES!$H:$H),IF(H101="fora",0%,F101/QUÓRUM!$H$4))</f>
        <v>#DIV/0!</v>
      </c>
      <c r="H101" s="46" t="str">
        <f t="shared" si="2"/>
        <v/>
      </c>
    </row>
    <row r="102" spans="1:12" x14ac:dyDescent="0.25">
      <c r="A102" s="27"/>
      <c r="B102" s="48"/>
      <c r="C102" s="59"/>
      <c r="D102" s="48"/>
      <c r="E102" s="48"/>
      <c r="F102" s="57"/>
      <c r="G102" s="45" t="e">
        <f>IF(OR(MID(D102,7,2)="10",MID(D102,7,2)="20",MID(D102,7,2)="68"),SUMIF(COMITENTES!#REF!,D102,COMITENTES!$H:$H),IF(H102="fora",0%,F102/QUÓRUM!$H$4))</f>
        <v>#DIV/0!</v>
      </c>
      <c r="H102" s="46" t="str">
        <f t="shared" si="2"/>
        <v/>
      </c>
      <c r="I102" s="50"/>
      <c r="J102" s="49"/>
      <c r="K102" s="49"/>
      <c r="L102" s="52"/>
    </row>
    <row r="103" spans="1:12" x14ac:dyDescent="0.25">
      <c r="F103" s="56"/>
      <c r="G103" s="45" t="e">
        <f>IF(OR(MID(D103,7,2)="10",MID(D103,7,2)="20",MID(D103,7,2)="68"),SUMIF(COMITENTES!#REF!,D103,COMITENTES!$H:$H),IF(H103="fora",0%,F103/QUÓRUM!$H$4))</f>
        <v>#DIV/0!</v>
      </c>
      <c r="H103" s="46" t="str">
        <f t="shared" si="2"/>
        <v/>
      </c>
    </row>
    <row r="104" spans="1:12" x14ac:dyDescent="0.25">
      <c r="A104" s="27"/>
      <c r="B104" s="48"/>
      <c r="C104" s="59"/>
      <c r="D104" s="48"/>
      <c r="E104" s="48"/>
      <c r="F104" s="57"/>
      <c r="G104" s="45" t="e">
        <f>IF(OR(MID(D104,7,2)="10",MID(D104,7,2)="20",MID(D104,7,2)="68"),SUMIF(COMITENTES!#REF!,D104,COMITENTES!$H:$H),IF(H104="fora",0%,F104/QUÓRUM!$H$4))</f>
        <v>#DIV/0!</v>
      </c>
      <c r="H104" s="46" t="str">
        <f t="shared" si="2"/>
        <v/>
      </c>
      <c r="I104" s="50"/>
      <c r="J104" s="49"/>
      <c r="K104" s="49"/>
      <c r="L104" s="52"/>
    </row>
    <row r="105" spans="1:12" x14ac:dyDescent="0.25">
      <c r="F105" s="56"/>
      <c r="G105" s="45" t="e">
        <f>IF(OR(MID(D105,7,2)="10",MID(D105,7,2)="20",MID(D105,7,2)="68"),SUMIF(COMITENTES!#REF!,D105,COMITENTES!$H:$H),IF(H105="fora",0%,F105/QUÓRUM!$H$4))</f>
        <v>#DIV/0!</v>
      </c>
      <c r="H105" s="46" t="str">
        <f t="shared" si="2"/>
        <v/>
      </c>
    </row>
    <row r="106" spans="1:12" x14ac:dyDescent="0.25">
      <c r="A106" s="27"/>
      <c r="B106" s="48"/>
      <c r="C106" s="59"/>
      <c r="D106" s="48"/>
      <c r="E106" s="48"/>
      <c r="F106" s="57"/>
      <c r="G106" s="45" t="e">
        <f>IF(OR(MID(D106,7,2)="10",MID(D106,7,2)="20",MID(D106,7,2)="68"),SUMIF(COMITENTES!#REF!,D106,COMITENTES!$H:$H),IF(H106="fora",0%,F106/QUÓRUM!$H$4))</f>
        <v>#DIV/0!</v>
      </c>
      <c r="H106" s="46" t="str">
        <f t="shared" si="2"/>
        <v/>
      </c>
      <c r="I106" s="50"/>
      <c r="J106" s="49"/>
      <c r="K106" s="49"/>
      <c r="L106" s="52"/>
    </row>
    <row r="107" spans="1:12" x14ac:dyDescent="0.25">
      <c r="F107" s="56"/>
      <c r="G107" s="45" t="e">
        <f>IF(OR(MID(D107,7,2)="10",MID(D107,7,2)="20",MID(D107,7,2)="68"),SUMIF(COMITENTES!#REF!,D107,COMITENTES!$H:$H),IF(H107="fora",0%,F107/QUÓRUM!$H$4))</f>
        <v>#DIV/0!</v>
      </c>
      <c r="H107" s="46" t="str">
        <f t="shared" si="2"/>
        <v/>
      </c>
    </row>
    <row r="108" spans="1:12" x14ac:dyDescent="0.25">
      <c r="A108" s="27"/>
      <c r="B108" s="48"/>
      <c r="C108" s="59"/>
      <c r="D108" s="48"/>
      <c r="E108" s="48"/>
      <c r="F108" s="57"/>
      <c r="G108" s="45" t="e">
        <f>IF(OR(MID(D108,7,2)="10",MID(D108,7,2)="20",MID(D108,7,2)="68"),SUMIF(COMITENTES!#REF!,D108,COMITENTES!$H:$H),IF(H108="fora",0%,F108/QUÓRUM!$H$4))</f>
        <v>#DIV/0!</v>
      </c>
      <c r="H108" s="46" t="str">
        <f t="shared" si="2"/>
        <v/>
      </c>
      <c r="I108" s="50"/>
      <c r="J108" s="49"/>
      <c r="K108" s="49"/>
      <c r="L108" s="52"/>
    </row>
    <row r="109" spans="1:12" x14ac:dyDescent="0.25">
      <c r="F109" s="56"/>
      <c r="G109" s="45" t="e">
        <f>IF(OR(MID(D109,7,2)="10",MID(D109,7,2)="20",MID(D109,7,2)="68"),SUMIF(COMITENTES!#REF!,D109,COMITENTES!$H:$H),IF(H109="fora",0%,F109/QUÓRUM!$H$4))</f>
        <v>#DIV/0!</v>
      </c>
      <c r="H109" s="46" t="str">
        <f t="shared" si="2"/>
        <v/>
      </c>
    </row>
    <row r="110" spans="1:12" x14ac:dyDescent="0.25">
      <c r="A110" s="27"/>
      <c r="B110" s="48"/>
      <c r="C110" s="59"/>
      <c r="D110" s="48"/>
      <c r="E110" s="48"/>
      <c r="F110" s="57"/>
      <c r="G110" s="45" t="e">
        <f>IF(OR(MID(D110,7,2)="10",MID(D110,7,2)="20",MID(D110,7,2)="68"),SUMIF(COMITENTES!#REF!,D110,COMITENTES!$H:$H),IF(H110="fora",0%,F110/QUÓRUM!$H$4))</f>
        <v>#DIV/0!</v>
      </c>
      <c r="H110" s="46" t="str">
        <f t="shared" si="2"/>
        <v/>
      </c>
      <c r="I110" s="50"/>
      <c r="J110" s="49"/>
      <c r="K110" s="49"/>
      <c r="L110" s="52"/>
    </row>
    <row r="111" spans="1:12" x14ac:dyDescent="0.25">
      <c r="F111" s="56"/>
      <c r="G111" s="45" t="e">
        <f>IF(OR(MID(D111,7,2)="10",MID(D111,7,2)="20",MID(D111,7,2)="68"),SUMIF(COMITENTES!#REF!,D111,COMITENTES!$H:$H),IF(H111="fora",0%,F111/QUÓRUM!$H$4))</f>
        <v>#DIV/0!</v>
      </c>
      <c r="H111" s="46" t="str">
        <f t="shared" si="2"/>
        <v/>
      </c>
    </row>
    <row r="112" spans="1:12" x14ac:dyDescent="0.25">
      <c r="A112" s="27"/>
      <c r="B112" s="48"/>
      <c r="C112" s="59"/>
      <c r="D112" s="48"/>
      <c r="E112" s="48"/>
      <c r="F112" s="57"/>
      <c r="G112" s="45" t="e">
        <f>IF(OR(MID(D112,7,2)="10",MID(D112,7,2)="20",MID(D112,7,2)="68"),SUMIF(COMITENTES!#REF!,D112,COMITENTES!$H:$H),IF(H112="fora",0%,F112/QUÓRUM!$H$4))</f>
        <v>#DIV/0!</v>
      </c>
      <c r="H112" s="46" t="str">
        <f t="shared" si="2"/>
        <v/>
      </c>
      <c r="I112" s="50"/>
      <c r="J112" s="49"/>
      <c r="K112" s="49"/>
      <c r="L112" s="52"/>
    </row>
    <row r="113" spans="1:12" x14ac:dyDescent="0.25">
      <c r="F113" s="56"/>
      <c r="G113" s="45" t="e">
        <f>IF(OR(MID(D113,7,2)="10",MID(D113,7,2)="20",MID(D113,7,2)="68"),SUMIF(COMITENTES!#REF!,D113,COMITENTES!$H:$H),IF(H113="fora",0%,F113/QUÓRUM!$H$4))</f>
        <v>#DIV/0!</v>
      </c>
      <c r="H113" s="46" t="str">
        <f t="shared" si="2"/>
        <v/>
      </c>
    </row>
    <row r="114" spans="1:12" x14ac:dyDescent="0.25">
      <c r="A114" s="27"/>
      <c r="B114" s="48"/>
      <c r="C114" s="59"/>
      <c r="D114" s="48"/>
      <c r="E114" s="48"/>
      <c r="F114" s="57"/>
      <c r="G114" s="45" t="e">
        <f>IF(OR(MID(D114,7,2)="10",MID(D114,7,2)="20",MID(D114,7,2)="68"),SUMIF(COMITENTES!#REF!,D114,COMITENTES!$H:$H),IF(H114="fora",0%,F114/QUÓRUM!$H$4))</f>
        <v>#DIV/0!</v>
      </c>
      <c r="H114" s="46" t="str">
        <f t="shared" si="2"/>
        <v/>
      </c>
      <c r="I114" s="50"/>
      <c r="J114" s="49"/>
      <c r="K114" s="49"/>
      <c r="L114" s="52"/>
    </row>
    <row r="115" spans="1:12" x14ac:dyDescent="0.25">
      <c r="F115" s="56"/>
      <c r="G115" s="45" t="e">
        <f>IF(OR(MID(D115,7,2)="10",MID(D115,7,2)="20",MID(D115,7,2)="68"),SUMIF(COMITENTES!#REF!,D115,COMITENTES!$H:$H),IF(H115="fora",0%,F115/QUÓRUM!$H$4))</f>
        <v>#DIV/0!</v>
      </c>
      <c r="H115" s="46" t="str">
        <f t="shared" si="2"/>
        <v/>
      </c>
    </row>
    <row r="116" spans="1:12" x14ac:dyDescent="0.25">
      <c r="A116" s="27"/>
      <c r="B116" s="48"/>
      <c r="C116" s="59"/>
      <c r="D116" s="48"/>
      <c r="E116" s="48"/>
      <c r="F116" s="57"/>
      <c r="G116" s="45" t="e">
        <f>IF(OR(MID(D116,7,2)="10",MID(D116,7,2)="20",MID(D116,7,2)="68"),SUMIF(COMITENTES!#REF!,D116,COMITENTES!$H:$H),IF(H116="fora",0%,F116/QUÓRUM!$H$4))</f>
        <v>#DIV/0!</v>
      </c>
      <c r="H116" s="46" t="str">
        <f t="shared" si="2"/>
        <v/>
      </c>
      <c r="I116" s="50"/>
      <c r="J116" s="49"/>
      <c r="K116" s="49"/>
      <c r="L116" s="52"/>
    </row>
    <row r="117" spans="1:12" x14ac:dyDescent="0.25">
      <c r="F117" s="56"/>
      <c r="G117" s="45" t="e">
        <f>IF(OR(MID(D117,7,2)="10",MID(D117,7,2)="20",MID(D117,7,2)="68"),SUMIF(COMITENTES!#REF!,D117,COMITENTES!$H:$H),IF(H117="fora",0%,F117/QUÓRUM!$H$4))</f>
        <v>#DIV/0!</v>
      </c>
      <c r="H117" s="46" t="str">
        <f t="shared" si="2"/>
        <v/>
      </c>
    </row>
    <row r="118" spans="1:12" x14ac:dyDescent="0.25">
      <c r="A118" s="27"/>
      <c r="B118" s="48"/>
      <c r="C118" s="59"/>
      <c r="D118" s="48"/>
      <c r="E118" s="48"/>
      <c r="F118" s="57"/>
      <c r="G118" s="45" t="e">
        <f>IF(OR(MID(D118,7,2)="10",MID(D118,7,2)="20",MID(D118,7,2)="68"),SUMIF(COMITENTES!#REF!,D118,COMITENTES!$H:$H),IF(H118="fora",0%,F118/QUÓRUM!$H$4))</f>
        <v>#DIV/0!</v>
      </c>
      <c r="H118" s="46" t="str">
        <f t="shared" si="2"/>
        <v/>
      </c>
      <c r="I118" s="50"/>
      <c r="J118" s="49"/>
      <c r="K118" s="49"/>
      <c r="L118" s="52"/>
    </row>
    <row r="119" spans="1:12" x14ac:dyDescent="0.25">
      <c r="F119" s="56"/>
      <c r="G119" s="45" t="e">
        <f>IF(OR(MID(D119,7,2)="10",MID(D119,7,2)="20",MID(D119,7,2)="68"),SUMIF(COMITENTES!#REF!,D119,COMITENTES!$H:$H),IF(H119="fora",0%,F119/QUÓRUM!$H$4))</f>
        <v>#DIV/0!</v>
      </c>
      <c r="H119" s="46" t="str">
        <f t="shared" si="2"/>
        <v/>
      </c>
    </row>
    <row r="120" spans="1:12" x14ac:dyDescent="0.25">
      <c r="A120" s="27"/>
      <c r="B120" s="48"/>
      <c r="C120" s="59"/>
      <c r="D120" s="48"/>
      <c r="E120" s="48"/>
      <c r="F120" s="57"/>
      <c r="G120" s="45" t="e">
        <f>IF(OR(MID(D120,7,2)="10",MID(D120,7,2)="20",MID(D120,7,2)="68"),SUMIF(COMITENTES!#REF!,D120,COMITENTES!$H:$H),IF(H120="fora",0%,F120/QUÓRUM!$H$4))</f>
        <v>#DIV/0!</v>
      </c>
      <c r="H120" s="46" t="str">
        <f t="shared" si="2"/>
        <v/>
      </c>
      <c r="I120" s="50"/>
      <c r="J120" s="49"/>
      <c r="K120" s="49"/>
      <c r="L120" s="52"/>
    </row>
    <row r="121" spans="1:12" x14ac:dyDescent="0.25">
      <c r="F121" s="56"/>
      <c r="G121" s="45" t="e">
        <f>IF(OR(MID(D121,7,2)="10",MID(D121,7,2)="20",MID(D121,7,2)="68"),SUMIF(COMITENTES!#REF!,D121,COMITENTES!$H:$H),IF(H121="fora",0%,F121/QUÓRUM!$H$4))</f>
        <v>#DIV/0!</v>
      </c>
      <c r="H121" s="46" t="str">
        <f t="shared" si="2"/>
        <v/>
      </c>
    </row>
    <row r="122" spans="1:12" x14ac:dyDescent="0.25">
      <c r="A122" s="27"/>
      <c r="B122" s="48"/>
      <c r="C122" s="59"/>
      <c r="D122" s="48"/>
      <c r="E122" s="48"/>
      <c r="F122" s="57"/>
      <c r="G122" s="45" t="e">
        <f>IF(OR(MID(D122,7,2)="10",MID(D122,7,2)="20",MID(D122,7,2)="68"),SUMIF(COMITENTES!#REF!,D122,COMITENTES!$H:$H),IF(H122="fora",0%,F122/QUÓRUM!$H$4))</f>
        <v>#DIV/0!</v>
      </c>
      <c r="H122" s="46" t="str">
        <f t="shared" si="2"/>
        <v/>
      </c>
      <c r="I122" s="50"/>
      <c r="J122" s="49"/>
      <c r="K122" s="49"/>
      <c r="L122" s="52"/>
    </row>
    <row r="123" spans="1:12" x14ac:dyDescent="0.25">
      <c r="F123" s="56"/>
      <c r="G123" s="45" t="e">
        <f>IF(OR(MID(D123,7,2)="10",MID(D123,7,2)="20",MID(D123,7,2)="68"),SUMIF(COMITENTES!#REF!,D123,COMITENTES!$H:$H),IF(H123="fora",0%,F123/QUÓRUM!$H$4))</f>
        <v>#DIV/0!</v>
      </c>
      <c r="H123" s="46" t="str">
        <f t="shared" si="2"/>
        <v/>
      </c>
    </row>
    <row r="124" spans="1:12" x14ac:dyDescent="0.25">
      <c r="A124" s="27"/>
      <c r="B124" s="27"/>
      <c r="C124" s="69"/>
      <c r="D124" s="27"/>
      <c r="E124" s="27"/>
      <c r="F124" s="53"/>
      <c r="G124" s="45" t="e">
        <f>IF(OR(MID(D124,7,2)="10",MID(D124,7,2)="20",MID(D124,7,2)="68"),SUMIF(COMITENTES!#REF!,D124,COMITENTES!$H:$H),IF(H124="fora",0%,F124/QUÓRUM!$H$4))</f>
        <v>#DIV/0!</v>
      </c>
      <c r="H124" s="46" t="str">
        <f t="shared" si="2"/>
        <v/>
      </c>
      <c r="I124" s="36"/>
      <c r="J124" s="27"/>
      <c r="K124" s="27"/>
      <c r="L124" s="33"/>
    </row>
    <row r="125" spans="1:12" x14ac:dyDescent="0.25">
      <c r="F125" s="56"/>
      <c r="G125" s="45" t="e">
        <f>IF(OR(MID(D125,7,2)="10",MID(D125,7,2)="20",MID(D125,7,2)="68"),SUMIF(COMITENTES!#REF!,D125,COMITENTES!$H:$H),IF(H125="fora",0%,F125/QUÓRUM!$H$4))</f>
        <v>#DIV/0!</v>
      </c>
      <c r="H125" s="46" t="str">
        <f t="shared" si="2"/>
        <v/>
      </c>
    </row>
    <row r="126" spans="1:12" x14ac:dyDescent="0.25">
      <c r="A126" s="27"/>
      <c r="B126" s="27"/>
      <c r="C126" s="69"/>
      <c r="D126" s="27"/>
      <c r="E126" s="27"/>
      <c r="F126" s="53"/>
      <c r="G126" s="45" t="e">
        <f>IF(OR(MID(D126,7,2)="10",MID(D126,7,2)="20",MID(D126,7,2)="68"),SUMIF(COMITENTES!#REF!,D126,COMITENTES!$H:$H),IF(H126="fora",0%,F126/QUÓRUM!$H$4))</f>
        <v>#DIV/0!</v>
      </c>
      <c r="H126" s="46" t="str">
        <f t="shared" si="2"/>
        <v/>
      </c>
      <c r="I126" s="36"/>
      <c r="J126" s="27"/>
      <c r="K126" s="27"/>
      <c r="L126" s="33"/>
    </row>
    <row r="127" spans="1:12" x14ac:dyDescent="0.25">
      <c r="A127" s="25"/>
      <c r="B127" s="25"/>
      <c r="C127" s="70"/>
      <c r="D127" s="25"/>
      <c r="E127" s="25"/>
      <c r="F127" s="54"/>
      <c r="G127" s="45" t="e">
        <f>IF(OR(MID(D127,7,2)="10",MID(D127,7,2)="20",MID(D127,7,2)="68"),SUMIF(COMITENTES!#REF!,D127,COMITENTES!$H:$H),IF(H127="fora",0%,F127/QUÓRUM!$H$4))</f>
        <v>#DIV/0!</v>
      </c>
      <c r="H127" s="46" t="str">
        <f t="shared" si="2"/>
        <v/>
      </c>
      <c r="I127" s="35"/>
      <c r="J127" s="25"/>
      <c r="K127" s="25"/>
      <c r="L127" s="32"/>
    </row>
    <row r="128" spans="1:12" x14ac:dyDescent="0.25">
      <c r="A128" s="27"/>
      <c r="B128" s="27"/>
      <c r="C128" s="69"/>
      <c r="D128" s="27"/>
      <c r="E128" s="27"/>
      <c r="F128" s="53"/>
      <c r="G128" s="45" t="e">
        <f>IF(OR(MID(D128,7,2)="10",MID(D128,7,2)="20",MID(D128,7,2)="68"),SUMIF(COMITENTES!#REF!,D128,COMITENTES!$H:$H),IF(H128="fora",0%,F128/QUÓRUM!$H$4))</f>
        <v>#DIV/0!</v>
      </c>
      <c r="H128" s="46" t="str">
        <f t="shared" si="2"/>
        <v/>
      </c>
      <c r="I128" s="36"/>
      <c r="J128" s="27"/>
      <c r="K128" s="27"/>
      <c r="L128" s="33"/>
    </row>
    <row r="129" spans="1:12" x14ac:dyDescent="0.25">
      <c r="A129" s="25"/>
      <c r="B129" s="25"/>
      <c r="C129" s="70"/>
      <c r="D129" s="25"/>
      <c r="E129" s="25"/>
      <c r="F129" s="54"/>
      <c r="G129" s="45" t="e">
        <f>IF(OR(MID(D129,7,2)="10",MID(D129,7,2)="20",MID(D129,7,2)="68"),SUMIF(COMITENTES!#REF!,D129,COMITENTES!$H:$H),IF(H129="fora",0%,F129/QUÓRUM!$H$4))</f>
        <v>#DIV/0!</v>
      </c>
      <c r="H129" s="46" t="str">
        <f t="shared" si="2"/>
        <v/>
      </c>
      <c r="I129" s="35"/>
      <c r="J129" s="25"/>
      <c r="K129" s="25"/>
      <c r="L129" s="32"/>
    </row>
    <row r="130" spans="1:12" x14ac:dyDescent="0.25">
      <c r="A130" s="27"/>
      <c r="B130" s="27"/>
      <c r="C130" s="69"/>
      <c r="D130" s="27"/>
      <c r="E130" s="27"/>
      <c r="F130" s="53"/>
      <c r="G130" s="45" t="e">
        <f>IF(OR(MID(D130,7,2)="10",MID(D130,7,2)="20",MID(D130,7,2)="68"),SUMIF(COMITENTES!#REF!,D130,COMITENTES!$H:$H),IF(H130="fora",0%,F130/QUÓRUM!$H$4))</f>
        <v>#DIV/0!</v>
      </c>
      <c r="H130" s="46" t="str">
        <f t="shared" ref="H130:H193" si="3">IF(OR(MID(D130,7,2)="10",MID(D130,7,2)="20",MID(D130,7,2)="68"),"PREENCHER NA PRÓXIMA ABA","")</f>
        <v/>
      </c>
      <c r="I130" s="36"/>
      <c r="J130" s="27"/>
      <c r="K130" s="27"/>
      <c r="L130" s="33"/>
    </row>
    <row r="131" spans="1:12" x14ac:dyDescent="0.25">
      <c r="A131" s="25"/>
      <c r="B131" s="25"/>
      <c r="C131" s="70"/>
      <c r="D131" s="25"/>
      <c r="E131" s="25"/>
      <c r="F131" s="54"/>
      <c r="G131" s="45" t="e">
        <f>IF(OR(MID(D131,7,2)="10",MID(D131,7,2)="20",MID(D131,7,2)="68"),SUMIF(COMITENTES!#REF!,D131,COMITENTES!$H:$H),IF(H131="fora",0%,F131/QUÓRUM!$H$4))</f>
        <v>#DIV/0!</v>
      </c>
      <c r="H131" s="46" t="str">
        <f t="shared" si="3"/>
        <v/>
      </c>
      <c r="I131" s="35"/>
      <c r="J131" s="25"/>
      <c r="K131" s="25"/>
      <c r="L131" s="32"/>
    </row>
    <row r="132" spans="1:12" x14ac:dyDescent="0.25">
      <c r="A132" s="27"/>
      <c r="B132" s="27"/>
      <c r="C132" s="69"/>
      <c r="D132" s="27"/>
      <c r="E132" s="27"/>
      <c r="F132" s="53"/>
      <c r="G132" s="45" t="e">
        <f>IF(OR(MID(D132,7,2)="10",MID(D132,7,2)="20",MID(D132,7,2)="68"),SUMIF(COMITENTES!#REF!,D132,COMITENTES!$H:$H),IF(H132="fora",0%,F132/QUÓRUM!$H$4))</f>
        <v>#DIV/0!</v>
      </c>
      <c r="H132" s="46" t="str">
        <f t="shared" si="3"/>
        <v/>
      </c>
      <c r="I132" s="36"/>
      <c r="J132" s="27"/>
      <c r="K132" s="27"/>
      <c r="L132" s="33"/>
    </row>
    <row r="133" spans="1:12" x14ac:dyDescent="0.25">
      <c r="A133" s="25"/>
      <c r="B133" s="25"/>
      <c r="C133" s="70"/>
      <c r="D133" s="25"/>
      <c r="E133" s="25"/>
      <c r="F133" s="54"/>
      <c r="G133" s="45" t="e">
        <f>IF(OR(MID(D133,7,2)="10",MID(D133,7,2)="20",MID(D133,7,2)="68"),SUMIF(COMITENTES!#REF!,D133,COMITENTES!$H:$H),IF(H133="fora",0%,F133/QUÓRUM!$H$4))</f>
        <v>#DIV/0!</v>
      </c>
      <c r="H133" s="46" t="str">
        <f t="shared" si="3"/>
        <v/>
      </c>
      <c r="I133" s="35"/>
      <c r="J133" s="25"/>
      <c r="K133" s="25"/>
      <c r="L133" s="32"/>
    </row>
    <row r="134" spans="1:12" x14ac:dyDescent="0.25">
      <c r="A134" s="27"/>
      <c r="B134" s="27"/>
      <c r="C134" s="69"/>
      <c r="D134" s="27"/>
      <c r="E134" s="27"/>
      <c r="F134" s="53"/>
      <c r="G134" s="45" t="e">
        <f>IF(OR(MID(D134,7,2)="10",MID(D134,7,2)="20",MID(D134,7,2)="68"),SUMIF(COMITENTES!#REF!,D134,COMITENTES!$H:$H),IF(H134="fora",0%,F134/QUÓRUM!$H$4))</f>
        <v>#DIV/0!</v>
      </c>
      <c r="H134" s="46" t="str">
        <f t="shared" si="3"/>
        <v/>
      </c>
      <c r="I134" s="36"/>
      <c r="J134" s="27"/>
      <c r="K134" s="27"/>
      <c r="L134" s="33"/>
    </row>
    <row r="135" spans="1:12" x14ac:dyDescent="0.25">
      <c r="A135" s="25"/>
      <c r="B135" s="25"/>
      <c r="C135" s="70"/>
      <c r="D135" s="25"/>
      <c r="E135" s="25"/>
      <c r="F135" s="54"/>
      <c r="G135" s="45" t="e">
        <f>IF(OR(MID(D135,7,2)="10",MID(D135,7,2)="20",MID(D135,7,2)="68"),SUMIF(COMITENTES!#REF!,D135,COMITENTES!$H:$H),IF(H135="fora",0%,F135/QUÓRUM!$H$4))</f>
        <v>#DIV/0!</v>
      </c>
      <c r="H135" s="46" t="str">
        <f t="shared" si="3"/>
        <v/>
      </c>
      <c r="I135" s="35"/>
      <c r="J135" s="25"/>
      <c r="K135" s="25"/>
      <c r="L135" s="32"/>
    </row>
    <row r="136" spans="1:12" x14ac:dyDescent="0.25">
      <c r="A136" s="27"/>
      <c r="B136" s="27"/>
      <c r="C136" s="69"/>
      <c r="D136" s="27"/>
      <c r="E136" s="27"/>
      <c r="F136" s="53"/>
      <c r="G136" s="45" t="e">
        <f>IF(OR(MID(D136,7,2)="10",MID(D136,7,2)="20",MID(D136,7,2)="68"),SUMIF(COMITENTES!#REF!,D136,COMITENTES!$H:$H),IF(H136="fora",0%,F136/QUÓRUM!$H$4))</f>
        <v>#DIV/0!</v>
      </c>
      <c r="H136" s="46" t="str">
        <f t="shared" si="3"/>
        <v/>
      </c>
      <c r="I136" s="36"/>
      <c r="J136" s="27"/>
      <c r="K136" s="27"/>
      <c r="L136" s="33"/>
    </row>
    <row r="137" spans="1:12" x14ac:dyDescent="0.25">
      <c r="A137" s="25"/>
      <c r="B137" s="25"/>
      <c r="C137" s="70"/>
      <c r="D137" s="25"/>
      <c r="E137" s="25"/>
      <c r="F137" s="54"/>
      <c r="G137" s="45" t="e">
        <f>IF(OR(MID(D137,7,2)="10",MID(D137,7,2)="20",MID(D137,7,2)="68"),SUMIF(COMITENTES!#REF!,D137,COMITENTES!$H:$H),IF(H137="fora",0%,F137/QUÓRUM!$H$4))</f>
        <v>#DIV/0!</v>
      </c>
      <c r="H137" s="46" t="str">
        <f t="shared" si="3"/>
        <v/>
      </c>
      <c r="I137" s="35"/>
      <c r="J137" s="25"/>
      <c r="K137" s="25"/>
      <c r="L137" s="32"/>
    </row>
    <row r="138" spans="1:12" x14ac:dyDescent="0.25">
      <c r="A138" s="27"/>
      <c r="B138" s="27"/>
      <c r="C138" s="69"/>
      <c r="D138" s="27"/>
      <c r="E138" s="27"/>
      <c r="F138" s="53"/>
      <c r="G138" s="45" t="e">
        <f>IF(OR(MID(D138,7,2)="10",MID(D138,7,2)="20",MID(D138,7,2)="68"),SUMIF(COMITENTES!#REF!,D138,COMITENTES!$H:$H),IF(H138="fora",0%,F138/QUÓRUM!$H$4))</f>
        <v>#DIV/0!</v>
      </c>
      <c r="H138" s="46" t="str">
        <f t="shared" si="3"/>
        <v/>
      </c>
      <c r="I138" s="36"/>
      <c r="J138" s="27"/>
      <c r="K138" s="27"/>
      <c r="L138" s="33"/>
    </row>
    <row r="139" spans="1:12" x14ac:dyDescent="0.25">
      <c r="A139" s="25"/>
      <c r="B139" s="42"/>
      <c r="C139" s="70"/>
      <c r="D139" s="42"/>
      <c r="E139" s="42"/>
      <c r="F139" s="54"/>
      <c r="G139" s="45" t="e">
        <f>IF(OR(MID(D139,7,2)="10",MID(D139,7,2)="20",MID(D139,7,2)="68"),SUMIF(COMITENTES!#REF!,D139,COMITENTES!$H:$H),IF(H139="fora",0%,F139/QUÓRUM!$H$4))</f>
        <v>#DIV/0!</v>
      </c>
      <c r="H139" s="46" t="str">
        <f t="shared" si="3"/>
        <v/>
      </c>
      <c r="I139" s="35"/>
      <c r="J139" s="25"/>
      <c r="K139" s="25"/>
      <c r="L139" s="32"/>
    </row>
    <row r="140" spans="1:12" x14ac:dyDescent="0.25">
      <c r="A140" s="27"/>
      <c r="B140" s="44"/>
      <c r="C140" s="69"/>
      <c r="D140" s="44"/>
      <c r="E140" s="44"/>
      <c r="F140" s="53"/>
      <c r="G140" s="45" t="e">
        <f>IF(OR(MID(D140,7,2)="10",MID(D140,7,2)="20",MID(D140,7,2)="68"),SUMIF(COMITENTES!#REF!,D140,COMITENTES!$H:$H),IF(H140="fora",0%,F140/QUÓRUM!$H$4))</f>
        <v>#DIV/0!</v>
      </c>
      <c r="H140" s="46" t="str">
        <f t="shared" si="3"/>
        <v/>
      </c>
      <c r="I140" s="36"/>
      <c r="J140" s="27"/>
      <c r="K140" s="27"/>
      <c r="L140" s="33"/>
    </row>
    <row r="141" spans="1:12" x14ac:dyDescent="0.25">
      <c r="A141" s="25"/>
      <c r="B141" s="42"/>
      <c r="C141" s="70"/>
      <c r="D141" s="42"/>
      <c r="E141" s="42"/>
      <c r="F141" s="54"/>
      <c r="G141" s="45" t="e">
        <f>IF(OR(MID(D141,7,2)="10",MID(D141,7,2)="20",MID(D141,7,2)="68"),SUMIF(COMITENTES!#REF!,D141,COMITENTES!$H:$H),IF(H141="fora",0%,F141/QUÓRUM!$H$4))</f>
        <v>#DIV/0!</v>
      </c>
      <c r="H141" s="46" t="str">
        <f t="shared" si="3"/>
        <v/>
      </c>
      <c r="I141" s="35"/>
      <c r="J141" s="25"/>
      <c r="K141" s="25"/>
      <c r="L141" s="32"/>
    </row>
    <row r="142" spans="1:12" x14ac:dyDescent="0.25">
      <c r="A142" s="27"/>
      <c r="B142" s="44"/>
      <c r="C142" s="69"/>
      <c r="D142" s="44"/>
      <c r="E142" s="44"/>
      <c r="F142" s="53"/>
      <c r="G142" s="45" t="e">
        <f>IF(OR(MID(D142,7,2)="10",MID(D142,7,2)="20",MID(D142,7,2)="68"),SUMIF(COMITENTES!#REF!,D142,COMITENTES!$H:$H),IF(H142="fora",0%,F142/QUÓRUM!$H$4))</f>
        <v>#DIV/0!</v>
      </c>
      <c r="H142" s="46" t="str">
        <f t="shared" si="3"/>
        <v/>
      </c>
      <c r="I142" s="36"/>
      <c r="J142" s="27"/>
      <c r="K142" s="27"/>
      <c r="L142" s="33"/>
    </row>
    <row r="143" spans="1:12" x14ac:dyDescent="0.25">
      <c r="A143" s="25"/>
      <c r="B143" s="42"/>
      <c r="C143" s="70"/>
      <c r="D143" s="42"/>
      <c r="E143" s="42"/>
      <c r="F143" s="54"/>
      <c r="G143" s="45" t="e">
        <f>IF(OR(MID(D143,7,2)="10",MID(D143,7,2)="20",MID(D143,7,2)="68"),SUMIF(COMITENTES!#REF!,D143,COMITENTES!$H:$H),IF(H143="fora",0%,F143/QUÓRUM!$H$4))</f>
        <v>#DIV/0!</v>
      </c>
      <c r="H143" s="46" t="str">
        <f t="shared" si="3"/>
        <v/>
      </c>
      <c r="I143" s="35"/>
      <c r="J143" s="25"/>
      <c r="K143" s="25"/>
      <c r="L143" s="32"/>
    </row>
    <row r="144" spans="1:12" x14ac:dyDescent="0.25">
      <c r="A144" s="27"/>
      <c r="B144" s="44"/>
      <c r="C144" s="69"/>
      <c r="D144" s="44"/>
      <c r="E144" s="44"/>
      <c r="F144" s="53"/>
      <c r="G144" s="45" t="e">
        <f>IF(OR(MID(D144,7,2)="10",MID(D144,7,2)="20",MID(D144,7,2)="68"),SUMIF(COMITENTES!#REF!,D144,COMITENTES!$H:$H),IF(H144="fora",0%,F144/QUÓRUM!$H$4))</f>
        <v>#DIV/0!</v>
      </c>
      <c r="H144" s="46" t="str">
        <f t="shared" si="3"/>
        <v/>
      </c>
      <c r="I144" s="36"/>
      <c r="J144" s="27"/>
      <c r="K144" s="27"/>
      <c r="L144" s="33"/>
    </row>
    <row r="145" spans="1:12" x14ac:dyDescent="0.25">
      <c r="A145" s="25"/>
      <c r="B145" s="42"/>
      <c r="C145" s="70"/>
      <c r="D145" s="42"/>
      <c r="E145" s="42"/>
      <c r="F145" s="54"/>
      <c r="G145" s="45" t="e">
        <f>IF(OR(MID(D145,7,2)="10",MID(D145,7,2)="20",MID(D145,7,2)="68"),SUMIF(COMITENTES!#REF!,D145,COMITENTES!$H:$H),IF(H145="fora",0%,F145/QUÓRUM!$H$4))</f>
        <v>#DIV/0!</v>
      </c>
      <c r="H145" s="46" t="str">
        <f t="shared" si="3"/>
        <v/>
      </c>
      <c r="I145" s="35"/>
      <c r="J145" s="25"/>
      <c r="K145" s="25"/>
      <c r="L145" s="32"/>
    </row>
    <row r="146" spans="1:12" x14ac:dyDescent="0.25">
      <c r="A146" s="27"/>
      <c r="B146" s="44"/>
      <c r="C146" s="69"/>
      <c r="D146" s="44"/>
      <c r="E146" s="44"/>
      <c r="F146" s="53"/>
      <c r="G146" s="45" t="e">
        <f>IF(OR(MID(D146,7,2)="10",MID(D146,7,2)="20",MID(D146,7,2)="68"),SUMIF(COMITENTES!#REF!,D146,COMITENTES!$H:$H),IF(H146="fora",0%,F146/QUÓRUM!$H$4))</f>
        <v>#DIV/0!</v>
      </c>
      <c r="H146" s="46" t="str">
        <f t="shared" si="3"/>
        <v/>
      </c>
      <c r="I146" s="36"/>
      <c r="J146" s="27"/>
      <c r="K146" s="27"/>
      <c r="L146" s="33"/>
    </row>
    <row r="147" spans="1:12" x14ac:dyDescent="0.25">
      <c r="A147" s="25"/>
      <c r="B147" s="42"/>
      <c r="C147" s="70"/>
      <c r="D147" s="42"/>
      <c r="E147" s="42"/>
      <c r="F147" s="54"/>
      <c r="G147" s="45" t="e">
        <f>IF(OR(MID(D147,7,2)="10",MID(D147,7,2)="20",MID(D147,7,2)="68"),SUMIF(COMITENTES!#REF!,D147,COMITENTES!$H:$H),IF(H147="fora",0%,F147/QUÓRUM!$H$4))</f>
        <v>#DIV/0!</v>
      </c>
      <c r="H147" s="46" t="str">
        <f t="shared" si="3"/>
        <v/>
      </c>
      <c r="I147" s="35"/>
      <c r="J147" s="25"/>
      <c r="K147" s="25"/>
      <c r="L147" s="32"/>
    </row>
    <row r="148" spans="1:12" x14ac:dyDescent="0.25">
      <c r="A148" s="27"/>
      <c r="B148" s="44"/>
      <c r="C148" s="69"/>
      <c r="D148" s="44"/>
      <c r="E148" s="44"/>
      <c r="F148" s="53"/>
      <c r="G148" s="45" t="e">
        <f>IF(OR(MID(D148,7,2)="10",MID(D148,7,2)="20",MID(D148,7,2)="68"),SUMIF(COMITENTES!#REF!,D148,COMITENTES!$H:$H),IF(H148="fora",0%,F148/QUÓRUM!$H$4))</f>
        <v>#DIV/0!</v>
      </c>
      <c r="H148" s="46" t="str">
        <f t="shared" si="3"/>
        <v/>
      </c>
      <c r="I148" s="36"/>
      <c r="J148" s="27"/>
      <c r="K148" s="27"/>
      <c r="L148" s="33"/>
    </row>
    <row r="149" spans="1:12" x14ac:dyDescent="0.25">
      <c r="A149" s="25"/>
      <c r="B149" s="42"/>
      <c r="C149" s="70"/>
      <c r="D149" s="42"/>
      <c r="E149" s="42"/>
      <c r="F149" s="54"/>
      <c r="G149" s="45" t="e">
        <f>IF(OR(MID(D149,7,2)="10",MID(D149,7,2)="20",MID(D149,7,2)="68"),SUMIF(COMITENTES!#REF!,D149,COMITENTES!$H:$H),IF(H149="fora",0%,F149/QUÓRUM!$H$4))</f>
        <v>#DIV/0!</v>
      </c>
      <c r="H149" s="46" t="str">
        <f t="shared" si="3"/>
        <v/>
      </c>
      <c r="I149" s="35"/>
      <c r="J149" s="25"/>
      <c r="K149" s="25"/>
      <c r="L149" s="32"/>
    </row>
    <row r="150" spans="1:12" x14ac:dyDescent="0.25">
      <c r="A150" s="27"/>
      <c r="B150" s="44"/>
      <c r="C150" s="69"/>
      <c r="D150" s="44"/>
      <c r="E150" s="44"/>
      <c r="F150" s="53"/>
      <c r="G150" s="45" t="e">
        <f>IF(OR(MID(D150,7,2)="10",MID(D150,7,2)="20",MID(D150,7,2)="68"),SUMIF(COMITENTES!#REF!,D150,COMITENTES!$H:$H),IF(H150="fora",0%,F150/QUÓRUM!$H$4))</f>
        <v>#DIV/0!</v>
      </c>
      <c r="H150" s="46" t="str">
        <f t="shared" si="3"/>
        <v/>
      </c>
      <c r="I150" s="36"/>
      <c r="J150" s="27"/>
      <c r="K150" s="27"/>
      <c r="L150" s="33"/>
    </row>
    <row r="151" spans="1:12" x14ac:dyDescent="0.25">
      <c r="A151" s="25"/>
      <c r="B151" s="42"/>
      <c r="C151" s="70"/>
      <c r="D151" s="42"/>
      <c r="E151" s="42"/>
      <c r="F151" s="54"/>
      <c r="G151" s="45" t="e">
        <f>IF(OR(MID(D151,7,2)="10",MID(D151,7,2)="20",MID(D151,7,2)="68"),SUMIF(COMITENTES!#REF!,D151,COMITENTES!$H:$H),IF(H151="fora",0%,F151/QUÓRUM!$H$4))</f>
        <v>#DIV/0!</v>
      </c>
      <c r="H151" s="46" t="str">
        <f t="shared" si="3"/>
        <v/>
      </c>
      <c r="I151" s="35"/>
      <c r="J151" s="25"/>
      <c r="K151" s="25"/>
      <c r="L151" s="32"/>
    </row>
    <row r="152" spans="1:12" x14ac:dyDescent="0.25">
      <c r="A152" s="27"/>
      <c r="B152" s="44"/>
      <c r="C152" s="69"/>
      <c r="D152" s="44"/>
      <c r="E152" s="44"/>
      <c r="F152" s="53"/>
      <c r="G152" s="45" t="e">
        <f>IF(OR(MID(D152,7,2)="10",MID(D152,7,2)="20",MID(D152,7,2)="68"),SUMIF(COMITENTES!#REF!,D152,COMITENTES!$H:$H),IF(H152="fora",0%,F152/QUÓRUM!$H$4))</f>
        <v>#DIV/0!</v>
      </c>
      <c r="H152" s="46" t="str">
        <f t="shared" si="3"/>
        <v/>
      </c>
      <c r="I152" s="36"/>
      <c r="J152" s="27"/>
      <c r="K152" s="27"/>
      <c r="L152" s="33"/>
    </row>
    <row r="153" spans="1:12" x14ac:dyDescent="0.25">
      <c r="A153" s="25"/>
      <c r="B153" s="42"/>
      <c r="C153" s="70"/>
      <c r="D153" s="42"/>
      <c r="E153" s="42"/>
      <c r="F153" s="54"/>
      <c r="G153" s="45" t="e">
        <f>IF(OR(MID(D153,7,2)="10",MID(D153,7,2)="20",MID(D153,7,2)="68"),SUMIF(COMITENTES!#REF!,D153,COMITENTES!$H:$H),IF(H153="fora",0%,F153/QUÓRUM!$H$4))</f>
        <v>#DIV/0!</v>
      </c>
      <c r="H153" s="46" t="str">
        <f t="shared" si="3"/>
        <v/>
      </c>
      <c r="I153" s="35"/>
      <c r="J153" s="25"/>
      <c r="K153" s="25"/>
      <c r="L153" s="32"/>
    </row>
    <row r="154" spans="1:12" x14ac:dyDescent="0.25">
      <c r="A154" s="27"/>
      <c r="B154" s="44"/>
      <c r="C154" s="69"/>
      <c r="D154" s="44"/>
      <c r="E154" s="44"/>
      <c r="F154" s="53"/>
      <c r="G154" s="45" t="e">
        <f>IF(OR(MID(D154,7,2)="10",MID(D154,7,2)="20",MID(D154,7,2)="68"),SUMIF(COMITENTES!#REF!,D154,COMITENTES!$H:$H),IF(H154="fora",0%,F154/QUÓRUM!$H$4))</f>
        <v>#DIV/0!</v>
      </c>
      <c r="H154" s="46" t="str">
        <f t="shared" si="3"/>
        <v/>
      </c>
      <c r="I154" s="36"/>
      <c r="J154" s="27"/>
      <c r="K154" s="27"/>
      <c r="L154" s="33"/>
    </row>
    <row r="155" spans="1:12" x14ac:dyDescent="0.25">
      <c r="A155" s="25"/>
      <c r="B155" s="42"/>
      <c r="C155" s="70"/>
      <c r="D155" s="42"/>
      <c r="E155" s="42"/>
      <c r="F155" s="54"/>
      <c r="G155" s="45" t="e">
        <f>IF(OR(MID(D155,7,2)="10",MID(D155,7,2)="20",MID(D155,7,2)="68"),SUMIF(COMITENTES!#REF!,D155,COMITENTES!$H:$H),IF(H155="fora",0%,F155/QUÓRUM!$H$4))</f>
        <v>#DIV/0!</v>
      </c>
      <c r="H155" s="46" t="str">
        <f t="shared" si="3"/>
        <v/>
      </c>
      <c r="I155" s="35"/>
      <c r="J155" s="25"/>
      <c r="K155" s="25"/>
      <c r="L155" s="32"/>
    </row>
    <row r="156" spans="1:12" x14ac:dyDescent="0.25">
      <c r="A156" s="27"/>
      <c r="B156" s="44"/>
      <c r="C156" s="69"/>
      <c r="D156" s="44"/>
      <c r="E156" s="44"/>
      <c r="F156" s="53"/>
      <c r="G156" s="45" t="e">
        <f>IF(OR(MID(D156,7,2)="10",MID(D156,7,2)="20",MID(D156,7,2)="68"),SUMIF(COMITENTES!#REF!,D156,COMITENTES!$H:$H),IF(H156="fora",0%,F156/QUÓRUM!$H$4))</f>
        <v>#DIV/0!</v>
      </c>
      <c r="H156" s="46" t="str">
        <f t="shared" si="3"/>
        <v/>
      </c>
      <c r="I156" s="36"/>
      <c r="J156" s="27"/>
      <c r="K156" s="27"/>
      <c r="L156" s="33"/>
    </row>
    <row r="157" spans="1:12" x14ac:dyDescent="0.25">
      <c r="A157" s="25"/>
      <c r="B157" s="42"/>
      <c r="C157" s="70"/>
      <c r="D157" s="42"/>
      <c r="E157" s="42"/>
      <c r="F157" s="55"/>
      <c r="G157" s="45" t="e">
        <f>IF(OR(MID(D157,7,2)="10",MID(D157,7,2)="20",MID(D157,7,2)="68"),SUMIF(COMITENTES!#REF!,D157,COMITENTES!$H:$H),IF(H157="fora",0%,F157/QUÓRUM!$H$4))</f>
        <v>#DIV/0!</v>
      </c>
      <c r="H157" s="46" t="str">
        <f t="shared" si="3"/>
        <v/>
      </c>
      <c r="I157" s="35"/>
      <c r="J157" s="25"/>
      <c r="K157" s="25"/>
      <c r="L157" s="32"/>
    </row>
    <row r="158" spans="1:12" x14ac:dyDescent="0.25">
      <c r="A158" s="27"/>
      <c r="B158" s="44"/>
      <c r="C158" s="69"/>
      <c r="D158" s="44"/>
      <c r="E158" s="44"/>
      <c r="F158" s="53"/>
      <c r="G158" s="45" t="e">
        <f>IF(OR(MID(D158,7,2)="10",MID(D158,7,2)="20",MID(D158,7,2)="68"),SUMIF(COMITENTES!#REF!,D158,COMITENTES!$H:$H),IF(H158="fora",0%,F158/QUÓRUM!$H$4))</f>
        <v>#DIV/0!</v>
      </c>
      <c r="H158" s="46" t="str">
        <f t="shared" si="3"/>
        <v/>
      </c>
      <c r="I158" s="36"/>
      <c r="J158" s="27"/>
      <c r="K158" s="27"/>
      <c r="L158" s="33"/>
    </row>
    <row r="159" spans="1:12" x14ac:dyDescent="0.25">
      <c r="A159" s="25"/>
      <c r="B159" s="42"/>
      <c r="C159" s="70"/>
      <c r="D159" s="42"/>
      <c r="E159" s="42"/>
      <c r="F159" s="54"/>
      <c r="G159" s="45" t="e">
        <f>IF(OR(MID(D159,7,2)="10",MID(D159,7,2)="20",MID(D159,7,2)="68"),SUMIF(COMITENTES!#REF!,D159,COMITENTES!$H:$H),IF(H159="fora",0%,F159/QUÓRUM!$H$4))</f>
        <v>#DIV/0!</v>
      </c>
      <c r="H159" s="46" t="str">
        <f t="shared" si="3"/>
        <v/>
      </c>
      <c r="I159" s="35"/>
      <c r="J159" s="25"/>
      <c r="K159" s="25"/>
      <c r="L159" s="32"/>
    </row>
    <row r="160" spans="1:12" x14ac:dyDescent="0.25">
      <c r="A160" s="27"/>
      <c r="B160" s="44"/>
      <c r="C160" s="69"/>
      <c r="D160" s="44"/>
      <c r="E160" s="44"/>
      <c r="F160" s="53"/>
      <c r="G160" s="45" t="e">
        <f>IF(OR(MID(D160,7,2)="10",MID(D160,7,2)="20",MID(D160,7,2)="68"),SUMIF(COMITENTES!#REF!,D160,COMITENTES!$H:$H),IF(H160="fora",0%,F160/QUÓRUM!$H$4))</f>
        <v>#DIV/0!</v>
      </c>
      <c r="H160" s="46" t="str">
        <f t="shared" si="3"/>
        <v/>
      </c>
      <c r="I160" s="36"/>
      <c r="J160" s="27"/>
      <c r="K160" s="27"/>
      <c r="L160" s="33"/>
    </row>
    <row r="161" spans="1:12" x14ac:dyDescent="0.25">
      <c r="A161" s="25"/>
      <c r="B161" s="42"/>
      <c r="C161" s="70"/>
      <c r="D161" s="42"/>
      <c r="E161" s="42"/>
      <c r="F161" s="54"/>
      <c r="G161" s="45" t="e">
        <f>IF(OR(MID(D161,7,2)="10",MID(D161,7,2)="20",MID(D161,7,2)="68"),SUMIF(COMITENTES!#REF!,D161,COMITENTES!$H:$H),IF(H161="fora",0%,F161/QUÓRUM!$H$4))</f>
        <v>#DIV/0!</v>
      </c>
      <c r="H161" s="46" t="str">
        <f t="shared" si="3"/>
        <v/>
      </c>
      <c r="I161" s="35"/>
      <c r="J161" s="25"/>
      <c r="K161" s="25"/>
      <c r="L161" s="32"/>
    </row>
    <row r="162" spans="1:12" x14ac:dyDescent="0.25">
      <c r="A162" s="27"/>
      <c r="B162" s="44"/>
      <c r="C162" s="69"/>
      <c r="D162" s="44"/>
      <c r="E162" s="44"/>
      <c r="F162" s="53"/>
      <c r="G162" s="45" t="e">
        <f>IF(OR(MID(D162,7,2)="10",MID(D162,7,2)="20",MID(D162,7,2)="68"),SUMIF(COMITENTES!#REF!,D162,COMITENTES!$H:$H),IF(H162="fora",0%,F162/QUÓRUM!$H$4))</f>
        <v>#DIV/0!</v>
      </c>
      <c r="H162" s="46" t="str">
        <f t="shared" si="3"/>
        <v/>
      </c>
      <c r="I162" s="36"/>
      <c r="J162" s="27"/>
      <c r="K162" s="27"/>
      <c r="L162" s="33"/>
    </row>
    <row r="163" spans="1:12" x14ac:dyDescent="0.25">
      <c r="A163" s="25"/>
      <c r="B163" s="42"/>
      <c r="C163" s="70"/>
      <c r="D163" s="42"/>
      <c r="E163" s="42"/>
      <c r="F163" s="54"/>
      <c r="G163" s="45" t="e">
        <f>IF(OR(MID(D163,7,2)="10",MID(D163,7,2)="20",MID(D163,7,2)="68"),SUMIF(COMITENTES!#REF!,D163,COMITENTES!$H:$H),IF(H163="fora",0%,F163/QUÓRUM!$H$4))</f>
        <v>#DIV/0!</v>
      </c>
      <c r="H163" s="46" t="str">
        <f t="shared" si="3"/>
        <v/>
      </c>
      <c r="I163" s="35"/>
      <c r="J163" s="25"/>
      <c r="K163" s="25"/>
      <c r="L163" s="32"/>
    </row>
    <row r="164" spans="1:12" x14ac:dyDescent="0.25">
      <c r="A164" s="27"/>
      <c r="B164" s="44"/>
      <c r="C164" s="69"/>
      <c r="D164" s="44"/>
      <c r="E164" s="44"/>
      <c r="F164" s="53"/>
      <c r="G164" s="45" t="e">
        <f>IF(OR(MID(D164,7,2)="10",MID(D164,7,2)="20",MID(D164,7,2)="68"),SUMIF(COMITENTES!#REF!,D164,COMITENTES!$H:$H),IF(H164="fora",0%,F164/QUÓRUM!$H$4))</f>
        <v>#DIV/0!</v>
      </c>
      <c r="H164" s="46" t="str">
        <f t="shared" si="3"/>
        <v/>
      </c>
      <c r="I164" s="36"/>
      <c r="J164" s="27"/>
      <c r="K164" s="27"/>
      <c r="L164" s="33"/>
    </row>
    <row r="165" spans="1:12" x14ac:dyDescent="0.25">
      <c r="B165" s="47"/>
      <c r="D165" s="47"/>
      <c r="E165" s="47"/>
      <c r="F165" s="56"/>
      <c r="G165" s="45" t="e">
        <f>IF(OR(MID(D165,7,2)="10",MID(D165,7,2)="20",MID(D165,7,2)="68"),SUMIF(COMITENTES!#REF!,D165,COMITENTES!$H:$H),IF(H165="fora",0%,F165/QUÓRUM!$H$4))</f>
        <v>#DIV/0!</v>
      </c>
      <c r="H165" s="46" t="str">
        <f t="shared" si="3"/>
        <v/>
      </c>
      <c r="I165" s="41"/>
      <c r="L165" s="51"/>
    </row>
    <row r="166" spans="1:12" x14ac:dyDescent="0.25">
      <c r="A166" s="27"/>
      <c r="B166" s="48"/>
      <c r="C166" s="59"/>
      <c r="D166" s="48"/>
      <c r="E166" s="48"/>
      <c r="F166" s="57"/>
      <c r="G166" s="45" t="e">
        <f>IF(OR(MID(D166,7,2)="10",MID(D166,7,2)="20",MID(D166,7,2)="68"),SUMIF(COMITENTES!#REF!,D166,COMITENTES!$H:$H),IF(H166="fora",0%,F166/QUÓRUM!$H$4))</f>
        <v>#DIV/0!</v>
      </c>
      <c r="H166" s="46" t="str">
        <f t="shared" si="3"/>
        <v/>
      </c>
      <c r="I166" s="50"/>
      <c r="J166" s="49"/>
      <c r="K166" s="49"/>
      <c r="L166" s="52"/>
    </row>
    <row r="167" spans="1:12" x14ac:dyDescent="0.25">
      <c r="A167" s="25"/>
      <c r="B167" s="47"/>
      <c r="D167" s="47"/>
      <c r="E167" s="47"/>
      <c r="F167" s="56"/>
      <c r="G167" s="45" t="e">
        <f>IF(OR(MID(D167,7,2)="10",MID(D167,7,2)="20",MID(D167,7,2)="68"),SUMIF(COMITENTES!#REF!,D167,COMITENTES!$H:$H),IF(H167="fora",0%,F167/QUÓRUM!$H$4))</f>
        <v>#DIV/0!</v>
      </c>
      <c r="H167" s="46" t="str">
        <f t="shared" si="3"/>
        <v/>
      </c>
      <c r="I167" s="41"/>
      <c r="L167" s="51"/>
    </row>
    <row r="168" spans="1:12" x14ac:dyDescent="0.25">
      <c r="A168" s="27"/>
      <c r="B168" s="48"/>
      <c r="C168" s="59"/>
      <c r="D168" s="48"/>
      <c r="E168" s="48"/>
      <c r="F168" s="57"/>
      <c r="G168" s="45" t="e">
        <f>IF(OR(MID(D168,7,2)="10",MID(D168,7,2)="20",MID(D168,7,2)="68"),SUMIF(COMITENTES!#REF!,D168,COMITENTES!$H:$H),IF(H168="fora",0%,F168/QUÓRUM!$H$4))</f>
        <v>#DIV/0!</v>
      </c>
      <c r="H168" s="46" t="str">
        <f t="shared" si="3"/>
        <v/>
      </c>
      <c r="I168" s="50"/>
      <c r="J168" s="49"/>
      <c r="K168" s="49"/>
      <c r="L168" s="52"/>
    </row>
    <row r="169" spans="1:12" x14ac:dyDescent="0.25">
      <c r="A169" s="25"/>
      <c r="B169" s="47"/>
      <c r="D169" s="47"/>
      <c r="E169" s="47"/>
      <c r="F169" s="56"/>
      <c r="G169" s="45" t="e">
        <f>IF(OR(MID(D169,7,2)="10",MID(D169,7,2)="20",MID(D169,7,2)="68"),SUMIF(COMITENTES!#REF!,D169,COMITENTES!$H:$H),IF(H169="fora",0%,F169/QUÓRUM!$H$4))</f>
        <v>#DIV/0!</v>
      </c>
      <c r="H169" s="46" t="str">
        <f t="shared" si="3"/>
        <v/>
      </c>
      <c r="I169" s="41"/>
      <c r="L169" s="51"/>
    </row>
    <row r="170" spans="1:12" x14ac:dyDescent="0.25">
      <c r="A170" s="27"/>
      <c r="B170" s="48"/>
      <c r="C170" s="59"/>
      <c r="D170" s="48"/>
      <c r="E170" s="48"/>
      <c r="F170" s="57"/>
      <c r="G170" s="45" t="e">
        <f>IF(OR(MID(D170,7,2)="10",MID(D170,7,2)="20",MID(D170,7,2)="68"),SUMIF(COMITENTES!#REF!,D170,COMITENTES!$H:$H),IF(H170="fora",0%,F170/QUÓRUM!$H$4))</f>
        <v>#DIV/0!</v>
      </c>
      <c r="H170" s="46" t="str">
        <f t="shared" si="3"/>
        <v/>
      </c>
      <c r="I170" s="50"/>
      <c r="J170" s="49"/>
      <c r="K170" s="49"/>
      <c r="L170" s="52"/>
    </row>
    <row r="171" spans="1:12" x14ac:dyDescent="0.25">
      <c r="A171" s="25"/>
      <c r="B171" s="47"/>
      <c r="D171" s="47"/>
      <c r="E171" s="47"/>
      <c r="F171" s="56"/>
      <c r="G171" s="45" t="e">
        <f>IF(OR(MID(D171,7,2)="10",MID(D171,7,2)="20",MID(D171,7,2)="68"),SUMIF(COMITENTES!#REF!,D171,COMITENTES!$H:$H),IF(H171="fora",0%,F171/QUÓRUM!$H$4))</f>
        <v>#DIV/0!</v>
      </c>
      <c r="H171" s="46" t="str">
        <f t="shared" si="3"/>
        <v/>
      </c>
      <c r="I171" s="41"/>
      <c r="L171" s="51"/>
    </row>
    <row r="172" spans="1:12" x14ac:dyDescent="0.25">
      <c r="A172" s="27"/>
      <c r="B172" s="48"/>
      <c r="C172" s="59"/>
      <c r="D172" s="48"/>
      <c r="E172" s="48"/>
      <c r="F172" s="57"/>
      <c r="G172" s="45" t="e">
        <f>IF(OR(MID(D172,7,2)="10",MID(D172,7,2)="20",MID(D172,7,2)="68"),SUMIF(COMITENTES!#REF!,D172,COMITENTES!$H:$H),IF(H172="fora",0%,F172/QUÓRUM!$H$4))</f>
        <v>#DIV/0!</v>
      </c>
      <c r="H172" s="46" t="str">
        <f t="shared" si="3"/>
        <v/>
      </c>
      <c r="I172" s="50"/>
      <c r="J172" s="49"/>
      <c r="K172" s="49"/>
      <c r="L172" s="52"/>
    </row>
    <row r="173" spans="1:12" x14ac:dyDescent="0.25">
      <c r="A173" s="25"/>
      <c r="B173" s="47"/>
      <c r="D173" s="47"/>
      <c r="E173" s="47"/>
      <c r="F173" s="56"/>
      <c r="G173" s="45" t="e">
        <f>IF(OR(MID(D173,7,2)="10",MID(D173,7,2)="20",MID(D173,7,2)="68"),SUMIF(COMITENTES!#REF!,D173,COMITENTES!$H:$H),IF(H173="fora",0%,F173/QUÓRUM!$H$4))</f>
        <v>#DIV/0!</v>
      </c>
      <c r="H173" s="46" t="str">
        <f t="shared" si="3"/>
        <v/>
      </c>
      <c r="I173" s="41"/>
      <c r="L173" s="51"/>
    </row>
    <row r="174" spans="1:12" x14ac:dyDescent="0.25">
      <c r="A174" s="27"/>
      <c r="B174" s="48"/>
      <c r="C174" s="59"/>
      <c r="D174" s="48"/>
      <c r="E174" s="48"/>
      <c r="F174" s="57"/>
      <c r="G174" s="45" t="e">
        <f>IF(OR(MID(D174,7,2)="10",MID(D174,7,2)="20",MID(D174,7,2)="68"),SUMIF(COMITENTES!#REF!,D174,COMITENTES!$H:$H),IF(H174="fora",0%,F174/QUÓRUM!$H$4))</f>
        <v>#DIV/0!</v>
      </c>
      <c r="H174" s="46" t="str">
        <f t="shared" si="3"/>
        <v/>
      </c>
      <c r="I174" s="50"/>
      <c r="J174" s="49"/>
      <c r="K174" s="49"/>
      <c r="L174" s="52"/>
    </row>
    <row r="175" spans="1:12" x14ac:dyDescent="0.25">
      <c r="A175" s="25"/>
      <c r="B175" s="47"/>
      <c r="D175" s="47"/>
      <c r="E175" s="47"/>
      <c r="F175" s="56"/>
      <c r="G175" s="45" t="e">
        <f>IF(OR(MID(D175,7,2)="10",MID(D175,7,2)="20",MID(D175,7,2)="68"),SUMIF(COMITENTES!#REF!,D175,COMITENTES!$H:$H),IF(H175="fora",0%,F175/QUÓRUM!$H$4))</f>
        <v>#DIV/0!</v>
      </c>
      <c r="H175" s="46" t="str">
        <f t="shared" si="3"/>
        <v/>
      </c>
      <c r="I175" s="41"/>
      <c r="L175" s="51"/>
    </row>
    <row r="176" spans="1:12" x14ac:dyDescent="0.25">
      <c r="A176" s="27"/>
      <c r="B176" s="48"/>
      <c r="C176" s="59"/>
      <c r="D176" s="48"/>
      <c r="E176" s="48"/>
      <c r="F176" s="57"/>
      <c r="G176" s="45" t="e">
        <f>IF(OR(MID(D176,7,2)="10",MID(D176,7,2)="20",MID(D176,7,2)="68"),SUMIF(COMITENTES!#REF!,D176,COMITENTES!$H:$H),IF(H176="fora",0%,F176/QUÓRUM!$H$4))</f>
        <v>#DIV/0!</v>
      </c>
      <c r="H176" s="46" t="str">
        <f t="shared" si="3"/>
        <v/>
      </c>
      <c r="I176" s="50"/>
      <c r="J176" s="49"/>
      <c r="K176" s="49"/>
      <c r="L176" s="52"/>
    </row>
    <row r="177" spans="1:12" x14ac:dyDescent="0.25">
      <c r="B177" s="47"/>
      <c r="D177" s="47"/>
      <c r="E177" s="47"/>
      <c r="F177" s="56"/>
      <c r="G177" s="45" t="e">
        <f>IF(OR(MID(D177,7,2)="10",MID(D177,7,2)="20",MID(D177,7,2)="68"),SUMIF(COMITENTES!#REF!,D177,COMITENTES!$H:$H),IF(H177="fora",0%,F177/QUÓRUM!$H$4))</f>
        <v>#DIV/0!</v>
      </c>
      <c r="H177" s="46" t="str">
        <f t="shared" si="3"/>
        <v/>
      </c>
      <c r="I177" s="41"/>
      <c r="L177" s="51"/>
    </row>
    <row r="178" spans="1:12" x14ac:dyDescent="0.25">
      <c r="A178" s="27"/>
      <c r="B178" s="48"/>
      <c r="C178" s="59"/>
      <c r="D178" s="48"/>
      <c r="E178" s="48"/>
      <c r="F178" s="57"/>
      <c r="G178" s="45" t="e">
        <f>IF(OR(MID(D178,7,2)="10",MID(D178,7,2)="20",MID(D178,7,2)="68"),SUMIF(COMITENTES!#REF!,D178,COMITENTES!$H:$H),IF(H178="fora",0%,F178/QUÓRUM!$H$4))</f>
        <v>#DIV/0!</v>
      </c>
      <c r="H178" s="46" t="str">
        <f t="shared" si="3"/>
        <v/>
      </c>
      <c r="I178" s="50"/>
      <c r="J178" s="49"/>
      <c r="K178" s="49"/>
      <c r="L178" s="52"/>
    </row>
    <row r="179" spans="1:12" x14ac:dyDescent="0.25">
      <c r="A179" s="25"/>
      <c r="B179" s="47"/>
      <c r="D179" s="47"/>
      <c r="E179" s="47"/>
      <c r="F179" s="56"/>
      <c r="G179" s="45" t="e">
        <f>IF(OR(MID(D179,7,2)="10",MID(D179,7,2)="20",MID(D179,7,2)="68"),SUMIF(COMITENTES!#REF!,D179,COMITENTES!$H:$H),IF(H179="fora",0%,F179/QUÓRUM!$H$4))</f>
        <v>#DIV/0!</v>
      </c>
      <c r="H179" s="46" t="str">
        <f t="shared" si="3"/>
        <v/>
      </c>
      <c r="I179" s="41"/>
      <c r="L179" s="51"/>
    </row>
    <row r="180" spans="1:12" x14ac:dyDescent="0.25">
      <c r="A180" s="27"/>
      <c r="B180" s="48"/>
      <c r="C180" s="59"/>
      <c r="D180" s="48"/>
      <c r="E180" s="48"/>
      <c r="F180" s="57"/>
      <c r="G180" s="45" t="e">
        <f>IF(OR(MID(D180,7,2)="10",MID(D180,7,2)="20",MID(D180,7,2)="68"),SUMIF(COMITENTES!#REF!,D180,COMITENTES!$H:$H),IF(H180="fora",0%,F180/QUÓRUM!$H$4))</f>
        <v>#DIV/0!</v>
      </c>
      <c r="H180" s="46" t="str">
        <f t="shared" si="3"/>
        <v/>
      </c>
      <c r="I180" s="50"/>
      <c r="J180" s="49"/>
      <c r="K180" s="49"/>
      <c r="L180" s="52"/>
    </row>
    <row r="181" spans="1:12" x14ac:dyDescent="0.25">
      <c r="A181" s="25"/>
      <c r="B181" s="47"/>
      <c r="D181" s="47"/>
      <c r="E181" s="47"/>
      <c r="F181" s="56"/>
      <c r="G181" s="45" t="e">
        <f>IF(OR(MID(D181,7,2)="10",MID(D181,7,2)="20",MID(D181,7,2)="68"),SUMIF(COMITENTES!#REF!,D181,COMITENTES!$H:$H),IF(H181="fora",0%,F181/QUÓRUM!$H$4))</f>
        <v>#DIV/0!</v>
      </c>
      <c r="H181" s="46" t="str">
        <f t="shared" si="3"/>
        <v/>
      </c>
      <c r="I181" s="41"/>
      <c r="L181" s="51"/>
    </row>
    <row r="182" spans="1:12" x14ac:dyDescent="0.25">
      <c r="A182" s="27"/>
      <c r="B182" s="48"/>
      <c r="C182" s="59"/>
      <c r="D182" s="48"/>
      <c r="E182" s="48"/>
      <c r="F182" s="57"/>
      <c r="G182" s="45" t="e">
        <f>IF(OR(MID(D182,7,2)="10",MID(D182,7,2)="20",MID(D182,7,2)="68"),SUMIF(COMITENTES!#REF!,D182,COMITENTES!$H:$H),IF(H182="fora",0%,F182/QUÓRUM!$H$4))</f>
        <v>#DIV/0!</v>
      </c>
      <c r="H182" s="46" t="str">
        <f t="shared" si="3"/>
        <v/>
      </c>
      <c r="I182" s="50"/>
      <c r="J182" s="49"/>
      <c r="K182" s="49"/>
      <c r="L182" s="52"/>
    </row>
    <row r="183" spans="1:12" x14ac:dyDescent="0.25">
      <c r="A183" s="25"/>
      <c r="B183" s="47"/>
      <c r="D183" s="47"/>
      <c r="E183" s="47"/>
      <c r="F183" s="56"/>
      <c r="G183" s="45" t="e">
        <f>IF(OR(MID(D183,7,2)="10",MID(D183,7,2)="20",MID(D183,7,2)="68"),SUMIF(COMITENTES!#REF!,D183,COMITENTES!$H:$H),IF(H183="fora",0%,F183/QUÓRUM!$H$4))</f>
        <v>#DIV/0!</v>
      </c>
      <c r="H183" s="46" t="str">
        <f t="shared" si="3"/>
        <v/>
      </c>
      <c r="I183" s="41"/>
      <c r="L183" s="51"/>
    </row>
    <row r="184" spans="1:12" x14ac:dyDescent="0.25">
      <c r="A184" s="27"/>
      <c r="B184" s="48"/>
      <c r="C184" s="59"/>
      <c r="D184" s="48"/>
      <c r="E184" s="48"/>
      <c r="F184" s="57"/>
      <c r="G184" s="45" t="e">
        <f>IF(OR(MID(D184,7,2)="10",MID(D184,7,2)="20",MID(D184,7,2)="68"),SUMIF(COMITENTES!#REF!,D184,COMITENTES!$H:$H),IF(H184="fora",0%,F184/QUÓRUM!$H$4))</f>
        <v>#DIV/0!</v>
      </c>
      <c r="H184" s="46" t="str">
        <f t="shared" si="3"/>
        <v/>
      </c>
      <c r="I184" s="50"/>
      <c r="J184" s="49"/>
      <c r="K184" s="49"/>
      <c r="L184" s="52"/>
    </row>
    <row r="185" spans="1:12" x14ac:dyDescent="0.25">
      <c r="A185" s="25"/>
      <c r="B185" s="47"/>
      <c r="D185" s="47"/>
      <c r="E185" s="47"/>
      <c r="F185" s="56"/>
      <c r="G185" s="45" t="e">
        <f>IF(OR(MID(D185,7,2)="10",MID(D185,7,2)="20",MID(D185,7,2)="68"),SUMIF(COMITENTES!#REF!,D185,COMITENTES!$H:$H),IF(H185="fora",0%,F185/QUÓRUM!$H$4))</f>
        <v>#DIV/0!</v>
      </c>
      <c r="H185" s="46" t="str">
        <f t="shared" si="3"/>
        <v/>
      </c>
      <c r="I185" s="41"/>
      <c r="L185" s="51"/>
    </row>
    <row r="186" spans="1:12" x14ac:dyDescent="0.25">
      <c r="A186" s="27"/>
      <c r="B186" s="48"/>
      <c r="C186" s="59"/>
      <c r="D186" s="48"/>
      <c r="E186" s="48"/>
      <c r="F186" s="57"/>
      <c r="G186" s="45" t="e">
        <f>IF(OR(MID(D186,7,2)="10",MID(D186,7,2)="20",MID(D186,7,2)="68"),SUMIF(COMITENTES!#REF!,D186,COMITENTES!$H:$H),IF(H186="fora",0%,F186/QUÓRUM!$H$4))</f>
        <v>#DIV/0!</v>
      </c>
      <c r="H186" s="46" t="str">
        <f t="shared" si="3"/>
        <v/>
      </c>
      <c r="I186" s="50"/>
      <c r="J186" s="49"/>
      <c r="K186" s="49"/>
      <c r="L186" s="52"/>
    </row>
    <row r="187" spans="1:12" x14ac:dyDescent="0.25">
      <c r="A187" s="25"/>
      <c r="B187" s="47"/>
      <c r="D187" s="47"/>
      <c r="E187" s="47"/>
      <c r="F187" s="56"/>
      <c r="G187" s="45" t="e">
        <f>IF(OR(MID(D187,7,2)="10",MID(D187,7,2)="20",MID(D187,7,2)="68"),SUMIF(COMITENTES!#REF!,D187,COMITENTES!$H:$H),IF(H187="fora",0%,F187/QUÓRUM!$H$4))</f>
        <v>#DIV/0!</v>
      </c>
      <c r="H187" s="46" t="str">
        <f t="shared" si="3"/>
        <v/>
      </c>
      <c r="I187" s="41"/>
      <c r="L187" s="51"/>
    </row>
    <row r="188" spans="1:12" x14ac:dyDescent="0.25">
      <c r="A188" s="27"/>
      <c r="B188" s="48"/>
      <c r="C188" s="59"/>
      <c r="D188" s="48"/>
      <c r="E188" s="48"/>
      <c r="F188" s="59"/>
      <c r="G188" s="45" t="e">
        <f>IF(OR(MID(D188,7,2)="10",MID(D188,7,2)="20",MID(D188,7,2)="68"),SUMIF(COMITENTES!#REF!,D188,COMITENTES!$H:$H),IF(H188="fora",0%,F188/QUÓRUM!$H$4))</f>
        <v>#DIV/0!</v>
      </c>
      <c r="H188" s="46" t="str">
        <f t="shared" si="3"/>
        <v/>
      </c>
      <c r="I188" s="50"/>
      <c r="J188" s="49"/>
      <c r="K188" s="49"/>
      <c r="L188" s="52"/>
    </row>
    <row r="189" spans="1:12" x14ac:dyDescent="0.25">
      <c r="B189" s="47"/>
      <c r="D189" s="47"/>
      <c r="E189" s="47"/>
      <c r="G189" s="45" t="e">
        <f>IF(OR(MID(D189,7,2)="10",MID(D189,7,2)="20",MID(D189,7,2)="68"),SUMIF(COMITENTES!#REF!,D189,COMITENTES!$H:$H),IF(H189="fora",0%,F189/QUÓRUM!$H$4))</f>
        <v>#DIV/0!</v>
      </c>
      <c r="H189" s="46" t="str">
        <f t="shared" si="3"/>
        <v/>
      </c>
    </row>
    <row r="190" spans="1:12" x14ac:dyDescent="0.25">
      <c r="A190" s="27"/>
      <c r="B190" s="48"/>
      <c r="C190" s="59"/>
      <c r="D190" s="48"/>
      <c r="E190" s="48"/>
      <c r="F190" s="59"/>
      <c r="G190" s="45" t="e">
        <f>IF(OR(MID(D190,7,2)="10",MID(D190,7,2)="20",MID(D190,7,2)="68"),SUMIF(COMITENTES!#REF!,D190,COMITENTES!$H:$H),IF(H190="fora",0%,F190/QUÓRUM!$H$4))</f>
        <v>#DIV/0!</v>
      </c>
      <c r="H190" s="46" t="str">
        <f t="shared" si="3"/>
        <v/>
      </c>
      <c r="I190" s="50"/>
      <c r="J190" s="49"/>
      <c r="K190" s="49"/>
      <c r="L190" s="52"/>
    </row>
    <row r="191" spans="1:12" x14ac:dyDescent="0.25">
      <c r="B191" s="47"/>
      <c r="D191" s="47"/>
      <c r="E191" s="47"/>
      <c r="G191" s="45" t="e">
        <f>IF(OR(MID(D191,7,2)="10",MID(D191,7,2)="20",MID(D191,7,2)="68"),SUMIF(COMITENTES!#REF!,D191,COMITENTES!$H:$H),IF(H191="fora",0%,F191/QUÓRUM!$H$4))</f>
        <v>#DIV/0!</v>
      </c>
      <c r="H191" s="46" t="str">
        <f t="shared" si="3"/>
        <v/>
      </c>
    </row>
    <row r="192" spans="1:12" x14ac:dyDescent="0.25">
      <c r="A192" s="27"/>
      <c r="B192" s="48"/>
      <c r="C192" s="59"/>
      <c r="D192" s="48"/>
      <c r="E192" s="48"/>
      <c r="F192" s="59"/>
      <c r="G192" s="45" t="e">
        <f>IF(OR(MID(D192,7,2)="10",MID(D192,7,2)="20",MID(D192,7,2)="68"),SUMIF(COMITENTES!#REF!,D192,COMITENTES!$H:$H),IF(H192="fora",0%,F192/QUÓRUM!$H$4))</f>
        <v>#DIV/0!</v>
      </c>
      <c r="H192" s="46" t="str">
        <f t="shared" si="3"/>
        <v/>
      </c>
      <c r="I192" s="50"/>
      <c r="J192" s="49"/>
      <c r="K192" s="49"/>
      <c r="L192" s="52"/>
    </row>
    <row r="193" spans="7:8" x14ac:dyDescent="0.25">
      <c r="G193" s="45" t="e">
        <f>IF(OR(MID(D193,7,2)="10",MID(D193,7,2)="20",MID(D193,7,2)="68"),SUMIF(COMITENTES!#REF!,D193,COMITENTES!$H:$H),IF(H193="fora",0%,F193/QUÓRUM!$H$4))</f>
        <v>#DIV/0!</v>
      </c>
      <c r="H193" s="46" t="str">
        <f t="shared" si="3"/>
        <v/>
      </c>
    </row>
    <row r="194" spans="7:8" x14ac:dyDescent="0.25">
      <c r="G194" s="45" t="e">
        <f>IF(OR(MID(D194,7,2)="10",MID(D194,7,2)="20",MID(D194,7,2)="68"),SUMIF(COMITENTES!#REF!,D194,COMITENTES!$H:$H),IF(H194="fora",0%,F194/QUÓRUM!$H$4))</f>
        <v>#DIV/0!</v>
      </c>
      <c r="H194" s="46" t="str">
        <f t="shared" ref="H194:H208" si="4">IF(OR(MID(D194,7,2)="10",MID(D194,7,2)="20",MID(D194,7,2)="68"),"PREENCHER NA PRÓXIMA ABA","")</f>
        <v/>
      </c>
    </row>
    <row r="195" spans="7:8" x14ac:dyDescent="0.25">
      <c r="G195" s="45" t="e">
        <f>IF(OR(MID(D195,7,2)="10",MID(D195,7,2)="20",MID(D195,7,2)="68"),SUMIF(COMITENTES!#REF!,D195,COMITENTES!$H:$H),IF(H195="fora",0%,F195/QUÓRUM!$H$4))</f>
        <v>#DIV/0!</v>
      </c>
      <c r="H195" s="46" t="str">
        <f t="shared" si="4"/>
        <v/>
      </c>
    </row>
    <row r="196" spans="7:8" x14ac:dyDescent="0.25">
      <c r="G196" s="45" t="e">
        <f>IF(OR(MID(D196,7,2)="10",MID(D196,7,2)="20",MID(D196,7,2)="68"),SUMIF(COMITENTES!#REF!,D196,COMITENTES!$H:$H),IF(H196="fora",0%,F196/QUÓRUM!$H$4))</f>
        <v>#DIV/0!</v>
      </c>
      <c r="H196" s="46" t="str">
        <f t="shared" si="4"/>
        <v/>
      </c>
    </row>
    <row r="197" spans="7:8" x14ac:dyDescent="0.25">
      <c r="G197" s="45" t="e">
        <f>IF(OR(MID(D197,7,2)="10",MID(D197,7,2)="20",MID(D197,7,2)="68"),SUMIF(COMITENTES!#REF!,D197,COMITENTES!$H:$H),IF(H197="fora",0%,F197/QUÓRUM!$H$4))</f>
        <v>#DIV/0!</v>
      </c>
      <c r="H197" s="46" t="str">
        <f t="shared" si="4"/>
        <v/>
      </c>
    </row>
    <row r="198" spans="7:8" x14ac:dyDescent="0.25">
      <c r="G198" s="45" t="e">
        <f>IF(OR(MID(D198,7,2)="10",MID(D198,7,2)="20",MID(D198,7,2)="68"),SUMIF(COMITENTES!#REF!,D198,COMITENTES!$H:$H),IF(H198="fora",0%,F198/QUÓRUM!$H$4))</f>
        <v>#DIV/0!</v>
      </c>
      <c r="H198" s="46" t="str">
        <f t="shared" si="4"/>
        <v/>
      </c>
    </row>
    <row r="199" spans="7:8" x14ac:dyDescent="0.25">
      <c r="G199" s="45" t="e">
        <f>IF(OR(MID(D199,7,2)="10",MID(D199,7,2)="20",MID(D199,7,2)="68"),SUMIF(COMITENTES!#REF!,D199,COMITENTES!$H:$H),IF(H199="fora",0%,F199/QUÓRUM!$H$4))</f>
        <v>#DIV/0!</v>
      </c>
      <c r="H199" s="46" t="str">
        <f t="shared" si="4"/>
        <v/>
      </c>
    </row>
    <row r="200" spans="7:8" x14ac:dyDescent="0.25">
      <c r="G200" s="45" t="e">
        <f>IF(OR(MID(D200,7,2)="10",MID(D200,7,2)="20",MID(D200,7,2)="68"),SUMIF(COMITENTES!#REF!,D200,COMITENTES!$H:$H),IF(H200="fora",0%,F200/QUÓRUM!$H$4))</f>
        <v>#DIV/0!</v>
      </c>
      <c r="H200" s="46" t="str">
        <f t="shared" si="4"/>
        <v/>
      </c>
    </row>
    <row r="201" spans="7:8" x14ac:dyDescent="0.25">
      <c r="G201" s="45" t="e">
        <f>IF(OR(MID(D201,7,2)="10",MID(D201,7,2)="20",MID(D201,7,2)="68"),SUMIF(COMITENTES!#REF!,D201,COMITENTES!$H:$H),IF(H201="fora",0%,F201/QUÓRUM!$H$4))</f>
        <v>#DIV/0!</v>
      </c>
      <c r="H201" s="46" t="str">
        <f t="shared" si="4"/>
        <v/>
      </c>
    </row>
    <row r="202" spans="7:8" x14ac:dyDescent="0.25">
      <c r="G202" s="45" t="e">
        <f>IF(OR(MID(D202,7,2)="10",MID(D202,7,2)="20",MID(D202,7,2)="68"),SUMIF(COMITENTES!#REF!,D202,COMITENTES!$H:$H),IF(H202="fora",0%,F202/QUÓRUM!$H$4))</f>
        <v>#DIV/0!</v>
      </c>
      <c r="H202" s="46" t="str">
        <f t="shared" si="4"/>
        <v/>
      </c>
    </row>
    <row r="203" spans="7:8" x14ac:dyDescent="0.25">
      <c r="G203" s="45" t="e">
        <f>IF(OR(MID(D203,7,2)="10",MID(D203,7,2)="20",MID(D203,7,2)="68"),SUMIF(COMITENTES!#REF!,D203,COMITENTES!$H:$H),IF(H203="fora",0%,F203/QUÓRUM!$H$4))</f>
        <v>#DIV/0!</v>
      </c>
      <c r="H203" s="46" t="str">
        <f t="shared" si="4"/>
        <v/>
      </c>
    </row>
    <row r="204" spans="7:8" x14ac:dyDescent="0.25">
      <c r="G204" s="45" t="e">
        <f>IF(OR(MID(D204,7,2)="10",MID(D204,7,2)="20",MID(D204,7,2)="68"),SUMIF(COMITENTES!#REF!,D204,COMITENTES!$H:$H),IF(H204="fora",0%,F204/QUÓRUM!$H$4))</f>
        <v>#DIV/0!</v>
      </c>
      <c r="H204" s="46" t="str">
        <f t="shared" si="4"/>
        <v/>
      </c>
    </row>
    <row r="205" spans="7:8" x14ac:dyDescent="0.25">
      <c r="G205" s="45" t="e">
        <f>IF(OR(MID(D205,7,2)="10",MID(D205,7,2)="20",MID(D205,7,2)="68"),SUMIF(COMITENTES!#REF!,D205,COMITENTES!$H:$H),IF(H205="fora",0%,F205/QUÓRUM!$H$4))</f>
        <v>#DIV/0!</v>
      </c>
      <c r="H205" s="46" t="str">
        <f t="shared" si="4"/>
        <v/>
      </c>
    </row>
    <row r="206" spans="7:8" x14ac:dyDescent="0.25">
      <c r="G206" s="45" t="e">
        <f>IF(OR(MID(D206,7,2)="10",MID(D206,7,2)="20",MID(D206,7,2)="68"),SUMIF(COMITENTES!#REF!,D206,COMITENTES!$H:$H),IF(H206="fora",0%,F206/QUÓRUM!$H$4))</f>
        <v>#DIV/0!</v>
      </c>
      <c r="H206" s="46" t="str">
        <f t="shared" si="4"/>
        <v/>
      </c>
    </row>
    <row r="207" spans="7:8" x14ac:dyDescent="0.25">
      <c r="G207" s="45" t="e">
        <f>IF(OR(MID(D207,7,2)="10",MID(D207,7,2)="20",MID(D207,7,2)="68"),SUMIF(COMITENTES!#REF!,D207,COMITENTES!$H:$H),IF(H207="fora",0%,F207/QUÓRUM!$H$4))</f>
        <v>#DIV/0!</v>
      </c>
      <c r="H207" s="46" t="str">
        <f t="shared" si="4"/>
        <v/>
      </c>
    </row>
    <row r="208" spans="7:8" x14ac:dyDescent="0.25">
      <c r="G208" s="45" t="e">
        <f>IF(OR(MID(D208,7,2)="10",MID(D208,7,2)="20",MID(D208,7,2)="68"),SUMIF(COMITENTES!#REF!,D208,COMITENTES!$H:$H),IF(H208="fora",0%,F208/QUÓRUM!$H$4))</f>
        <v>#DIV/0!</v>
      </c>
      <c r="H208" s="46" t="str">
        <f t="shared" si="4"/>
        <v/>
      </c>
    </row>
    <row r="209" spans="7:7" x14ac:dyDescent="0.25">
      <c r="G209" s="45" t="e">
        <f>IF(OR(MID(D209,7,2)="10",MID(D209,7,2)="20",MID(D209,7,2)="68"),SUMIF(COMITENTES!#REF!,D209,COMITENTES!$H:$H),IF(H209="fora",0%,F209/QUÓRUM!$H$4))</f>
        <v>#DIV/0!</v>
      </c>
    </row>
    <row r="210" spans="7:7" x14ac:dyDescent="0.25">
      <c r="G210" s="45" t="e">
        <f>IF(OR(MID(D210,7,2)="10",MID(D210,7,2)="20",MID(D210,7,2)="68"),SUMIF(COMITENTES!#REF!,D210,COMITENTES!$H:$H),IF(H210="fora",0%,F210/QUÓRUM!$H$4))</f>
        <v>#DIV/0!</v>
      </c>
    </row>
    <row r="211" spans="7:7" x14ac:dyDescent="0.25">
      <c r="G211" s="45" t="e">
        <f>IF(OR(MID(D211,7,2)="10",MID(D211,7,2)="20",MID(D211,7,2)="68"),SUMIF(COMITENTES!#REF!,D211,COMITENTES!$H:$H),IF(H211="fora",0%,F211/QUÓRUM!$H$4))</f>
        <v>#DIV/0!</v>
      </c>
    </row>
    <row r="212" spans="7:7" x14ac:dyDescent="0.25">
      <c r="G212" s="45" t="e">
        <f>IF(OR(MID(D212,7,2)="10",MID(D212,7,2)="20",MID(D212,7,2)="68"),SUMIF(COMITENTES!#REF!,D212,COMITENTES!$H:$H),IF(H212="fora",0%,F212/QUÓRUM!$H$4))</f>
        <v>#DIV/0!</v>
      </c>
    </row>
    <row r="213" spans="7:7" x14ac:dyDescent="0.25">
      <c r="G213" s="45" t="e">
        <f>IF(OR(MID(D213,7,2)="10",MID(D213,7,2)="20",MID(D213,7,2)="68"),SUMIF(COMITENTES!#REF!,D213,COMITENTES!$H:$H),IF(H213="fora",0%,F213/QUÓRUM!$H$4))</f>
        <v>#DIV/0!</v>
      </c>
    </row>
    <row r="214" spans="7:7" x14ac:dyDescent="0.25">
      <c r="G214" s="45" t="e">
        <f>IF(OR(MID(D214,7,2)="10",MID(D214,7,2)="20",MID(D214,7,2)="68"),SUMIF(COMITENTES!#REF!,D214,COMITENTES!$H:$H),IF(H214="fora",0%,F214/QUÓRUM!$H$4))</f>
        <v>#DIV/0!</v>
      </c>
    </row>
    <row r="215" spans="7:7" x14ac:dyDescent="0.25">
      <c r="G215" s="45" t="e">
        <f>IF(OR(MID(D215,7,2)="10",MID(D215,7,2)="20",MID(D215,7,2)="68"),SUMIF(COMITENTES!#REF!,D215,COMITENTES!$H:$H),IF(H215="fora",0%,F215/QUÓRUM!$H$4))</f>
        <v>#DIV/0!</v>
      </c>
    </row>
    <row r="216" spans="7:7" x14ac:dyDescent="0.25">
      <c r="G216" s="45" t="e">
        <f>IF(OR(MID(D216,7,2)="10",MID(D216,7,2)="20",MID(D216,7,2)="68"),SUMIF(COMITENTES!#REF!,D216,COMITENTES!$H:$H),IF(H216="fora",0%,F216/QUÓRUM!$H$4))</f>
        <v>#DIV/0!</v>
      </c>
    </row>
    <row r="217" spans="7:7" x14ac:dyDescent="0.25">
      <c r="G217" s="45" t="e">
        <f>IF(OR(MID(D217,7,2)="10",MID(D217,7,2)="20",MID(D217,7,2)="68"),SUMIF(COMITENTES!#REF!,D217,COMITENTES!$H:$H),IF(H217="fora",0%,F217/QUÓRUM!$H$4))</f>
        <v>#DIV/0!</v>
      </c>
    </row>
    <row r="218" spans="7:7" x14ac:dyDescent="0.25">
      <c r="G218" s="45" t="e">
        <f>IF(OR(MID(D218,7,2)="10",MID(D218,7,2)="20",MID(D218,7,2)="68"),SUMIF(COMITENTES!#REF!,D218,COMITENTES!$H:$H),IF(H218="fora",0%,F218/QUÓRUM!$H$4))</f>
        <v>#DIV/0!</v>
      </c>
    </row>
    <row r="219" spans="7:7" x14ac:dyDescent="0.25">
      <c r="G219" s="45" t="e">
        <f>IF(OR(MID(D219,7,2)="10",MID(D219,7,2)="20",MID(D219,7,2)="68"),SUMIF(COMITENTES!#REF!,D219,COMITENTES!$H:$H),IF(H219="fora",0%,F219/QUÓRUM!$H$4))</f>
        <v>#DIV/0!</v>
      </c>
    </row>
    <row r="220" spans="7:7" x14ac:dyDescent="0.25">
      <c r="G220" s="45" t="e">
        <f>IF(OR(MID(D220,7,2)="10",MID(D220,7,2)="20",MID(D220,7,2)="68"),SUMIF(COMITENTES!#REF!,D220,COMITENTES!$H:$H),IF(H220="fora",0%,F220/QUÓRUM!$H$4))</f>
        <v>#DIV/0!</v>
      </c>
    </row>
    <row r="221" spans="7:7" x14ac:dyDescent="0.25">
      <c r="G221" s="45" t="e">
        <f>IF(OR(MID(D221,7,2)="10",MID(D221,7,2)="20",MID(D221,7,2)="68"),SUMIF(COMITENTES!#REF!,D221,COMITENTES!$H:$H),IF(H221="fora",0%,F221/QUÓRUM!$H$4))</f>
        <v>#DIV/0!</v>
      </c>
    </row>
    <row r="222" spans="7:7" x14ac:dyDescent="0.25">
      <c r="G222" s="45" t="e">
        <f>IF(OR(MID(D222,7,2)="10",MID(D222,7,2)="20",MID(D222,7,2)="68"),SUMIF(COMITENTES!#REF!,D222,COMITENTES!$H:$H),IF(H222="fora",0%,F222/QUÓRUM!$H$4))</f>
        <v>#DIV/0!</v>
      </c>
    </row>
    <row r="223" spans="7:7" x14ac:dyDescent="0.25">
      <c r="G223" s="45" t="e">
        <f>IF(OR(MID(D223,7,2)="10",MID(D223,7,2)="20",MID(D223,7,2)="68"),SUMIF(COMITENTES!#REF!,D223,COMITENTES!$H:$H),IF(H223="fora",0%,F223/QUÓRUM!$H$4))</f>
        <v>#DIV/0!</v>
      </c>
    </row>
    <row r="224" spans="7:7" x14ac:dyDescent="0.25">
      <c r="G224" s="45" t="e">
        <f>IF(OR(MID(D224,7,2)="10",MID(D224,7,2)="20",MID(D224,7,2)="68"),SUMIF(COMITENTES!#REF!,D224,COMITENTES!$H:$H),IF(H224="fora",0%,F224/QUÓRUM!$H$4))</f>
        <v>#DIV/0!</v>
      </c>
    </row>
    <row r="225" spans="7:7" x14ac:dyDescent="0.25">
      <c r="G225" s="45" t="e">
        <f>IF(OR(MID(D225,7,2)="10",MID(D225,7,2)="20",MID(D225,7,2)="68"),SUMIF(COMITENTES!#REF!,D225,COMITENTES!$H:$H),IF(H225="fora",0%,F225/QUÓRUM!$H$4))</f>
        <v>#DIV/0!</v>
      </c>
    </row>
    <row r="226" spans="7:7" x14ac:dyDescent="0.25">
      <c r="G226" s="45" t="e">
        <f>IF(OR(MID(D226,7,2)="10",MID(D226,7,2)="20",MID(D226,7,2)="68"),SUMIF(COMITENTES!#REF!,D226,COMITENTES!$H:$H),IF(H226="fora",0%,F226/QUÓRUM!$H$4))</f>
        <v>#DIV/0!</v>
      </c>
    </row>
    <row r="227" spans="7:7" x14ac:dyDescent="0.25">
      <c r="G227" s="45" t="e">
        <f>IF(OR(MID(D227,7,2)="10",MID(D227,7,2)="20",MID(D227,7,2)="68"),SUMIF(COMITENTES!#REF!,D227,COMITENTES!$H:$H),IF(H227="fora",0%,F227/QUÓRUM!$H$4))</f>
        <v>#DIV/0!</v>
      </c>
    </row>
    <row r="228" spans="7:7" x14ac:dyDescent="0.25">
      <c r="G228" s="45" t="e">
        <f>IF(OR(MID(D228,7,2)="10",MID(D228,7,2)="20",MID(D228,7,2)="68"),SUMIF(COMITENTES!#REF!,D228,COMITENTES!$H:$H),IF(H228="fora",0%,F228/QUÓRUM!$H$4))</f>
        <v>#DIV/0!</v>
      </c>
    </row>
    <row r="229" spans="7:7" x14ac:dyDescent="0.25">
      <c r="G229" s="45" t="e">
        <f>IF(OR(MID(D229,7,2)="10",MID(D229,7,2)="20",MID(D229,7,2)="68"),SUMIF(COMITENTES!#REF!,D229,COMITENTES!$H:$H),IF(H229="fora",0%,F229/QUÓRUM!$H$4))</f>
        <v>#DIV/0!</v>
      </c>
    </row>
    <row r="230" spans="7:7" x14ac:dyDescent="0.25">
      <c r="G230" s="45" t="e">
        <f>IF(OR(MID(D230,7,2)="10",MID(D230,7,2)="20",MID(D230,7,2)="68"),SUMIF(COMITENTES!#REF!,D230,COMITENTES!$H:$H),IF(H230="fora",0%,F230/QUÓRUM!$H$4))</f>
        <v>#DIV/0!</v>
      </c>
    </row>
    <row r="231" spans="7:7" x14ac:dyDescent="0.25">
      <c r="G231" s="45" t="e">
        <f>IF(OR(MID(D231,7,2)="10",MID(D231,7,2)="20",MID(D231,7,2)="68"),SUMIF(COMITENTES!#REF!,D231,COMITENTES!$H:$H),IF(H231="fora",0%,F231/QUÓRUM!$H$4))</f>
        <v>#DIV/0!</v>
      </c>
    </row>
    <row r="232" spans="7:7" x14ac:dyDescent="0.25">
      <c r="G232" s="45" t="e">
        <f>IF(OR(MID(D232,7,2)="10",MID(D232,7,2)="20",MID(D232,7,2)="68"),SUMIF(COMITENTES!#REF!,D232,COMITENTES!$H:$H),IF(H232="fora",0%,F232/QUÓRUM!$H$4))</f>
        <v>#DIV/0!</v>
      </c>
    </row>
    <row r="233" spans="7:7" x14ac:dyDescent="0.25">
      <c r="G233" s="45" t="e">
        <f>IF(OR(MID(D233,7,2)="10",MID(D233,7,2)="20",MID(D233,7,2)="68"),SUMIF(COMITENTES!#REF!,D233,COMITENTES!$H:$H),IF(H233="fora",0%,F233/QUÓRUM!$H$4))</f>
        <v>#DIV/0!</v>
      </c>
    </row>
    <row r="234" spans="7:7" x14ac:dyDescent="0.25">
      <c r="G234" s="45" t="e">
        <f>IF(OR(MID(D234,7,2)="10",MID(D234,7,2)="20",MID(D234,7,2)="68"),SUMIF(COMITENTES!#REF!,D234,COMITENTES!$H:$H),IF(H234="fora",0%,F234/QUÓRUM!$H$4))</f>
        <v>#DIV/0!</v>
      </c>
    </row>
    <row r="235" spans="7:7" x14ac:dyDescent="0.25">
      <c r="G235" s="45" t="e">
        <f>IF(OR(MID(D235,7,2)="10",MID(D235,7,2)="20",MID(D235,7,2)="68"),SUMIF(COMITENTES!#REF!,D235,COMITENTES!$H:$H),IF(H235="fora",0%,F235/QUÓRUM!$H$4))</f>
        <v>#DIV/0!</v>
      </c>
    </row>
    <row r="236" spans="7:7" x14ac:dyDescent="0.25">
      <c r="G236" s="45" t="e">
        <f>IF(OR(MID(D236,7,2)="10",MID(D236,7,2)="20",MID(D236,7,2)="68"),SUMIF(COMITENTES!#REF!,D236,COMITENTES!$H:$H),IF(H236="fora",0%,F236/QUÓRUM!$H$4))</f>
        <v>#DIV/0!</v>
      </c>
    </row>
    <row r="237" spans="7:7" x14ac:dyDescent="0.25">
      <c r="G237" s="45" t="e">
        <f>IF(OR(MID(D237,7,2)="10",MID(D237,7,2)="20",MID(D237,7,2)="68"),SUMIF(COMITENTES!#REF!,D237,COMITENTES!$H:$H),IF(H237="fora",0%,F237/QUÓRUM!$H$4))</f>
        <v>#DIV/0!</v>
      </c>
    </row>
    <row r="238" spans="7:7" x14ac:dyDescent="0.25">
      <c r="G238" s="45" t="e">
        <f>IF(OR(MID(D238,7,2)="10",MID(D238,7,2)="20",MID(D238,7,2)="68"),SUMIF(COMITENTES!#REF!,D238,COMITENTES!$H:$H),IF(H238="fora",0%,F238/QUÓRUM!$H$4))</f>
        <v>#DIV/0!</v>
      </c>
    </row>
    <row r="239" spans="7:7" x14ac:dyDescent="0.25">
      <c r="G239" s="45" t="e">
        <f>IF(OR(MID(D239,7,2)="10",MID(D239,7,2)="20",MID(D239,7,2)="68"),SUMIF(COMITENTES!#REF!,D239,COMITENTES!$H:$H),IF(H239="fora",0%,F239/QUÓRUM!$H$4))</f>
        <v>#DIV/0!</v>
      </c>
    </row>
    <row r="240" spans="7:7" x14ac:dyDescent="0.25">
      <c r="G240" s="45" t="e">
        <f>IF(OR(MID(D240,7,2)="10",MID(D240,7,2)="20",MID(D240,7,2)="68"),SUMIF(COMITENTES!#REF!,D240,COMITENTES!$H:$H),IF(H240="fora",0%,F240/QUÓRUM!$H$4))</f>
        <v>#DIV/0!</v>
      </c>
    </row>
    <row r="241" spans="7:7" x14ac:dyDescent="0.25">
      <c r="G241" s="45" t="e">
        <f>IF(OR(MID(D241,7,2)="10",MID(D241,7,2)="20",MID(D241,7,2)="68"),SUMIF(COMITENTES!#REF!,D241,COMITENTES!$H:$H),IF(H241="fora",0%,F241/QUÓRUM!$H$4))</f>
        <v>#DIV/0!</v>
      </c>
    </row>
    <row r="242" spans="7:7" x14ac:dyDescent="0.25">
      <c r="G242" s="45" t="e">
        <f>IF(OR(MID(D242,7,2)="10",MID(D242,7,2)="20",MID(D242,7,2)="68"),SUMIF(COMITENTES!#REF!,D242,COMITENTES!$H:$H),IF(H242="fora",0%,F242/QUÓRUM!$H$4))</f>
        <v>#DIV/0!</v>
      </c>
    </row>
    <row r="243" spans="7:7" x14ac:dyDescent="0.25">
      <c r="G243" s="45" t="e">
        <f>IF(OR(MID(D243,7,2)="10",MID(D243,7,2)="20",MID(D243,7,2)="68"),SUMIF(COMITENTES!#REF!,D243,COMITENTES!$H:$H),IF(H243="fora",0%,F243/QUÓRUM!$H$4))</f>
        <v>#DIV/0!</v>
      </c>
    </row>
    <row r="244" spans="7:7" x14ac:dyDescent="0.25">
      <c r="G244" s="45" t="e">
        <f>IF(OR(MID(D244,7,2)="10",MID(D244,7,2)="20",MID(D244,7,2)="68"),SUMIF(COMITENTES!#REF!,D244,COMITENTES!$H:$H),IF(H244="fora",0%,F244/QUÓRUM!$H$4))</f>
        <v>#DIV/0!</v>
      </c>
    </row>
    <row r="245" spans="7:7" x14ac:dyDescent="0.25">
      <c r="G245" s="45" t="e">
        <f>IF(OR(MID(D245,7,2)="10",MID(D245,7,2)="20",MID(D245,7,2)="68"),SUMIF(COMITENTES!#REF!,D245,COMITENTES!$H:$H),IF(H245="fora",0%,F245/QUÓRUM!$H$4))</f>
        <v>#DIV/0!</v>
      </c>
    </row>
    <row r="246" spans="7:7" x14ac:dyDescent="0.25">
      <c r="G246" s="45" t="e">
        <f>IF(OR(MID(D246,7,2)="10",MID(D246,7,2)="20",MID(D246,7,2)="68"),SUMIF(COMITENTES!#REF!,D246,COMITENTES!$H:$H),IF(H246="fora",0%,F246/QUÓRUM!$H$4))</f>
        <v>#DIV/0!</v>
      </c>
    </row>
    <row r="247" spans="7:7" x14ac:dyDescent="0.25">
      <c r="G247" s="45" t="e">
        <f>IF(OR(MID(D247,7,2)="10",MID(D247,7,2)="20",MID(D247,7,2)="68"),SUMIF(COMITENTES!#REF!,D247,COMITENTES!$H:$H),IF(H247="fora",0%,F247/QUÓRUM!$H$4))</f>
        <v>#DIV/0!</v>
      </c>
    </row>
    <row r="248" spans="7:7" x14ac:dyDescent="0.25">
      <c r="G248" s="45" t="e">
        <f>IF(OR(MID(D248,7,2)="10",MID(D248,7,2)="20",MID(D248,7,2)="68"),SUMIF(COMITENTES!#REF!,D248,COMITENTES!$H:$H),IF(H248="fora",0%,F248/QUÓRUM!$H$4))</f>
        <v>#DIV/0!</v>
      </c>
    </row>
    <row r="249" spans="7:7" x14ac:dyDescent="0.25">
      <c r="G249" s="45" t="e">
        <f>IF(OR(MID(D249,7,2)="10",MID(D249,7,2)="20",MID(D249,7,2)="68"),SUMIF(COMITENTES!#REF!,D249,COMITENTES!$H:$H),IF(H249="fora",0%,F249/QUÓRUM!$H$4))</f>
        <v>#DIV/0!</v>
      </c>
    </row>
    <row r="250" spans="7:7" x14ac:dyDescent="0.25">
      <c r="G250" s="45" t="e">
        <f>IF(OR(MID(D250,7,2)="10",MID(D250,7,2)="20",MID(D250,7,2)="68"),SUMIF(COMITENTES!#REF!,D250,COMITENTES!$H:$H),IF(H250="fora",0%,F250/QUÓRUM!$H$4))</f>
        <v>#DIV/0!</v>
      </c>
    </row>
    <row r="251" spans="7:7" x14ac:dyDescent="0.25">
      <c r="G251" s="45" t="e">
        <f>IF(OR(MID(D251,7,2)="10",MID(D251,7,2)="20",MID(D251,7,2)="68"),SUMIF(COMITENTES!#REF!,D251,COMITENTES!$H:$H),IF(H251="fora",0%,F251/QUÓRUM!$H$4))</f>
        <v>#DIV/0!</v>
      </c>
    </row>
    <row r="252" spans="7:7" x14ac:dyDescent="0.25">
      <c r="G252" s="45" t="e">
        <f>IF(OR(MID(D252,7,2)="10",MID(D252,7,2)="20",MID(D252,7,2)="68"),SUMIF(COMITENTES!#REF!,D252,COMITENTES!$H:$H),IF(H252="fora",0%,F252/QUÓRUM!$H$4))</f>
        <v>#DIV/0!</v>
      </c>
    </row>
    <row r="253" spans="7:7" x14ac:dyDescent="0.25">
      <c r="G253" s="45" t="e">
        <f>IF(OR(MID(D253,7,2)="10",MID(D253,7,2)="20",MID(D253,7,2)="68"),SUMIF(COMITENTES!#REF!,D253,COMITENTES!$H:$H),IF(H253="fora",0%,F253/QUÓRUM!$H$4))</f>
        <v>#DIV/0!</v>
      </c>
    </row>
    <row r="254" spans="7:7" x14ac:dyDescent="0.25">
      <c r="G254" s="45" t="e">
        <f>IF(OR(MID(D254,7,2)="10",MID(D254,7,2)="20",MID(D254,7,2)="68"),SUMIF(COMITENTES!#REF!,D254,COMITENTES!$H:$H),IF(H254="fora",0%,F254/QUÓRUM!$H$4))</f>
        <v>#DIV/0!</v>
      </c>
    </row>
    <row r="255" spans="7:7" x14ac:dyDescent="0.25">
      <c r="G255" s="45" t="e">
        <f>IF(OR(MID(D255,7,2)="10",MID(D255,7,2)="20",MID(D255,7,2)="68"),SUMIF(COMITENTES!#REF!,D255,COMITENTES!$H:$H),IF(H255="fora",0%,F255/QUÓRUM!$H$4))</f>
        <v>#DIV/0!</v>
      </c>
    </row>
    <row r="256" spans="7:7" x14ac:dyDescent="0.25">
      <c r="G256" s="45" t="e">
        <f>IF(OR(MID(D256,7,2)="10",MID(D256,7,2)="20",MID(D256,7,2)="68"),SUMIF(COMITENTES!#REF!,D256,COMITENTES!$H:$H),IF(H256="fora",0%,F256/QUÓRUM!$H$4))</f>
        <v>#DIV/0!</v>
      </c>
    </row>
    <row r="257" spans="7:7" x14ac:dyDescent="0.25">
      <c r="G257" s="45" t="e">
        <f>IF(OR(MID(D257,7,2)="10",MID(D257,7,2)="20",MID(D257,7,2)="68"),SUMIF(COMITENTES!#REF!,D257,COMITENTES!$H:$H),IF(H257="fora",0%,F257/QUÓRUM!$H$4))</f>
        <v>#DIV/0!</v>
      </c>
    </row>
    <row r="258" spans="7:7" x14ac:dyDescent="0.25">
      <c r="G258" s="45" t="e">
        <f>IF(OR(MID(D258,7,2)="10",MID(D258,7,2)="20",MID(D258,7,2)="68"),SUMIF(COMITENTES!#REF!,D258,COMITENTES!$H:$H),IF(H258="fora",0%,F258/QUÓRUM!$H$4))</f>
        <v>#DIV/0!</v>
      </c>
    </row>
    <row r="259" spans="7:7" x14ac:dyDescent="0.25">
      <c r="G259" s="45" t="e">
        <f>IF(OR(MID(D259,7,2)="10",MID(D259,7,2)="20",MID(D259,7,2)="68"),SUMIF(COMITENTES!#REF!,D259,COMITENTES!$H:$H),IF(H259="fora",0%,F259/QUÓRUM!$H$4))</f>
        <v>#DIV/0!</v>
      </c>
    </row>
    <row r="260" spans="7:7" x14ac:dyDescent="0.25">
      <c r="G260" s="45" t="e">
        <f>IF(OR(MID(D260,7,2)="10",MID(D260,7,2)="20",MID(D260,7,2)="68"),SUMIF(COMITENTES!#REF!,D260,COMITENTES!$H:$H),IF(H260="fora",0%,F260/QUÓRUM!$H$4))</f>
        <v>#DIV/0!</v>
      </c>
    </row>
    <row r="261" spans="7:7" x14ac:dyDescent="0.25">
      <c r="G261" s="45" t="e">
        <f>IF(OR(MID(D261,7,2)="10",MID(D261,7,2)="20",MID(D261,7,2)="68"),SUMIF(COMITENTES!#REF!,D261,COMITENTES!$H:$H),IF(H261="fora",0%,F261/QUÓRUM!$H$4))</f>
        <v>#DIV/0!</v>
      </c>
    </row>
    <row r="262" spans="7:7" x14ac:dyDescent="0.25">
      <c r="G262" s="45" t="e">
        <f>IF(OR(MID(D262,7,2)="10",MID(D262,7,2)="20",MID(D262,7,2)="68"),SUMIF(COMITENTES!#REF!,D262,COMITENTES!$H:$H),IF(H262="fora",0%,F262/QUÓRUM!$H$4))</f>
        <v>#DIV/0!</v>
      </c>
    </row>
    <row r="263" spans="7:7" x14ac:dyDescent="0.25">
      <c r="G263" s="45" t="e">
        <f>IF(OR(MID(D263,7,2)="10",MID(D263,7,2)="20",MID(D263,7,2)="68"),SUMIF(COMITENTES!#REF!,D263,COMITENTES!$H:$H),IF(H263="fora",0%,F263/QUÓRUM!$H$4))</f>
        <v>#DIV/0!</v>
      </c>
    </row>
    <row r="264" spans="7:7" x14ac:dyDescent="0.25">
      <c r="G264" s="45" t="e">
        <f>IF(OR(MID(D264,7,2)="10",MID(D264,7,2)="20",MID(D264,7,2)="68"),SUMIF(COMITENTES!#REF!,D264,COMITENTES!$H:$H),IF(H264="fora",0%,F264/QUÓRUM!$H$4))</f>
        <v>#DIV/0!</v>
      </c>
    </row>
    <row r="265" spans="7:7" x14ac:dyDescent="0.25">
      <c r="G265" s="45" t="e">
        <f>IF(OR(MID(D265,7,2)="10",MID(D265,7,2)="20",MID(D265,7,2)="68"),SUMIF(COMITENTES!#REF!,D265,COMITENTES!$H:$H),IF(H265="fora",0%,F265/QUÓRUM!$H$4))</f>
        <v>#DIV/0!</v>
      </c>
    </row>
    <row r="266" spans="7:7" x14ac:dyDescent="0.25">
      <c r="G266" s="45" t="e">
        <f>IF(OR(MID(D266,7,2)="10",MID(D266,7,2)="20",MID(D266,7,2)="68"),SUMIF(COMITENTES!#REF!,D266,COMITENTES!$H:$H),IF(H266="fora",0%,F266/QUÓRUM!$H$4))</f>
        <v>#DIV/0!</v>
      </c>
    </row>
    <row r="267" spans="7:7" x14ac:dyDescent="0.25">
      <c r="G267" s="45" t="e">
        <f>IF(OR(MID(D267,7,2)="10",MID(D267,7,2)="20",MID(D267,7,2)="68"),SUMIF(COMITENTES!#REF!,D267,COMITENTES!$H:$H),IF(H267="fora",0%,F267/QUÓRUM!$H$4))</f>
        <v>#DIV/0!</v>
      </c>
    </row>
    <row r="268" spans="7:7" x14ac:dyDescent="0.25">
      <c r="G268" s="45" t="e">
        <f>IF(OR(MID(D268,7,2)="10",MID(D268,7,2)="20",MID(D268,7,2)="68"),SUMIF(COMITENTES!#REF!,D268,COMITENTES!$H:$H),IF(H268="fora",0%,F268/QUÓRUM!$H$4))</f>
        <v>#DIV/0!</v>
      </c>
    </row>
    <row r="269" spans="7:7" x14ac:dyDescent="0.25">
      <c r="G269" s="45" t="e">
        <f>IF(OR(MID(D269,7,2)="10",MID(D269,7,2)="20",MID(D269,7,2)="68"),SUMIF(COMITENTES!#REF!,D269,COMITENTES!$H:$H),IF(H269="fora",0%,F269/QUÓRUM!$H$4))</f>
        <v>#DIV/0!</v>
      </c>
    </row>
    <row r="270" spans="7:7" x14ac:dyDescent="0.25">
      <c r="G270" s="45" t="e">
        <f>IF(OR(MID(D270,7,2)="10",MID(D270,7,2)="20",MID(D270,7,2)="68"),SUMIF(COMITENTES!#REF!,D270,COMITENTES!$H:$H),IF(H270="fora",0%,F270/QUÓRUM!$H$4))</f>
        <v>#DIV/0!</v>
      </c>
    </row>
    <row r="271" spans="7:7" x14ac:dyDescent="0.25">
      <c r="G271" s="45" t="e">
        <f>IF(OR(MID(D271,7,2)="10",MID(D271,7,2)="20",MID(D271,7,2)="68"),SUMIF(COMITENTES!#REF!,D271,COMITENTES!$H:$H),IF(H271="fora",0%,F271/QUÓRUM!$H$4))</f>
        <v>#DIV/0!</v>
      </c>
    </row>
    <row r="272" spans="7:7" x14ac:dyDescent="0.25">
      <c r="G272" s="45" t="e">
        <f>IF(OR(MID(D272,7,2)="10",MID(D272,7,2)="20",MID(D272,7,2)="68"),SUMIF(COMITENTES!#REF!,D272,COMITENTES!$H:$H),IF(H272="fora",0%,F272/QUÓRUM!$H$4))</f>
        <v>#DIV/0!</v>
      </c>
    </row>
    <row r="273" spans="7:7" x14ac:dyDescent="0.25">
      <c r="G273" s="45" t="e">
        <f>IF(OR(MID(D273,7,2)="10",MID(D273,7,2)="20",MID(D273,7,2)="68"),SUMIF(COMITENTES!#REF!,D273,COMITENTES!$H:$H),IF(H273="fora",0%,F273/QUÓRUM!$H$4))</f>
        <v>#DIV/0!</v>
      </c>
    </row>
    <row r="274" spans="7:7" x14ac:dyDescent="0.25">
      <c r="G274" s="45" t="e">
        <f>IF(OR(MID(D274,7,2)="10",MID(D274,7,2)="20",MID(D274,7,2)="68"),SUMIF(COMITENTES!#REF!,D274,COMITENTES!$H:$H),IF(H274="fora",0%,F274/QUÓRUM!$H$4))</f>
        <v>#DIV/0!</v>
      </c>
    </row>
    <row r="275" spans="7:7" x14ac:dyDescent="0.25">
      <c r="G275" s="45" t="e">
        <f>IF(OR(MID(D275,7,2)="10",MID(D275,7,2)="20",MID(D275,7,2)="68"),SUMIF(COMITENTES!#REF!,D275,COMITENTES!$H:$H),IF(H275="fora",0%,F275/QUÓRUM!$H$4))</f>
        <v>#DIV/0!</v>
      </c>
    </row>
    <row r="276" spans="7:7" x14ac:dyDescent="0.25">
      <c r="G276" s="45" t="e">
        <f>IF(OR(MID(D276,7,2)="10",MID(D276,7,2)="20",MID(D276,7,2)="68"),SUMIF(COMITENTES!#REF!,D276,COMITENTES!$H:$H),IF(H276="fora",0%,F276/QUÓRUM!$H$4))</f>
        <v>#DIV/0!</v>
      </c>
    </row>
    <row r="277" spans="7:7" x14ac:dyDescent="0.25">
      <c r="G277" s="45" t="e">
        <f>IF(OR(MID(D277,7,2)="10",MID(D277,7,2)="20",MID(D277,7,2)="68"),SUMIF(COMITENTES!#REF!,D277,COMITENTES!$H:$H),IF(H277="fora",0%,F277/QUÓRUM!$H$4))</f>
        <v>#DIV/0!</v>
      </c>
    </row>
    <row r="278" spans="7:7" x14ac:dyDescent="0.25">
      <c r="G278" s="45" t="e">
        <f>IF(OR(MID(D278,7,2)="10",MID(D278,7,2)="20",MID(D278,7,2)="68"),SUMIF(COMITENTES!#REF!,D278,COMITENTES!$H:$H),IF(H278="fora",0%,F278/QUÓRUM!$H$4))</f>
        <v>#DIV/0!</v>
      </c>
    </row>
    <row r="279" spans="7:7" x14ac:dyDescent="0.25">
      <c r="G279" s="45" t="e">
        <f>IF(OR(MID(D279,7,2)="10",MID(D279,7,2)="20",MID(D279,7,2)="68"),SUMIF(COMITENTES!#REF!,D279,COMITENTES!$H:$H),IF(H279="fora",0%,F279/QUÓRUM!$H$4))</f>
        <v>#DIV/0!</v>
      </c>
    </row>
    <row r="280" spans="7:7" x14ac:dyDescent="0.25">
      <c r="G280" s="45" t="e">
        <f>IF(OR(MID(D280,7,2)="10",MID(D280,7,2)="20",MID(D280,7,2)="68"),SUMIF(COMITENTES!#REF!,D280,COMITENTES!$H:$H),IF(H280="fora",0%,F280/QUÓRUM!$H$4))</f>
        <v>#DIV/0!</v>
      </c>
    </row>
    <row r="281" spans="7:7" x14ac:dyDescent="0.25">
      <c r="G281" s="45" t="e">
        <f>IF(OR(MID(D281,7,2)="10",MID(D281,7,2)="20",MID(D281,7,2)="68"),SUMIF(COMITENTES!#REF!,D281,COMITENTES!$H:$H),IF(H281="fora",0%,F281/QUÓRUM!$H$4))</f>
        <v>#DIV/0!</v>
      </c>
    </row>
    <row r="282" spans="7:7" x14ac:dyDescent="0.25">
      <c r="G282" s="45" t="e">
        <f>IF(OR(MID(D282,7,2)="10",MID(D282,7,2)="20",MID(D282,7,2)="68"),SUMIF(COMITENTES!#REF!,D282,COMITENTES!$H:$H),IF(H282="fora",0%,F282/QUÓRUM!$H$4))</f>
        <v>#DIV/0!</v>
      </c>
    </row>
    <row r="283" spans="7:7" x14ac:dyDescent="0.25">
      <c r="G283" s="45" t="e">
        <f>IF(OR(MID(D283,7,2)="10",MID(D283,7,2)="20",MID(D283,7,2)="68"),SUMIF(COMITENTES!#REF!,D283,COMITENTES!$H:$H),IF(H283="fora",0%,F283/QUÓRUM!$H$4))</f>
        <v>#DIV/0!</v>
      </c>
    </row>
    <row r="284" spans="7:7" x14ac:dyDescent="0.25">
      <c r="G284" s="45" t="e">
        <f>IF(OR(MID(D284,7,2)="10",MID(D284,7,2)="20",MID(D284,7,2)="68"),SUMIF(COMITENTES!#REF!,D284,COMITENTES!$H:$H),IF(H284="fora",0%,F284/QUÓRUM!$H$4))</f>
        <v>#DIV/0!</v>
      </c>
    </row>
    <row r="285" spans="7:7" x14ac:dyDescent="0.25">
      <c r="G285" s="45" t="e">
        <f>IF(OR(MID(D285,7,2)="10",MID(D285,7,2)="20",MID(D285,7,2)="68"),SUMIF(COMITENTES!#REF!,D285,COMITENTES!$H:$H),IF(H285="fora",0%,F285/QUÓRUM!$H$4))</f>
        <v>#DIV/0!</v>
      </c>
    </row>
    <row r="286" spans="7:7" x14ac:dyDescent="0.25">
      <c r="G286" s="45" t="e">
        <f>IF(OR(MID(D286,7,2)="10",MID(D286,7,2)="20",MID(D286,7,2)="68"),SUMIF(COMITENTES!#REF!,D286,COMITENTES!$H:$H),IF(H286="fora",0%,F286/QUÓRUM!$H$4))</f>
        <v>#DIV/0!</v>
      </c>
    </row>
    <row r="287" spans="7:7" x14ac:dyDescent="0.25">
      <c r="G287" s="45" t="e">
        <f>IF(OR(MID(D287,7,2)="10",MID(D287,7,2)="20",MID(D287,7,2)="68"),SUMIF(COMITENTES!#REF!,D287,COMITENTES!$H:$H),IF(H287="fora",0%,F287/QUÓRUM!$H$4))</f>
        <v>#DIV/0!</v>
      </c>
    </row>
    <row r="288" spans="7:7" x14ac:dyDescent="0.25">
      <c r="G288" s="45" t="e">
        <f>IF(OR(MID(D288,7,2)="10",MID(D288,7,2)="20",MID(D288,7,2)="68"),SUMIF(COMITENTES!#REF!,D288,COMITENTES!$H:$H),IF(H288="fora",0%,F288/QUÓRUM!$H$4))</f>
        <v>#DIV/0!</v>
      </c>
    </row>
    <row r="289" spans="7:7" x14ac:dyDescent="0.25">
      <c r="G289" s="45" t="e">
        <f>IF(OR(MID(D289,7,2)="10",MID(D289,7,2)="20",MID(D289,7,2)="68"),SUMIF(COMITENTES!#REF!,D289,COMITENTES!$H:$H),IF(H289="fora",0%,F289/QUÓRUM!$H$4))</f>
        <v>#DIV/0!</v>
      </c>
    </row>
    <row r="290" spans="7:7" x14ac:dyDescent="0.25">
      <c r="G290" s="45" t="e">
        <f>IF(OR(MID(D290,7,2)="10",MID(D290,7,2)="20",MID(D290,7,2)="68"),SUMIF(COMITENTES!#REF!,D290,COMITENTES!$H:$H),IF(H290="fora",0%,F290/QUÓRUM!$H$4))</f>
        <v>#DIV/0!</v>
      </c>
    </row>
    <row r="291" spans="7:7" x14ac:dyDescent="0.25">
      <c r="G291" s="45" t="e">
        <f>IF(OR(MID(D291,7,2)="10",MID(D291,7,2)="20",MID(D291,7,2)="68"),SUMIF(COMITENTES!#REF!,D291,COMITENTES!$H:$H),IF(H291="fora",0%,F291/QUÓRUM!$H$4))</f>
        <v>#DIV/0!</v>
      </c>
    </row>
    <row r="292" spans="7:7" x14ac:dyDescent="0.25">
      <c r="G292" s="45" t="e">
        <f>IF(OR(MID(D292,7,2)="10",MID(D292,7,2)="20",MID(D292,7,2)="68"),SUMIF(COMITENTES!#REF!,D292,COMITENTES!$H:$H),IF(H292="fora",0%,F292/QUÓRUM!$H$4))</f>
        <v>#DIV/0!</v>
      </c>
    </row>
    <row r="293" spans="7:7" x14ac:dyDescent="0.25">
      <c r="G293" s="45" t="e">
        <f>IF(OR(MID(D293,7,2)="10",MID(D293,7,2)="20",MID(D293,7,2)="68"),SUMIF(COMITENTES!#REF!,D293,COMITENTES!$H:$H),IF(H293="fora",0%,F293/QUÓRUM!$H$4))</f>
        <v>#DIV/0!</v>
      </c>
    </row>
    <row r="294" spans="7:7" x14ac:dyDescent="0.25">
      <c r="G294" s="45" t="e">
        <f>IF(OR(MID(D294,7,2)="10",MID(D294,7,2)="20",MID(D294,7,2)="68"),SUMIF(COMITENTES!#REF!,D294,COMITENTES!$H:$H),IF(H294="fora",0%,F294/QUÓRUM!$H$4))</f>
        <v>#DIV/0!</v>
      </c>
    </row>
    <row r="295" spans="7:7" x14ac:dyDescent="0.25">
      <c r="G295" s="45" t="e">
        <f>IF(OR(MID(D295,7,2)="10",MID(D295,7,2)="20",MID(D295,7,2)="68"),SUMIF(COMITENTES!#REF!,D295,COMITENTES!$H:$H),IF(H295="fora",0%,F295/QUÓRUM!$H$4))</f>
        <v>#DIV/0!</v>
      </c>
    </row>
    <row r="296" spans="7:7" x14ac:dyDescent="0.25">
      <c r="G296" s="45" t="e">
        <f>IF(OR(MID(D296,7,2)="10",MID(D296,7,2)="20",MID(D296,7,2)="68"),SUMIF(COMITENTES!#REF!,D296,COMITENTES!$H:$H),IF(H296="fora",0%,F296/QUÓRUM!$H$4))</f>
        <v>#DIV/0!</v>
      </c>
    </row>
    <row r="297" spans="7:7" x14ac:dyDescent="0.25">
      <c r="G297" s="45" t="e">
        <f>IF(OR(MID(D297,7,2)="10",MID(D297,7,2)="20",MID(D297,7,2)="68"),SUMIF(COMITENTES!#REF!,D297,COMITENTES!$H:$H),IF(H297="fora",0%,F297/QUÓRUM!$H$4))</f>
        <v>#DIV/0!</v>
      </c>
    </row>
    <row r="298" spans="7:7" x14ac:dyDescent="0.25">
      <c r="G298" s="45" t="e">
        <f>IF(OR(MID(D298,7,2)="10",MID(D298,7,2)="20",MID(D298,7,2)="68"),SUMIF(COMITENTES!#REF!,D298,COMITENTES!$H:$H),IF(H298="fora",0%,F298/QUÓRUM!$H$4))</f>
        <v>#DIV/0!</v>
      </c>
    </row>
    <row r="299" spans="7:7" x14ac:dyDescent="0.25">
      <c r="G299" s="45" t="e">
        <f>IF(OR(MID(D299,7,2)="10",MID(D299,7,2)="20",MID(D299,7,2)="68"),SUMIF(COMITENTES!#REF!,D299,COMITENTES!$H:$H),IF(H299="fora",0%,F299/QUÓRUM!$H$4))</f>
        <v>#DIV/0!</v>
      </c>
    </row>
    <row r="300" spans="7:7" x14ac:dyDescent="0.25">
      <c r="G300" s="45" t="e">
        <f>IF(OR(MID(D300,7,2)="10",MID(D300,7,2)="20",MID(D300,7,2)="68"),SUMIF(COMITENTES!#REF!,D300,COMITENTES!$H:$H),IF(H300="fora",0%,F300/QUÓRUM!$H$4))</f>
        <v>#DIV/0!</v>
      </c>
    </row>
    <row r="301" spans="7:7" x14ac:dyDescent="0.25">
      <c r="G301" s="45" t="e">
        <f>IF(OR(MID(D301,7,2)="10",MID(D301,7,2)="20",MID(D301,7,2)="68"),SUMIF(COMITENTES!#REF!,D301,COMITENTES!$H:$H),IF(H301="fora",0%,F301/QUÓRUM!$H$4))</f>
        <v>#DIV/0!</v>
      </c>
    </row>
    <row r="302" spans="7:7" x14ac:dyDescent="0.25">
      <c r="G302" s="45" t="e">
        <f>IF(OR(MID(D302,7,2)="10",MID(D302,7,2)="20",MID(D302,7,2)="68"),SUMIF(COMITENTES!#REF!,D302,COMITENTES!$H:$H),IF(H302="fora",0%,F302/QUÓRUM!$H$4))</f>
        <v>#DIV/0!</v>
      </c>
    </row>
    <row r="303" spans="7:7" x14ac:dyDescent="0.25">
      <c r="G303" s="45" t="e">
        <f>IF(OR(MID(D303,7,2)="10",MID(D303,7,2)="20",MID(D303,7,2)="68"),SUMIF(COMITENTES!#REF!,D303,COMITENTES!$H:$H),IF(H303="fora",0%,F303/QUÓRUM!$H$4))</f>
        <v>#DIV/0!</v>
      </c>
    </row>
    <row r="304" spans="7:7" x14ac:dyDescent="0.25">
      <c r="G304" s="45" t="e">
        <f>IF(OR(MID(D304,7,2)="10",MID(D304,7,2)="20",MID(D304,7,2)="68"),SUMIF(COMITENTES!#REF!,D304,COMITENTES!$H:$H),IF(H304="fora",0%,F304/QUÓRUM!$H$4))</f>
        <v>#DIV/0!</v>
      </c>
    </row>
    <row r="305" spans="7:7" x14ac:dyDescent="0.25">
      <c r="G305" s="45" t="e">
        <f>IF(OR(MID(D305,7,2)="10",MID(D305,7,2)="20",MID(D305,7,2)="68"),SUMIF(COMITENTES!#REF!,D305,COMITENTES!$H:$H),IF(H305="fora",0%,F305/QUÓRUM!$H$4))</f>
        <v>#DIV/0!</v>
      </c>
    </row>
    <row r="306" spans="7:7" x14ac:dyDescent="0.25">
      <c r="G306" s="45" t="e">
        <f>IF(OR(MID(D306,7,2)="10",MID(D306,7,2)="20",MID(D306,7,2)="68"),SUMIF(COMITENTES!#REF!,D306,COMITENTES!$H:$H),IF(H306="fora",0%,F306/QUÓRUM!$H$4))</f>
        <v>#DIV/0!</v>
      </c>
    </row>
    <row r="307" spans="7:7" x14ac:dyDescent="0.25">
      <c r="G307" s="45" t="e">
        <f>IF(OR(MID(D307,7,2)="10",MID(D307,7,2)="20",MID(D307,7,2)="68"),SUMIF(COMITENTES!#REF!,D307,COMITENTES!$H:$H),IF(H307="fora",0%,F307/QUÓRUM!$H$4))</f>
        <v>#DIV/0!</v>
      </c>
    </row>
    <row r="308" spans="7:7" x14ac:dyDescent="0.25">
      <c r="G308" s="45" t="e">
        <f>IF(OR(MID(D308,7,2)="10",MID(D308,7,2)="20",MID(D308,7,2)="68"),SUMIF(COMITENTES!#REF!,D308,COMITENTES!$H:$H),IF(H308="fora",0%,F308/QUÓRUM!$H$4))</f>
        <v>#DIV/0!</v>
      </c>
    </row>
    <row r="309" spans="7:7" x14ac:dyDescent="0.25">
      <c r="G309" s="45" t="e">
        <f>IF(OR(MID(D309,7,2)="10",MID(D309,7,2)="20",MID(D309,7,2)="68"),SUMIF(COMITENTES!#REF!,D309,COMITENTES!$H:$H),IF(H309="fora",0%,F309/QUÓRUM!$H$4))</f>
        <v>#DIV/0!</v>
      </c>
    </row>
    <row r="310" spans="7:7" x14ac:dyDescent="0.25">
      <c r="G310" s="45" t="e">
        <f>IF(OR(MID(D310,7,2)="10",MID(D310,7,2)="20",MID(D310,7,2)="68"),SUMIF(COMITENTES!#REF!,D310,COMITENTES!$H:$H),IF(H310="fora",0%,F310/QUÓRUM!$H$4))</f>
        <v>#DIV/0!</v>
      </c>
    </row>
    <row r="311" spans="7:7" x14ac:dyDescent="0.25">
      <c r="G311" s="45" t="e">
        <f>IF(OR(MID(D311,7,2)="10",MID(D311,7,2)="20",MID(D311,7,2)="68"),SUMIF(COMITENTES!#REF!,D311,COMITENTES!$H:$H),IF(H311="fora",0%,F311/QUÓRUM!$H$4))</f>
        <v>#DIV/0!</v>
      </c>
    </row>
    <row r="312" spans="7:7" x14ac:dyDescent="0.25">
      <c r="G312" s="45" t="e">
        <f>IF(OR(MID(D312,7,2)="10",MID(D312,7,2)="20",MID(D312,7,2)="68"),SUMIF(COMITENTES!#REF!,D312,COMITENTES!$H:$H),IF(H312="fora",0%,F312/QUÓRUM!$H$4))</f>
        <v>#DIV/0!</v>
      </c>
    </row>
    <row r="313" spans="7:7" x14ac:dyDescent="0.25">
      <c r="G313" s="45" t="e">
        <f>IF(OR(MID(D313,7,2)="10",MID(D313,7,2)="20",MID(D313,7,2)="68"),SUMIF(COMITENTES!#REF!,D313,COMITENTES!$H:$H),IF(H313="fora",0%,F313/QUÓRUM!$H$4))</f>
        <v>#DIV/0!</v>
      </c>
    </row>
    <row r="314" spans="7:7" x14ac:dyDescent="0.25">
      <c r="G314" s="45" t="e">
        <f>IF(OR(MID(D314,7,2)="10",MID(D314,7,2)="20",MID(D314,7,2)="68"),SUMIF(COMITENTES!#REF!,D314,COMITENTES!$H:$H),IF(H314="fora",0%,F314/QUÓRUM!$H$4))</f>
        <v>#DIV/0!</v>
      </c>
    </row>
    <row r="315" spans="7:7" x14ac:dyDescent="0.25">
      <c r="G315" s="45" t="e">
        <f>IF(OR(MID(D315,7,2)="10",MID(D315,7,2)="20",MID(D315,7,2)="68"),SUMIF(COMITENTES!#REF!,D315,COMITENTES!$H:$H),IF(H315="fora",0%,F315/QUÓRUM!$H$4))</f>
        <v>#DIV/0!</v>
      </c>
    </row>
    <row r="316" spans="7:7" x14ac:dyDescent="0.25">
      <c r="G316" s="45" t="e">
        <f>IF(OR(MID(D316,7,2)="10",MID(D316,7,2)="20",MID(D316,7,2)="68"),SUMIF(COMITENTES!#REF!,D316,COMITENTES!$H:$H),IF(H316="fora",0%,F316/QUÓRUM!$H$4))</f>
        <v>#DIV/0!</v>
      </c>
    </row>
    <row r="317" spans="7:7" x14ac:dyDescent="0.25">
      <c r="G317" s="45" t="e">
        <f>IF(OR(MID(D317,7,2)="10",MID(D317,7,2)="20",MID(D317,7,2)="68"),SUMIF(COMITENTES!#REF!,D317,COMITENTES!$H:$H),IF(H317="fora",0%,F317/QUÓRUM!$H$4))</f>
        <v>#DIV/0!</v>
      </c>
    </row>
    <row r="318" spans="7:7" x14ac:dyDescent="0.25">
      <c r="G318" s="45" t="e">
        <f>IF(OR(MID(D318,7,2)="10",MID(D318,7,2)="20",MID(D318,7,2)="68"),SUMIF(COMITENTES!#REF!,D318,COMITENTES!$H:$H),IF(H318="fora",0%,F318/QUÓRUM!$H$4))</f>
        <v>#DIV/0!</v>
      </c>
    </row>
    <row r="319" spans="7:7" x14ac:dyDescent="0.25">
      <c r="G319" s="45" t="e">
        <f>IF(OR(MID(D319,7,2)="10",MID(D319,7,2)="20",MID(D319,7,2)="68"),SUMIF(COMITENTES!#REF!,D319,COMITENTES!$H:$H),IF(H319="fora",0%,F319/QUÓRUM!$H$4))</f>
        <v>#DIV/0!</v>
      </c>
    </row>
    <row r="320" spans="7:7" x14ac:dyDescent="0.25">
      <c r="G320" s="45" t="e">
        <f>IF(OR(MID(D320,7,2)="10",MID(D320,7,2)="20",MID(D320,7,2)="68"),SUMIF(COMITENTES!#REF!,D320,COMITENTES!$H:$H),IF(H320="fora",0%,F320/QUÓRUM!$H$4))</f>
        <v>#DIV/0!</v>
      </c>
    </row>
    <row r="321" spans="7:7" x14ac:dyDescent="0.25">
      <c r="G321" s="45" t="e">
        <f>IF(OR(MID(D321,7,2)="10",MID(D321,7,2)="20",MID(D321,7,2)="68"),SUMIF(COMITENTES!#REF!,D321,COMITENTES!$H:$H),IF(H321="fora",0%,F321/QUÓRUM!$H$4))</f>
        <v>#DIV/0!</v>
      </c>
    </row>
    <row r="322" spans="7:7" x14ac:dyDescent="0.25">
      <c r="G322" s="45" t="e">
        <f>IF(OR(MID(D322,7,2)="10",MID(D322,7,2)="20",MID(D322,7,2)="68"),SUMIF(COMITENTES!#REF!,D322,COMITENTES!$H:$H),IF(H322="fora",0%,F322/QUÓRUM!$H$4))</f>
        <v>#DIV/0!</v>
      </c>
    </row>
    <row r="323" spans="7:7" x14ac:dyDescent="0.25">
      <c r="G323" s="45" t="e">
        <f>IF(OR(MID(D323,7,2)="10",MID(D323,7,2)="20",MID(D323,7,2)="68"),SUMIF(COMITENTES!#REF!,D323,COMITENTES!$H:$H),IF(H323="fora",0%,F323/QUÓRUM!$H$4))</f>
        <v>#DIV/0!</v>
      </c>
    </row>
    <row r="324" spans="7:7" x14ac:dyDescent="0.25">
      <c r="G324" s="45" t="e">
        <f>IF(OR(MID(D324,7,2)="10",MID(D324,7,2)="20",MID(D324,7,2)="68"),SUMIF(COMITENTES!#REF!,D324,COMITENTES!$H:$H),IF(H324="fora",0%,F324/QUÓRUM!$H$4))</f>
        <v>#DIV/0!</v>
      </c>
    </row>
    <row r="325" spans="7:7" x14ac:dyDescent="0.25">
      <c r="G325" s="45" t="e">
        <f>IF(OR(MID(D325,7,2)="10",MID(D325,7,2)="20",MID(D325,7,2)="68"),SUMIF(COMITENTES!#REF!,D325,COMITENTES!$H:$H),IF(H325="fora",0%,F325/QUÓRUM!$H$4))</f>
        <v>#DIV/0!</v>
      </c>
    </row>
    <row r="326" spans="7:7" x14ac:dyDescent="0.25">
      <c r="G326" s="45" t="e">
        <f>IF(OR(MID(D326,7,2)="10",MID(D326,7,2)="20",MID(D326,7,2)="68"),SUMIF(COMITENTES!#REF!,D326,COMITENTES!$H:$H),IF(H326="fora",0%,F326/QUÓRUM!$H$4))</f>
        <v>#DIV/0!</v>
      </c>
    </row>
    <row r="327" spans="7:7" x14ac:dyDescent="0.25">
      <c r="G327" s="45" t="e">
        <f>IF(OR(MID(D327,7,2)="10",MID(D327,7,2)="20",MID(D327,7,2)="68"),SUMIF(COMITENTES!#REF!,D327,COMITENTES!$H:$H),IF(H327="fora",0%,F327/QUÓRUM!$H$4))</f>
        <v>#DIV/0!</v>
      </c>
    </row>
    <row r="328" spans="7:7" x14ac:dyDescent="0.25">
      <c r="G328" s="45" t="e">
        <f>IF(OR(MID(D328,7,2)="10",MID(D328,7,2)="20",MID(D328,7,2)="68"),SUMIF(COMITENTES!#REF!,D328,COMITENTES!$H:$H),IF(H328="fora",0%,F328/QUÓRUM!$H$4))</f>
        <v>#DIV/0!</v>
      </c>
    </row>
    <row r="329" spans="7:7" x14ac:dyDescent="0.25">
      <c r="G329" s="45" t="e">
        <f>IF(OR(MID(D329,7,2)="10",MID(D329,7,2)="20",MID(D329,7,2)="68"),SUMIF(COMITENTES!#REF!,D329,COMITENTES!$H:$H),IF(H329="fora",0%,F329/QUÓRUM!$H$4))</f>
        <v>#DIV/0!</v>
      </c>
    </row>
    <row r="330" spans="7:7" x14ac:dyDescent="0.25">
      <c r="G330" s="45" t="e">
        <f>IF(OR(MID(D330,7,2)="10",MID(D330,7,2)="20",MID(D330,7,2)="68"),SUMIF(COMITENTES!#REF!,D330,COMITENTES!$H:$H),IF(H330="fora",0%,F330/QUÓRUM!$H$4))</f>
        <v>#DIV/0!</v>
      </c>
    </row>
    <row r="331" spans="7:7" x14ac:dyDescent="0.25">
      <c r="G331" s="45" t="e">
        <f>IF(OR(MID(D331,7,2)="10",MID(D331,7,2)="20",MID(D331,7,2)="68"),SUMIF(COMITENTES!#REF!,D331,COMITENTES!$H:$H),IF(H331="fora",0%,F331/QUÓRUM!$H$4))</f>
        <v>#DIV/0!</v>
      </c>
    </row>
    <row r="332" spans="7:7" x14ac:dyDescent="0.25">
      <c r="G332" s="45" t="e">
        <f>IF(OR(MID(D332,7,2)="10",MID(D332,7,2)="20",MID(D332,7,2)="68"),SUMIF(COMITENTES!#REF!,D332,COMITENTES!$H:$H),IF(H332="fora",0%,F332/QUÓRUM!$H$4))</f>
        <v>#DIV/0!</v>
      </c>
    </row>
    <row r="333" spans="7:7" x14ac:dyDescent="0.25">
      <c r="G333" s="45" t="e">
        <f>IF(OR(MID(D333,7,2)="10",MID(D333,7,2)="20",MID(D333,7,2)="68"),SUMIF(COMITENTES!#REF!,D333,COMITENTES!$H:$H),IF(H333="fora",0%,F333/QUÓRUM!$H$4))</f>
        <v>#DIV/0!</v>
      </c>
    </row>
    <row r="334" spans="7:7" x14ac:dyDescent="0.25">
      <c r="G334" s="45" t="e">
        <f>IF(OR(MID(D334,7,2)="10",MID(D334,7,2)="20",MID(D334,7,2)="68"),SUMIF(COMITENTES!#REF!,D334,COMITENTES!$H:$H),IF(H334="fora",0%,F334/QUÓRUM!$H$4))</f>
        <v>#DIV/0!</v>
      </c>
    </row>
    <row r="335" spans="7:7" x14ac:dyDescent="0.25">
      <c r="G335" s="45" t="e">
        <f>IF(OR(MID(D335,7,2)="10",MID(D335,7,2)="20",MID(D335,7,2)="68"),SUMIF(COMITENTES!#REF!,D335,COMITENTES!$H:$H),IF(H335="fora",0%,F335/QUÓRUM!$H$4))</f>
        <v>#DIV/0!</v>
      </c>
    </row>
    <row r="336" spans="7:7" x14ac:dyDescent="0.25">
      <c r="G336" s="45" t="e">
        <f>IF(OR(MID(D336,7,2)="10",MID(D336,7,2)="20",MID(D336,7,2)="68"),SUMIF(COMITENTES!#REF!,D336,COMITENTES!$H:$H),IF(H336="fora",0%,F336/QUÓRUM!$H$4))</f>
        <v>#DIV/0!</v>
      </c>
    </row>
    <row r="337" spans="7:7" x14ac:dyDescent="0.25">
      <c r="G337" s="45" t="e">
        <f>IF(OR(MID(D337,7,2)="10",MID(D337,7,2)="20",MID(D337,7,2)="68"),SUMIF(COMITENTES!#REF!,D337,COMITENTES!$H:$H),IF(H337="fora",0%,F337/QUÓRUM!$H$4))</f>
        <v>#DIV/0!</v>
      </c>
    </row>
    <row r="338" spans="7:7" x14ac:dyDescent="0.25">
      <c r="G338" s="45" t="e">
        <f>IF(OR(MID(D338,7,2)="10",MID(D338,7,2)="20",MID(D338,7,2)="68"),SUMIF(COMITENTES!#REF!,D338,COMITENTES!$H:$H),IF(H338="fora",0%,F338/QUÓRUM!$H$4))</f>
        <v>#DIV/0!</v>
      </c>
    </row>
    <row r="339" spans="7:7" x14ac:dyDescent="0.25">
      <c r="G339" s="45" t="e">
        <f>IF(OR(MID(D339,7,2)="10",MID(D339,7,2)="20",MID(D339,7,2)="68"),SUMIF(COMITENTES!#REF!,D339,COMITENTES!$H:$H),IF(H339="fora",0%,F339/QUÓRUM!$H$4))</f>
        <v>#DIV/0!</v>
      </c>
    </row>
    <row r="340" spans="7:7" x14ac:dyDescent="0.25">
      <c r="G340" s="45" t="e">
        <f>IF(OR(MID(D340,7,2)="10",MID(D340,7,2)="20",MID(D340,7,2)="68"),SUMIF(COMITENTES!#REF!,D340,COMITENTES!$H:$H),IF(H340="fora",0%,F340/QUÓRUM!$H$4))</f>
        <v>#DIV/0!</v>
      </c>
    </row>
    <row r="341" spans="7:7" x14ac:dyDescent="0.25">
      <c r="G341" s="45" t="e">
        <f>IF(OR(MID(D341,7,2)="10",MID(D341,7,2)="20",MID(D341,7,2)="68"),SUMIF(COMITENTES!#REF!,D341,COMITENTES!$H:$H),IF(H341="fora",0%,F341/QUÓRUM!$H$4))</f>
        <v>#DIV/0!</v>
      </c>
    </row>
    <row r="342" spans="7:7" x14ac:dyDescent="0.25">
      <c r="G342" s="45" t="e">
        <f>IF(OR(MID(D342,7,2)="10",MID(D342,7,2)="20",MID(D342,7,2)="68"),SUMIF(COMITENTES!#REF!,D342,COMITENTES!$H:$H),IF(H342="fora",0%,F342/QUÓRUM!$H$4))</f>
        <v>#DIV/0!</v>
      </c>
    </row>
    <row r="343" spans="7:7" x14ac:dyDescent="0.25">
      <c r="G343" s="45" t="e">
        <f>IF(OR(MID(D343,7,2)="10",MID(D343,7,2)="20",MID(D343,7,2)="68"),SUMIF(COMITENTES!#REF!,D343,COMITENTES!$H:$H),IF(H343="fora",0%,F343/QUÓRUM!$H$4))</f>
        <v>#DIV/0!</v>
      </c>
    </row>
    <row r="344" spans="7:7" x14ac:dyDescent="0.25">
      <c r="G344" s="45" t="e">
        <f>IF(OR(MID(D344,7,2)="10",MID(D344,7,2)="20",MID(D344,7,2)="68"),SUMIF(COMITENTES!#REF!,D344,COMITENTES!$H:$H),IF(H344="fora",0%,F344/QUÓRUM!$H$4))</f>
        <v>#DIV/0!</v>
      </c>
    </row>
    <row r="345" spans="7:7" x14ac:dyDescent="0.25">
      <c r="G345" s="45" t="e">
        <f>IF(OR(MID(D345,7,2)="10",MID(D345,7,2)="20",MID(D345,7,2)="68"),SUMIF(COMITENTES!#REF!,D345,COMITENTES!$H:$H),IF(H345="fora",0%,F345/QUÓRUM!$H$4))</f>
        <v>#DIV/0!</v>
      </c>
    </row>
    <row r="346" spans="7:7" x14ac:dyDescent="0.25">
      <c r="G346" s="45" t="e">
        <f>IF(OR(MID(D346,7,2)="10",MID(D346,7,2)="20",MID(D346,7,2)="68"),SUMIF(COMITENTES!#REF!,D346,COMITENTES!$H:$H),IF(H346="fora",0%,F346/QUÓRUM!$H$4))</f>
        <v>#DIV/0!</v>
      </c>
    </row>
    <row r="347" spans="7:7" x14ac:dyDescent="0.25">
      <c r="G347" s="45" t="e">
        <f>IF(OR(MID(D347,7,2)="10",MID(D347,7,2)="20",MID(D347,7,2)="68"),SUMIF(COMITENTES!#REF!,D347,COMITENTES!$H:$H),IF(H347="fora",0%,F347/QUÓRUM!$H$4))</f>
        <v>#DIV/0!</v>
      </c>
    </row>
    <row r="348" spans="7:7" x14ac:dyDescent="0.25">
      <c r="G348" s="45" t="e">
        <f>IF(OR(MID(D348,7,2)="10",MID(D348,7,2)="20",MID(D348,7,2)="68"),SUMIF(COMITENTES!#REF!,D348,COMITENTES!$H:$H),IF(H348="fora",0%,F348/QUÓRUM!$H$4))</f>
        <v>#DIV/0!</v>
      </c>
    </row>
    <row r="349" spans="7:7" x14ac:dyDescent="0.25">
      <c r="G349" s="45" t="e">
        <f>IF(OR(MID(D349,7,2)="10",MID(D349,7,2)="20",MID(D349,7,2)="68"),SUMIF(COMITENTES!#REF!,D349,COMITENTES!$H:$H),IF(H349="fora",0%,F349/QUÓRUM!$H$4))</f>
        <v>#DIV/0!</v>
      </c>
    </row>
    <row r="350" spans="7:7" x14ac:dyDescent="0.25">
      <c r="G350" s="45" t="e">
        <f>IF(OR(MID(D350,7,2)="10",MID(D350,7,2)="20",MID(D350,7,2)="68"),SUMIF(COMITENTES!#REF!,D350,COMITENTES!$H:$H),IF(H350="fora",0%,F350/QUÓRUM!$H$4))</f>
        <v>#DIV/0!</v>
      </c>
    </row>
    <row r="351" spans="7:7" x14ac:dyDescent="0.25">
      <c r="G351" s="45" t="e">
        <f>IF(OR(MID(D351,7,2)="10",MID(D351,7,2)="20",MID(D351,7,2)="68"),SUMIF(COMITENTES!#REF!,D351,COMITENTES!$H:$H),IF(H351="fora",0%,F351/QUÓRUM!$H$4))</f>
        <v>#DIV/0!</v>
      </c>
    </row>
    <row r="352" spans="7:7" x14ac:dyDescent="0.25">
      <c r="G352" s="45" t="e">
        <f>IF(OR(MID(D352,7,2)="10",MID(D352,7,2)="20",MID(D352,7,2)="68"),SUMIF(COMITENTES!#REF!,D352,COMITENTES!$H:$H),IF(H352="fora",0%,F352/QUÓRUM!$H$4))</f>
        <v>#DIV/0!</v>
      </c>
    </row>
    <row r="353" spans="7:7" x14ac:dyDescent="0.25">
      <c r="G353" s="45" t="e">
        <f>IF(OR(MID(D353,7,2)="10",MID(D353,7,2)="20",MID(D353,7,2)="68"),SUMIF(COMITENTES!#REF!,D353,COMITENTES!$H:$H),IF(H353="fora",0%,F353/QUÓRUM!$H$4))</f>
        <v>#DIV/0!</v>
      </c>
    </row>
    <row r="354" spans="7:7" x14ac:dyDescent="0.25">
      <c r="G354" s="45" t="e">
        <f>IF(OR(MID(D354,7,2)="10",MID(D354,7,2)="20",MID(D354,7,2)="68"),SUMIF(COMITENTES!#REF!,D354,COMITENTES!$H:$H),IF(H354="fora",0%,F354/QUÓRUM!$H$4))</f>
        <v>#DIV/0!</v>
      </c>
    </row>
    <row r="355" spans="7:7" x14ac:dyDescent="0.25">
      <c r="G355" s="45" t="e">
        <f>IF(OR(MID(D355,7,2)="10",MID(D355,7,2)="20",MID(D355,7,2)="68"),SUMIF(COMITENTES!#REF!,D355,COMITENTES!$H:$H),IF(H355="fora",0%,F355/QUÓRUM!$H$4))</f>
        <v>#DIV/0!</v>
      </c>
    </row>
    <row r="356" spans="7:7" x14ac:dyDescent="0.25">
      <c r="G356" s="45" t="e">
        <f>IF(OR(MID(D356,7,2)="10",MID(D356,7,2)="20",MID(D356,7,2)="68"),SUMIF(COMITENTES!#REF!,D356,COMITENTES!$H:$H),IF(H356="fora",0%,F356/QUÓRUM!$H$4))</f>
        <v>#DIV/0!</v>
      </c>
    </row>
    <row r="357" spans="7:7" x14ac:dyDescent="0.25">
      <c r="G357" s="45" t="e">
        <f>IF(OR(MID(D357,7,2)="10",MID(D357,7,2)="20",MID(D357,7,2)="68"),SUMIF(COMITENTES!#REF!,D357,COMITENTES!$H:$H),IF(H357="fora",0%,F357/QUÓRUM!$H$4))</f>
        <v>#DIV/0!</v>
      </c>
    </row>
    <row r="358" spans="7:7" x14ac:dyDescent="0.25">
      <c r="G358" s="45" t="e">
        <f>IF(OR(MID(D358,7,2)="10",MID(D358,7,2)="20",MID(D358,7,2)="68"),SUMIF(COMITENTES!#REF!,D358,COMITENTES!$H:$H),IF(H358="fora",0%,F358/QUÓRUM!$H$4))</f>
        <v>#DIV/0!</v>
      </c>
    </row>
    <row r="359" spans="7:7" x14ac:dyDescent="0.25">
      <c r="G359" s="45" t="e">
        <f>IF(OR(MID(D359,7,2)="10",MID(D359,7,2)="20",MID(D359,7,2)="68"),SUMIF(COMITENTES!#REF!,D359,COMITENTES!$H:$H),IF(H359="fora",0%,F359/QUÓRUM!$H$4))</f>
        <v>#DIV/0!</v>
      </c>
    </row>
    <row r="360" spans="7:7" x14ac:dyDescent="0.25">
      <c r="G360" s="45" t="e">
        <f>IF(OR(MID(D360,7,2)="10",MID(D360,7,2)="20",MID(D360,7,2)="68"),SUMIF(COMITENTES!#REF!,D360,COMITENTES!$H:$H),IF(H360="fora",0%,F360/QUÓRUM!$H$4))</f>
        <v>#DIV/0!</v>
      </c>
    </row>
    <row r="361" spans="7:7" x14ac:dyDescent="0.25">
      <c r="G361" s="45" t="e">
        <f>IF(OR(MID(D361,7,2)="10",MID(D361,7,2)="20",MID(D361,7,2)="68"),SUMIF(COMITENTES!#REF!,D361,COMITENTES!$H:$H),IF(H361="fora",0%,F361/QUÓRUM!$H$4))</f>
        <v>#DIV/0!</v>
      </c>
    </row>
  </sheetData>
  <conditionalFormatting sqref="H2:H208">
    <cfRule type="cellIs" dxfId="3" priority="1" operator="equal">
      <formula>"OK"</formula>
    </cfRule>
    <cfRule type="cellIs" dxfId="2" priority="2" operator="equal">
      <formula>"FORA"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5"/>
  <dimension ref="A1:T14641"/>
  <sheetViews>
    <sheetView showGridLines="0" zoomScale="90" zoomScaleNormal="90" workbookViewId="0">
      <pane ySplit="1" topLeftCell="A2" activePane="bottomLeft" state="frozen"/>
      <selection pane="bottomLeft" activeCell="A2" sqref="A2"/>
    </sheetView>
  </sheetViews>
  <sheetFormatPr defaultColWidth="9.109375" defaultRowHeight="14.4" x14ac:dyDescent="0.3"/>
  <cols>
    <col min="1" max="1" width="17.6640625" style="110" bestFit="1" customWidth="1"/>
    <col min="2" max="2" width="23.6640625" style="110" bestFit="1" customWidth="1"/>
    <col min="3" max="3" width="46.109375" style="105" customWidth="1"/>
    <col min="4" max="4" width="37.33203125" style="111" customWidth="1"/>
    <col min="5" max="5" width="20.44140625" style="102" bestFit="1" customWidth="1"/>
    <col min="6" max="6" width="14.44140625" style="102" bestFit="1" customWidth="1"/>
    <col min="7" max="7" width="14.5546875" style="103" customWidth="1"/>
    <col min="8" max="8" width="7.5546875" style="111" bestFit="1" customWidth="1"/>
    <col min="9" max="9" width="12.44140625" style="105" customWidth="1"/>
    <col min="10" max="10" width="14.33203125" style="94" customWidth="1"/>
    <col min="11" max="11" width="14.109375" style="94" customWidth="1"/>
    <col min="12" max="12" width="7.33203125" style="114" customWidth="1"/>
    <col min="13" max="17" width="7.33203125" style="108" customWidth="1"/>
    <col min="18" max="18" width="8.109375" style="112" bestFit="1" customWidth="1"/>
    <col min="19" max="19" width="13.5546875" style="108" bestFit="1" customWidth="1"/>
    <col min="20" max="20" width="13" style="113" bestFit="1" customWidth="1"/>
    <col min="21" max="16384" width="9.109375" style="108"/>
  </cols>
  <sheetData>
    <row r="1" spans="1:20" customFormat="1" ht="39" customHeight="1" x14ac:dyDescent="0.3">
      <c r="A1" s="76" t="s">
        <v>22</v>
      </c>
      <c r="B1" s="81" t="s">
        <v>33</v>
      </c>
      <c r="C1" s="81" t="s">
        <v>44</v>
      </c>
      <c r="D1" s="76" t="s">
        <v>32</v>
      </c>
      <c r="E1" s="81" t="s">
        <v>0</v>
      </c>
      <c r="F1" s="76" t="s">
        <v>23</v>
      </c>
      <c r="G1" s="81" t="s">
        <v>11</v>
      </c>
      <c r="H1" s="73" t="s">
        <v>5</v>
      </c>
      <c r="I1" s="133" t="s">
        <v>26</v>
      </c>
      <c r="J1" s="81" t="s">
        <v>43</v>
      </c>
      <c r="K1" s="81" t="s">
        <v>12</v>
      </c>
      <c r="L1" s="81" t="s">
        <v>36</v>
      </c>
      <c r="M1" s="81" t="s">
        <v>38</v>
      </c>
      <c r="N1" s="81" t="s">
        <v>39</v>
      </c>
      <c r="O1" s="81" t="s">
        <v>40</v>
      </c>
      <c r="P1" s="81" t="s">
        <v>41</v>
      </c>
      <c r="Q1" s="81" t="s">
        <v>42</v>
      </c>
      <c r="R1" s="81" t="s">
        <v>18</v>
      </c>
      <c r="S1" s="71" t="s">
        <v>20</v>
      </c>
      <c r="T1" s="72" t="s">
        <v>21</v>
      </c>
    </row>
    <row r="2" spans="1:20" s="94" customFormat="1" ht="12" customHeight="1" x14ac:dyDescent="0.3">
      <c r="A2" s="82"/>
      <c r="B2" s="83"/>
      <c r="C2" s="135"/>
      <c r="D2" s="84"/>
      <c r="E2" s="83"/>
      <c r="F2" s="82"/>
      <c r="G2" s="130"/>
      <c r="H2" s="86" t="e">
        <f>IF(I2="fora",0%,G2/QUÓRUM!$C$6)</f>
        <v>#DIV/0!</v>
      </c>
      <c r="I2" s="87"/>
      <c r="J2" s="88"/>
      <c r="K2" s="88"/>
      <c r="L2" s="89"/>
      <c r="M2" s="89"/>
      <c r="N2" s="90"/>
      <c r="O2" s="87"/>
      <c r="P2" s="87"/>
      <c r="Q2" s="87" t="s">
        <v>45</v>
      </c>
      <c r="R2" s="91"/>
      <c r="S2" s="92"/>
      <c r="T2" s="93"/>
    </row>
    <row r="3" spans="1:20" s="94" customFormat="1" ht="12" customHeight="1" x14ac:dyDescent="0.3">
      <c r="A3" s="82"/>
      <c r="B3" s="83"/>
      <c r="C3" s="135"/>
      <c r="D3" s="84"/>
      <c r="E3" s="83"/>
      <c r="F3" s="82"/>
      <c r="G3" s="130"/>
      <c r="H3" s="86" t="e">
        <f>IF(I3="fora",0%,G3/QUÓRUM!$C$6)</f>
        <v>#DIV/0!</v>
      </c>
      <c r="I3" s="87"/>
      <c r="J3" s="88"/>
      <c r="K3" s="88"/>
      <c r="L3" s="89"/>
      <c r="M3" s="89"/>
      <c r="N3" s="90"/>
      <c r="O3" s="87"/>
      <c r="P3" s="87"/>
      <c r="Q3" s="87" t="s">
        <v>45</v>
      </c>
      <c r="R3" s="91"/>
      <c r="S3" s="92"/>
      <c r="T3" s="93"/>
    </row>
    <row r="4" spans="1:20" s="94" customFormat="1" ht="12" customHeight="1" x14ac:dyDescent="0.3">
      <c r="A4" s="82"/>
      <c r="B4" s="83"/>
      <c r="C4" s="135"/>
      <c r="D4" s="84"/>
      <c r="E4" s="83"/>
      <c r="F4" s="82"/>
      <c r="G4" s="130"/>
      <c r="H4" s="86" t="e">
        <f>IF(I4="fora",0%,G4/QUÓRUM!$C$6)</f>
        <v>#DIV/0!</v>
      </c>
      <c r="I4" s="87"/>
      <c r="J4" s="88"/>
      <c r="K4" s="88"/>
      <c r="L4" s="89"/>
      <c r="M4" s="89"/>
      <c r="N4" s="90"/>
      <c r="O4" s="87"/>
      <c r="P4" s="87"/>
      <c r="Q4" s="90"/>
      <c r="R4" s="91"/>
      <c r="S4" s="92"/>
      <c r="T4" s="93"/>
    </row>
    <row r="5" spans="1:20" s="94" customFormat="1" ht="12" customHeight="1" x14ac:dyDescent="0.3">
      <c r="A5" s="82"/>
      <c r="B5" s="83"/>
      <c r="C5" s="135"/>
      <c r="D5" s="84"/>
      <c r="E5" s="83"/>
      <c r="F5" s="82"/>
      <c r="G5" s="130"/>
      <c r="H5" s="86" t="e">
        <f>IF(I5="fora",0%,G5/QUÓRUM!$C$6)</f>
        <v>#DIV/0!</v>
      </c>
      <c r="I5" s="87"/>
      <c r="J5" s="88"/>
      <c r="K5" s="88"/>
      <c r="L5" s="89"/>
      <c r="M5" s="89"/>
      <c r="N5" s="90"/>
      <c r="O5" s="87"/>
      <c r="P5" s="87"/>
      <c r="Q5" s="90"/>
      <c r="R5" s="91"/>
      <c r="S5" s="92"/>
      <c r="T5" s="93"/>
    </row>
    <row r="6" spans="1:20" s="94" customFormat="1" ht="12" customHeight="1" x14ac:dyDescent="0.3">
      <c r="A6" s="82"/>
      <c r="B6" s="83"/>
      <c r="C6" s="135"/>
      <c r="D6" s="84"/>
      <c r="E6" s="83"/>
      <c r="F6" s="82"/>
      <c r="G6" s="130"/>
      <c r="H6" s="86" t="e">
        <f>IF(I6="fora",0%,G6/QUÓRUM!$C$6)</f>
        <v>#DIV/0!</v>
      </c>
      <c r="I6" s="87"/>
      <c r="J6" s="88"/>
      <c r="K6" s="88"/>
      <c r="L6" s="89"/>
      <c r="M6" s="89"/>
      <c r="N6" s="90"/>
      <c r="O6" s="87"/>
      <c r="P6" s="87"/>
      <c r="Q6" s="90"/>
      <c r="R6" s="91"/>
      <c r="S6" s="92"/>
      <c r="T6" s="93"/>
    </row>
    <row r="7" spans="1:20" s="94" customFormat="1" ht="12" customHeight="1" x14ac:dyDescent="0.3">
      <c r="A7" s="82"/>
      <c r="B7" s="83"/>
      <c r="C7" s="135"/>
      <c r="D7" s="84"/>
      <c r="E7" s="83"/>
      <c r="F7" s="82"/>
      <c r="G7" s="130"/>
      <c r="H7" s="86" t="e">
        <f>IF(I7="fora",0%,G7/QUÓRUM!$C$6)</f>
        <v>#DIV/0!</v>
      </c>
      <c r="I7" s="87"/>
      <c r="J7" s="88"/>
      <c r="K7" s="88"/>
      <c r="L7" s="89"/>
      <c r="M7" s="89"/>
      <c r="N7" s="90"/>
      <c r="O7" s="87"/>
      <c r="P7" s="87"/>
      <c r="Q7" s="90"/>
      <c r="R7" s="91"/>
      <c r="S7" s="92"/>
      <c r="T7" s="93"/>
    </row>
    <row r="8" spans="1:20" s="94" customFormat="1" ht="12" customHeight="1" x14ac:dyDescent="0.3">
      <c r="A8" s="82"/>
      <c r="B8" s="83"/>
      <c r="C8" s="135"/>
      <c r="D8" s="84"/>
      <c r="E8" s="83"/>
      <c r="F8" s="82"/>
      <c r="G8" s="130"/>
      <c r="H8" s="86" t="e">
        <f>IF(I8="fora",0%,G8/QUÓRUM!$C$6)</f>
        <v>#DIV/0!</v>
      </c>
      <c r="I8" s="87"/>
      <c r="J8" s="88"/>
      <c r="K8" s="88"/>
      <c r="L8" s="89"/>
      <c r="M8" s="89"/>
      <c r="N8" s="90"/>
      <c r="O8" s="87"/>
      <c r="P8" s="87"/>
      <c r="Q8" s="90"/>
      <c r="R8" s="91"/>
      <c r="S8" s="92"/>
      <c r="T8" s="93"/>
    </row>
    <row r="9" spans="1:20" s="94" customFormat="1" ht="12" customHeight="1" x14ac:dyDescent="0.3">
      <c r="A9" s="82"/>
      <c r="B9" s="83"/>
      <c r="C9" s="135"/>
      <c r="D9" s="84"/>
      <c r="E9" s="83"/>
      <c r="F9" s="82"/>
      <c r="G9" s="130"/>
      <c r="H9" s="86" t="e">
        <f>IF(I9="fora",0%,G9/QUÓRUM!$C$6)</f>
        <v>#DIV/0!</v>
      </c>
      <c r="I9" s="87"/>
      <c r="J9" s="88"/>
      <c r="K9" s="88"/>
      <c r="L9" s="89"/>
      <c r="M9" s="89"/>
      <c r="N9" s="90"/>
      <c r="O9" s="87"/>
      <c r="P9" s="87"/>
      <c r="Q9" s="90"/>
      <c r="R9" s="91"/>
      <c r="S9" s="92"/>
      <c r="T9" s="93"/>
    </row>
    <row r="10" spans="1:20" s="94" customFormat="1" ht="12" customHeight="1" x14ac:dyDescent="0.3">
      <c r="A10" s="96"/>
      <c r="B10" s="96"/>
      <c r="C10" s="135"/>
      <c r="D10" s="97"/>
      <c r="E10" s="83"/>
      <c r="F10" s="83"/>
      <c r="G10" s="131"/>
      <c r="H10" s="86" t="e">
        <f>IF(I10="fora",0%,G10/QUÓRUM!$C$6)</f>
        <v>#DIV/0!</v>
      </c>
      <c r="I10" s="87"/>
      <c r="J10" s="88"/>
      <c r="K10" s="88"/>
      <c r="L10" s="89"/>
      <c r="M10" s="89"/>
      <c r="N10" s="90"/>
      <c r="O10" s="90"/>
      <c r="P10" s="90"/>
      <c r="Q10" s="87"/>
      <c r="R10" s="98"/>
      <c r="S10" s="90"/>
      <c r="T10" s="99"/>
    </row>
    <row r="11" spans="1:20" s="94" customFormat="1" x14ac:dyDescent="0.3">
      <c r="A11" s="82"/>
      <c r="B11" s="83"/>
      <c r="C11" s="135"/>
      <c r="D11" s="84"/>
      <c r="E11" s="83"/>
      <c r="F11" s="82"/>
      <c r="G11" s="130"/>
      <c r="H11" s="86" t="e">
        <f>IF(I11="fora",0%,G11/QUÓRUM!$C$6)</f>
        <v>#DIV/0!</v>
      </c>
      <c r="I11" s="87"/>
      <c r="J11" s="88"/>
      <c r="K11" s="88"/>
      <c r="L11" s="89"/>
      <c r="M11" s="89"/>
      <c r="N11" s="90"/>
      <c r="O11" s="87"/>
      <c r="P11" s="87"/>
      <c r="Q11" s="90"/>
      <c r="R11" s="91"/>
      <c r="S11" s="92"/>
      <c r="T11" s="93"/>
    </row>
    <row r="12" spans="1:20" s="94" customFormat="1" x14ac:dyDescent="0.3">
      <c r="A12" s="82"/>
      <c r="B12" s="83"/>
      <c r="C12" s="135"/>
      <c r="D12" s="84"/>
      <c r="E12" s="83"/>
      <c r="F12" s="82"/>
      <c r="G12" s="130"/>
      <c r="H12" s="86" t="e">
        <f>IF(I12="fora",0%,G12/QUÓRUM!$C$6)</f>
        <v>#DIV/0!</v>
      </c>
      <c r="I12" s="87"/>
      <c r="J12" s="88"/>
      <c r="K12" s="88"/>
      <c r="L12" s="89"/>
      <c r="M12" s="89"/>
      <c r="N12" s="90"/>
      <c r="O12" s="87"/>
      <c r="P12" s="87"/>
      <c r="Q12" s="87"/>
      <c r="R12" s="91"/>
      <c r="S12" s="92"/>
      <c r="T12" s="93"/>
    </row>
    <row r="13" spans="1:20" s="94" customFormat="1" x14ac:dyDescent="0.3">
      <c r="A13" s="82"/>
      <c r="B13" s="83"/>
      <c r="C13" s="135"/>
      <c r="D13" s="84"/>
      <c r="E13" s="83"/>
      <c r="F13" s="82"/>
      <c r="G13" s="130"/>
      <c r="H13" s="86" t="e">
        <f>IF(I13="fora",0%,G13/QUÓRUM!$C$6)</f>
        <v>#DIV/0!</v>
      </c>
      <c r="I13" s="87"/>
      <c r="J13" s="88"/>
      <c r="K13" s="88"/>
      <c r="L13" s="89"/>
      <c r="M13" s="89"/>
      <c r="N13" s="90"/>
      <c r="O13" s="87"/>
      <c r="P13" s="87"/>
      <c r="Q13" s="87"/>
      <c r="R13" s="91"/>
      <c r="S13" s="92"/>
      <c r="T13" s="93"/>
    </row>
    <row r="14" spans="1:20" s="94" customFormat="1" x14ac:dyDescent="0.3">
      <c r="A14" s="96"/>
      <c r="B14" s="96"/>
      <c r="C14" s="135"/>
      <c r="D14" s="97"/>
      <c r="E14" s="83"/>
      <c r="F14" s="83"/>
      <c r="G14" s="131"/>
      <c r="H14" s="86" t="e">
        <f>IF(I14="fora",0%,G14/QUÓRUM!$C$6)</f>
        <v>#DIV/0!</v>
      </c>
      <c r="I14" s="87"/>
      <c r="J14" s="88"/>
      <c r="K14" s="88"/>
      <c r="L14" s="89"/>
      <c r="M14" s="89"/>
      <c r="N14" s="90"/>
      <c r="O14" s="90"/>
      <c r="P14" s="90"/>
      <c r="Q14" s="87"/>
      <c r="R14" s="98"/>
      <c r="S14" s="90"/>
      <c r="T14" s="99"/>
    </row>
    <row r="15" spans="1:20" s="94" customFormat="1" x14ac:dyDescent="0.3">
      <c r="A15" s="82"/>
      <c r="B15" s="83"/>
      <c r="C15" s="135"/>
      <c r="D15" s="84"/>
      <c r="E15" s="83"/>
      <c r="F15" s="82"/>
      <c r="G15" s="130"/>
      <c r="H15" s="86" t="e">
        <f>IF(I15="fora",0%,G15/QUÓRUM!$C$6)</f>
        <v>#DIV/0!</v>
      </c>
      <c r="I15" s="87"/>
      <c r="J15" s="88"/>
      <c r="K15" s="88"/>
      <c r="L15" s="89"/>
      <c r="M15" s="89"/>
      <c r="N15" s="90"/>
      <c r="O15" s="87"/>
      <c r="P15" s="87"/>
      <c r="Q15" s="87"/>
      <c r="R15" s="91"/>
      <c r="S15" s="92"/>
      <c r="T15" s="93"/>
    </row>
    <row r="16" spans="1:20" s="94" customFormat="1" x14ac:dyDescent="0.3">
      <c r="A16" s="82"/>
      <c r="B16" s="83"/>
      <c r="C16" s="135"/>
      <c r="D16" s="84"/>
      <c r="E16" s="83"/>
      <c r="F16" s="82"/>
      <c r="G16" s="130"/>
      <c r="H16" s="86" t="e">
        <f>IF(I16="fora",0%,G16/QUÓRUM!$C$6)</f>
        <v>#DIV/0!</v>
      </c>
      <c r="I16" s="87"/>
      <c r="J16" s="88"/>
      <c r="K16" s="88"/>
      <c r="L16" s="89"/>
      <c r="M16" s="89"/>
      <c r="N16" s="90"/>
      <c r="O16" s="87"/>
      <c r="P16" s="87"/>
      <c r="Q16" s="90"/>
      <c r="R16" s="91"/>
      <c r="S16" s="92"/>
      <c r="T16" s="93"/>
    </row>
    <row r="17" spans="1:20" s="94" customFormat="1" x14ac:dyDescent="0.3">
      <c r="A17" s="82"/>
      <c r="B17" s="83"/>
      <c r="C17" s="135"/>
      <c r="D17" s="84"/>
      <c r="E17" s="83"/>
      <c r="F17" s="82"/>
      <c r="G17" s="130"/>
      <c r="H17" s="86" t="e">
        <f>IF(I17="fora",0%,G17/QUÓRUM!$C$6)</f>
        <v>#DIV/0!</v>
      </c>
      <c r="I17" s="87"/>
      <c r="J17" s="88"/>
      <c r="K17" s="88"/>
      <c r="L17" s="89"/>
      <c r="M17" s="89"/>
      <c r="N17" s="90"/>
      <c r="O17" s="87"/>
      <c r="P17" s="87"/>
      <c r="Q17" s="90"/>
      <c r="R17" s="91"/>
      <c r="S17" s="92"/>
      <c r="T17" s="93"/>
    </row>
    <row r="18" spans="1:20" s="94" customFormat="1" x14ac:dyDescent="0.3">
      <c r="A18" s="82"/>
      <c r="B18" s="83"/>
      <c r="C18" s="135"/>
      <c r="D18" s="84"/>
      <c r="E18" s="83"/>
      <c r="F18" s="82"/>
      <c r="G18" s="130"/>
      <c r="H18" s="86" t="e">
        <f>IF(I18="fora",0%,G18/QUÓRUM!$C$6)</f>
        <v>#DIV/0!</v>
      </c>
      <c r="I18" s="87"/>
      <c r="J18" s="88"/>
      <c r="K18" s="88"/>
      <c r="L18" s="89"/>
      <c r="M18" s="89"/>
      <c r="N18" s="90"/>
      <c r="O18" s="87"/>
      <c r="P18" s="87"/>
      <c r="Q18" s="90"/>
      <c r="R18" s="91"/>
      <c r="S18" s="92"/>
      <c r="T18" s="93"/>
    </row>
    <row r="19" spans="1:20" s="94" customFormat="1" x14ac:dyDescent="0.3">
      <c r="A19" s="82"/>
      <c r="B19" s="83"/>
      <c r="C19" s="135"/>
      <c r="D19" s="84"/>
      <c r="E19" s="83"/>
      <c r="F19" s="82"/>
      <c r="G19" s="130"/>
      <c r="H19" s="86" t="e">
        <f>IF(I19="fora",0%,G19/QUÓRUM!$C$6)</f>
        <v>#DIV/0!</v>
      </c>
      <c r="I19" s="87"/>
      <c r="J19" s="88"/>
      <c r="K19" s="88"/>
      <c r="L19" s="89"/>
      <c r="M19" s="89"/>
      <c r="N19" s="90"/>
      <c r="O19" s="87"/>
      <c r="P19" s="87"/>
      <c r="Q19" s="90"/>
      <c r="R19" s="91"/>
      <c r="S19" s="92"/>
      <c r="T19" s="93"/>
    </row>
    <row r="20" spans="1:20" s="94" customFormat="1" x14ac:dyDescent="0.3">
      <c r="A20" s="96"/>
      <c r="B20" s="96"/>
      <c r="C20" s="135"/>
      <c r="D20" s="97"/>
      <c r="E20" s="83"/>
      <c r="F20" s="83"/>
      <c r="G20" s="131"/>
      <c r="H20" s="86" t="e">
        <f>IF(I20="fora",0%,G20/QUÓRUM!$C$6)</f>
        <v>#DIV/0!</v>
      </c>
      <c r="I20" s="87"/>
      <c r="J20" s="88"/>
      <c r="K20" s="88"/>
      <c r="L20" s="89"/>
      <c r="M20" s="89"/>
      <c r="N20" s="90"/>
      <c r="O20" s="90"/>
      <c r="P20" s="90"/>
      <c r="Q20" s="90"/>
      <c r="R20" s="98"/>
      <c r="S20" s="90"/>
      <c r="T20" s="99"/>
    </row>
    <row r="21" spans="1:20" s="94" customFormat="1" x14ac:dyDescent="0.3">
      <c r="A21" s="96"/>
      <c r="B21" s="96"/>
      <c r="C21" s="135"/>
      <c r="D21" s="97"/>
      <c r="E21" s="83"/>
      <c r="F21" s="83"/>
      <c r="G21" s="131"/>
      <c r="H21" s="86" t="e">
        <f>IF(I21="fora",0%,G21/QUÓRUM!$C$6)</f>
        <v>#DIV/0!</v>
      </c>
      <c r="I21" s="87"/>
      <c r="J21" s="88"/>
      <c r="K21" s="88"/>
      <c r="L21" s="89"/>
      <c r="M21" s="89"/>
      <c r="N21" s="90"/>
      <c r="O21" s="90"/>
      <c r="P21" s="90"/>
      <c r="Q21" s="90"/>
      <c r="R21" s="98"/>
      <c r="S21" s="90"/>
      <c r="T21" s="99"/>
    </row>
    <row r="22" spans="1:20" s="94" customFormat="1" x14ac:dyDescent="0.3">
      <c r="A22" s="96"/>
      <c r="B22" s="96"/>
      <c r="C22" s="135"/>
      <c r="D22" s="97"/>
      <c r="E22" s="83"/>
      <c r="F22" s="83"/>
      <c r="G22" s="131"/>
      <c r="H22" s="86" t="e">
        <f>IF(I22="fora",0%,G22/QUÓRUM!$C$6)</f>
        <v>#DIV/0!</v>
      </c>
      <c r="I22" s="87"/>
      <c r="J22" s="88"/>
      <c r="K22" s="88"/>
      <c r="L22" s="89"/>
      <c r="M22" s="89"/>
      <c r="N22" s="90"/>
      <c r="O22" s="90"/>
      <c r="P22" s="90"/>
      <c r="Q22" s="87"/>
      <c r="R22" s="98"/>
      <c r="S22" s="90"/>
      <c r="T22" s="99"/>
    </row>
    <row r="23" spans="1:20" s="94" customFormat="1" ht="12" customHeight="1" x14ac:dyDescent="0.3">
      <c r="A23" s="82"/>
      <c r="B23" s="83"/>
      <c r="C23" s="135"/>
      <c r="D23" s="84"/>
      <c r="E23" s="83"/>
      <c r="F23" s="82"/>
      <c r="G23" s="130"/>
      <c r="H23" s="86" t="e">
        <f>IF(I23="fora",0%,G23/QUÓRUM!$C$6)</f>
        <v>#DIV/0!</v>
      </c>
      <c r="I23" s="87"/>
      <c r="J23" s="88"/>
      <c r="K23" s="88"/>
      <c r="L23" s="89"/>
      <c r="M23" s="89"/>
      <c r="N23" s="90"/>
      <c r="O23" s="87"/>
      <c r="P23" s="87"/>
      <c r="Q23" s="87"/>
      <c r="R23" s="91"/>
      <c r="S23" s="92"/>
      <c r="T23" s="93"/>
    </row>
    <row r="24" spans="1:20" s="94" customFormat="1" ht="12" customHeight="1" x14ac:dyDescent="0.3">
      <c r="A24" s="96"/>
      <c r="B24" s="96"/>
      <c r="C24" s="135"/>
      <c r="D24" s="97"/>
      <c r="E24" s="83"/>
      <c r="F24" s="83"/>
      <c r="G24" s="131"/>
      <c r="H24" s="86" t="e">
        <f>IF(I24="fora",0%,G24/QUÓRUM!$C$6)</f>
        <v>#DIV/0!</v>
      </c>
      <c r="I24" s="87"/>
      <c r="J24" s="88"/>
      <c r="K24" s="88"/>
      <c r="L24" s="89"/>
      <c r="M24" s="89"/>
      <c r="N24" s="90"/>
      <c r="O24" s="90"/>
      <c r="P24" s="90"/>
      <c r="Q24" s="87"/>
      <c r="R24" s="98"/>
      <c r="S24" s="90"/>
      <c r="T24" s="99"/>
    </row>
    <row r="25" spans="1:20" s="94" customFormat="1" ht="12" customHeight="1" x14ac:dyDescent="0.3">
      <c r="A25" s="82"/>
      <c r="B25" s="83"/>
      <c r="C25" s="135"/>
      <c r="D25" s="84"/>
      <c r="E25" s="83"/>
      <c r="F25" s="82"/>
      <c r="G25" s="130"/>
      <c r="H25" s="86" t="e">
        <f>IF(I25="fora",0%,G25/QUÓRUM!$C$6)</f>
        <v>#DIV/0!</v>
      </c>
      <c r="I25" s="87"/>
      <c r="J25" s="88"/>
      <c r="K25" s="88"/>
      <c r="L25" s="89"/>
      <c r="M25" s="89"/>
      <c r="N25" s="90"/>
      <c r="O25" s="87"/>
      <c r="P25" s="87"/>
      <c r="Q25" s="87"/>
      <c r="R25" s="91"/>
      <c r="S25" s="92"/>
      <c r="T25" s="93"/>
    </row>
    <row r="26" spans="1:20" s="94" customFormat="1" ht="12" customHeight="1" x14ac:dyDescent="0.3">
      <c r="A26" s="82"/>
      <c r="B26" s="83"/>
      <c r="C26" s="135"/>
      <c r="D26" s="84"/>
      <c r="E26" s="83"/>
      <c r="F26" s="82"/>
      <c r="G26" s="130"/>
      <c r="H26" s="86" t="e">
        <f>IF(I26="fora",0%,G26/QUÓRUM!$C$6)</f>
        <v>#DIV/0!</v>
      </c>
      <c r="I26" s="87"/>
      <c r="J26" s="88"/>
      <c r="K26" s="88"/>
      <c r="L26" s="89"/>
      <c r="M26" s="89"/>
      <c r="N26" s="90"/>
      <c r="O26" s="87"/>
      <c r="P26" s="87"/>
      <c r="Q26" s="90"/>
      <c r="R26" s="91"/>
      <c r="S26" s="92"/>
      <c r="T26" s="93"/>
    </row>
    <row r="27" spans="1:20" s="94" customFormat="1" ht="12" customHeight="1" x14ac:dyDescent="0.3">
      <c r="A27" s="82"/>
      <c r="B27" s="83"/>
      <c r="C27" s="135"/>
      <c r="D27" s="84"/>
      <c r="E27" s="83"/>
      <c r="F27" s="82"/>
      <c r="G27" s="130"/>
      <c r="H27" s="86" t="e">
        <f>IF(I27="fora",0%,G27/QUÓRUM!$C$6)</f>
        <v>#DIV/0!</v>
      </c>
      <c r="I27" s="87"/>
      <c r="J27" s="88"/>
      <c r="K27" s="88"/>
      <c r="L27" s="89"/>
      <c r="M27" s="89"/>
      <c r="N27" s="90"/>
      <c r="O27" s="87"/>
      <c r="P27" s="87"/>
      <c r="Q27" s="90"/>
      <c r="R27" s="91"/>
      <c r="S27" s="92"/>
      <c r="T27" s="93"/>
    </row>
    <row r="28" spans="1:20" s="94" customFormat="1" ht="12" customHeight="1" x14ac:dyDescent="0.3">
      <c r="A28" s="82"/>
      <c r="B28" s="83"/>
      <c r="C28" s="135"/>
      <c r="D28" s="84"/>
      <c r="E28" s="83"/>
      <c r="F28" s="82"/>
      <c r="G28" s="130"/>
      <c r="H28" s="86" t="e">
        <f>IF(I28="fora",0%,G28/QUÓRUM!$C$6)</f>
        <v>#DIV/0!</v>
      </c>
      <c r="I28" s="87"/>
      <c r="J28" s="88"/>
      <c r="K28" s="88"/>
      <c r="L28" s="89"/>
      <c r="M28" s="89"/>
      <c r="N28" s="90"/>
      <c r="O28" s="87"/>
      <c r="P28" s="87"/>
      <c r="Q28" s="90"/>
      <c r="R28" s="91"/>
      <c r="S28" s="92"/>
      <c r="T28" s="93"/>
    </row>
    <row r="29" spans="1:20" s="94" customFormat="1" ht="12" customHeight="1" x14ac:dyDescent="0.3">
      <c r="A29" s="96"/>
      <c r="B29" s="96"/>
      <c r="C29" s="87"/>
      <c r="D29" s="97"/>
      <c r="E29" s="83"/>
      <c r="F29" s="83"/>
      <c r="G29" s="131"/>
      <c r="H29" s="86" t="e">
        <f>IF(I29="fora",0%,G29/QUÓRUM!$C$6)</f>
        <v>#DIV/0!</v>
      </c>
      <c r="I29" s="87"/>
      <c r="J29" s="88"/>
      <c r="K29" s="88"/>
      <c r="L29" s="89"/>
      <c r="M29" s="89"/>
      <c r="N29" s="90"/>
      <c r="O29" s="90"/>
      <c r="P29" s="90"/>
      <c r="Q29" s="87"/>
      <c r="R29" s="98"/>
      <c r="S29" s="90"/>
      <c r="T29" s="99"/>
    </row>
    <row r="30" spans="1:20" s="94" customFormat="1" ht="12" customHeight="1" x14ac:dyDescent="0.3">
      <c r="A30" s="96"/>
      <c r="B30" s="96"/>
      <c r="C30" s="87"/>
      <c r="D30" s="97"/>
      <c r="E30" s="83"/>
      <c r="F30" s="83"/>
      <c r="G30" s="131"/>
      <c r="H30" s="86" t="e">
        <f>IF(I30="fora",0%,G30/QUÓRUM!$C$6)</f>
        <v>#DIV/0!</v>
      </c>
      <c r="I30" s="87"/>
      <c r="J30" s="88"/>
      <c r="K30" s="88"/>
      <c r="L30" s="89"/>
      <c r="M30" s="89"/>
      <c r="N30" s="90"/>
      <c r="O30" s="90"/>
      <c r="P30" s="90"/>
      <c r="Q30" s="87"/>
      <c r="R30" s="98"/>
      <c r="S30" s="90"/>
      <c r="T30" s="99"/>
    </row>
    <row r="31" spans="1:20" s="94" customFormat="1" ht="12" customHeight="1" x14ac:dyDescent="0.3">
      <c r="A31" s="82"/>
      <c r="B31" s="83"/>
      <c r="C31" s="87"/>
      <c r="D31" s="84"/>
      <c r="E31" s="83"/>
      <c r="F31" s="82"/>
      <c r="G31" s="130"/>
      <c r="H31" s="86" t="e">
        <f>IF(I31="fora",0%,G31/QUÓRUM!$C$6)</f>
        <v>#DIV/0!</v>
      </c>
      <c r="I31" s="87"/>
      <c r="J31" s="88"/>
      <c r="K31" s="88"/>
      <c r="L31" s="89"/>
      <c r="M31" s="89"/>
      <c r="N31" s="90"/>
      <c r="O31" s="87"/>
      <c r="P31" s="87"/>
      <c r="Q31" s="90"/>
      <c r="R31" s="91"/>
      <c r="S31" s="92"/>
      <c r="T31" s="93"/>
    </row>
    <row r="32" spans="1:20" s="94" customFormat="1" ht="9.75" customHeight="1" x14ac:dyDescent="0.3">
      <c r="A32" s="82"/>
      <c r="B32" s="83"/>
      <c r="C32" s="87"/>
      <c r="D32" s="84"/>
      <c r="E32" s="83"/>
      <c r="F32" s="82"/>
      <c r="G32" s="130"/>
      <c r="H32" s="86" t="e">
        <f>IF(I32="fora",0%,G32/QUÓRUM!$C$6)</f>
        <v>#DIV/0!</v>
      </c>
      <c r="I32" s="87"/>
      <c r="J32" s="88"/>
      <c r="K32" s="88"/>
      <c r="L32" s="89"/>
      <c r="M32" s="89"/>
      <c r="N32" s="90"/>
      <c r="O32" s="87"/>
      <c r="P32" s="87"/>
      <c r="Q32" s="90"/>
      <c r="R32" s="91"/>
      <c r="S32" s="92"/>
      <c r="T32" s="93"/>
    </row>
    <row r="33" spans="1:20" s="94" customFormat="1" ht="12" customHeight="1" x14ac:dyDescent="0.3">
      <c r="A33" s="82"/>
      <c r="B33" s="83"/>
      <c r="C33" s="87"/>
      <c r="D33" s="84"/>
      <c r="E33" s="83"/>
      <c r="F33" s="82"/>
      <c r="G33" s="130"/>
      <c r="H33" s="86" t="e">
        <f>IF(I33="fora",0%,G33/QUÓRUM!$C$6)</f>
        <v>#DIV/0!</v>
      </c>
      <c r="I33" s="87"/>
      <c r="J33" s="88"/>
      <c r="K33" s="88"/>
      <c r="L33" s="89"/>
      <c r="M33" s="89"/>
      <c r="N33" s="90"/>
      <c r="O33" s="87"/>
      <c r="P33" s="87"/>
      <c r="Q33" s="90"/>
      <c r="R33" s="91"/>
      <c r="S33" s="92"/>
      <c r="T33" s="93"/>
    </row>
    <row r="34" spans="1:20" s="94" customFormat="1" x14ac:dyDescent="0.3">
      <c r="A34" s="82"/>
      <c r="B34" s="83"/>
      <c r="C34" s="87"/>
      <c r="D34" s="84"/>
      <c r="E34" s="83"/>
      <c r="F34" s="82"/>
      <c r="G34" s="130"/>
      <c r="H34" s="86" t="e">
        <f>IF(I34="fora",0%,G34/QUÓRUM!$C$6)</f>
        <v>#DIV/0!</v>
      </c>
      <c r="I34" s="87"/>
      <c r="J34" s="88"/>
      <c r="K34" s="88"/>
      <c r="L34" s="89"/>
      <c r="M34" s="89"/>
      <c r="N34" s="90"/>
      <c r="O34" s="87"/>
      <c r="P34" s="87"/>
      <c r="Q34" s="90"/>
      <c r="R34" s="91"/>
      <c r="S34" s="92"/>
      <c r="T34" s="93"/>
    </row>
    <row r="35" spans="1:20" s="94" customFormat="1" ht="12" customHeight="1" x14ac:dyDescent="0.3">
      <c r="A35" s="96"/>
      <c r="B35" s="96"/>
      <c r="C35" s="87"/>
      <c r="D35" s="97"/>
      <c r="E35" s="83"/>
      <c r="F35" s="83"/>
      <c r="G35" s="131"/>
      <c r="H35" s="86" t="e">
        <f>IF(I35="fora",0%,G35/QUÓRUM!$C$6)</f>
        <v>#DIV/0!</v>
      </c>
      <c r="I35" s="87"/>
      <c r="J35" s="88"/>
      <c r="K35" s="88"/>
      <c r="L35" s="89"/>
      <c r="M35" s="89"/>
      <c r="N35" s="90"/>
      <c r="O35" s="90"/>
      <c r="P35" s="90"/>
      <c r="Q35" s="90"/>
      <c r="R35" s="98"/>
      <c r="S35" s="90"/>
      <c r="T35" s="99"/>
    </row>
    <row r="36" spans="1:20" s="94" customFormat="1" ht="12" customHeight="1" x14ac:dyDescent="0.3">
      <c r="A36" s="82"/>
      <c r="B36" s="83"/>
      <c r="C36" s="87"/>
      <c r="D36" s="84"/>
      <c r="E36" s="83"/>
      <c r="F36" s="82"/>
      <c r="G36" s="130"/>
      <c r="H36" s="86" t="e">
        <f>IF(I36="fora",0%,G36/QUÓRUM!$C$6)</f>
        <v>#DIV/0!</v>
      </c>
      <c r="I36" s="87"/>
      <c r="J36" s="88"/>
      <c r="K36" s="88"/>
      <c r="L36" s="89"/>
      <c r="M36" s="89"/>
      <c r="N36" s="90"/>
      <c r="O36" s="87"/>
      <c r="P36" s="87"/>
      <c r="Q36" s="87"/>
      <c r="R36" s="91"/>
      <c r="S36" s="92">
        <f>R36*G36</f>
        <v>0</v>
      </c>
      <c r="T36" s="93" t="e">
        <f>IF(I36="fora",0%,S36/QUÓRUM!$M$7)</f>
        <v>#DIV/0!</v>
      </c>
    </row>
    <row r="37" spans="1:20" s="94" customFormat="1" x14ac:dyDescent="0.3">
      <c r="A37" s="96"/>
      <c r="B37" s="96"/>
      <c r="C37" s="87"/>
      <c r="D37" s="97"/>
      <c r="E37" s="83"/>
      <c r="F37" s="83"/>
      <c r="G37" s="131"/>
      <c r="H37" s="86" t="e">
        <f>IF(I37="fora",0%,G37/QUÓRUM!$C$6)</f>
        <v>#DIV/0!</v>
      </c>
      <c r="I37" s="87"/>
      <c r="J37" s="88"/>
      <c r="K37" s="88"/>
      <c r="L37" s="89"/>
      <c r="M37" s="89"/>
      <c r="N37" s="90"/>
      <c r="O37" s="90"/>
      <c r="P37" s="90"/>
      <c r="Q37" s="87"/>
      <c r="R37" s="98"/>
      <c r="S37" s="90"/>
      <c r="T37" s="99"/>
    </row>
    <row r="38" spans="1:20" s="94" customFormat="1" x14ac:dyDescent="0.3">
      <c r="A38" s="82"/>
      <c r="B38" s="83"/>
      <c r="C38" s="87"/>
      <c r="D38" s="84"/>
      <c r="E38" s="83"/>
      <c r="F38" s="82"/>
      <c r="G38" s="130"/>
      <c r="H38" s="86" t="e">
        <f>IF(I38="fora",0%,G38/QUÓRUM!$C$6)</f>
        <v>#DIV/0!</v>
      </c>
      <c r="I38" s="87"/>
      <c r="J38" s="88"/>
      <c r="K38" s="88"/>
      <c r="L38" s="89"/>
      <c r="M38" s="89"/>
      <c r="N38" s="90"/>
      <c r="O38" s="87"/>
      <c r="P38" s="87"/>
      <c r="Q38" s="87"/>
      <c r="R38" s="91"/>
      <c r="S38" s="92"/>
      <c r="T38" s="93"/>
    </row>
    <row r="39" spans="1:20" s="94" customFormat="1" x14ac:dyDescent="0.3">
      <c r="A39" s="82"/>
      <c r="B39" s="83"/>
      <c r="C39" s="87"/>
      <c r="D39" s="84"/>
      <c r="E39" s="83"/>
      <c r="F39" s="82"/>
      <c r="G39" s="130"/>
      <c r="H39" s="86" t="e">
        <f>IF(I39="fora",0%,G39/QUÓRUM!$C$6)</f>
        <v>#DIV/0!</v>
      </c>
      <c r="I39" s="87"/>
      <c r="J39" s="88"/>
      <c r="K39" s="88"/>
      <c r="L39" s="89"/>
      <c r="M39" s="89"/>
      <c r="N39" s="90"/>
      <c r="O39" s="87"/>
      <c r="P39" s="87"/>
      <c r="Q39" s="87"/>
      <c r="R39" s="91"/>
      <c r="S39" s="92"/>
      <c r="T39" s="93"/>
    </row>
    <row r="40" spans="1:20" s="94" customFormat="1" x14ac:dyDescent="0.3">
      <c r="A40" s="82"/>
      <c r="B40" s="83"/>
      <c r="C40" s="87"/>
      <c r="D40" s="84"/>
      <c r="E40" s="83"/>
      <c r="F40" s="82"/>
      <c r="G40" s="130"/>
      <c r="H40" s="86" t="e">
        <f>IF(I40="fora",0%,G40/QUÓRUM!$C$6)</f>
        <v>#DIV/0!</v>
      </c>
      <c r="I40" s="87"/>
      <c r="J40" s="88"/>
      <c r="K40" s="88"/>
      <c r="L40" s="89"/>
      <c r="M40" s="89"/>
      <c r="N40" s="90"/>
      <c r="O40" s="87"/>
      <c r="P40" s="87"/>
      <c r="Q40" s="87"/>
      <c r="R40" s="91"/>
      <c r="S40" s="92"/>
      <c r="T40" s="93"/>
    </row>
    <row r="41" spans="1:20" s="94" customFormat="1" ht="12" customHeight="1" x14ac:dyDescent="0.3">
      <c r="A41" s="82"/>
      <c r="B41" s="83"/>
      <c r="C41" s="87"/>
      <c r="D41" s="84"/>
      <c r="E41" s="83"/>
      <c r="F41" s="82"/>
      <c r="G41" s="130"/>
      <c r="H41" s="86" t="e">
        <f>IF(I41="fora",0%,G41/QUÓRUM!$C$6)</f>
        <v>#DIV/0!</v>
      </c>
      <c r="I41" s="87"/>
      <c r="J41" s="88"/>
      <c r="K41" s="88"/>
      <c r="L41" s="89"/>
      <c r="M41" s="89"/>
      <c r="N41" s="90"/>
      <c r="O41" s="87"/>
      <c r="P41" s="87"/>
      <c r="Q41" s="87"/>
      <c r="R41" s="91"/>
      <c r="S41" s="92"/>
      <c r="T41" s="93"/>
    </row>
    <row r="42" spans="1:20" s="94" customFormat="1" ht="12" customHeight="1" x14ac:dyDescent="0.3">
      <c r="A42" s="82"/>
      <c r="B42" s="83"/>
      <c r="C42" s="87"/>
      <c r="D42" s="84"/>
      <c r="E42" s="83"/>
      <c r="F42" s="82"/>
      <c r="G42" s="130"/>
      <c r="H42" s="86" t="e">
        <f>IF(I42="fora",0%,G42/QUÓRUM!$C$6)</f>
        <v>#DIV/0!</v>
      </c>
      <c r="I42" s="87"/>
      <c r="J42" s="88"/>
      <c r="K42" s="88"/>
      <c r="L42" s="89"/>
      <c r="M42" s="89"/>
      <c r="N42" s="90"/>
      <c r="O42" s="87"/>
      <c r="P42" s="87"/>
      <c r="Q42" s="87"/>
      <c r="R42" s="91"/>
      <c r="S42" s="92"/>
      <c r="T42" s="93"/>
    </row>
    <row r="43" spans="1:20" s="94" customFormat="1" ht="12" customHeight="1" x14ac:dyDescent="0.3">
      <c r="A43" s="96"/>
      <c r="B43" s="96"/>
      <c r="C43" s="87"/>
      <c r="D43" s="97"/>
      <c r="E43" s="83"/>
      <c r="F43" s="83"/>
      <c r="G43" s="131"/>
      <c r="H43" s="86" t="e">
        <f>IF(I43="fora",0%,G43/QUÓRUM!$C$6)</f>
        <v>#DIV/0!</v>
      </c>
      <c r="I43" s="87"/>
      <c r="J43" s="88"/>
      <c r="K43" s="88"/>
      <c r="L43" s="89"/>
      <c r="M43" s="89"/>
      <c r="N43" s="90"/>
      <c r="O43" s="90"/>
      <c r="P43" s="90"/>
      <c r="Q43" s="87"/>
      <c r="R43" s="98"/>
      <c r="S43" s="90"/>
      <c r="T43" s="99"/>
    </row>
    <row r="44" spans="1:20" s="94" customFormat="1" ht="12" customHeight="1" x14ac:dyDescent="0.3">
      <c r="A44" s="96"/>
      <c r="B44" s="96"/>
      <c r="C44" s="87"/>
      <c r="D44" s="97"/>
      <c r="E44" s="83"/>
      <c r="F44" s="83"/>
      <c r="G44" s="131"/>
      <c r="H44" s="86" t="e">
        <f>IF(I44="fora",0%,G44/QUÓRUM!$C$6)</f>
        <v>#DIV/0!</v>
      </c>
      <c r="I44" s="87"/>
      <c r="J44" s="88"/>
      <c r="K44" s="88"/>
      <c r="L44" s="89"/>
      <c r="M44" s="89"/>
      <c r="N44" s="90"/>
      <c r="O44" s="90"/>
      <c r="P44" s="90"/>
      <c r="Q44" s="87"/>
      <c r="R44" s="98"/>
      <c r="S44" s="90"/>
      <c r="T44" s="99"/>
    </row>
    <row r="45" spans="1:20" s="94" customFormat="1" ht="12" customHeight="1" x14ac:dyDescent="0.3">
      <c r="A45" s="96"/>
      <c r="B45" s="96"/>
      <c r="C45" s="87"/>
      <c r="D45" s="97"/>
      <c r="E45" s="83"/>
      <c r="F45" s="83"/>
      <c r="G45" s="131"/>
      <c r="H45" s="86" t="e">
        <f>IF(I45="fora",0%,G45/QUÓRUM!$C$6)</f>
        <v>#DIV/0!</v>
      </c>
      <c r="I45" s="87"/>
      <c r="J45" s="88"/>
      <c r="K45" s="88"/>
      <c r="L45" s="89"/>
      <c r="M45" s="89"/>
      <c r="N45" s="90"/>
      <c r="O45" s="90"/>
      <c r="P45" s="90"/>
      <c r="Q45" s="87"/>
      <c r="R45" s="98"/>
      <c r="S45" s="90"/>
      <c r="T45" s="99"/>
    </row>
    <row r="46" spans="1:20" s="94" customFormat="1" ht="12" customHeight="1" x14ac:dyDescent="0.3">
      <c r="A46" s="82"/>
      <c r="B46" s="83"/>
      <c r="C46" s="87"/>
      <c r="D46" s="84"/>
      <c r="E46" s="83"/>
      <c r="F46" s="82"/>
      <c r="G46" s="130"/>
      <c r="H46" s="86" t="e">
        <f>IF(I46="fora",0%,G46/QUÓRUM!$C$6)</f>
        <v>#DIV/0!</v>
      </c>
      <c r="I46" s="87"/>
      <c r="J46" s="88"/>
      <c r="K46" s="88"/>
      <c r="L46" s="89"/>
      <c r="M46" s="89"/>
      <c r="N46" s="90"/>
      <c r="O46" s="87"/>
      <c r="P46" s="87"/>
      <c r="Q46" s="87"/>
      <c r="R46" s="91"/>
      <c r="S46" s="92"/>
      <c r="T46" s="93"/>
    </row>
    <row r="47" spans="1:20" s="94" customFormat="1" ht="12" customHeight="1" x14ac:dyDescent="0.3">
      <c r="A47" s="82"/>
      <c r="B47" s="83"/>
      <c r="C47" s="87"/>
      <c r="D47" s="84"/>
      <c r="E47" s="83"/>
      <c r="F47" s="82"/>
      <c r="G47" s="130"/>
      <c r="H47" s="86" t="e">
        <f>IF(I47="fora",0%,G47/QUÓRUM!$C$6)</f>
        <v>#DIV/0!</v>
      </c>
      <c r="I47" s="87"/>
      <c r="J47" s="88"/>
      <c r="K47" s="88"/>
      <c r="L47" s="89"/>
      <c r="M47" s="89"/>
      <c r="N47" s="90"/>
      <c r="O47" s="87"/>
      <c r="P47" s="87"/>
      <c r="Q47" s="90"/>
      <c r="R47" s="91"/>
      <c r="S47" s="92"/>
      <c r="T47" s="93"/>
    </row>
    <row r="48" spans="1:20" s="94" customFormat="1" ht="12" customHeight="1" x14ac:dyDescent="0.3">
      <c r="A48" s="82"/>
      <c r="B48" s="83"/>
      <c r="C48" s="87"/>
      <c r="D48" s="84"/>
      <c r="E48" s="83"/>
      <c r="F48" s="82"/>
      <c r="G48" s="130"/>
      <c r="H48" s="86" t="e">
        <f>IF(I48="fora",0%,G48/QUÓRUM!$C$6)</f>
        <v>#DIV/0!</v>
      </c>
      <c r="I48" s="87"/>
      <c r="J48" s="88"/>
      <c r="K48" s="88"/>
      <c r="L48" s="89"/>
      <c r="M48" s="89"/>
      <c r="N48" s="90"/>
      <c r="O48" s="87"/>
      <c r="P48" s="87"/>
      <c r="Q48" s="87"/>
      <c r="R48" s="91"/>
      <c r="S48" s="92"/>
      <c r="T48" s="93"/>
    </row>
    <row r="49" spans="1:20" s="94" customFormat="1" ht="12" customHeight="1" x14ac:dyDescent="0.3">
      <c r="A49" s="82"/>
      <c r="B49" s="83"/>
      <c r="C49" s="87"/>
      <c r="D49" s="84"/>
      <c r="E49" s="83"/>
      <c r="F49" s="82"/>
      <c r="G49" s="130"/>
      <c r="H49" s="86" t="e">
        <f>IF(I49="fora",0%,G49/QUÓRUM!$C$6)</f>
        <v>#DIV/0!</v>
      </c>
      <c r="I49" s="87"/>
      <c r="J49" s="88"/>
      <c r="K49" s="88"/>
      <c r="L49" s="89"/>
      <c r="M49" s="89"/>
      <c r="N49" s="90"/>
      <c r="O49" s="87"/>
      <c r="P49" s="87"/>
      <c r="Q49" s="87"/>
      <c r="R49" s="91"/>
      <c r="S49" s="92"/>
      <c r="T49" s="93"/>
    </row>
    <row r="50" spans="1:20" s="94" customFormat="1" ht="12" customHeight="1" x14ac:dyDescent="0.3">
      <c r="A50" s="96"/>
      <c r="B50" s="96"/>
      <c r="C50" s="87"/>
      <c r="D50" s="97"/>
      <c r="E50" s="83"/>
      <c r="F50" s="83"/>
      <c r="G50" s="131"/>
      <c r="H50" s="86" t="e">
        <f>IF(I50="fora",0%,G50/QUÓRUM!$C$6)</f>
        <v>#DIV/0!</v>
      </c>
      <c r="I50" s="87"/>
      <c r="J50" s="88"/>
      <c r="K50" s="88"/>
      <c r="L50" s="89"/>
      <c r="M50" s="89"/>
      <c r="N50" s="90"/>
      <c r="O50" s="90"/>
      <c r="P50" s="90"/>
      <c r="Q50" s="87"/>
      <c r="R50" s="98"/>
      <c r="S50" s="90"/>
      <c r="T50" s="99"/>
    </row>
    <row r="51" spans="1:20" s="94" customFormat="1" ht="12" customHeight="1" x14ac:dyDescent="0.3">
      <c r="A51" s="82"/>
      <c r="B51" s="83"/>
      <c r="C51" s="87"/>
      <c r="D51" s="84"/>
      <c r="E51" s="83"/>
      <c r="F51" s="82"/>
      <c r="G51" s="130"/>
      <c r="H51" s="86" t="e">
        <f>IF(I51="fora",0%,G51/QUÓRUM!$C$6)</f>
        <v>#DIV/0!</v>
      </c>
      <c r="I51" s="87"/>
      <c r="J51" s="88"/>
      <c r="K51" s="88"/>
      <c r="L51" s="89"/>
      <c r="M51" s="89"/>
      <c r="N51" s="90"/>
      <c r="O51" s="87"/>
      <c r="P51" s="87"/>
      <c r="Q51" s="87"/>
      <c r="R51" s="91"/>
      <c r="S51" s="92"/>
      <c r="T51" s="93"/>
    </row>
    <row r="52" spans="1:20" s="94" customFormat="1" ht="12" customHeight="1" x14ac:dyDescent="0.3">
      <c r="A52" s="82"/>
      <c r="B52" s="83"/>
      <c r="C52" s="87"/>
      <c r="D52" s="84"/>
      <c r="E52" s="83"/>
      <c r="F52" s="82"/>
      <c r="G52" s="130"/>
      <c r="H52" s="86" t="e">
        <f>IF(I52="fora",0%,G52/QUÓRUM!$C$6)</f>
        <v>#DIV/0!</v>
      </c>
      <c r="I52" s="87"/>
      <c r="J52" s="88"/>
      <c r="K52" s="88"/>
      <c r="L52" s="89"/>
      <c r="M52" s="89"/>
      <c r="N52" s="90"/>
      <c r="O52" s="87"/>
      <c r="P52" s="87"/>
      <c r="Q52" s="90"/>
      <c r="R52" s="91"/>
      <c r="S52" s="92"/>
      <c r="T52" s="93"/>
    </row>
    <row r="53" spans="1:20" s="94" customFormat="1" ht="12" customHeight="1" x14ac:dyDescent="0.3">
      <c r="A53" s="96"/>
      <c r="B53" s="96"/>
      <c r="C53" s="87"/>
      <c r="D53" s="97"/>
      <c r="E53" s="83"/>
      <c r="F53" s="83"/>
      <c r="G53" s="131"/>
      <c r="H53" s="86" t="e">
        <f>IF(I53="fora",0%,G53/QUÓRUM!$C$6)</f>
        <v>#DIV/0!</v>
      </c>
      <c r="I53" s="87"/>
      <c r="J53" s="88"/>
      <c r="K53" s="88"/>
      <c r="L53" s="89"/>
      <c r="M53" s="89"/>
      <c r="N53" s="90"/>
      <c r="O53" s="90"/>
      <c r="P53" s="90"/>
      <c r="Q53" s="90"/>
      <c r="R53" s="98"/>
      <c r="S53" s="90"/>
      <c r="T53" s="99"/>
    </row>
    <row r="54" spans="1:20" s="94" customFormat="1" ht="12" customHeight="1" x14ac:dyDescent="0.3">
      <c r="A54" s="96"/>
      <c r="B54" s="96"/>
      <c r="C54" s="87"/>
      <c r="D54" s="97"/>
      <c r="E54" s="83"/>
      <c r="F54" s="83"/>
      <c r="G54" s="131"/>
      <c r="H54" s="86" t="e">
        <f>IF(I54="fora",0%,G54/QUÓRUM!$C$6)</f>
        <v>#DIV/0!</v>
      </c>
      <c r="I54" s="87"/>
      <c r="J54" s="88"/>
      <c r="K54" s="88"/>
      <c r="L54" s="89"/>
      <c r="M54" s="89"/>
      <c r="N54" s="90"/>
      <c r="O54" s="90"/>
      <c r="P54" s="90"/>
      <c r="Q54" s="90"/>
      <c r="R54" s="98"/>
      <c r="S54" s="90"/>
      <c r="T54" s="99"/>
    </row>
    <row r="55" spans="1:20" s="94" customFormat="1" ht="12" customHeight="1" x14ac:dyDescent="0.3">
      <c r="A55" s="96"/>
      <c r="B55" s="96"/>
      <c r="C55" s="87"/>
      <c r="D55" s="97"/>
      <c r="E55" s="83"/>
      <c r="F55" s="83"/>
      <c r="G55" s="131"/>
      <c r="H55" s="86" t="e">
        <f>IF(I55="fora",0%,G55/QUÓRUM!$C$6)</f>
        <v>#DIV/0!</v>
      </c>
      <c r="I55" s="87"/>
      <c r="J55" s="88"/>
      <c r="K55" s="88"/>
      <c r="L55" s="89"/>
      <c r="M55" s="89"/>
      <c r="N55" s="90"/>
      <c r="O55" s="90"/>
      <c r="P55" s="90"/>
      <c r="Q55" s="90"/>
      <c r="R55" s="98"/>
      <c r="S55" s="90"/>
      <c r="T55" s="99"/>
    </row>
    <row r="56" spans="1:20" s="94" customFormat="1" ht="12" customHeight="1" x14ac:dyDescent="0.3">
      <c r="A56" s="96"/>
      <c r="B56" s="96"/>
      <c r="C56" s="87"/>
      <c r="D56" s="97"/>
      <c r="E56" s="83"/>
      <c r="F56" s="83"/>
      <c r="G56" s="131"/>
      <c r="H56" s="86" t="e">
        <f>IF(I56="fora",0%,G56/QUÓRUM!$C$6)</f>
        <v>#DIV/0!</v>
      </c>
      <c r="I56" s="87"/>
      <c r="J56" s="88"/>
      <c r="K56" s="88"/>
      <c r="L56" s="89"/>
      <c r="M56" s="89"/>
      <c r="N56" s="90"/>
      <c r="O56" s="90"/>
      <c r="P56" s="90"/>
      <c r="Q56" s="87"/>
      <c r="R56" s="98"/>
      <c r="S56" s="90"/>
      <c r="T56" s="99"/>
    </row>
    <row r="57" spans="1:20" s="94" customFormat="1" ht="12" customHeight="1" x14ac:dyDescent="0.3">
      <c r="A57" s="96"/>
      <c r="B57" s="96"/>
      <c r="C57" s="87"/>
      <c r="D57" s="97"/>
      <c r="E57" s="83"/>
      <c r="F57" s="83"/>
      <c r="G57" s="131"/>
      <c r="H57" s="86" t="e">
        <f>IF(I57="fora",0%,G57/QUÓRUM!$C$6)</f>
        <v>#DIV/0!</v>
      </c>
      <c r="I57" s="87"/>
      <c r="J57" s="88"/>
      <c r="K57" s="88"/>
      <c r="L57" s="89"/>
      <c r="M57" s="89"/>
      <c r="N57" s="90"/>
      <c r="O57" s="90"/>
      <c r="P57" s="90"/>
      <c r="Q57" s="90"/>
      <c r="R57" s="98"/>
      <c r="S57" s="90"/>
      <c r="T57" s="99"/>
    </row>
    <row r="58" spans="1:20" s="94" customFormat="1" ht="12" customHeight="1" x14ac:dyDescent="0.3">
      <c r="A58" s="82"/>
      <c r="B58" s="83"/>
      <c r="C58" s="87"/>
      <c r="D58" s="84"/>
      <c r="E58" s="83"/>
      <c r="F58" s="82"/>
      <c r="G58" s="130"/>
      <c r="H58" s="86" t="e">
        <f>IF(I58="fora",0%,G58/QUÓRUM!$C$6)</f>
        <v>#DIV/0!</v>
      </c>
      <c r="I58" s="87"/>
      <c r="J58" s="88"/>
      <c r="K58" s="88"/>
      <c r="L58" s="89"/>
      <c r="M58" s="89"/>
      <c r="N58" s="90"/>
      <c r="O58" s="87"/>
      <c r="P58" s="87"/>
      <c r="Q58" s="90"/>
      <c r="R58" s="91"/>
      <c r="S58" s="92"/>
      <c r="T58" s="93"/>
    </row>
    <row r="59" spans="1:20" s="94" customFormat="1" ht="12" customHeight="1" x14ac:dyDescent="0.3">
      <c r="A59" s="82"/>
      <c r="B59" s="83"/>
      <c r="C59" s="87"/>
      <c r="D59" s="84"/>
      <c r="E59" s="83"/>
      <c r="F59" s="82"/>
      <c r="G59" s="130"/>
      <c r="H59" s="86" t="e">
        <f>IF(I59="fora",0%,G59/QUÓRUM!$C$6)</f>
        <v>#DIV/0!</v>
      </c>
      <c r="I59" s="87"/>
      <c r="J59" s="88"/>
      <c r="K59" s="88"/>
      <c r="L59" s="89"/>
      <c r="M59" s="89"/>
      <c r="N59" s="90"/>
      <c r="O59" s="87"/>
      <c r="P59" s="87"/>
      <c r="Q59" s="90"/>
      <c r="R59" s="91"/>
      <c r="S59" s="92"/>
      <c r="T59" s="93"/>
    </row>
    <row r="60" spans="1:20" s="94" customFormat="1" ht="12" customHeight="1" x14ac:dyDescent="0.3">
      <c r="A60" s="82"/>
      <c r="B60" s="83"/>
      <c r="C60" s="87"/>
      <c r="D60" s="84"/>
      <c r="E60" s="83"/>
      <c r="F60" s="82"/>
      <c r="G60" s="130"/>
      <c r="H60" s="86" t="e">
        <f>IF(I60="fora",0%,G60/QUÓRUM!$C$6)</f>
        <v>#DIV/0!</v>
      </c>
      <c r="I60" s="87"/>
      <c r="J60" s="88"/>
      <c r="K60" s="88"/>
      <c r="L60" s="89"/>
      <c r="M60" s="89"/>
      <c r="N60" s="90"/>
      <c r="O60" s="87"/>
      <c r="P60" s="87"/>
      <c r="Q60" s="90"/>
      <c r="R60" s="91"/>
      <c r="S60" s="92"/>
      <c r="T60" s="93"/>
    </row>
    <row r="61" spans="1:20" s="94" customFormat="1" ht="12" customHeight="1" x14ac:dyDescent="0.3">
      <c r="A61" s="82"/>
      <c r="B61" s="83"/>
      <c r="C61" s="87"/>
      <c r="D61" s="84"/>
      <c r="E61" s="83"/>
      <c r="F61" s="82"/>
      <c r="G61" s="130"/>
      <c r="H61" s="86" t="e">
        <f>IF(I61="fora",0%,G61/QUÓRUM!$C$6)</f>
        <v>#DIV/0!</v>
      </c>
      <c r="I61" s="87"/>
      <c r="J61" s="88"/>
      <c r="K61" s="88"/>
      <c r="L61" s="89"/>
      <c r="M61" s="89"/>
      <c r="N61" s="90"/>
      <c r="O61" s="87"/>
      <c r="P61" s="87"/>
      <c r="Q61" s="90"/>
      <c r="R61" s="91"/>
      <c r="S61" s="92"/>
      <c r="T61" s="93"/>
    </row>
    <row r="62" spans="1:20" s="94" customFormat="1" ht="12" customHeight="1" x14ac:dyDescent="0.3">
      <c r="A62" s="82"/>
      <c r="B62" s="83"/>
      <c r="C62" s="87"/>
      <c r="D62" s="84"/>
      <c r="E62" s="83"/>
      <c r="F62" s="82"/>
      <c r="G62" s="130"/>
      <c r="H62" s="86" t="e">
        <f>IF(I62="fora",0%,G62/QUÓRUM!$C$6)</f>
        <v>#DIV/0!</v>
      </c>
      <c r="I62" s="87"/>
      <c r="J62" s="88"/>
      <c r="K62" s="88"/>
      <c r="L62" s="89"/>
      <c r="M62" s="89"/>
      <c r="N62" s="90"/>
      <c r="O62" s="87"/>
      <c r="P62" s="87"/>
      <c r="Q62" s="90"/>
      <c r="R62" s="91"/>
      <c r="S62" s="92"/>
      <c r="T62" s="93"/>
    </row>
    <row r="63" spans="1:20" s="94" customFormat="1" ht="12" customHeight="1" x14ac:dyDescent="0.3">
      <c r="A63" s="82"/>
      <c r="B63" s="83"/>
      <c r="C63" s="87"/>
      <c r="D63" s="84"/>
      <c r="E63" s="83"/>
      <c r="F63" s="82"/>
      <c r="G63" s="130"/>
      <c r="H63" s="86" t="e">
        <f>IF(I63="fora",0%,G63/QUÓRUM!$C$6)</f>
        <v>#DIV/0!</v>
      </c>
      <c r="I63" s="87"/>
      <c r="J63" s="88"/>
      <c r="K63" s="88"/>
      <c r="L63" s="89"/>
      <c r="M63" s="89"/>
      <c r="N63" s="90"/>
      <c r="O63" s="87"/>
      <c r="P63" s="87"/>
      <c r="Q63" s="87"/>
      <c r="R63" s="91"/>
      <c r="S63" s="92"/>
      <c r="T63" s="93"/>
    </row>
    <row r="64" spans="1:20" s="94" customFormat="1" x14ac:dyDescent="0.3">
      <c r="A64" s="82"/>
      <c r="B64" s="83"/>
      <c r="C64" s="87"/>
      <c r="D64" s="84"/>
      <c r="E64" s="83"/>
      <c r="F64" s="82"/>
      <c r="G64" s="130"/>
      <c r="H64" s="86" t="e">
        <f>IF(I64="fora",0%,G64/QUÓRUM!$C$6)</f>
        <v>#DIV/0!</v>
      </c>
      <c r="I64" s="87"/>
      <c r="J64" s="88"/>
      <c r="K64" s="88"/>
      <c r="L64" s="89"/>
      <c r="M64" s="89"/>
      <c r="N64" s="90"/>
      <c r="O64" s="87"/>
      <c r="P64" s="87"/>
      <c r="Q64" s="87"/>
      <c r="R64" s="91"/>
      <c r="S64" s="92"/>
      <c r="T64" s="93"/>
    </row>
    <row r="65" spans="1:20" s="94" customFormat="1" x14ac:dyDescent="0.3">
      <c r="A65" s="82"/>
      <c r="B65" s="83"/>
      <c r="C65" s="87"/>
      <c r="D65" s="84"/>
      <c r="E65" s="83"/>
      <c r="F65" s="82"/>
      <c r="G65" s="130"/>
      <c r="H65" s="86" t="e">
        <f>IF(I65="fora",0%,G65/QUÓRUM!$C$6)</f>
        <v>#DIV/0!</v>
      </c>
      <c r="I65" s="87"/>
      <c r="J65" s="88"/>
      <c r="K65" s="88"/>
      <c r="L65" s="89"/>
      <c r="M65" s="89"/>
      <c r="N65" s="90"/>
      <c r="O65" s="87"/>
      <c r="P65" s="87"/>
      <c r="Q65" s="87"/>
      <c r="R65" s="91"/>
      <c r="S65" s="92"/>
      <c r="T65" s="93"/>
    </row>
    <row r="66" spans="1:20" s="94" customFormat="1" x14ac:dyDescent="0.3">
      <c r="A66" s="96"/>
      <c r="B66" s="96"/>
      <c r="C66" s="87"/>
      <c r="D66" s="97"/>
      <c r="E66" s="83"/>
      <c r="F66" s="83"/>
      <c r="G66" s="131"/>
      <c r="H66" s="86" t="e">
        <f>IF(I66="fora",0%,G66/QUÓRUM!$C$6)</f>
        <v>#DIV/0!</v>
      </c>
      <c r="I66" s="87"/>
      <c r="J66" s="88"/>
      <c r="K66" s="88"/>
      <c r="L66" s="89"/>
      <c r="M66" s="89"/>
      <c r="N66" s="90"/>
      <c r="O66" s="90"/>
      <c r="P66" s="90"/>
      <c r="Q66" s="87"/>
      <c r="R66" s="98"/>
      <c r="S66" s="90"/>
      <c r="T66" s="99"/>
    </row>
    <row r="67" spans="1:20" s="94" customFormat="1" x14ac:dyDescent="0.3">
      <c r="A67" s="82"/>
      <c r="B67" s="83"/>
      <c r="C67" s="87"/>
      <c r="D67" s="84"/>
      <c r="E67" s="83"/>
      <c r="F67" s="82"/>
      <c r="G67" s="130"/>
      <c r="H67" s="86" t="e">
        <f>IF(I67="fora",0%,G67/QUÓRUM!$C$6)</f>
        <v>#DIV/0!</v>
      </c>
      <c r="I67" s="87"/>
      <c r="J67" s="88"/>
      <c r="K67" s="88"/>
      <c r="L67" s="89"/>
      <c r="M67" s="89"/>
      <c r="N67" s="90"/>
      <c r="O67" s="87"/>
      <c r="P67" s="87"/>
      <c r="Q67" s="90"/>
      <c r="R67" s="91"/>
      <c r="S67" s="92"/>
      <c r="T67" s="93"/>
    </row>
    <row r="68" spans="1:20" s="94" customFormat="1" x14ac:dyDescent="0.3">
      <c r="A68" s="96"/>
      <c r="B68" s="96"/>
      <c r="C68" s="87"/>
      <c r="D68" s="97"/>
      <c r="E68" s="83"/>
      <c r="F68" s="83"/>
      <c r="G68" s="131"/>
      <c r="H68" s="86" t="e">
        <f>IF(I68="fora",0%,G68/QUÓRUM!$C$6)</f>
        <v>#DIV/0!</v>
      </c>
      <c r="I68" s="87"/>
      <c r="J68" s="88"/>
      <c r="K68" s="88"/>
      <c r="L68" s="89"/>
      <c r="M68" s="89"/>
      <c r="N68" s="90"/>
      <c r="O68" s="90"/>
      <c r="P68" s="90"/>
      <c r="Q68" s="90"/>
      <c r="R68" s="98"/>
      <c r="S68" s="90"/>
      <c r="T68" s="99"/>
    </row>
    <row r="69" spans="1:20" s="94" customFormat="1" x14ac:dyDescent="0.3">
      <c r="A69" s="82"/>
      <c r="B69" s="83"/>
      <c r="C69" s="87"/>
      <c r="D69" s="116"/>
      <c r="E69" s="117"/>
      <c r="F69" s="118"/>
      <c r="G69" s="132"/>
      <c r="H69" s="86" t="e">
        <f>IF(I69="fora",0%,G69/QUÓRUM!$C$6)</f>
        <v>#DIV/0!</v>
      </c>
      <c r="I69" s="87"/>
      <c r="J69" s="88"/>
      <c r="K69" s="88"/>
      <c r="L69" s="89"/>
      <c r="M69" s="89"/>
      <c r="N69" s="90"/>
      <c r="O69" s="87"/>
      <c r="P69" s="87"/>
      <c r="Q69" s="87"/>
      <c r="R69" s="91"/>
      <c r="S69" s="92"/>
      <c r="T69" s="93"/>
    </row>
    <row r="70" spans="1:20" s="94" customFormat="1" x14ac:dyDescent="0.3">
      <c r="A70" s="82"/>
      <c r="B70" s="83"/>
      <c r="C70" s="87"/>
      <c r="D70" s="84"/>
      <c r="E70" s="83"/>
      <c r="F70" s="82"/>
      <c r="G70" s="130"/>
      <c r="H70" s="86" t="e">
        <f>IF(I70="fora",0%,G70/QUÓRUM!$C$6)</f>
        <v>#DIV/0!</v>
      </c>
      <c r="I70" s="87"/>
      <c r="J70" s="88"/>
      <c r="K70" s="88"/>
      <c r="L70" s="89"/>
      <c r="M70" s="89"/>
      <c r="N70" s="90"/>
      <c r="O70" s="87"/>
      <c r="P70" s="87"/>
      <c r="Q70" s="87"/>
      <c r="R70" s="91"/>
      <c r="S70" s="92"/>
      <c r="T70" s="93"/>
    </row>
    <row r="71" spans="1:20" s="94" customFormat="1" x14ac:dyDescent="0.3">
      <c r="A71" s="96"/>
      <c r="B71" s="96"/>
      <c r="C71" s="87"/>
      <c r="D71" s="97"/>
      <c r="E71" s="83"/>
      <c r="F71" s="83"/>
      <c r="G71" s="131"/>
      <c r="H71" s="86" t="e">
        <f>IF(I71="fora",0%,G71/QUÓRUM!$C$6)</f>
        <v>#DIV/0!</v>
      </c>
      <c r="I71" s="87"/>
      <c r="J71" s="88"/>
      <c r="K71" s="88"/>
      <c r="L71" s="89"/>
      <c r="M71" s="89"/>
      <c r="N71" s="90"/>
      <c r="O71" s="90"/>
      <c r="P71" s="90"/>
      <c r="Q71" s="87"/>
      <c r="R71" s="98"/>
      <c r="S71" s="90"/>
      <c r="T71" s="99"/>
    </row>
    <row r="72" spans="1:20" s="94" customFormat="1" x14ac:dyDescent="0.3">
      <c r="A72" s="82"/>
      <c r="B72" s="83"/>
      <c r="C72" s="87"/>
      <c r="D72" s="84"/>
      <c r="E72" s="83"/>
      <c r="F72" s="82"/>
      <c r="G72" s="130"/>
      <c r="H72" s="86" t="e">
        <f>IF(I72="fora",0%,G72/QUÓRUM!$C$6)</f>
        <v>#DIV/0!</v>
      </c>
      <c r="I72" s="87"/>
      <c r="J72" s="88"/>
      <c r="K72" s="88"/>
      <c r="L72" s="89"/>
      <c r="M72" s="89"/>
      <c r="N72" s="90"/>
      <c r="O72" s="87"/>
      <c r="P72" s="87"/>
      <c r="Q72" s="87"/>
      <c r="R72" s="91"/>
      <c r="S72" s="92"/>
      <c r="T72" s="93"/>
    </row>
    <row r="73" spans="1:20" s="94" customFormat="1" x14ac:dyDescent="0.3">
      <c r="A73" s="82"/>
      <c r="B73" s="83"/>
      <c r="C73" s="87"/>
      <c r="D73" s="84"/>
      <c r="E73" s="83"/>
      <c r="F73" s="82"/>
      <c r="G73" s="130"/>
      <c r="H73" s="86" t="e">
        <f>IF(I73="fora",0%,G73/QUÓRUM!$C$6)</f>
        <v>#DIV/0!</v>
      </c>
      <c r="I73" s="87"/>
      <c r="J73" s="88"/>
      <c r="K73" s="88"/>
      <c r="L73" s="89"/>
      <c r="M73" s="89"/>
      <c r="N73" s="90"/>
      <c r="O73" s="87"/>
      <c r="P73" s="87"/>
      <c r="Q73" s="90"/>
      <c r="R73" s="91"/>
      <c r="S73" s="92"/>
      <c r="T73" s="93"/>
    </row>
    <row r="74" spans="1:20" s="94" customFormat="1" x14ac:dyDescent="0.3">
      <c r="A74" s="96"/>
      <c r="B74" s="96"/>
      <c r="C74" s="87"/>
      <c r="D74" s="97"/>
      <c r="E74" s="83"/>
      <c r="F74" s="83"/>
      <c r="G74" s="131"/>
      <c r="H74" s="86" t="e">
        <f>IF(I74="fora",0%,G74/QUÓRUM!$C$6)</f>
        <v>#DIV/0!</v>
      </c>
      <c r="I74" s="87"/>
      <c r="J74" s="88"/>
      <c r="K74" s="88"/>
      <c r="L74" s="89"/>
      <c r="M74" s="89"/>
      <c r="N74" s="90"/>
      <c r="O74" s="90"/>
      <c r="P74" s="90"/>
      <c r="Q74" s="87"/>
      <c r="R74" s="98"/>
      <c r="S74" s="90"/>
      <c r="T74" s="99"/>
    </row>
    <row r="75" spans="1:20" s="94" customFormat="1" x14ac:dyDescent="0.3">
      <c r="A75" s="96"/>
      <c r="B75" s="96"/>
      <c r="C75" s="87"/>
      <c r="D75" s="97"/>
      <c r="E75" s="83"/>
      <c r="F75" s="83"/>
      <c r="G75" s="131"/>
      <c r="H75" s="86" t="e">
        <f>IF(I75="fora",0%,G75/QUÓRUM!$C$6)</f>
        <v>#DIV/0!</v>
      </c>
      <c r="I75" s="87"/>
      <c r="J75" s="88"/>
      <c r="K75" s="88"/>
      <c r="L75" s="89"/>
      <c r="M75" s="89"/>
      <c r="N75" s="90"/>
      <c r="O75" s="90"/>
      <c r="P75" s="90"/>
      <c r="Q75" s="90"/>
      <c r="R75" s="98"/>
      <c r="S75" s="90"/>
      <c r="T75" s="99"/>
    </row>
    <row r="76" spans="1:20" s="94" customFormat="1" x14ac:dyDescent="0.3">
      <c r="A76" s="82"/>
      <c r="B76" s="83"/>
      <c r="C76" s="87"/>
      <c r="D76" s="84"/>
      <c r="E76" s="83"/>
      <c r="F76" s="82"/>
      <c r="G76" s="130"/>
      <c r="H76" s="86" t="e">
        <f>IF(I76="fora",0%,G76/QUÓRUM!$C$6)</f>
        <v>#DIV/0!</v>
      </c>
      <c r="I76" s="87"/>
      <c r="J76" s="88"/>
      <c r="K76" s="88"/>
      <c r="L76" s="89"/>
      <c r="M76" s="89"/>
      <c r="N76" s="90"/>
      <c r="O76" s="87"/>
      <c r="P76" s="87"/>
      <c r="Q76" s="90"/>
      <c r="R76" s="91"/>
      <c r="S76" s="92"/>
      <c r="T76" s="93"/>
    </row>
    <row r="77" spans="1:20" s="94" customFormat="1" x14ac:dyDescent="0.3">
      <c r="A77" s="96"/>
      <c r="B77" s="96"/>
      <c r="C77" s="87"/>
      <c r="D77" s="97"/>
      <c r="E77" s="83"/>
      <c r="F77" s="83"/>
      <c r="G77" s="131"/>
      <c r="H77" s="86" t="e">
        <f>IF(I77="fora",0%,G77/QUÓRUM!$C$6)</f>
        <v>#DIV/0!</v>
      </c>
      <c r="I77" s="87"/>
      <c r="J77" s="88"/>
      <c r="K77" s="88"/>
      <c r="L77" s="89"/>
      <c r="M77" s="89"/>
      <c r="N77" s="90"/>
      <c r="O77" s="90"/>
      <c r="P77" s="90"/>
      <c r="Q77" s="90"/>
      <c r="R77" s="98"/>
      <c r="S77" s="90"/>
      <c r="T77" s="99"/>
    </row>
    <row r="78" spans="1:20" s="94" customFormat="1" x14ac:dyDescent="0.3">
      <c r="A78" s="96"/>
      <c r="B78" s="96"/>
      <c r="C78" s="87"/>
      <c r="D78" s="97"/>
      <c r="E78" s="83"/>
      <c r="F78" s="83"/>
      <c r="G78" s="131"/>
      <c r="H78" s="86" t="e">
        <f>IF(I78="fora",0%,G78/QUÓRUM!$C$6)</f>
        <v>#DIV/0!</v>
      </c>
      <c r="I78" s="87"/>
      <c r="J78" s="88"/>
      <c r="K78" s="88"/>
      <c r="L78" s="89"/>
      <c r="M78" s="89"/>
      <c r="N78" s="90"/>
      <c r="O78" s="90"/>
      <c r="P78" s="90"/>
      <c r="Q78" s="87"/>
      <c r="R78" s="98"/>
      <c r="S78" s="90"/>
      <c r="T78" s="99"/>
    </row>
    <row r="79" spans="1:20" s="94" customFormat="1" x14ac:dyDescent="0.3">
      <c r="A79" s="96"/>
      <c r="B79" s="96"/>
      <c r="C79" s="87"/>
      <c r="D79" s="97"/>
      <c r="E79" s="83"/>
      <c r="F79" s="83"/>
      <c r="G79" s="131"/>
      <c r="H79" s="86" t="e">
        <f>IF(I79="fora",0%,G79/QUÓRUM!$C$6)</f>
        <v>#DIV/0!</v>
      </c>
      <c r="I79" s="87"/>
      <c r="J79" s="88"/>
      <c r="K79" s="88"/>
      <c r="L79" s="89"/>
      <c r="M79" s="89"/>
      <c r="N79" s="90"/>
      <c r="O79" s="90"/>
      <c r="P79" s="90"/>
      <c r="Q79" s="87"/>
      <c r="R79" s="98"/>
      <c r="S79" s="90"/>
      <c r="T79" s="99"/>
    </row>
    <row r="80" spans="1:20" s="94" customFormat="1" x14ac:dyDescent="0.3">
      <c r="A80" s="82"/>
      <c r="B80" s="83"/>
      <c r="C80" s="87"/>
      <c r="D80" s="84"/>
      <c r="E80" s="83"/>
      <c r="F80" s="82"/>
      <c r="G80" s="130"/>
      <c r="H80" s="86" t="e">
        <f>IF(I80="fora",0%,G80/QUÓRUM!$C$6)</f>
        <v>#DIV/0!</v>
      </c>
      <c r="I80" s="87"/>
      <c r="J80" s="88"/>
      <c r="K80" s="88"/>
      <c r="L80" s="89"/>
      <c r="M80" s="89"/>
      <c r="N80" s="90"/>
      <c r="O80" s="87"/>
      <c r="P80" s="87"/>
      <c r="Q80" s="87"/>
      <c r="R80" s="91"/>
      <c r="S80" s="92"/>
      <c r="T80" s="93"/>
    </row>
    <row r="81" spans="1:20" s="94" customFormat="1" x14ac:dyDescent="0.3">
      <c r="A81" s="82"/>
      <c r="B81" s="83"/>
      <c r="C81" s="87"/>
      <c r="D81" s="84"/>
      <c r="E81" s="83"/>
      <c r="F81" s="82"/>
      <c r="G81" s="130"/>
      <c r="H81" s="86" t="e">
        <f>IF(I81="fora",0%,G81/QUÓRUM!$C$6)</f>
        <v>#DIV/0!</v>
      </c>
      <c r="I81" s="87"/>
      <c r="J81" s="88"/>
      <c r="K81" s="88"/>
      <c r="L81" s="89"/>
      <c r="M81" s="89"/>
      <c r="N81" s="90"/>
      <c r="O81" s="87"/>
      <c r="P81" s="87"/>
      <c r="Q81" s="90"/>
      <c r="R81" s="91"/>
      <c r="S81" s="92"/>
      <c r="T81" s="93"/>
    </row>
    <row r="82" spans="1:20" s="94" customFormat="1" x14ac:dyDescent="0.3">
      <c r="A82" s="82"/>
      <c r="B82" s="83"/>
      <c r="C82" s="87"/>
      <c r="D82" s="84"/>
      <c r="E82" s="83"/>
      <c r="F82" s="82"/>
      <c r="G82" s="130"/>
      <c r="H82" s="86" t="e">
        <f>IF(I82="fora",0%,G82/QUÓRUM!$C$6)</f>
        <v>#DIV/0!</v>
      </c>
      <c r="I82" s="87"/>
      <c r="J82" s="88"/>
      <c r="K82" s="88"/>
      <c r="L82" s="89"/>
      <c r="M82" s="89"/>
      <c r="N82" s="90"/>
      <c r="O82" s="87"/>
      <c r="P82" s="87"/>
      <c r="Q82" s="90"/>
      <c r="R82" s="91"/>
      <c r="S82" s="92"/>
      <c r="T82" s="93"/>
    </row>
    <row r="83" spans="1:20" s="94" customFormat="1" x14ac:dyDescent="0.3">
      <c r="A83" s="82"/>
      <c r="B83" s="83"/>
      <c r="C83" s="87"/>
      <c r="D83" s="84"/>
      <c r="E83" s="83"/>
      <c r="F83" s="82"/>
      <c r="G83" s="130"/>
      <c r="H83" s="86" t="e">
        <f>IF(I83="fora",0%,G83/QUÓRUM!$C$6)</f>
        <v>#DIV/0!</v>
      </c>
      <c r="I83" s="87"/>
      <c r="J83" s="88"/>
      <c r="K83" s="88"/>
      <c r="L83" s="89"/>
      <c r="M83" s="89"/>
      <c r="N83" s="90"/>
      <c r="O83" s="87"/>
      <c r="P83" s="87"/>
      <c r="Q83" s="90"/>
      <c r="R83" s="91"/>
      <c r="S83" s="92"/>
      <c r="T83" s="93"/>
    </row>
    <row r="84" spans="1:20" s="94" customFormat="1" x14ac:dyDescent="0.3">
      <c r="A84" s="82"/>
      <c r="B84" s="83"/>
      <c r="C84" s="87"/>
      <c r="D84" s="84"/>
      <c r="E84" s="83"/>
      <c r="F84" s="82"/>
      <c r="G84" s="130"/>
      <c r="H84" s="86" t="e">
        <f>IF(I84="fora",0%,G84/QUÓRUM!$C$6)</f>
        <v>#DIV/0!</v>
      </c>
      <c r="I84" s="87"/>
      <c r="J84" s="88"/>
      <c r="K84" s="88"/>
      <c r="L84" s="89"/>
      <c r="M84" s="89"/>
      <c r="N84" s="90"/>
      <c r="O84" s="87"/>
      <c r="P84" s="87"/>
      <c r="Q84" s="90"/>
      <c r="R84" s="91"/>
      <c r="S84" s="92"/>
      <c r="T84" s="93"/>
    </row>
    <row r="85" spans="1:20" s="94" customFormat="1" x14ac:dyDescent="0.3">
      <c r="A85" s="82"/>
      <c r="B85" s="83"/>
      <c r="C85" s="87"/>
      <c r="D85" s="84"/>
      <c r="E85" s="83"/>
      <c r="F85" s="82"/>
      <c r="G85" s="130"/>
      <c r="H85" s="86" t="e">
        <f>IF(I85="fora",0%,G85/QUÓRUM!$C$6)</f>
        <v>#DIV/0!</v>
      </c>
      <c r="I85" s="87"/>
      <c r="J85" s="88"/>
      <c r="K85" s="88"/>
      <c r="L85" s="89"/>
      <c r="M85" s="89"/>
      <c r="N85" s="90"/>
      <c r="O85" s="87"/>
      <c r="P85" s="87"/>
      <c r="Q85" s="90"/>
      <c r="R85" s="91"/>
      <c r="S85" s="92"/>
      <c r="T85" s="93"/>
    </row>
    <row r="86" spans="1:20" s="94" customFormat="1" x14ac:dyDescent="0.3">
      <c r="A86" s="82"/>
      <c r="B86" s="83"/>
      <c r="C86" s="87"/>
      <c r="D86" s="84"/>
      <c r="E86" s="83"/>
      <c r="F86" s="82"/>
      <c r="G86" s="130"/>
      <c r="H86" s="86" t="e">
        <f>IF(I86="fora",0%,G86/QUÓRUM!$C$6)</f>
        <v>#DIV/0!</v>
      </c>
      <c r="I86" s="87"/>
      <c r="J86" s="88"/>
      <c r="K86" s="88"/>
      <c r="L86" s="89"/>
      <c r="M86" s="89"/>
      <c r="N86" s="90"/>
      <c r="O86" s="87"/>
      <c r="P86" s="87"/>
      <c r="Q86" s="90"/>
      <c r="R86" s="91"/>
      <c r="S86" s="92"/>
      <c r="T86" s="93"/>
    </row>
    <row r="87" spans="1:20" s="94" customFormat="1" x14ac:dyDescent="0.3">
      <c r="A87" s="82"/>
      <c r="B87" s="83"/>
      <c r="C87" s="87"/>
      <c r="D87" s="84"/>
      <c r="E87" s="83"/>
      <c r="F87" s="82"/>
      <c r="G87" s="130"/>
      <c r="H87" s="86" t="e">
        <f>IF(I87="fora",0%,G87/QUÓRUM!$C$6)</f>
        <v>#DIV/0!</v>
      </c>
      <c r="I87" s="87"/>
      <c r="J87" s="88"/>
      <c r="K87" s="88"/>
      <c r="L87" s="89"/>
      <c r="M87" s="89"/>
      <c r="N87" s="90"/>
      <c r="O87" s="87"/>
      <c r="P87" s="87"/>
      <c r="Q87" s="90"/>
      <c r="R87" s="91"/>
      <c r="S87" s="92"/>
      <c r="T87" s="93"/>
    </row>
    <row r="88" spans="1:20" s="94" customFormat="1" x14ac:dyDescent="0.3">
      <c r="A88" s="82"/>
      <c r="B88" s="83"/>
      <c r="C88" s="87"/>
      <c r="D88" s="84"/>
      <c r="E88" s="83"/>
      <c r="F88" s="82"/>
      <c r="G88" s="130"/>
      <c r="H88" s="86" t="e">
        <f>IF(I88="fora",0%,G88/QUÓRUM!$C$6)</f>
        <v>#DIV/0!</v>
      </c>
      <c r="I88" s="87"/>
      <c r="J88" s="88"/>
      <c r="K88" s="88"/>
      <c r="L88" s="89"/>
      <c r="M88" s="89"/>
      <c r="N88" s="90"/>
      <c r="O88" s="87"/>
      <c r="P88" s="87"/>
      <c r="Q88" s="90"/>
      <c r="R88" s="91"/>
      <c r="S88" s="92"/>
      <c r="T88" s="93"/>
    </row>
    <row r="89" spans="1:20" s="94" customFormat="1" x14ac:dyDescent="0.3">
      <c r="A89" s="82"/>
      <c r="B89" s="83"/>
      <c r="C89" s="87"/>
      <c r="D89" s="84"/>
      <c r="E89" s="83"/>
      <c r="F89" s="82"/>
      <c r="G89" s="130"/>
      <c r="H89" s="86" t="e">
        <f>IF(I89="fora",0%,G89/QUÓRUM!$C$6)</f>
        <v>#DIV/0!</v>
      </c>
      <c r="I89" s="87"/>
      <c r="J89" s="88"/>
      <c r="K89" s="88"/>
      <c r="L89" s="89"/>
      <c r="M89" s="89"/>
      <c r="N89" s="90"/>
      <c r="O89" s="87"/>
      <c r="P89" s="87"/>
      <c r="Q89" s="90"/>
      <c r="R89" s="91"/>
      <c r="S89" s="92"/>
      <c r="T89" s="93"/>
    </row>
    <row r="90" spans="1:20" s="94" customFormat="1" x14ac:dyDescent="0.3">
      <c r="A90" s="96"/>
      <c r="B90" s="96"/>
      <c r="C90" s="87"/>
      <c r="D90" s="97"/>
      <c r="E90" s="83"/>
      <c r="F90" s="83"/>
      <c r="G90" s="131"/>
      <c r="H90" s="86" t="e">
        <f>IF(I90="fora",0%,G90/QUÓRUM!$C$6)</f>
        <v>#DIV/0!</v>
      </c>
      <c r="I90" s="87"/>
      <c r="J90" s="88"/>
      <c r="K90" s="88"/>
      <c r="L90" s="89"/>
      <c r="M90" s="89"/>
      <c r="N90" s="90"/>
      <c r="O90" s="90"/>
      <c r="P90" s="90"/>
      <c r="Q90" s="87"/>
      <c r="R90" s="98"/>
      <c r="S90" s="90"/>
      <c r="T90" s="99"/>
    </row>
    <row r="91" spans="1:20" s="94" customFormat="1" x14ac:dyDescent="0.3">
      <c r="A91" s="82"/>
      <c r="B91" s="83"/>
      <c r="C91" s="87"/>
      <c r="D91" s="84"/>
      <c r="E91" s="83"/>
      <c r="F91" s="82"/>
      <c r="G91" s="130"/>
      <c r="H91" s="86" t="e">
        <f>IF(I91="fora",0%,G91/QUÓRUM!$C$6)</f>
        <v>#DIV/0!</v>
      </c>
      <c r="I91" s="87"/>
      <c r="J91" s="88"/>
      <c r="K91" s="88"/>
      <c r="L91" s="89"/>
      <c r="M91" s="89"/>
      <c r="N91" s="90"/>
      <c r="O91" s="87"/>
      <c r="P91" s="87"/>
      <c r="Q91" s="87"/>
      <c r="R91" s="91"/>
      <c r="S91" s="92"/>
      <c r="T91" s="93"/>
    </row>
    <row r="92" spans="1:20" s="94" customFormat="1" x14ac:dyDescent="0.3">
      <c r="A92" s="82"/>
      <c r="B92" s="83"/>
      <c r="C92" s="87"/>
      <c r="D92" s="84"/>
      <c r="E92" s="83"/>
      <c r="F92" s="82"/>
      <c r="G92" s="130"/>
      <c r="H92" s="86" t="e">
        <f>IF(I92="fora",0%,G92/QUÓRUM!$C$6)</f>
        <v>#DIV/0!</v>
      </c>
      <c r="I92" s="87"/>
      <c r="J92" s="88"/>
      <c r="K92" s="88"/>
      <c r="L92" s="89"/>
      <c r="M92" s="89"/>
      <c r="N92" s="90"/>
      <c r="O92" s="87"/>
      <c r="P92" s="87"/>
      <c r="Q92" s="87"/>
      <c r="R92" s="91"/>
      <c r="S92" s="92"/>
      <c r="T92" s="93"/>
    </row>
    <row r="93" spans="1:20" s="94" customFormat="1" x14ac:dyDescent="0.3">
      <c r="A93" s="82"/>
      <c r="B93" s="83"/>
      <c r="C93" s="87"/>
      <c r="D93" s="84"/>
      <c r="E93" s="83"/>
      <c r="F93" s="82"/>
      <c r="G93" s="130"/>
      <c r="H93" s="86" t="e">
        <f>IF(I93="fora",0%,G93/QUÓRUM!$C$6)</f>
        <v>#DIV/0!</v>
      </c>
      <c r="I93" s="87"/>
      <c r="J93" s="88"/>
      <c r="K93" s="88"/>
      <c r="L93" s="89"/>
      <c r="M93" s="89"/>
      <c r="N93" s="90"/>
      <c r="O93" s="87"/>
      <c r="P93" s="87"/>
      <c r="Q93" s="87"/>
      <c r="R93" s="91"/>
      <c r="S93" s="92"/>
      <c r="T93" s="93"/>
    </row>
    <row r="94" spans="1:20" s="94" customFormat="1" x14ac:dyDescent="0.3">
      <c r="A94" s="82"/>
      <c r="B94" s="83"/>
      <c r="C94" s="87"/>
      <c r="D94" s="84"/>
      <c r="E94" s="83"/>
      <c r="F94" s="82"/>
      <c r="G94" s="130"/>
      <c r="H94" s="86" t="e">
        <f>IF(I94="fora",0%,G94/QUÓRUM!$C$6)</f>
        <v>#DIV/0!</v>
      </c>
      <c r="I94" s="87"/>
      <c r="J94" s="88"/>
      <c r="K94" s="88"/>
      <c r="L94" s="89"/>
      <c r="M94" s="89"/>
      <c r="N94" s="90"/>
      <c r="O94" s="87"/>
      <c r="P94" s="87"/>
      <c r="Q94" s="87"/>
      <c r="R94" s="91"/>
      <c r="S94" s="92"/>
      <c r="T94" s="93"/>
    </row>
    <row r="95" spans="1:20" s="94" customFormat="1" x14ac:dyDescent="0.3">
      <c r="A95" s="96"/>
      <c r="B95" s="96"/>
      <c r="C95" s="87"/>
      <c r="D95" s="97"/>
      <c r="E95" s="83"/>
      <c r="F95" s="83"/>
      <c r="G95" s="131"/>
      <c r="H95" s="86" t="e">
        <f>IF(I95="fora",0%,G95/QUÓRUM!$C$6)</f>
        <v>#DIV/0!</v>
      </c>
      <c r="I95" s="87"/>
      <c r="J95" s="88"/>
      <c r="K95" s="88"/>
      <c r="L95" s="89"/>
      <c r="M95" s="89"/>
      <c r="N95" s="90"/>
      <c r="O95" s="90"/>
      <c r="P95" s="90"/>
      <c r="Q95" s="87"/>
      <c r="R95" s="98"/>
      <c r="S95" s="90"/>
      <c r="T95" s="99"/>
    </row>
    <row r="96" spans="1:20" s="94" customFormat="1" x14ac:dyDescent="0.3">
      <c r="A96" s="82"/>
      <c r="B96" s="83"/>
      <c r="C96" s="87"/>
      <c r="D96" s="84"/>
      <c r="E96" s="83"/>
      <c r="F96" s="82"/>
      <c r="G96" s="130"/>
      <c r="H96" s="86" t="e">
        <f>IF(I96="fora",0%,G96/QUÓRUM!$C$6)</f>
        <v>#DIV/0!</v>
      </c>
      <c r="I96" s="87"/>
      <c r="J96" s="88"/>
      <c r="K96" s="88"/>
      <c r="L96" s="89"/>
      <c r="M96" s="89"/>
      <c r="N96" s="90"/>
      <c r="O96" s="87"/>
      <c r="P96" s="87"/>
      <c r="Q96" s="87"/>
      <c r="R96" s="91"/>
      <c r="S96" s="92">
        <f>R96*G96</f>
        <v>0</v>
      </c>
      <c r="T96" s="93" t="e">
        <f>IF(I96="fora",0%,S96/QUÓRUM!$M$7)</f>
        <v>#DIV/0!</v>
      </c>
    </row>
    <row r="97" spans="1:20" s="94" customFormat="1" x14ac:dyDescent="0.3">
      <c r="A97" s="82"/>
      <c r="B97" s="83"/>
      <c r="C97" s="87"/>
      <c r="D97" s="84"/>
      <c r="E97" s="83"/>
      <c r="F97" s="82"/>
      <c r="G97" s="130"/>
      <c r="H97" s="86" t="e">
        <f>IF(I97="fora",0%,G97/QUÓRUM!$C$6)</f>
        <v>#DIV/0!</v>
      </c>
      <c r="I97" s="87"/>
      <c r="J97" s="88"/>
      <c r="K97" s="88"/>
      <c r="L97" s="89"/>
      <c r="M97" s="89"/>
      <c r="N97" s="90"/>
      <c r="O97" s="87"/>
      <c r="P97" s="87"/>
      <c r="Q97" s="87"/>
      <c r="R97" s="91"/>
      <c r="S97" s="92">
        <f>R97*G97</f>
        <v>0</v>
      </c>
      <c r="T97" s="93" t="e">
        <f>IF(I97="fora",0%,S97/QUÓRUM!$M$7)</f>
        <v>#DIV/0!</v>
      </c>
    </row>
    <row r="98" spans="1:20" s="94" customFormat="1" x14ac:dyDescent="0.3">
      <c r="A98" s="82"/>
      <c r="B98" s="83"/>
      <c r="C98" s="87"/>
      <c r="D98" s="84"/>
      <c r="E98" s="83"/>
      <c r="F98" s="82"/>
      <c r="G98" s="130"/>
      <c r="H98" s="86" t="e">
        <f>IF(I98="fora",0%,G98/QUÓRUM!$C$6)</f>
        <v>#DIV/0!</v>
      </c>
      <c r="I98" s="87"/>
      <c r="J98" s="88"/>
      <c r="K98" s="88"/>
      <c r="L98" s="89"/>
      <c r="M98" s="89"/>
      <c r="N98" s="90"/>
      <c r="O98" s="87"/>
      <c r="P98" s="87"/>
      <c r="Q98" s="87"/>
      <c r="R98" s="91"/>
      <c r="S98" s="92"/>
      <c r="T98" s="93"/>
    </row>
    <row r="99" spans="1:20" s="94" customFormat="1" x14ac:dyDescent="0.3">
      <c r="A99" s="82"/>
      <c r="B99" s="83"/>
      <c r="C99" s="87"/>
      <c r="D99" s="84"/>
      <c r="E99" s="83"/>
      <c r="F99" s="82"/>
      <c r="G99" s="130"/>
      <c r="H99" s="86" t="e">
        <f>IF(I99="fora",0%,G99/QUÓRUM!$C$6)</f>
        <v>#DIV/0!</v>
      </c>
      <c r="I99" s="87"/>
      <c r="J99" s="88"/>
      <c r="K99" s="88"/>
      <c r="L99" s="89"/>
      <c r="M99" s="89"/>
      <c r="N99" s="90"/>
      <c r="O99" s="87"/>
      <c r="P99" s="87"/>
      <c r="Q99" s="87"/>
      <c r="R99" s="91"/>
      <c r="S99" s="92"/>
      <c r="T99" s="93"/>
    </row>
    <row r="100" spans="1:20" s="94" customFormat="1" x14ac:dyDescent="0.3">
      <c r="A100" s="82"/>
      <c r="B100" s="83"/>
      <c r="C100" s="87"/>
      <c r="D100" s="84"/>
      <c r="E100" s="83"/>
      <c r="F100" s="82"/>
      <c r="G100" s="130"/>
      <c r="H100" s="86" t="e">
        <f>IF(I100="fora",0%,G100/QUÓRUM!$C$6)</f>
        <v>#DIV/0!</v>
      </c>
      <c r="I100" s="87"/>
      <c r="J100" s="88"/>
      <c r="K100" s="88"/>
      <c r="L100" s="89"/>
      <c r="M100" s="89"/>
      <c r="N100" s="90"/>
      <c r="O100" s="87"/>
      <c r="P100" s="87"/>
      <c r="Q100" s="87"/>
      <c r="R100" s="91"/>
      <c r="S100" s="92">
        <f>R100*G100</f>
        <v>0</v>
      </c>
      <c r="T100" s="93" t="e">
        <f>IF(I100="fora",0%,S100/QUÓRUM!$M$7)</f>
        <v>#DIV/0!</v>
      </c>
    </row>
    <row r="101" spans="1:20" s="94" customFormat="1" x14ac:dyDescent="0.3">
      <c r="A101" s="82"/>
      <c r="B101" s="83"/>
      <c r="C101" s="87"/>
      <c r="D101" s="84"/>
      <c r="E101" s="83"/>
      <c r="F101" s="82"/>
      <c r="G101" s="130"/>
      <c r="H101" s="86" t="e">
        <f>IF(I101="fora",0%,G101/QUÓRUM!$C$6)</f>
        <v>#DIV/0!</v>
      </c>
      <c r="I101" s="87"/>
      <c r="J101" s="88"/>
      <c r="K101" s="88"/>
      <c r="L101" s="89"/>
      <c r="M101" s="89"/>
      <c r="N101" s="90"/>
      <c r="O101" s="87"/>
      <c r="P101" s="87"/>
      <c r="Q101" s="87"/>
      <c r="R101" s="91"/>
      <c r="S101" s="92"/>
      <c r="T101" s="93"/>
    </row>
    <row r="102" spans="1:20" s="94" customFormat="1" x14ac:dyDescent="0.3">
      <c r="A102" s="82"/>
      <c r="B102" s="83"/>
      <c r="C102" s="87"/>
      <c r="D102" s="84"/>
      <c r="E102" s="83"/>
      <c r="F102" s="82"/>
      <c r="G102" s="130"/>
      <c r="H102" s="86" t="e">
        <f>IF(I102="fora",0%,G102/QUÓRUM!$C$6)</f>
        <v>#DIV/0!</v>
      </c>
      <c r="I102" s="87"/>
      <c r="J102" s="88"/>
      <c r="K102" s="88"/>
      <c r="L102" s="89"/>
      <c r="M102" s="89"/>
      <c r="N102" s="90"/>
      <c r="O102" s="87"/>
      <c r="P102" s="87"/>
      <c r="Q102" s="87"/>
      <c r="R102" s="91"/>
      <c r="S102" s="92"/>
      <c r="T102" s="93"/>
    </row>
    <row r="103" spans="1:20" s="94" customFormat="1" x14ac:dyDescent="0.3">
      <c r="A103" s="82"/>
      <c r="B103" s="83"/>
      <c r="C103" s="87"/>
      <c r="D103" s="84"/>
      <c r="E103" s="83"/>
      <c r="F103" s="82"/>
      <c r="G103" s="130"/>
      <c r="H103" s="86" t="e">
        <f>IF(I103="fora",0%,G103/QUÓRUM!$C$6)</f>
        <v>#DIV/0!</v>
      </c>
      <c r="I103" s="87"/>
      <c r="J103" s="88"/>
      <c r="K103" s="88"/>
      <c r="L103" s="89"/>
      <c r="M103" s="89"/>
      <c r="N103" s="90"/>
      <c r="O103" s="87"/>
      <c r="P103" s="87"/>
      <c r="Q103" s="87"/>
      <c r="R103" s="91"/>
      <c r="S103" s="92"/>
      <c r="T103" s="93"/>
    </row>
    <row r="104" spans="1:20" s="94" customFormat="1" x14ac:dyDescent="0.3">
      <c r="A104" s="82"/>
      <c r="B104" s="83"/>
      <c r="C104" s="87"/>
      <c r="D104" s="84"/>
      <c r="E104" s="83"/>
      <c r="F104" s="82"/>
      <c r="G104" s="130"/>
      <c r="H104" s="86" t="e">
        <f>IF(I104="fora",0%,G104/QUÓRUM!$C$6)</f>
        <v>#DIV/0!</v>
      </c>
      <c r="I104" s="87"/>
      <c r="J104" s="88"/>
      <c r="K104" s="88"/>
      <c r="L104" s="89"/>
      <c r="M104" s="89"/>
      <c r="N104" s="90"/>
      <c r="O104" s="87"/>
      <c r="P104" s="87"/>
      <c r="Q104" s="87"/>
      <c r="R104" s="91"/>
      <c r="S104" s="92"/>
      <c r="T104" s="93"/>
    </row>
    <row r="105" spans="1:20" s="94" customFormat="1" x14ac:dyDescent="0.3">
      <c r="A105" s="82"/>
      <c r="B105" s="83"/>
      <c r="C105" s="87"/>
      <c r="D105" s="84"/>
      <c r="E105" s="83"/>
      <c r="F105" s="82"/>
      <c r="G105" s="130"/>
      <c r="H105" s="86" t="e">
        <f>IF(I105="fora",0%,G105/QUÓRUM!$C$6)</f>
        <v>#DIV/0!</v>
      </c>
      <c r="I105" s="87"/>
      <c r="J105" s="88"/>
      <c r="K105" s="88"/>
      <c r="L105" s="89"/>
      <c r="M105" s="89"/>
      <c r="N105" s="90"/>
      <c r="O105" s="87"/>
      <c r="P105" s="87"/>
      <c r="Q105" s="87"/>
      <c r="R105" s="91"/>
      <c r="S105" s="92"/>
      <c r="T105" s="93"/>
    </row>
    <row r="106" spans="1:20" s="94" customFormat="1" x14ac:dyDescent="0.3">
      <c r="A106" s="82"/>
      <c r="B106" s="83"/>
      <c r="C106" s="87"/>
      <c r="D106" s="84"/>
      <c r="E106" s="83"/>
      <c r="F106" s="82"/>
      <c r="G106" s="130"/>
      <c r="H106" s="86" t="e">
        <f>IF(I106="fora",0%,G106/QUÓRUM!$C$6)</f>
        <v>#DIV/0!</v>
      </c>
      <c r="I106" s="87"/>
      <c r="J106" s="88"/>
      <c r="K106" s="88"/>
      <c r="L106" s="89"/>
      <c r="M106" s="89"/>
      <c r="N106" s="90"/>
      <c r="O106" s="87"/>
      <c r="P106" s="87"/>
      <c r="Q106" s="87"/>
      <c r="R106" s="91"/>
      <c r="S106" s="92"/>
      <c r="T106" s="93"/>
    </row>
    <row r="107" spans="1:20" s="94" customFormat="1" x14ac:dyDescent="0.3">
      <c r="A107" s="96"/>
      <c r="B107" s="96"/>
      <c r="C107" s="87"/>
      <c r="D107" s="97"/>
      <c r="E107" s="83"/>
      <c r="F107" s="83"/>
      <c r="G107" s="131"/>
      <c r="H107" s="86" t="e">
        <f>IF(I107="fora",0%,G107/QUÓRUM!$C$6)</f>
        <v>#DIV/0!</v>
      </c>
      <c r="I107" s="87"/>
      <c r="J107" s="88"/>
      <c r="K107" s="88"/>
      <c r="L107" s="89"/>
      <c r="M107" s="89"/>
      <c r="N107" s="90"/>
      <c r="O107" s="90"/>
      <c r="P107" s="90"/>
      <c r="Q107" s="87"/>
      <c r="R107" s="98"/>
      <c r="S107" s="90"/>
      <c r="T107" s="99"/>
    </row>
    <row r="108" spans="1:20" s="94" customFormat="1" x14ac:dyDescent="0.3">
      <c r="A108" s="96"/>
      <c r="B108" s="96"/>
      <c r="C108" s="87"/>
      <c r="D108" s="97"/>
      <c r="E108" s="83"/>
      <c r="F108" s="83"/>
      <c r="G108" s="131"/>
      <c r="H108" s="86" t="e">
        <f>IF(I108="fora",0%,G108/QUÓRUM!$C$6)</f>
        <v>#DIV/0!</v>
      </c>
      <c r="I108" s="87"/>
      <c r="J108" s="88"/>
      <c r="K108" s="88"/>
      <c r="L108" s="89"/>
      <c r="M108" s="89"/>
      <c r="N108" s="90"/>
      <c r="O108" s="90"/>
      <c r="P108" s="90"/>
      <c r="Q108" s="87"/>
      <c r="R108" s="98"/>
      <c r="S108" s="90"/>
      <c r="T108" s="99"/>
    </row>
    <row r="109" spans="1:20" s="94" customFormat="1" x14ac:dyDescent="0.3">
      <c r="A109" s="96"/>
      <c r="B109" s="96"/>
      <c r="C109" s="87"/>
      <c r="D109" s="97"/>
      <c r="E109" s="83"/>
      <c r="F109" s="83"/>
      <c r="G109" s="131"/>
      <c r="H109" s="86" t="e">
        <f>IF(I109="fora",0%,G109/QUÓRUM!$C$6)</f>
        <v>#DIV/0!</v>
      </c>
      <c r="I109" s="87"/>
      <c r="J109" s="88"/>
      <c r="K109" s="88"/>
      <c r="L109" s="89"/>
      <c r="M109" s="89"/>
      <c r="N109" s="90"/>
      <c r="O109" s="90"/>
      <c r="P109" s="90"/>
      <c r="Q109" s="87"/>
      <c r="R109" s="98"/>
      <c r="S109" s="90"/>
      <c r="T109" s="99"/>
    </row>
    <row r="110" spans="1:20" s="94" customFormat="1" x14ac:dyDescent="0.3">
      <c r="A110" s="96"/>
      <c r="B110" s="96"/>
      <c r="C110" s="87"/>
      <c r="D110" s="97"/>
      <c r="E110" s="83"/>
      <c r="F110" s="83"/>
      <c r="G110" s="131"/>
      <c r="H110" s="86" t="e">
        <f>IF(I110="fora",0%,G110/QUÓRUM!$C$6)</f>
        <v>#DIV/0!</v>
      </c>
      <c r="I110" s="87"/>
      <c r="J110" s="88"/>
      <c r="K110" s="88"/>
      <c r="L110" s="89"/>
      <c r="M110" s="89"/>
      <c r="N110" s="90"/>
      <c r="O110" s="90"/>
      <c r="P110" s="90"/>
      <c r="Q110" s="87"/>
      <c r="R110" s="98"/>
      <c r="S110" s="90"/>
      <c r="T110" s="99"/>
    </row>
    <row r="111" spans="1:20" s="94" customFormat="1" x14ac:dyDescent="0.3">
      <c r="A111" s="96"/>
      <c r="B111" s="96"/>
      <c r="C111" s="87"/>
      <c r="D111" s="97"/>
      <c r="E111" s="83"/>
      <c r="F111" s="83"/>
      <c r="G111" s="131"/>
      <c r="H111" s="86" t="e">
        <f>IF(I111="fora",0%,G111/QUÓRUM!$C$6)</f>
        <v>#DIV/0!</v>
      </c>
      <c r="I111" s="87"/>
      <c r="J111" s="88"/>
      <c r="K111" s="88"/>
      <c r="L111" s="89"/>
      <c r="M111" s="89"/>
      <c r="N111" s="90"/>
      <c r="O111" s="90"/>
      <c r="P111" s="90"/>
      <c r="Q111" s="87"/>
      <c r="R111" s="98"/>
      <c r="S111" s="90"/>
      <c r="T111" s="99"/>
    </row>
    <row r="112" spans="1:20" s="94" customFormat="1" x14ac:dyDescent="0.3">
      <c r="A112" s="82"/>
      <c r="B112" s="83"/>
      <c r="C112" s="87"/>
      <c r="D112" s="84"/>
      <c r="E112" s="83"/>
      <c r="F112" s="82"/>
      <c r="G112" s="130"/>
      <c r="H112" s="86" t="e">
        <f>IF(I112="fora",0%,G112/QUÓRUM!$C$6)</f>
        <v>#DIV/0!</v>
      </c>
      <c r="I112" s="87"/>
      <c r="J112" s="88"/>
      <c r="K112" s="88"/>
      <c r="L112" s="89"/>
      <c r="M112" s="89"/>
      <c r="N112" s="90"/>
      <c r="O112" s="87"/>
      <c r="P112" s="87"/>
      <c r="Q112" s="87"/>
      <c r="R112" s="91"/>
      <c r="S112" s="92"/>
      <c r="T112" s="93"/>
    </row>
    <row r="113" spans="1:20" s="94" customFormat="1" x14ac:dyDescent="0.3">
      <c r="A113" s="82"/>
      <c r="B113" s="83"/>
      <c r="C113" s="87"/>
      <c r="D113" s="84"/>
      <c r="E113" s="83"/>
      <c r="F113" s="82"/>
      <c r="G113" s="130"/>
      <c r="H113" s="86" t="e">
        <f>IF(I113="fora",0%,G113/QUÓRUM!$C$6)</f>
        <v>#DIV/0!</v>
      </c>
      <c r="I113" s="87"/>
      <c r="J113" s="88"/>
      <c r="K113" s="88"/>
      <c r="L113" s="89"/>
      <c r="M113" s="89"/>
      <c r="N113" s="90"/>
      <c r="O113" s="87"/>
      <c r="P113" s="87"/>
      <c r="Q113" s="87"/>
      <c r="R113" s="91"/>
      <c r="S113" s="92"/>
      <c r="T113" s="93"/>
    </row>
    <row r="114" spans="1:20" s="94" customFormat="1" x14ac:dyDescent="0.3">
      <c r="A114" s="82"/>
      <c r="B114" s="83"/>
      <c r="C114" s="87"/>
      <c r="D114" s="84"/>
      <c r="E114" s="83"/>
      <c r="F114" s="82"/>
      <c r="G114" s="130"/>
      <c r="H114" s="86" t="e">
        <f>IF(I114="fora",0%,G114/QUÓRUM!$C$6)</f>
        <v>#DIV/0!</v>
      </c>
      <c r="I114" s="87"/>
      <c r="J114" s="88"/>
      <c r="K114" s="88"/>
      <c r="L114" s="89"/>
      <c r="M114" s="89"/>
      <c r="N114" s="90"/>
      <c r="O114" s="87"/>
      <c r="P114" s="87"/>
      <c r="Q114" s="90"/>
      <c r="R114" s="91"/>
      <c r="S114" s="92"/>
      <c r="T114" s="93"/>
    </row>
    <row r="115" spans="1:20" s="94" customFormat="1" x14ac:dyDescent="0.3">
      <c r="A115" s="82"/>
      <c r="B115" s="83"/>
      <c r="C115" s="87"/>
      <c r="D115" s="84"/>
      <c r="E115" s="83"/>
      <c r="F115" s="82"/>
      <c r="G115" s="130"/>
      <c r="H115" s="86" t="e">
        <f>IF(I115="fora",0%,G115/QUÓRUM!$C$6)</f>
        <v>#DIV/0!</v>
      </c>
      <c r="I115" s="87"/>
      <c r="J115" s="88"/>
      <c r="K115" s="88"/>
      <c r="L115" s="89"/>
      <c r="M115" s="89"/>
      <c r="N115" s="90"/>
      <c r="O115" s="87"/>
      <c r="P115" s="87"/>
      <c r="Q115" s="90"/>
      <c r="R115" s="91"/>
      <c r="S115" s="92"/>
      <c r="T115" s="93"/>
    </row>
    <row r="116" spans="1:20" s="94" customFormat="1" x14ac:dyDescent="0.3">
      <c r="A116" s="82"/>
      <c r="B116" s="83"/>
      <c r="C116" s="87"/>
      <c r="D116" s="84"/>
      <c r="E116" s="83"/>
      <c r="F116" s="82"/>
      <c r="G116" s="130"/>
      <c r="H116" s="86" t="e">
        <f>IF(I116="fora",0%,G116/QUÓRUM!$C$6)</f>
        <v>#DIV/0!</v>
      </c>
      <c r="I116" s="87"/>
      <c r="J116" s="88"/>
      <c r="K116" s="88"/>
      <c r="L116" s="89"/>
      <c r="M116" s="89"/>
      <c r="N116" s="90"/>
      <c r="O116" s="87"/>
      <c r="P116" s="87"/>
      <c r="Q116" s="90"/>
      <c r="R116" s="91"/>
      <c r="S116" s="92"/>
      <c r="T116" s="93"/>
    </row>
    <row r="117" spans="1:20" s="94" customFormat="1" ht="14.25" customHeight="1" x14ac:dyDescent="0.3">
      <c r="A117" s="82"/>
      <c r="B117" s="83"/>
      <c r="C117" s="87"/>
      <c r="D117" s="84"/>
      <c r="E117" s="83"/>
      <c r="F117" s="82"/>
      <c r="G117" s="130"/>
      <c r="H117" s="86" t="e">
        <f>IF(I117="fora",0%,G117/QUÓRUM!$C$6)</f>
        <v>#DIV/0!</v>
      </c>
      <c r="I117" s="87"/>
      <c r="J117" s="88"/>
      <c r="K117" s="88"/>
      <c r="L117" s="89"/>
      <c r="M117" s="89"/>
      <c r="N117" s="90"/>
      <c r="O117" s="87"/>
      <c r="P117" s="87"/>
      <c r="Q117" s="90"/>
      <c r="R117" s="91"/>
      <c r="S117" s="92"/>
      <c r="T117" s="93"/>
    </row>
    <row r="118" spans="1:20" s="94" customFormat="1" x14ac:dyDescent="0.3">
      <c r="A118" s="82"/>
      <c r="B118" s="83"/>
      <c r="C118" s="87"/>
      <c r="D118" s="84"/>
      <c r="E118" s="83"/>
      <c r="F118" s="82"/>
      <c r="G118" s="130"/>
      <c r="H118" s="86" t="e">
        <f>IF(I118="fora",0%,G118/QUÓRUM!$C$6)</f>
        <v>#DIV/0!</v>
      </c>
      <c r="I118" s="87"/>
      <c r="J118" s="88"/>
      <c r="K118" s="88"/>
      <c r="L118" s="89"/>
      <c r="M118" s="89"/>
      <c r="N118" s="90"/>
      <c r="O118" s="87"/>
      <c r="P118" s="87"/>
      <c r="Q118" s="90"/>
      <c r="R118" s="91"/>
      <c r="S118" s="92"/>
      <c r="T118" s="93"/>
    </row>
    <row r="119" spans="1:20" s="94" customFormat="1" x14ac:dyDescent="0.3">
      <c r="A119" s="82"/>
      <c r="B119" s="83"/>
      <c r="C119" s="87"/>
      <c r="D119" s="84"/>
      <c r="E119" s="83"/>
      <c r="F119" s="82"/>
      <c r="G119" s="130"/>
      <c r="H119" s="86" t="e">
        <f>IF(I119="fora",0%,G119/QUÓRUM!$C$6)</f>
        <v>#DIV/0!</v>
      </c>
      <c r="I119" s="87"/>
      <c r="J119" s="88"/>
      <c r="K119" s="88"/>
      <c r="L119" s="89"/>
      <c r="M119" s="89"/>
      <c r="N119" s="90"/>
      <c r="O119" s="87"/>
      <c r="P119" s="87"/>
      <c r="Q119" s="90"/>
      <c r="R119" s="91"/>
      <c r="S119" s="92"/>
      <c r="T119" s="93"/>
    </row>
    <row r="120" spans="1:20" s="94" customFormat="1" x14ac:dyDescent="0.3">
      <c r="A120" s="82"/>
      <c r="B120" s="83"/>
      <c r="C120" s="87"/>
      <c r="D120" s="84"/>
      <c r="E120" s="83"/>
      <c r="F120" s="82"/>
      <c r="G120" s="130"/>
      <c r="H120" s="86" t="e">
        <f>IF(I120="fora",0%,G120/QUÓRUM!$C$6)</f>
        <v>#DIV/0!</v>
      </c>
      <c r="I120" s="87"/>
      <c r="J120" s="88"/>
      <c r="K120" s="88"/>
      <c r="L120" s="89"/>
      <c r="M120" s="89"/>
      <c r="N120" s="90"/>
      <c r="O120" s="87"/>
      <c r="P120" s="87"/>
      <c r="Q120" s="90"/>
      <c r="R120" s="91"/>
      <c r="S120" s="92"/>
      <c r="T120" s="93"/>
    </row>
    <row r="121" spans="1:20" s="94" customFormat="1" x14ac:dyDescent="0.3">
      <c r="A121" s="82"/>
      <c r="B121" s="83"/>
      <c r="C121" s="87"/>
      <c r="D121" s="84"/>
      <c r="E121" s="83"/>
      <c r="F121" s="82"/>
      <c r="G121" s="130"/>
      <c r="H121" s="86" t="e">
        <f>IF(I121="fora",0%,G121/QUÓRUM!$C$6)</f>
        <v>#DIV/0!</v>
      </c>
      <c r="I121" s="87"/>
      <c r="J121" s="88"/>
      <c r="K121" s="88"/>
      <c r="L121" s="89"/>
      <c r="M121" s="89"/>
      <c r="N121" s="90"/>
      <c r="O121" s="87"/>
      <c r="P121" s="87"/>
      <c r="Q121" s="90"/>
      <c r="R121" s="91"/>
      <c r="S121" s="92"/>
      <c r="T121" s="93"/>
    </row>
    <row r="122" spans="1:20" s="94" customFormat="1" x14ac:dyDescent="0.3">
      <c r="A122" s="82"/>
      <c r="B122" s="83"/>
      <c r="C122" s="87"/>
      <c r="D122" s="84"/>
      <c r="E122" s="83"/>
      <c r="F122" s="82"/>
      <c r="G122" s="130"/>
      <c r="H122" s="86" t="e">
        <f>IF(I122="fora",0%,G122/QUÓRUM!$C$6)</f>
        <v>#DIV/0!</v>
      </c>
      <c r="I122" s="87"/>
      <c r="J122" s="88"/>
      <c r="K122" s="88"/>
      <c r="L122" s="89"/>
      <c r="M122" s="89"/>
      <c r="N122" s="90"/>
      <c r="O122" s="87"/>
      <c r="P122" s="87"/>
      <c r="Q122" s="90"/>
      <c r="R122" s="91"/>
      <c r="S122" s="92"/>
      <c r="T122" s="93"/>
    </row>
    <row r="123" spans="1:20" s="94" customFormat="1" x14ac:dyDescent="0.3">
      <c r="A123" s="82"/>
      <c r="B123" s="83"/>
      <c r="C123" s="87"/>
      <c r="D123" s="84"/>
      <c r="E123" s="83"/>
      <c r="F123" s="82"/>
      <c r="G123" s="130"/>
      <c r="H123" s="86" t="e">
        <f>IF(I123="fora",0%,G123/QUÓRUM!$C$6)</f>
        <v>#DIV/0!</v>
      </c>
      <c r="I123" s="87"/>
      <c r="J123" s="88"/>
      <c r="K123" s="88"/>
      <c r="L123" s="89"/>
      <c r="M123" s="89"/>
      <c r="N123" s="90"/>
      <c r="O123" s="87"/>
      <c r="P123" s="87"/>
      <c r="Q123" s="90"/>
      <c r="R123" s="91"/>
      <c r="S123" s="92"/>
      <c r="T123" s="93"/>
    </row>
    <row r="124" spans="1:20" s="94" customFormat="1" x14ac:dyDescent="0.3">
      <c r="A124" s="82"/>
      <c r="B124" s="83"/>
      <c r="C124" s="87"/>
      <c r="D124" s="84"/>
      <c r="E124" s="83"/>
      <c r="F124" s="82"/>
      <c r="G124" s="130"/>
      <c r="H124" s="86" t="e">
        <f>IF(I124="fora",0%,G124/QUÓRUM!$C$6)</f>
        <v>#DIV/0!</v>
      </c>
      <c r="I124" s="87"/>
      <c r="J124" s="88"/>
      <c r="K124" s="88"/>
      <c r="L124" s="89"/>
      <c r="M124" s="89"/>
      <c r="N124" s="90"/>
      <c r="O124" s="87"/>
      <c r="P124" s="87"/>
      <c r="Q124" s="90"/>
      <c r="R124" s="91"/>
      <c r="S124" s="92"/>
      <c r="T124" s="93"/>
    </row>
    <row r="125" spans="1:20" s="94" customFormat="1" x14ac:dyDescent="0.3">
      <c r="A125" s="82"/>
      <c r="B125" s="83"/>
      <c r="C125" s="87"/>
      <c r="D125" s="84"/>
      <c r="E125" s="83"/>
      <c r="F125" s="82"/>
      <c r="G125" s="130"/>
      <c r="H125" s="86" t="e">
        <f>IF(I125="fora",0%,G125/QUÓRUM!$C$6)</f>
        <v>#DIV/0!</v>
      </c>
      <c r="I125" s="87"/>
      <c r="J125" s="88"/>
      <c r="K125" s="88"/>
      <c r="L125" s="89"/>
      <c r="M125" s="89"/>
      <c r="N125" s="90"/>
      <c r="O125" s="87"/>
      <c r="P125" s="87"/>
      <c r="Q125" s="90"/>
      <c r="R125" s="91"/>
      <c r="S125" s="92"/>
      <c r="T125" s="93"/>
    </row>
    <row r="126" spans="1:20" s="94" customFormat="1" x14ac:dyDescent="0.3">
      <c r="A126" s="82"/>
      <c r="B126" s="83"/>
      <c r="C126" s="87"/>
      <c r="D126" s="84"/>
      <c r="E126" s="83"/>
      <c r="F126" s="82"/>
      <c r="G126" s="130"/>
      <c r="H126" s="86" t="e">
        <f>IF(I126="fora",0%,G126/QUÓRUM!$C$6)</f>
        <v>#DIV/0!</v>
      </c>
      <c r="I126" s="87"/>
      <c r="J126" s="88"/>
      <c r="K126" s="88"/>
      <c r="L126" s="89"/>
      <c r="M126" s="89"/>
      <c r="N126" s="90"/>
      <c r="O126" s="87"/>
      <c r="P126" s="87"/>
      <c r="Q126" s="90"/>
      <c r="R126" s="91"/>
      <c r="S126" s="92"/>
      <c r="T126" s="93"/>
    </row>
    <row r="127" spans="1:20" s="94" customFormat="1" x14ac:dyDescent="0.3">
      <c r="A127" s="82"/>
      <c r="B127" s="83"/>
      <c r="C127" s="87"/>
      <c r="D127" s="84"/>
      <c r="E127" s="83"/>
      <c r="F127" s="82"/>
      <c r="G127" s="130"/>
      <c r="H127" s="86" t="e">
        <f>IF(I127="fora",0%,G127/QUÓRUM!$C$6)</f>
        <v>#DIV/0!</v>
      </c>
      <c r="I127" s="87"/>
      <c r="J127" s="88"/>
      <c r="K127" s="88"/>
      <c r="L127" s="89"/>
      <c r="M127" s="89"/>
      <c r="N127" s="90"/>
      <c r="O127" s="87"/>
      <c r="P127" s="87"/>
      <c r="Q127" s="90"/>
      <c r="R127" s="91"/>
      <c r="S127" s="92"/>
      <c r="T127" s="93"/>
    </row>
    <row r="128" spans="1:20" s="94" customFormat="1" x14ac:dyDescent="0.3">
      <c r="A128" s="82"/>
      <c r="B128" s="83"/>
      <c r="C128" s="87"/>
      <c r="D128" s="84"/>
      <c r="E128" s="83"/>
      <c r="F128" s="82"/>
      <c r="G128" s="130"/>
      <c r="H128" s="86" t="e">
        <f>IF(I128="fora",0%,G128/QUÓRUM!$C$6)</f>
        <v>#DIV/0!</v>
      </c>
      <c r="I128" s="87"/>
      <c r="J128" s="88"/>
      <c r="K128" s="88"/>
      <c r="L128" s="89"/>
      <c r="M128" s="89"/>
      <c r="N128" s="90"/>
      <c r="O128" s="87"/>
      <c r="P128" s="87"/>
      <c r="Q128" s="90"/>
      <c r="R128" s="91"/>
      <c r="S128" s="92"/>
      <c r="T128" s="93"/>
    </row>
    <row r="129" spans="1:20" s="94" customFormat="1" x14ac:dyDescent="0.3">
      <c r="A129" s="82"/>
      <c r="B129" s="83"/>
      <c r="C129" s="87"/>
      <c r="D129" s="84"/>
      <c r="E129" s="83"/>
      <c r="F129" s="82"/>
      <c r="G129" s="130"/>
      <c r="H129" s="86" t="e">
        <f>IF(I129="fora",0%,G129/QUÓRUM!$C$6)</f>
        <v>#DIV/0!</v>
      </c>
      <c r="I129" s="87"/>
      <c r="J129" s="88"/>
      <c r="K129" s="88"/>
      <c r="L129" s="89"/>
      <c r="M129" s="89"/>
      <c r="N129" s="90"/>
      <c r="O129" s="87"/>
      <c r="P129" s="87"/>
      <c r="Q129" s="90"/>
      <c r="R129" s="91"/>
      <c r="S129" s="92"/>
      <c r="T129" s="93"/>
    </row>
    <row r="130" spans="1:20" s="94" customFormat="1" x14ac:dyDescent="0.3">
      <c r="A130" s="82"/>
      <c r="B130" s="83"/>
      <c r="C130" s="87"/>
      <c r="D130" s="84"/>
      <c r="E130" s="83"/>
      <c r="F130" s="82"/>
      <c r="G130" s="130"/>
      <c r="H130" s="86" t="e">
        <f>IF(I130="fora",0%,G130/QUÓRUM!$C$6)</f>
        <v>#DIV/0!</v>
      </c>
      <c r="I130" s="87"/>
      <c r="J130" s="88"/>
      <c r="K130" s="88"/>
      <c r="L130" s="89"/>
      <c r="M130" s="89"/>
      <c r="N130" s="90"/>
      <c r="O130" s="87"/>
      <c r="P130" s="87"/>
      <c r="Q130" s="90"/>
      <c r="R130" s="91"/>
      <c r="S130" s="92"/>
      <c r="T130" s="93"/>
    </row>
    <row r="131" spans="1:20" s="94" customFormat="1" x14ac:dyDescent="0.3">
      <c r="A131" s="96"/>
      <c r="B131" s="96"/>
      <c r="C131" s="87"/>
      <c r="D131" s="97"/>
      <c r="E131" s="83"/>
      <c r="F131" s="83"/>
      <c r="G131" s="131"/>
      <c r="H131" s="86" t="e">
        <f>IF(I131="fora",0%,G131/QUÓRUM!$C$6)</f>
        <v>#DIV/0!</v>
      </c>
      <c r="I131" s="87"/>
      <c r="J131" s="88"/>
      <c r="K131" s="88"/>
      <c r="L131" s="89"/>
      <c r="M131" s="89"/>
      <c r="N131" s="90"/>
      <c r="O131" s="90"/>
      <c r="P131" s="90"/>
      <c r="Q131" s="90"/>
      <c r="R131" s="98"/>
      <c r="S131" s="90"/>
      <c r="T131" s="99"/>
    </row>
    <row r="132" spans="1:20" s="94" customFormat="1" x14ac:dyDescent="0.3">
      <c r="A132" s="96"/>
      <c r="B132" s="96"/>
      <c r="C132" s="87"/>
      <c r="D132" s="97"/>
      <c r="E132" s="83"/>
      <c r="F132" s="83"/>
      <c r="G132" s="131"/>
      <c r="H132" s="86" t="e">
        <f>IF(I132="fora",0%,G132/QUÓRUM!$C$6)</f>
        <v>#DIV/0!</v>
      </c>
      <c r="I132" s="87"/>
      <c r="J132" s="88"/>
      <c r="K132" s="88"/>
      <c r="L132" s="89"/>
      <c r="M132" s="89"/>
      <c r="N132" s="90"/>
      <c r="O132" s="90"/>
      <c r="P132" s="90"/>
      <c r="Q132" s="90"/>
      <c r="R132" s="98"/>
      <c r="S132" s="90"/>
      <c r="T132" s="99"/>
    </row>
    <row r="133" spans="1:20" s="94" customFormat="1" x14ac:dyDescent="0.3">
      <c r="A133" s="96"/>
      <c r="B133" s="96"/>
      <c r="C133" s="87"/>
      <c r="D133" s="97"/>
      <c r="E133" s="83"/>
      <c r="F133" s="83"/>
      <c r="G133" s="131"/>
      <c r="H133" s="86" t="e">
        <f>IF(I133="fora",0%,G133/QUÓRUM!$C$6)</f>
        <v>#DIV/0!</v>
      </c>
      <c r="I133" s="87"/>
      <c r="J133" s="88"/>
      <c r="K133" s="88"/>
      <c r="L133" s="89"/>
      <c r="M133" s="89"/>
      <c r="N133" s="90"/>
      <c r="O133" s="90"/>
      <c r="P133" s="90"/>
      <c r="Q133" s="90"/>
      <c r="R133" s="98"/>
      <c r="S133" s="90"/>
      <c r="T133" s="99"/>
    </row>
    <row r="134" spans="1:20" s="94" customFormat="1" x14ac:dyDescent="0.3">
      <c r="A134" s="96"/>
      <c r="B134" s="96"/>
      <c r="C134" s="87"/>
      <c r="D134" s="97"/>
      <c r="E134" s="83"/>
      <c r="F134" s="83"/>
      <c r="G134" s="131"/>
      <c r="H134" s="86" t="e">
        <f>IF(I134="fora",0%,G134/QUÓRUM!$C$6)</f>
        <v>#DIV/0!</v>
      </c>
      <c r="I134" s="87"/>
      <c r="J134" s="88"/>
      <c r="K134" s="88"/>
      <c r="L134" s="89"/>
      <c r="M134" s="89"/>
      <c r="N134" s="90"/>
      <c r="O134" s="90"/>
      <c r="P134" s="90"/>
      <c r="Q134" s="90"/>
      <c r="R134" s="98"/>
      <c r="S134" s="90"/>
      <c r="T134" s="99"/>
    </row>
    <row r="135" spans="1:20" s="94" customFormat="1" x14ac:dyDescent="0.3">
      <c r="A135" s="96"/>
      <c r="B135" s="96"/>
      <c r="C135" s="87"/>
      <c r="D135" s="97"/>
      <c r="E135" s="83"/>
      <c r="F135" s="83"/>
      <c r="G135" s="131"/>
      <c r="H135" s="86" t="e">
        <f>IF(I135="fora",0%,G135/QUÓRUM!$C$6)</f>
        <v>#DIV/0!</v>
      </c>
      <c r="I135" s="87"/>
      <c r="J135" s="88"/>
      <c r="K135" s="88"/>
      <c r="L135" s="89"/>
      <c r="M135" s="89"/>
      <c r="N135" s="90"/>
      <c r="O135" s="90"/>
      <c r="P135" s="90"/>
      <c r="Q135" s="90"/>
      <c r="R135" s="98"/>
      <c r="S135" s="90"/>
      <c r="T135" s="99"/>
    </row>
    <row r="136" spans="1:20" s="94" customFormat="1" x14ac:dyDescent="0.3">
      <c r="A136" s="96"/>
      <c r="B136" s="96"/>
      <c r="C136" s="87"/>
      <c r="D136" s="97"/>
      <c r="E136" s="83"/>
      <c r="F136" s="83"/>
      <c r="G136" s="131"/>
      <c r="H136" s="86" t="e">
        <f>IF(I136="fora",0%,G136/QUÓRUM!$C$6)</f>
        <v>#DIV/0!</v>
      </c>
      <c r="I136" s="87"/>
      <c r="J136" s="88"/>
      <c r="K136" s="88"/>
      <c r="L136" s="89"/>
      <c r="M136" s="89"/>
      <c r="N136" s="90"/>
      <c r="O136" s="90"/>
      <c r="P136" s="90"/>
      <c r="Q136" s="90"/>
      <c r="R136" s="98"/>
      <c r="S136" s="90"/>
      <c r="T136" s="99"/>
    </row>
    <row r="137" spans="1:20" s="94" customFormat="1" x14ac:dyDescent="0.3">
      <c r="A137" s="96"/>
      <c r="B137" s="96"/>
      <c r="C137" s="87"/>
      <c r="D137" s="97"/>
      <c r="E137" s="83"/>
      <c r="F137" s="83"/>
      <c r="G137" s="131"/>
      <c r="H137" s="86" t="e">
        <f>IF(I137="fora",0%,G137/QUÓRUM!$C$6)</f>
        <v>#DIV/0!</v>
      </c>
      <c r="I137" s="87"/>
      <c r="J137" s="88"/>
      <c r="K137" s="88"/>
      <c r="L137" s="89"/>
      <c r="M137" s="89"/>
      <c r="N137" s="90"/>
      <c r="O137" s="90"/>
      <c r="P137" s="90"/>
      <c r="Q137" s="90"/>
      <c r="R137" s="98"/>
      <c r="S137" s="90"/>
      <c r="T137" s="99"/>
    </row>
    <row r="138" spans="1:20" s="94" customFormat="1" x14ac:dyDescent="0.3">
      <c r="A138" s="96"/>
      <c r="B138" s="96"/>
      <c r="C138" s="87"/>
      <c r="D138" s="97"/>
      <c r="E138" s="83"/>
      <c r="F138" s="83"/>
      <c r="G138" s="131"/>
      <c r="H138" s="86" t="e">
        <f>IF(I138="fora",0%,G138/QUÓRUM!$C$6)</f>
        <v>#DIV/0!</v>
      </c>
      <c r="I138" s="87"/>
      <c r="J138" s="88"/>
      <c r="K138" s="88"/>
      <c r="L138" s="89"/>
      <c r="M138" s="89"/>
      <c r="N138" s="90"/>
      <c r="O138" s="90"/>
      <c r="P138" s="90"/>
      <c r="Q138" s="90"/>
      <c r="R138" s="98"/>
      <c r="S138" s="90"/>
      <c r="T138" s="99"/>
    </row>
    <row r="139" spans="1:20" s="94" customFormat="1" x14ac:dyDescent="0.3">
      <c r="A139" s="96"/>
      <c r="B139" s="96"/>
      <c r="C139" s="87"/>
      <c r="D139" s="97"/>
      <c r="E139" s="83"/>
      <c r="F139" s="83"/>
      <c r="G139" s="131"/>
      <c r="H139" s="86" t="e">
        <f>IF(I139="fora",0%,G139/QUÓRUM!$C$6)</f>
        <v>#DIV/0!</v>
      </c>
      <c r="I139" s="87"/>
      <c r="J139" s="88"/>
      <c r="K139" s="88"/>
      <c r="L139" s="89"/>
      <c r="M139" s="89"/>
      <c r="N139" s="90"/>
      <c r="O139" s="90"/>
      <c r="P139" s="90"/>
      <c r="Q139" s="90"/>
      <c r="R139" s="98"/>
      <c r="S139" s="90"/>
      <c r="T139" s="99"/>
    </row>
    <row r="140" spans="1:20" s="94" customFormat="1" x14ac:dyDescent="0.3">
      <c r="A140" s="96"/>
      <c r="B140" s="96"/>
      <c r="C140" s="87"/>
      <c r="D140" s="97"/>
      <c r="E140" s="83"/>
      <c r="F140" s="83"/>
      <c r="G140" s="131"/>
      <c r="H140" s="86" t="e">
        <f>IF(I140="fora",0%,G140/QUÓRUM!$C$6)</f>
        <v>#DIV/0!</v>
      </c>
      <c r="I140" s="87"/>
      <c r="J140" s="88"/>
      <c r="K140" s="88"/>
      <c r="L140" s="89"/>
      <c r="M140" s="89"/>
      <c r="N140" s="90"/>
      <c r="O140" s="90"/>
      <c r="P140" s="90"/>
      <c r="Q140" s="90"/>
      <c r="R140" s="98"/>
      <c r="S140" s="90"/>
      <c r="T140" s="99"/>
    </row>
    <row r="141" spans="1:20" s="94" customFormat="1" x14ac:dyDescent="0.3">
      <c r="A141" s="96"/>
      <c r="B141" s="96"/>
      <c r="C141" s="87"/>
      <c r="D141" s="97"/>
      <c r="E141" s="83"/>
      <c r="F141" s="83"/>
      <c r="G141" s="131"/>
      <c r="H141" s="86" t="e">
        <f>IF(I141="fora",0%,G141/QUÓRUM!$C$6)</f>
        <v>#DIV/0!</v>
      </c>
      <c r="I141" s="87"/>
      <c r="J141" s="88"/>
      <c r="K141" s="88"/>
      <c r="L141" s="89"/>
      <c r="M141" s="89"/>
      <c r="N141" s="90"/>
      <c r="O141" s="90"/>
      <c r="P141" s="90"/>
      <c r="Q141" s="90"/>
      <c r="R141" s="98"/>
      <c r="S141" s="90"/>
      <c r="T141" s="99"/>
    </row>
    <row r="142" spans="1:20" s="94" customFormat="1" x14ac:dyDescent="0.3">
      <c r="A142" s="96"/>
      <c r="B142" s="96"/>
      <c r="C142" s="87"/>
      <c r="D142" s="97"/>
      <c r="E142" s="83"/>
      <c r="F142" s="83"/>
      <c r="G142" s="131"/>
      <c r="H142" s="86" t="e">
        <f>IF(I142="fora",0%,G142/QUÓRUM!$C$6)</f>
        <v>#DIV/0!</v>
      </c>
      <c r="I142" s="87"/>
      <c r="J142" s="88"/>
      <c r="K142" s="88"/>
      <c r="L142" s="89"/>
      <c r="M142" s="89"/>
      <c r="N142" s="90"/>
      <c r="O142" s="90"/>
      <c r="P142" s="90"/>
      <c r="Q142" s="90"/>
      <c r="R142" s="98"/>
      <c r="S142" s="90"/>
      <c r="T142" s="99"/>
    </row>
    <row r="143" spans="1:20" s="94" customFormat="1" x14ac:dyDescent="0.3">
      <c r="A143" s="96"/>
      <c r="B143" s="96"/>
      <c r="C143" s="87"/>
      <c r="D143" s="97"/>
      <c r="E143" s="83"/>
      <c r="F143" s="83"/>
      <c r="G143" s="131"/>
      <c r="H143" s="86" t="e">
        <f>IF(I143="fora",0%,G143/QUÓRUM!$C$6)</f>
        <v>#DIV/0!</v>
      </c>
      <c r="I143" s="87"/>
      <c r="J143" s="88"/>
      <c r="K143" s="88"/>
      <c r="L143" s="89"/>
      <c r="M143" s="89"/>
      <c r="N143" s="90"/>
      <c r="O143" s="90"/>
      <c r="P143" s="90"/>
      <c r="Q143" s="90"/>
      <c r="R143" s="98"/>
      <c r="S143" s="90"/>
      <c r="T143" s="99"/>
    </row>
    <row r="144" spans="1:20" s="94" customFormat="1" x14ac:dyDescent="0.3">
      <c r="A144" s="96"/>
      <c r="B144" s="96"/>
      <c r="C144" s="87"/>
      <c r="D144" s="97"/>
      <c r="E144" s="83"/>
      <c r="F144" s="83"/>
      <c r="G144" s="131"/>
      <c r="H144" s="86" t="e">
        <f>IF(I144="fora",0%,G144/QUÓRUM!$C$6)</f>
        <v>#DIV/0!</v>
      </c>
      <c r="I144" s="87"/>
      <c r="J144" s="88"/>
      <c r="K144" s="88"/>
      <c r="L144" s="89"/>
      <c r="M144" s="89"/>
      <c r="N144" s="90"/>
      <c r="O144" s="90"/>
      <c r="P144" s="90"/>
      <c r="Q144" s="90"/>
      <c r="R144" s="98"/>
      <c r="S144" s="90"/>
      <c r="T144" s="99"/>
    </row>
    <row r="145" spans="1:20" s="94" customFormat="1" x14ac:dyDescent="0.3">
      <c r="A145" s="96"/>
      <c r="B145" s="96"/>
      <c r="C145" s="87"/>
      <c r="D145" s="97"/>
      <c r="E145" s="83"/>
      <c r="F145" s="83"/>
      <c r="G145" s="131"/>
      <c r="H145" s="86" t="e">
        <f>IF(I145="fora",0%,G145/QUÓRUM!$C$6)</f>
        <v>#DIV/0!</v>
      </c>
      <c r="I145" s="87"/>
      <c r="J145" s="88"/>
      <c r="K145" s="88"/>
      <c r="L145" s="89"/>
      <c r="M145" s="89"/>
      <c r="N145" s="90"/>
      <c r="O145" s="90"/>
      <c r="P145" s="90"/>
      <c r="Q145" s="90"/>
      <c r="R145" s="98"/>
      <c r="S145" s="90"/>
      <c r="T145" s="99"/>
    </row>
    <row r="146" spans="1:20" s="94" customFormat="1" x14ac:dyDescent="0.3">
      <c r="A146" s="96"/>
      <c r="B146" s="96"/>
      <c r="C146" s="87"/>
      <c r="D146" s="97"/>
      <c r="E146" s="83"/>
      <c r="F146" s="83"/>
      <c r="G146" s="131"/>
      <c r="H146" s="86" t="e">
        <f>IF(I146="fora",0%,G146/QUÓRUM!$C$6)</f>
        <v>#DIV/0!</v>
      </c>
      <c r="I146" s="87"/>
      <c r="J146" s="88"/>
      <c r="K146" s="88"/>
      <c r="L146" s="89"/>
      <c r="M146" s="89"/>
      <c r="N146" s="90"/>
      <c r="O146" s="90"/>
      <c r="P146" s="90"/>
      <c r="Q146" s="90"/>
      <c r="R146" s="98"/>
      <c r="S146" s="90"/>
      <c r="T146" s="99"/>
    </row>
    <row r="147" spans="1:20" s="94" customFormat="1" x14ac:dyDescent="0.3">
      <c r="A147" s="96"/>
      <c r="B147" s="96"/>
      <c r="C147" s="87"/>
      <c r="D147" s="97"/>
      <c r="E147" s="83"/>
      <c r="F147" s="83"/>
      <c r="G147" s="131"/>
      <c r="H147" s="86" t="e">
        <f>IF(I147="fora",0%,G147/QUÓRUM!$C$6)</f>
        <v>#DIV/0!</v>
      </c>
      <c r="I147" s="87"/>
      <c r="J147" s="88"/>
      <c r="K147" s="88"/>
      <c r="L147" s="89"/>
      <c r="M147" s="89"/>
      <c r="N147" s="90"/>
      <c r="O147" s="90"/>
      <c r="P147" s="90"/>
      <c r="Q147" s="90"/>
      <c r="R147" s="98"/>
      <c r="S147" s="90"/>
      <c r="T147" s="99"/>
    </row>
    <row r="148" spans="1:20" s="94" customFormat="1" x14ac:dyDescent="0.3">
      <c r="A148" s="96"/>
      <c r="B148" s="96"/>
      <c r="C148" s="87"/>
      <c r="D148" s="97"/>
      <c r="E148" s="83"/>
      <c r="F148" s="83"/>
      <c r="G148" s="131"/>
      <c r="H148" s="86" t="e">
        <f>IF(I148="fora",0%,G148/QUÓRUM!$C$6)</f>
        <v>#DIV/0!</v>
      </c>
      <c r="I148" s="87"/>
      <c r="J148" s="88"/>
      <c r="K148" s="88"/>
      <c r="L148" s="89"/>
      <c r="M148" s="89"/>
      <c r="N148" s="90"/>
      <c r="O148" s="90"/>
      <c r="P148" s="90"/>
      <c r="Q148" s="90"/>
      <c r="R148" s="98"/>
      <c r="S148" s="90"/>
      <c r="T148" s="99"/>
    </row>
    <row r="149" spans="1:20" s="94" customFormat="1" x14ac:dyDescent="0.3">
      <c r="A149" s="96"/>
      <c r="B149" s="96"/>
      <c r="C149" s="87"/>
      <c r="D149" s="97"/>
      <c r="E149" s="83"/>
      <c r="F149" s="83"/>
      <c r="G149" s="131"/>
      <c r="H149" s="86" t="e">
        <f>IF(I149="fora",0%,G149/QUÓRUM!$C$6)</f>
        <v>#DIV/0!</v>
      </c>
      <c r="I149" s="87"/>
      <c r="J149" s="88"/>
      <c r="K149" s="88"/>
      <c r="L149" s="89"/>
      <c r="M149" s="89"/>
      <c r="N149" s="90"/>
      <c r="O149" s="90"/>
      <c r="P149" s="90"/>
      <c r="Q149" s="90"/>
      <c r="R149" s="98"/>
      <c r="S149" s="90"/>
      <c r="T149" s="99"/>
    </row>
    <row r="150" spans="1:20" s="94" customFormat="1" x14ac:dyDescent="0.3">
      <c r="A150" s="96"/>
      <c r="B150" s="96"/>
      <c r="C150" s="87"/>
      <c r="D150" s="97"/>
      <c r="E150" s="83"/>
      <c r="F150" s="83"/>
      <c r="G150" s="131"/>
      <c r="H150" s="86" t="e">
        <f>IF(I150="fora",0%,G150/QUÓRUM!$C$6)</f>
        <v>#DIV/0!</v>
      </c>
      <c r="I150" s="87"/>
      <c r="J150" s="88"/>
      <c r="K150" s="88"/>
      <c r="L150" s="89"/>
      <c r="M150" s="89"/>
      <c r="N150" s="90"/>
      <c r="O150" s="90"/>
      <c r="P150" s="90"/>
      <c r="Q150" s="90"/>
      <c r="R150" s="98"/>
      <c r="S150" s="90"/>
      <c r="T150" s="99"/>
    </row>
    <row r="151" spans="1:20" s="94" customFormat="1" x14ac:dyDescent="0.3">
      <c r="A151" s="96"/>
      <c r="B151" s="96"/>
      <c r="C151" s="87"/>
      <c r="D151" s="97"/>
      <c r="E151" s="83"/>
      <c r="F151" s="83"/>
      <c r="G151" s="131"/>
      <c r="H151" s="86" t="e">
        <f>IF(I151="fora",0%,G151/QUÓRUM!$C$6)</f>
        <v>#DIV/0!</v>
      </c>
      <c r="I151" s="87"/>
      <c r="J151" s="88"/>
      <c r="K151" s="88"/>
      <c r="L151" s="89"/>
      <c r="M151" s="89"/>
      <c r="N151" s="90"/>
      <c r="O151" s="90"/>
      <c r="P151" s="90"/>
      <c r="Q151" s="90"/>
      <c r="R151" s="98"/>
      <c r="S151" s="90"/>
      <c r="T151" s="99"/>
    </row>
    <row r="152" spans="1:20" s="94" customFormat="1" x14ac:dyDescent="0.3">
      <c r="A152" s="96"/>
      <c r="B152" s="96"/>
      <c r="C152" s="87"/>
      <c r="D152" s="97"/>
      <c r="E152" s="83"/>
      <c r="F152" s="83"/>
      <c r="G152" s="131"/>
      <c r="H152" s="86" t="e">
        <f>IF(I152="fora",0%,G152/QUÓRUM!$C$6)</f>
        <v>#DIV/0!</v>
      </c>
      <c r="I152" s="87"/>
      <c r="J152" s="88"/>
      <c r="K152" s="88"/>
      <c r="L152" s="89"/>
      <c r="M152" s="89"/>
      <c r="N152" s="90"/>
      <c r="O152" s="90"/>
      <c r="P152" s="90"/>
      <c r="Q152" s="90"/>
      <c r="R152" s="98"/>
      <c r="S152" s="90"/>
      <c r="T152" s="99"/>
    </row>
    <row r="153" spans="1:20" s="94" customFormat="1" x14ac:dyDescent="0.3">
      <c r="A153" s="96"/>
      <c r="B153" s="96"/>
      <c r="C153" s="87"/>
      <c r="D153" s="97"/>
      <c r="E153" s="83"/>
      <c r="F153" s="83"/>
      <c r="G153" s="131"/>
      <c r="H153" s="86" t="e">
        <f>IF(I153="fora",0%,G153/QUÓRUM!$C$6)</f>
        <v>#DIV/0!</v>
      </c>
      <c r="I153" s="87"/>
      <c r="J153" s="88"/>
      <c r="K153" s="88"/>
      <c r="L153" s="89"/>
      <c r="M153" s="89"/>
      <c r="N153" s="90"/>
      <c r="O153" s="90"/>
      <c r="P153" s="90"/>
      <c r="Q153" s="90"/>
      <c r="R153" s="98"/>
      <c r="S153" s="90"/>
      <c r="T153" s="99"/>
    </row>
    <row r="154" spans="1:20" s="94" customFormat="1" x14ac:dyDescent="0.3">
      <c r="A154" s="96"/>
      <c r="B154" s="96"/>
      <c r="C154" s="87"/>
      <c r="D154" s="97"/>
      <c r="E154" s="83"/>
      <c r="F154" s="83"/>
      <c r="G154" s="131"/>
      <c r="H154" s="86" t="e">
        <f>IF(I154="fora",0%,G154/QUÓRUM!$C$6)</f>
        <v>#DIV/0!</v>
      </c>
      <c r="I154" s="87"/>
      <c r="J154" s="88"/>
      <c r="K154" s="88"/>
      <c r="L154" s="89"/>
      <c r="M154" s="89"/>
      <c r="N154" s="90"/>
      <c r="O154" s="90"/>
      <c r="P154" s="90"/>
      <c r="Q154" s="90"/>
      <c r="R154" s="98"/>
      <c r="S154" s="90"/>
      <c r="T154" s="99"/>
    </row>
    <row r="155" spans="1:20" s="94" customFormat="1" x14ac:dyDescent="0.3">
      <c r="A155" s="96"/>
      <c r="B155" s="96"/>
      <c r="C155" s="87"/>
      <c r="D155" s="97"/>
      <c r="E155" s="83"/>
      <c r="F155" s="83"/>
      <c r="G155" s="131"/>
      <c r="H155" s="86" t="e">
        <f>IF(I155="fora",0%,G155/QUÓRUM!$C$6)</f>
        <v>#DIV/0!</v>
      </c>
      <c r="I155" s="87"/>
      <c r="J155" s="88"/>
      <c r="K155" s="88"/>
      <c r="L155" s="89"/>
      <c r="M155" s="89"/>
      <c r="N155" s="90"/>
      <c r="O155" s="90"/>
      <c r="P155" s="90"/>
      <c r="Q155" s="90"/>
      <c r="R155" s="98"/>
      <c r="S155" s="90"/>
      <c r="T155" s="99"/>
    </row>
    <row r="156" spans="1:20" s="94" customFormat="1" x14ac:dyDescent="0.3">
      <c r="A156" s="96"/>
      <c r="B156" s="96"/>
      <c r="C156" s="87"/>
      <c r="D156" s="97"/>
      <c r="E156" s="83"/>
      <c r="F156" s="83"/>
      <c r="G156" s="131"/>
      <c r="H156" s="86" t="e">
        <f>IF(I156="fora",0%,G156/QUÓRUM!$C$6)</f>
        <v>#DIV/0!</v>
      </c>
      <c r="I156" s="87"/>
      <c r="J156" s="88"/>
      <c r="K156" s="88"/>
      <c r="L156" s="89"/>
      <c r="M156" s="89"/>
      <c r="N156" s="90"/>
      <c r="O156" s="90"/>
      <c r="P156" s="90"/>
      <c r="Q156" s="90"/>
      <c r="R156" s="98"/>
      <c r="S156" s="90"/>
      <c r="T156" s="99"/>
    </row>
    <row r="157" spans="1:20" s="94" customFormat="1" x14ac:dyDescent="0.3">
      <c r="A157" s="96"/>
      <c r="B157" s="96"/>
      <c r="C157" s="87"/>
      <c r="D157" s="97"/>
      <c r="E157" s="83"/>
      <c r="F157" s="83"/>
      <c r="G157" s="131"/>
      <c r="H157" s="86" t="e">
        <f>IF(I157="fora",0%,G157/QUÓRUM!$C$6)</f>
        <v>#DIV/0!</v>
      </c>
      <c r="I157" s="87"/>
      <c r="J157" s="88"/>
      <c r="K157" s="88"/>
      <c r="L157" s="89"/>
      <c r="M157" s="89"/>
      <c r="N157" s="90"/>
      <c r="O157" s="90"/>
      <c r="P157" s="90"/>
      <c r="Q157" s="90"/>
      <c r="R157" s="98"/>
      <c r="S157" s="90"/>
      <c r="T157" s="99"/>
    </row>
    <row r="158" spans="1:20" s="94" customFormat="1" x14ac:dyDescent="0.3">
      <c r="A158" s="96"/>
      <c r="B158" s="96"/>
      <c r="C158" s="87"/>
      <c r="D158" s="97"/>
      <c r="E158" s="83"/>
      <c r="F158" s="83"/>
      <c r="G158" s="131"/>
      <c r="H158" s="86" t="e">
        <f>IF(I158="fora",0%,G158/QUÓRUM!$C$6)</f>
        <v>#DIV/0!</v>
      </c>
      <c r="I158" s="87"/>
      <c r="J158" s="88"/>
      <c r="K158" s="88"/>
      <c r="L158" s="89"/>
      <c r="M158" s="89"/>
      <c r="N158" s="90"/>
      <c r="O158" s="90"/>
      <c r="P158" s="90"/>
      <c r="Q158" s="90"/>
      <c r="R158" s="98"/>
      <c r="S158" s="90"/>
      <c r="T158" s="99"/>
    </row>
    <row r="159" spans="1:20" s="94" customFormat="1" x14ac:dyDescent="0.3">
      <c r="A159" s="96"/>
      <c r="B159" s="96"/>
      <c r="C159" s="87"/>
      <c r="D159" s="97"/>
      <c r="E159" s="83"/>
      <c r="F159" s="83"/>
      <c r="G159" s="131"/>
      <c r="H159" s="86" t="e">
        <f>IF(I159="fora",0%,G159/QUÓRUM!$C$6)</f>
        <v>#DIV/0!</v>
      </c>
      <c r="I159" s="87"/>
      <c r="J159" s="88"/>
      <c r="K159" s="88"/>
      <c r="L159" s="89"/>
      <c r="M159" s="89"/>
      <c r="N159" s="90"/>
      <c r="O159" s="90"/>
      <c r="P159" s="90"/>
      <c r="Q159" s="90"/>
      <c r="R159" s="98"/>
      <c r="S159" s="90"/>
      <c r="T159" s="99"/>
    </row>
    <row r="160" spans="1:20" s="94" customFormat="1" x14ac:dyDescent="0.3">
      <c r="A160" s="96"/>
      <c r="B160" s="96"/>
      <c r="C160" s="87"/>
      <c r="D160" s="97"/>
      <c r="E160" s="83"/>
      <c r="F160" s="83"/>
      <c r="G160" s="131"/>
      <c r="H160" s="86" t="e">
        <f>IF(I160="fora",0%,G160/QUÓRUM!$C$6)</f>
        <v>#DIV/0!</v>
      </c>
      <c r="I160" s="87"/>
      <c r="J160" s="88"/>
      <c r="K160" s="88"/>
      <c r="L160" s="89"/>
      <c r="M160" s="89"/>
      <c r="N160" s="90"/>
      <c r="O160" s="90"/>
      <c r="P160" s="90"/>
      <c r="Q160" s="90"/>
      <c r="R160" s="98"/>
      <c r="S160" s="90"/>
      <c r="T160" s="99"/>
    </row>
    <row r="161" spans="1:20" s="94" customFormat="1" x14ac:dyDescent="0.3">
      <c r="A161" s="96"/>
      <c r="B161" s="96"/>
      <c r="C161" s="87"/>
      <c r="D161" s="97"/>
      <c r="E161" s="83"/>
      <c r="F161" s="83"/>
      <c r="G161" s="131"/>
      <c r="H161" s="86" t="e">
        <f>IF(I161="fora",0%,G161/QUÓRUM!$C$6)</f>
        <v>#DIV/0!</v>
      </c>
      <c r="I161" s="87"/>
      <c r="J161" s="88"/>
      <c r="K161" s="88"/>
      <c r="L161" s="89"/>
      <c r="M161" s="89"/>
      <c r="N161" s="90"/>
      <c r="O161" s="90"/>
      <c r="P161" s="90"/>
      <c r="Q161" s="90"/>
      <c r="R161" s="98"/>
      <c r="S161" s="90"/>
      <c r="T161" s="99"/>
    </row>
    <row r="162" spans="1:20" s="94" customFormat="1" x14ac:dyDescent="0.3">
      <c r="A162" s="96"/>
      <c r="B162" s="96"/>
      <c r="C162" s="87"/>
      <c r="D162" s="97"/>
      <c r="E162" s="83"/>
      <c r="F162" s="83"/>
      <c r="G162" s="131"/>
      <c r="H162" s="86" t="e">
        <f>IF(I162="fora",0%,G162/QUÓRUM!$C$6)</f>
        <v>#DIV/0!</v>
      </c>
      <c r="I162" s="87"/>
      <c r="J162" s="88"/>
      <c r="K162" s="88"/>
      <c r="L162" s="89"/>
      <c r="M162" s="89"/>
      <c r="N162" s="90"/>
      <c r="O162" s="90"/>
      <c r="P162" s="90"/>
      <c r="Q162" s="90"/>
      <c r="R162" s="98"/>
      <c r="S162" s="90"/>
      <c r="T162" s="99"/>
    </row>
    <row r="163" spans="1:20" s="94" customFormat="1" x14ac:dyDescent="0.3">
      <c r="A163" s="96"/>
      <c r="B163" s="96"/>
      <c r="C163" s="87"/>
      <c r="D163" s="97"/>
      <c r="E163" s="83"/>
      <c r="F163" s="83"/>
      <c r="G163" s="131"/>
      <c r="H163" s="86" t="e">
        <f>IF(I163="fora",0%,G163/QUÓRUM!$C$6)</f>
        <v>#DIV/0!</v>
      </c>
      <c r="I163" s="87"/>
      <c r="J163" s="88"/>
      <c r="K163" s="88"/>
      <c r="L163" s="89"/>
      <c r="M163" s="89"/>
      <c r="N163" s="90"/>
      <c r="O163" s="90"/>
      <c r="P163" s="90"/>
      <c r="Q163" s="90"/>
      <c r="R163" s="98"/>
      <c r="S163" s="90"/>
      <c r="T163" s="99"/>
    </row>
    <row r="164" spans="1:20" s="94" customFormat="1" x14ac:dyDescent="0.3">
      <c r="A164" s="96"/>
      <c r="B164" s="96"/>
      <c r="C164" s="87"/>
      <c r="D164" s="97"/>
      <c r="E164" s="83"/>
      <c r="F164" s="83"/>
      <c r="G164" s="131"/>
      <c r="H164" s="86" t="e">
        <f>IF(I164="fora",0%,G164/QUÓRUM!$C$6)</f>
        <v>#DIV/0!</v>
      </c>
      <c r="I164" s="87"/>
      <c r="J164" s="88"/>
      <c r="K164" s="88"/>
      <c r="L164" s="89"/>
      <c r="M164" s="89"/>
      <c r="N164" s="90"/>
      <c r="O164" s="90"/>
      <c r="P164" s="90"/>
      <c r="Q164" s="90"/>
      <c r="R164" s="98"/>
      <c r="S164" s="90"/>
      <c r="T164" s="99"/>
    </row>
    <row r="165" spans="1:20" s="94" customFormat="1" x14ac:dyDescent="0.3">
      <c r="A165" s="96"/>
      <c r="B165" s="96"/>
      <c r="C165" s="87"/>
      <c r="D165" s="97"/>
      <c r="E165" s="83"/>
      <c r="F165" s="83"/>
      <c r="G165" s="131"/>
      <c r="H165" s="86" t="e">
        <f>IF(I165="fora",0%,G165/QUÓRUM!$C$6)</f>
        <v>#DIV/0!</v>
      </c>
      <c r="I165" s="87"/>
      <c r="J165" s="88"/>
      <c r="K165" s="88"/>
      <c r="L165" s="89"/>
      <c r="M165" s="89"/>
      <c r="N165" s="90"/>
      <c r="O165" s="90"/>
      <c r="P165" s="90"/>
      <c r="Q165" s="90"/>
      <c r="R165" s="98"/>
      <c r="S165" s="90"/>
      <c r="T165" s="99"/>
    </row>
    <row r="166" spans="1:20" s="94" customFormat="1" x14ac:dyDescent="0.3">
      <c r="A166" s="96"/>
      <c r="B166" s="96"/>
      <c r="C166" s="87"/>
      <c r="D166" s="97"/>
      <c r="E166" s="83"/>
      <c r="F166" s="83"/>
      <c r="G166" s="131"/>
      <c r="H166" s="86" t="e">
        <f>IF(I166="fora",0%,G166/QUÓRUM!$C$6)</f>
        <v>#DIV/0!</v>
      </c>
      <c r="I166" s="87"/>
      <c r="J166" s="88"/>
      <c r="K166" s="88"/>
      <c r="L166" s="89"/>
      <c r="M166" s="89"/>
      <c r="N166" s="90"/>
      <c r="O166" s="90"/>
      <c r="P166" s="90"/>
      <c r="Q166" s="90"/>
      <c r="R166" s="98"/>
      <c r="S166" s="90"/>
      <c r="T166" s="99"/>
    </row>
    <row r="167" spans="1:20" s="94" customFormat="1" x14ac:dyDescent="0.3">
      <c r="A167" s="96"/>
      <c r="B167" s="96"/>
      <c r="C167" s="87"/>
      <c r="D167" s="97"/>
      <c r="E167" s="83"/>
      <c r="F167" s="83"/>
      <c r="G167" s="131"/>
      <c r="H167" s="86" t="e">
        <f>IF(I167="fora",0%,G167/QUÓRUM!$C$6)</f>
        <v>#DIV/0!</v>
      </c>
      <c r="I167" s="87"/>
      <c r="J167" s="88"/>
      <c r="K167" s="88"/>
      <c r="L167" s="89"/>
      <c r="M167" s="89"/>
      <c r="N167" s="90"/>
      <c r="O167" s="90"/>
      <c r="P167" s="90"/>
      <c r="Q167" s="90"/>
      <c r="R167" s="98"/>
      <c r="S167" s="90"/>
      <c r="T167" s="99"/>
    </row>
    <row r="168" spans="1:20" s="94" customFormat="1" x14ac:dyDescent="0.3">
      <c r="A168" s="96"/>
      <c r="B168" s="96"/>
      <c r="C168" s="87"/>
      <c r="D168" s="97"/>
      <c r="E168" s="83"/>
      <c r="F168" s="83"/>
      <c r="G168" s="131"/>
      <c r="H168" s="86" t="e">
        <f>IF(I168="fora",0%,G168/QUÓRUM!$C$6)</f>
        <v>#DIV/0!</v>
      </c>
      <c r="I168" s="87"/>
      <c r="J168" s="88"/>
      <c r="K168" s="88"/>
      <c r="L168" s="89"/>
      <c r="M168" s="89"/>
      <c r="N168" s="90"/>
      <c r="O168" s="90"/>
      <c r="P168" s="90"/>
      <c r="Q168" s="90"/>
      <c r="R168" s="98"/>
      <c r="S168" s="90"/>
      <c r="T168" s="99"/>
    </row>
    <row r="169" spans="1:20" s="94" customFormat="1" x14ac:dyDescent="0.3">
      <c r="A169" s="96"/>
      <c r="B169" s="96"/>
      <c r="C169" s="87"/>
      <c r="D169" s="97"/>
      <c r="E169" s="83"/>
      <c r="F169" s="83"/>
      <c r="G169" s="131"/>
      <c r="H169" s="86" t="e">
        <f>IF(I169="fora",0%,G169/QUÓRUM!$C$6)</f>
        <v>#DIV/0!</v>
      </c>
      <c r="I169" s="87"/>
      <c r="J169" s="88"/>
      <c r="K169" s="88"/>
      <c r="L169" s="89"/>
      <c r="M169" s="89"/>
      <c r="N169" s="90"/>
      <c r="O169" s="90"/>
      <c r="P169" s="90"/>
      <c r="Q169" s="90"/>
      <c r="R169" s="98"/>
      <c r="S169" s="90"/>
      <c r="T169" s="99"/>
    </row>
    <row r="170" spans="1:20" s="94" customFormat="1" x14ac:dyDescent="0.3">
      <c r="A170" s="96"/>
      <c r="B170" s="96"/>
      <c r="C170" s="87"/>
      <c r="D170" s="97"/>
      <c r="E170" s="83"/>
      <c r="F170" s="83"/>
      <c r="G170" s="131"/>
      <c r="H170" s="86" t="e">
        <f>IF(I170="fora",0%,G170/QUÓRUM!$C$6)</f>
        <v>#DIV/0!</v>
      </c>
      <c r="I170" s="87"/>
      <c r="J170" s="88"/>
      <c r="K170" s="88"/>
      <c r="L170" s="89"/>
      <c r="M170" s="89"/>
      <c r="N170" s="90"/>
      <c r="O170" s="90"/>
      <c r="P170" s="90"/>
      <c r="Q170" s="90"/>
      <c r="R170" s="98"/>
      <c r="S170" s="90"/>
      <c r="T170" s="99"/>
    </row>
    <row r="171" spans="1:20" s="94" customFormat="1" x14ac:dyDescent="0.3">
      <c r="A171" s="96"/>
      <c r="B171" s="96"/>
      <c r="C171" s="87"/>
      <c r="D171" s="97"/>
      <c r="E171" s="83"/>
      <c r="F171" s="83"/>
      <c r="G171" s="131"/>
      <c r="H171" s="86" t="e">
        <f>IF(I171="fora",0%,G171/QUÓRUM!$C$6)</f>
        <v>#DIV/0!</v>
      </c>
      <c r="I171" s="87"/>
      <c r="J171" s="88"/>
      <c r="K171" s="88"/>
      <c r="L171" s="89"/>
      <c r="M171" s="89"/>
      <c r="N171" s="90"/>
      <c r="O171" s="90"/>
      <c r="P171" s="90"/>
      <c r="Q171" s="90"/>
      <c r="R171" s="98"/>
      <c r="S171" s="90"/>
      <c r="T171" s="99"/>
    </row>
    <row r="172" spans="1:20" s="94" customFormat="1" x14ac:dyDescent="0.3">
      <c r="A172" s="96"/>
      <c r="B172" s="96"/>
      <c r="C172" s="87"/>
      <c r="D172" s="97"/>
      <c r="E172" s="83"/>
      <c r="F172" s="83"/>
      <c r="G172" s="131"/>
      <c r="H172" s="86" t="e">
        <f>IF(I172="fora",0%,G172/QUÓRUM!$C$6)</f>
        <v>#DIV/0!</v>
      </c>
      <c r="I172" s="87"/>
      <c r="J172" s="88"/>
      <c r="K172" s="88"/>
      <c r="L172" s="89"/>
      <c r="M172" s="89"/>
      <c r="N172" s="90"/>
      <c r="O172" s="90"/>
      <c r="P172" s="90"/>
      <c r="Q172" s="90"/>
      <c r="R172" s="98"/>
      <c r="S172" s="90"/>
      <c r="T172" s="99"/>
    </row>
    <row r="173" spans="1:20" s="94" customFormat="1" x14ac:dyDescent="0.3">
      <c r="A173" s="96"/>
      <c r="B173" s="96"/>
      <c r="C173" s="87"/>
      <c r="D173" s="97"/>
      <c r="E173" s="83"/>
      <c r="F173" s="83"/>
      <c r="G173" s="131"/>
      <c r="H173" s="86" t="e">
        <f>IF(I173="fora",0%,G173/QUÓRUM!$C$6)</f>
        <v>#DIV/0!</v>
      </c>
      <c r="I173" s="87"/>
      <c r="J173" s="88"/>
      <c r="K173" s="88"/>
      <c r="L173" s="89"/>
      <c r="M173" s="89"/>
      <c r="N173" s="90"/>
      <c r="O173" s="90"/>
      <c r="P173" s="90"/>
      <c r="Q173" s="90"/>
      <c r="R173" s="98"/>
      <c r="S173" s="90"/>
      <c r="T173" s="99"/>
    </row>
    <row r="174" spans="1:20" s="94" customFormat="1" x14ac:dyDescent="0.3">
      <c r="A174" s="96"/>
      <c r="B174" s="96"/>
      <c r="C174" s="87"/>
      <c r="D174" s="97"/>
      <c r="E174" s="83"/>
      <c r="F174" s="83"/>
      <c r="G174" s="131"/>
      <c r="H174" s="86" t="e">
        <f>IF(I174="fora",0%,G174/QUÓRUM!$C$6)</f>
        <v>#DIV/0!</v>
      </c>
      <c r="I174" s="87"/>
      <c r="J174" s="88"/>
      <c r="K174" s="88"/>
      <c r="L174" s="89"/>
      <c r="M174" s="89"/>
      <c r="N174" s="90"/>
      <c r="O174" s="90"/>
      <c r="P174" s="90"/>
      <c r="Q174" s="90"/>
      <c r="R174" s="98"/>
      <c r="S174" s="90"/>
      <c r="T174" s="99"/>
    </row>
    <row r="175" spans="1:20" s="94" customFormat="1" x14ac:dyDescent="0.3">
      <c r="A175" s="96"/>
      <c r="B175" s="96"/>
      <c r="C175" s="87"/>
      <c r="D175" s="97"/>
      <c r="E175" s="83"/>
      <c r="F175" s="83"/>
      <c r="G175" s="131"/>
      <c r="H175" s="86" t="e">
        <f>IF(I175="fora",0%,G175/QUÓRUM!$C$6)</f>
        <v>#DIV/0!</v>
      </c>
      <c r="I175" s="87"/>
      <c r="J175" s="88"/>
      <c r="K175" s="88"/>
      <c r="L175" s="89"/>
      <c r="M175" s="89"/>
      <c r="N175" s="90"/>
      <c r="O175" s="90"/>
      <c r="P175" s="90"/>
      <c r="Q175" s="90"/>
      <c r="R175" s="98"/>
      <c r="S175" s="90"/>
      <c r="T175" s="99"/>
    </row>
    <row r="176" spans="1:20" s="94" customFormat="1" x14ac:dyDescent="0.3">
      <c r="A176" s="96"/>
      <c r="B176" s="96"/>
      <c r="C176" s="87"/>
      <c r="D176" s="97"/>
      <c r="E176" s="83"/>
      <c r="F176" s="83"/>
      <c r="G176" s="131"/>
      <c r="H176" s="86" t="e">
        <f>IF(I176="fora",0%,G176/QUÓRUM!$C$6)</f>
        <v>#DIV/0!</v>
      </c>
      <c r="I176" s="87"/>
      <c r="J176" s="88"/>
      <c r="K176" s="88"/>
      <c r="L176" s="89"/>
      <c r="M176" s="89"/>
      <c r="N176" s="90"/>
      <c r="O176" s="90"/>
      <c r="P176" s="90"/>
      <c r="Q176" s="90"/>
      <c r="R176" s="98"/>
      <c r="S176" s="90"/>
      <c r="T176" s="99"/>
    </row>
    <row r="177" spans="1:20" s="94" customFormat="1" x14ac:dyDescent="0.3">
      <c r="A177" s="96"/>
      <c r="B177" s="96"/>
      <c r="C177" s="87"/>
      <c r="D177" s="97"/>
      <c r="E177" s="83"/>
      <c r="F177" s="83"/>
      <c r="G177" s="131"/>
      <c r="H177" s="86" t="e">
        <f>IF(I177="fora",0%,G177/QUÓRUM!$C$6)</f>
        <v>#DIV/0!</v>
      </c>
      <c r="I177" s="87"/>
      <c r="J177" s="88"/>
      <c r="K177" s="88"/>
      <c r="L177" s="89"/>
      <c r="M177" s="89"/>
      <c r="N177" s="90"/>
      <c r="O177" s="90"/>
      <c r="P177" s="90"/>
      <c r="Q177" s="90"/>
      <c r="R177" s="98"/>
      <c r="S177" s="90"/>
      <c r="T177" s="99"/>
    </row>
    <row r="178" spans="1:20" s="94" customFormat="1" x14ac:dyDescent="0.3">
      <c r="A178" s="96"/>
      <c r="B178" s="96"/>
      <c r="C178" s="87"/>
      <c r="D178" s="97"/>
      <c r="E178" s="83"/>
      <c r="F178" s="83"/>
      <c r="G178" s="131"/>
      <c r="H178" s="86" t="e">
        <f>IF(I178="fora",0%,G178/QUÓRUM!$C$6)</f>
        <v>#DIV/0!</v>
      </c>
      <c r="I178" s="87"/>
      <c r="J178" s="88"/>
      <c r="K178" s="88"/>
      <c r="L178" s="89"/>
      <c r="M178" s="89"/>
      <c r="N178" s="90"/>
      <c r="O178" s="90"/>
      <c r="P178" s="90"/>
      <c r="Q178" s="90"/>
      <c r="R178" s="98"/>
      <c r="S178" s="90"/>
      <c r="T178" s="99"/>
    </row>
    <row r="179" spans="1:20" s="94" customFormat="1" x14ac:dyDescent="0.3">
      <c r="A179" s="96"/>
      <c r="B179" s="96"/>
      <c r="C179" s="87"/>
      <c r="D179" s="97"/>
      <c r="E179" s="83"/>
      <c r="F179" s="83"/>
      <c r="G179" s="131"/>
      <c r="H179" s="86" t="e">
        <f>IF(I179="fora",0%,G179/QUÓRUM!$C$6)</f>
        <v>#DIV/0!</v>
      </c>
      <c r="I179" s="87"/>
      <c r="J179" s="88"/>
      <c r="K179" s="88"/>
      <c r="L179" s="89"/>
      <c r="M179" s="89"/>
      <c r="N179" s="90"/>
      <c r="O179" s="90"/>
      <c r="P179" s="90"/>
      <c r="Q179" s="90"/>
      <c r="R179" s="98"/>
      <c r="S179" s="90"/>
      <c r="T179" s="99"/>
    </row>
    <row r="180" spans="1:20" s="94" customFormat="1" x14ac:dyDescent="0.3">
      <c r="A180" s="96"/>
      <c r="B180" s="96"/>
      <c r="C180" s="87"/>
      <c r="D180" s="97"/>
      <c r="E180" s="83"/>
      <c r="F180" s="83"/>
      <c r="G180" s="131"/>
      <c r="H180" s="86" t="e">
        <f>IF(I180="fora",0%,G180/QUÓRUM!$C$6)</f>
        <v>#DIV/0!</v>
      </c>
      <c r="I180" s="87"/>
      <c r="J180" s="88"/>
      <c r="K180" s="88"/>
      <c r="L180" s="89"/>
      <c r="M180" s="89"/>
      <c r="N180" s="90"/>
      <c r="O180" s="90"/>
      <c r="P180" s="90"/>
      <c r="Q180" s="90"/>
      <c r="R180" s="98"/>
      <c r="S180" s="90"/>
      <c r="T180" s="99"/>
    </row>
    <row r="181" spans="1:20" s="94" customFormat="1" x14ac:dyDescent="0.3">
      <c r="A181" s="96"/>
      <c r="B181" s="96"/>
      <c r="C181" s="87"/>
      <c r="D181" s="97"/>
      <c r="E181" s="83"/>
      <c r="F181" s="83"/>
      <c r="G181" s="131"/>
      <c r="H181" s="86" t="e">
        <f>IF(I181="fora",0%,G181/QUÓRUM!$C$6)</f>
        <v>#DIV/0!</v>
      </c>
      <c r="I181" s="87"/>
      <c r="J181" s="88"/>
      <c r="K181" s="88"/>
      <c r="L181" s="89"/>
      <c r="M181" s="89"/>
      <c r="N181" s="90"/>
      <c r="O181" s="90"/>
      <c r="P181" s="90"/>
      <c r="Q181" s="90"/>
      <c r="R181" s="98"/>
      <c r="S181" s="90"/>
      <c r="T181" s="99"/>
    </row>
    <row r="182" spans="1:20" s="94" customFormat="1" x14ac:dyDescent="0.3">
      <c r="A182" s="96"/>
      <c r="B182" s="96"/>
      <c r="C182" s="87"/>
      <c r="D182" s="97"/>
      <c r="E182" s="83"/>
      <c r="F182" s="83"/>
      <c r="G182" s="131"/>
      <c r="H182" s="86" t="e">
        <f>IF(I182="fora",0%,G182/QUÓRUM!$C$6)</f>
        <v>#DIV/0!</v>
      </c>
      <c r="I182" s="87"/>
      <c r="J182" s="88"/>
      <c r="K182" s="88"/>
      <c r="L182" s="89"/>
      <c r="M182" s="89"/>
      <c r="N182" s="90"/>
      <c r="O182" s="90"/>
      <c r="P182" s="90"/>
      <c r="Q182" s="90"/>
      <c r="R182" s="98"/>
      <c r="S182" s="90"/>
      <c r="T182" s="99"/>
    </row>
    <row r="183" spans="1:20" s="94" customFormat="1" x14ac:dyDescent="0.3">
      <c r="A183" s="96"/>
      <c r="B183" s="96"/>
      <c r="C183" s="87"/>
      <c r="D183" s="97"/>
      <c r="E183" s="83"/>
      <c r="F183" s="83"/>
      <c r="G183" s="131"/>
      <c r="H183" s="86" t="e">
        <f>IF(I183="fora",0%,G183/QUÓRUM!$C$6)</f>
        <v>#DIV/0!</v>
      </c>
      <c r="I183" s="87"/>
      <c r="J183" s="88"/>
      <c r="K183" s="88"/>
      <c r="L183" s="89"/>
      <c r="M183" s="89"/>
      <c r="N183" s="90"/>
      <c r="O183" s="90"/>
      <c r="P183" s="90"/>
      <c r="Q183" s="90"/>
      <c r="R183" s="98"/>
      <c r="S183" s="90"/>
      <c r="T183" s="99"/>
    </row>
    <row r="184" spans="1:20" s="94" customFormat="1" x14ac:dyDescent="0.3">
      <c r="A184" s="96"/>
      <c r="B184" s="96"/>
      <c r="C184" s="87"/>
      <c r="D184" s="97"/>
      <c r="E184" s="83"/>
      <c r="F184" s="83"/>
      <c r="G184" s="131"/>
      <c r="H184" s="86" t="e">
        <f>IF(I184="fora",0%,G184/QUÓRUM!$C$6)</f>
        <v>#DIV/0!</v>
      </c>
      <c r="I184" s="87"/>
      <c r="J184" s="88"/>
      <c r="K184" s="88"/>
      <c r="L184" s="89"/>
      <c r="M184" s="89"/>
      <c r="N184" s="90"/>
      <c r="O184" s="90"/>
      <c r="P184" s="90"/>
      <c r="Q184" s="90"/>
      <c r="R184" s="98"/>
      <c r="S184" s="90"/>
      <c r="T184" s="99"/>
    </row>
    <row r="185" spans="1:20" s="94" customFormat="1" x14ac:dyDescent="0.3">
      <c r="A185" s="96"/>
      <c r="B185" s="96"/>
      <c r="C185" s="87"/>
      <c r="D185" s="97"/>
      <c r="E185" s="83"/>
      <c r="F185" s="83"/>
      <c r="G185" s="131"/>
      <c r="H185" s="86" t="e">
        <f>IF(I185="fora",0%,G185/QUÓRUM!$C$6)</f>
        <v>#DIV/0!</v>
      </c>
      <c r="I185" s="87"/>
      <c r="J185" s="88"/>
      <c r="K185" s="88"/>
      <c r="L185" s="89"/>
      <c r="M185" s="89"/>
      <c r="N185" s="90"/>
      <c r="O185" s="90"/>
      <c r="P185" s="90"/>
      <c r="Q185" s="90"/>
      <c r="R185" s="98"/>
      <c r="S185" s="90"/>
      <c r="T185" s="99"/>
    </row>
    <row r="186" spans="1:20" s="94" customFormat="1" x14ac:dyDescent="0.3">
      <c r="A186" s="96"/>
      <c r="B186" s="96"/>
      <c r="C186" s="87"/>
      <c r="D186" s="97"/>
      <c r="E186" s="83"/>
      <c r="F186" s="83"/>
      <c r="G186" s="131"/>
      <c r="H186" s="86" t="e">
        <f>IF(I186="fora",0%,G186/QUÓRUM!$C$6)</f>
        <v>#DIV/0!</v>
      </c>
      <c r="I186" s="87"/>
      <c r="J186" s="88"/>
      <c r="K186" s="88"/>
      <c r="L186" s="89"/>
      <c r="M186" s="89"/>
      <c r="N186" s="90"/>
      <c r="O186" s="90"/>
      <c r="P186" s="90"/>
      <c r="Q186" s="90"/>
      <c r="R186" s="98"/>
      <c r="S186" s="90"/>
      <c r="T186" s="99"/>
    </row>
    <row r="187" spans="1:20" s="94" customFormat="1" x14ac:dyDescent="0.3">
      <c r="A187" s="96"/>
      <c r="B187" s="96"/>
      <c r="C187" s="87"/>
      <c r="D187" s="97"/>
      <c r="E187" s="83"/>
      <c r="F187" s="83"/>
      <c r="G187" s="131"/>
      <c r="H187" s="86" t="e">
        <f>IF(I187="fora",0%,G187/QUÓRUM!$C$6)</f>
        <v>#DIV/0!</v>
      </c>
      <c r="I187" s="87"/>
      <c r="J187" s="88"/>
      <c r="K187" s="88"/>
      <c r="L187" s="89"/>
      <c r="M187" s="89"/>
      <c r="N187" s="90"/>
      <c r="O187" s="90"/>
      <c r="P187" s="90"/>
      <c r="Q187" s="90"/>
      <c r="R187" s="98"/>
      <c r="S187" s="90"/>
      <c r="T187" s="99"/>
    </row>
    <row r="188" spans="1:20" s="94" customFormat="1" x14ac:dyDescent="0.3">
      <c r="A188" s="96"/>
      <c r="B188" s="96"/>
      <c r="C188" s="87"/>
      <c r="D188" s="97"/>
      <c r="E188" s="83"/>
      <c r="F188" s="83"/>
      <c r="G188" s="131"/>
      <c r="H188" s="86" t="e">
        <f>IF(I188="fora",0%,G188/QUÓRUM!$C$6)</f>
        <v>#DIV/0!</v>
      </c>
      <c r="I188" s="87"/>
      <c r="J188" s="88"/>
      <c r="K188" s="88"/>
      <c r="L188" s="89"/>
      <c r="M188" s="89"/>
      <c r="N188" s="90"/>
      <c r="O188" s="90"/>
      <c r="P188" s="90"/>
      <c r="Q188" s="90"/>
      <c r="R188" s="98"/>
      <c r="S188" s="90"/>
      <c r="T188" s="99"/>
    </row>
    <row r="189" spans="1:20" s="94" customFormat="1" x14ac:dyDescent="0.3">
      <c r="A189" s="96"/>
      <c r="B189" s="96"/>
      <c r="C189" s="87"/>
      <c r="D189" s="97"/>
      <c r="E189" s="83"/>
      <c r="F189" s="83"/>
      <c r="G189" s="131"/>
      <c r="H189" s="86" t="e">
        <f>IF(I189="fora",0%,G189/QUÓRUM!$C$6)</f>
        <v>#DIV/0!</v>
      </c>
      <c r="I189" s="87"/>
      <c r="J189" s="88"/>
      <c r="K189" s="88"/>
      <c r="L189" s="89"/>
      <c r="M189" s="89"/>
      <c r="N189" s="90"/>
      <c r="O189" s="90"/>
      <c r="P189" s="90"/>
      <c r="Q189" s="90"/>
      <c r="R189" s="98"/>
      <c r="S189" s="90"/>
      <c r="T189" s="99"/>
    </row>
    <row r="190" spans="1:20" s="94" customFormat="1" x14ac:dyDescent="0.3">
      <c r="A190" s="96"/>
      <c r="B190" s="96"/>
      <c r="C190" s="87"/>
      <c r="D190" s="97"/>
      <c r="E190" s="83"/>
      <c r="F190" s="83"/>
      <c r="G190" s="131"/>
      <c r="H190" s="86" t="e">
        <f>IF(I190="fora",0%,G190/QUÓRUM!$C$6)</f>
        <v>#DIV/0!</v>
      </c>
      <c r="I190" s="87"/>
      <c r="J190" s="88"/>
      <c r="K190" s="88"/>
      <c r="L190" s="89"/>
      <c r="M190" s="89"/>
      <c r="N190" s="90"/>
      <c r="O190" s="90"/>
      <c r="P190" s="90"/>
      <c r="Q190" s="90"/>
      <c r="R190" s="98"/>
      <c r="S190" s="90"/>
      <c r="T190" s="99"/>
    </row>
    <row r="191" spans="1:20" s="94" customFormat="1" x14ac:dyDescent="0.3">
      <c r="A191" s="96"/>
      <c r="B191" s="96"/>
      <c r="C191" s="87"/>
      <c r="D191" s="97"/>
      <c r="E191" s="83"/>
      <c r="F191" s="83"/>
      <c r="G191" s="131"/>
      <c r="H191" s="86" t="e">
        <f>IF(I191="fora",0%,G191/QUÓRUM!$C$6)</f>
        <v>#DIV/0!</v>
      </c>
      <c r="I191" s="87"/>
      <c r="J191" s="88"/>
      <c r="K191" s="88"/>
      <c r="L191" s="89"/>
      <c r="M191" s="89"/>
      <c r="N191" s="90"/>
      <c r="O191" s="90"/>
      <c r="P191" s="90"/>
      <c r="Q191" s="90"/>
      <c r="R191" s="98"/>
      <c r="S191" s="90"/>
      <c r="T191" s="99"/>
    </row>
    <row r="192" spans="1:20" s="94" customFormat="1" x14ac:dyDescent="0.3">
      <c r="A192" s="96"/>
      <c r="B192" s="96"/>
      <c r="C192" s="87"/>
      <c r="D192" s="97"/>
      <c r="E192" s="83"/>
      <c r="F192" s="83"/>
      <c r="G192" s="131"/>
      <c r="H192" s="86" t="e">
        <f>IF(I192="fora",0%,G192/QUÓRUM!$C$6)</f>
        <v>#DIV/0!</v>
      </c>
      <c r="I192" s="87"/>
      <c r="J192" s="88"/>
      <c r="K192" s="88"/>
      <c r="L192" s="89"/>
      <c r="M192" s="89"/>
      <c r="N192" s="90"/>
      <c r="O192" s="90"/>
      <c r="P192" s="90"/>
      <c r="Q192" s="90"/>
      <c r="R192" s="98"/>
      <c r="S192" s="90"/>
      <c r="T192" s="99"/>
    </row>
    <row r="193" spans="1:20" s="94" customFormat="1" x14ac:dyDescent="0.3">
      <c r="A193" s="96"/>
      <c r="B193" s="96"/>
      <c r="C193" s="87"/>
      <c r="D193" s="97"/>
      <c r="E193" s="83"/>
      <c r="F193" s="83"/>
      <c r="G193" s="131"/>
      <c r="H193" s="86" t="e">
        <f>IF(I193="fora",0%,G193/QUÓRUM!$C$6)</f>
        <v>#DIV/0!</v>
      </c>
      <c r="I193" s="87"/>
      <c r="J193" s="88"/>
      <c r="K193" s="88"/>
      <c r="L193" s="89"/>
      <c r="M193" s="89"/>
      <c r="N193" s="90"/>
      <c r="O193" s="90"/>
      <c r="P193" s="90"/>
      <c r="Q193" s="90"/>
      <c r="R193" s="98"/>
      <c r="S193" s="90"/>
      <c r="T193" s="99"/>
    </row>
    <row r="194" spans="1:20" s="94" customFormat="1" x14ac:dyDescent="0.3">
      <c r="A194" s="96"/>
      <c r="B194" s="96"/>
      <c r="C194" s="87"/>
      <c r="D194" s="97"/>
      <c r="E194" s="83"/>
      <c r="F194" s="83"/>
      <c r="G194" s="131"/>
      <c r="H194" s="86" t="e">
        <f>IF(I194="fora",0%,G194/QUÓRUM!$C$6)</f>
        <v>#DIV/0!</v>
      </c>
      <c r="I194" s="87"/>
      <c r="J194" s="88"/>
      <c r="K194" s="88"/>
      <c r="L194" s="89"/>
      <c r="M194" s="89"/>
      <c r="N194" s="90"/>
      <c r="O194" s="90"/>
      <c r="P194" s="90"/>
      <c r="Q194" s="90"/>
      <c r="R194" s="98"/>
      <c r="S194" s="90"/>
      <c r="T194" s="99"/>
    </row>
    <row r="195" spans="1:20" s="94" customFormat="1" x14ac:dyDescent="0.3">
      <c r="A195" s="96"/>
      <c r="B195" s="96"/>
      <c r="C195" s="87"/>
      <c r="D195" s="97"/>
      <c r="E195" s="83"/>
      <c r="F195" s="83"/>
      <c r="G195" s="131"/>
      <c r="H195" s="86" t="e">
        <f>IF(I195="fora",0%,G195/QUÓRUM!$C$6)</f>
        <v>#DIV/0!</v>
      </c>
      <c r="I195" s="87"/>
      <c r="J195" s="88"/>
      <c r="K195" s="88"/>
      <c r="L195" s="89"/>
      <c r="M195" s="89"/>
      <c r="N195" s="90"/>
      <c r="O195" s="90"/>
      <c r="P195" s="90"/>
      <c r="Q195" s="90"/>
      <c r="R195" s="98"/>
      <c r="S195" s="90"/>
      <c r="T195" s="99"/>
    </row>
    <row r="196" spans="1:20" s="94" customFormat="1" x14ac:dyDescent="0.3">
      <c r="A196" s="96"/>
      <c r="B196" s="96"/>
      <c r="C196" s="87"/>
      <c r="D196" s="97"/>
      <c r="E196" s="83"/>
      <c r="F196" s="83"/>
      <c r="G196" s="131"/>
      <c r="H196" s="86" t="e">
        <f>IF(I196="fora",0%,G196/QUÓRUM!$C$6)</f>
        <v>#DIV/0!</v>
      </c>
      <c r="I196" s="87"/>
      <c r="J196" s="88"/>
      <c r="K196" s="88"/>
      <c r="L196" s="89"/>
      <c r="M196" s="89"/>
      <c r="N196" s="90"/>
      <c r="O196" s="90"/>
      <c r="P196" s="90"/>
      <c r="Q196" s="90"/>
      <c r="R196" s="98"/>
      <c r="S196" s="90"/>
      <c r="T196" s="99"/>
    </row>
    <row r="197" spans="1:20" s="94" customFormat="1" x14ac:dyDescent="0.3">
      <c r="A197" s="96"/>
      <c r="B197" s="96"/>
      <c r="C197" s="87"/>
      <c r="D197" s="97"/>
      <c r="E197" s="83"/>
      <c r="F197" s="83"/>
      <c r="G197" s="131"/>
      <c r="H197" s="86" t="e">
        <f>IF(I197="fora",0%,G197/QUÓRUM!$C$6)</f>
        <v>#DIV/0!</v>
      </c>
      <c r="I197" s="87"/>
      <c r="J197" s="88"/>
      <c r="K197" s="88"/>
      <c r="L197" s="89"/>
      <c r="M197" s="89"/>
      <c r="N197" s="90"/>
      <c r="O197" s="90"/>
      <c r="P197" s="90"/>
      <c r="Q197" s="90"/>
      <c r="R197" s="98"/>
      <c r="S197" s="90"/>
      <c r="T197" s="99"/>
    </row>
    <row r="198" spans="1:20" s="94" customFormat="1" x14ac:dyDescent="0.3">
      <c r="A198" s="96"/>
      <c r="B198" s="96"/>
      <c r="C198" s="87"/>
      <c r="D198" s="97"/>
      <c r="E198" s="83"/>
      <c r="F198" s="83"/>
      <c r="G198" s="131"/>
      <c r="H198" s="86" t="e">
        <f>IF(I198="fora",0%,G198/QUÓRUM!$C$6)</f>
        <v>#DIV/0!</v>
      </c>
      <c r="I198" s="87"/>
      <c r="J198" s="88"/>
      <c r="K198" s="88"/>
      <c r="L198" s="89"/>
      <c r="M198" s="89"/>
      <c r="N198" s="90"/>
      <c r="O198" s="90"/>
      <c r="P198" s="90"/>
      <c r="Q198" s="90"/>
      <c r="R198" s="98"/>
      <c r="S198" s="90"/>
      <c r="T198" s="99"/>
    </row>
    <row r="199" spans="1:20" s="94" customFormat="1" x14ac:dyDescent="0.3">
      <c r="A199" s="96"/>
      <c r="B199" s="96"/>
      <c r="C199" s="87"/>
      <c r="D199" s="97"/>
      <c r="E199" s="83"/>
      <c r="F199" s="83"/>
      <c r="G199" s="131"/>
      <c r="H199" s="86" t="e">
        <f>IF(I199="fora",0%,G199/QUÓRUM!$C$6)</f>
        <v>#DIV/0!</v>
      </c>
      <c r="I199" s="87"/>
      <c r="J199" s="88"/>
      <c r="K199" s="88"/>
      <c r="L199" s="89"/>
      <c r="M199" s="89"/>
      <c r="N199" s="90"/>
      <c r="O199" s="90"/>
      <c r="P199" s="90"/>
      <c r="Q199" s="90"/>
      <c r="R199" s="98"/>
      <c r="S199" s="90"/>
      <c r="T199" s="99"/>
    </row>
    <row r="200" spans="1:20" s="94" customFormat="1" x14ac:dyDescent="0.3">
      <c r="A200" s="96"/>
      <c r="B200" s="96"/>
      <c r="C200" s="87"/>
      <c r="D200" s="97"/>
      <c r="E200" s="83"/>
      <c r="F200" s="83"/>
      <c r="G200" s="131"/>
      <c r="H200" s="86" t="e">
        <f>IF(I200="fora",0%,G200/QUÓRUM!$C$6)</f>
        <v>#DIV/0!</v>
      </c>
      <c r="I200" s="87"/>
      <c r="J200" s="88"/>
      <c r="K200" s="88"/>
      <c r="L200" s="89"/>
      <c r="M200" s="89"/>
      <c r="N200" s="90"/>
      <c r="O200" s="90"/>
      <c r="P200" s="90"/>
      <c r="Q200" s="90"/>
      <c r="R200" s="98"/>
      <c r="S200" s="90"/>
      <c r="T200" s="99"/>
    </row>
    <row r="201" spans="1:20" s="94" customFormat="1" x14ac:dyDescent="0.3">
      <c r="A201" s="96"/>
      <c r="B201" s="96"/>
      <c r="C201" s="87"/>
      <c r="D201" s="97"/>
      <c r="E201" s="83"/>
      <c r="F201" s="83"/>
      <c r="G201" s="131"/>
      <c r="H201" s="86" t="e">
        <f>IF(I201="fora",0%,G201/QUÓRUM!$C$6)</f>
        <v>#DIV/0!</v>
      </c>
      <c r="I201" s="87"/>
      <c r="J201" s="88"/>
      <c r="K201" s="88"/>
      <c r="L201" s="89"/>
      <c r="M201" s="89"/>
      <c r="N201" s="90"/>
      <c r="O201" s="90"/>
      <c r="P201" s="90"/>
      <c r="Q201" s="90"/>
      <c r="R201" s="98"/>
      <c r="S201" s="90"/>
      <c r="T201" s="99"/>
    </row>
    <row r="202" spans="1:20" s="94" customFormat="1" x14ac:dyDescent="0.3">
      <c r="A202" s="96"/>
      <c r="B202" s="96"/>
      <c r="C202" s="87"/>
      <c r="D202" s="97"/>
      <c r="E202" s="83"/>
      <c r="F202" s="83"/>
      <c r="G202" s="131"/>
      <c r="H202" s="86" t="e">
        <f>IF(I202="fora",0%,G202/QUÓRUM!$C$6)</f>
        <v>#DIV/0!</v>
      </c>
      <c r="I202" s="87"/>
      <c r="J202" s="88"/>
      <c r="K202" s="88"/>
      <c r="L202" s="89"/>
      <c r="M202" s="89"/>
      <c r="N202" s="90"/>
      <c r="O202" s="90"/>
      <c r="P202" s="90"/>
      <c r="Q202" s="90"/>
      <c r="R202" s="98"/>
      <c r="S202" s="90"/>
      <c r="T202" s="99"/>
    </row>
    <row r="203" spans="1:20" s="94" customFormat="1" x14ac:dyDescent="0.3">
      <c r="A203" s="82"/>
      <c r="B203" s="83"/>
      <c r="C203" s="87"/>
      <c r="D203" s="84"/>
      <c r="E203" s="83"/>
      <c r="F203" s="82"/>
      <c r="G203" s="130"/>
      <c r="H203" s="86" t="e">
        <f>IF(I203="fora",0%,G203/QUÓRUM!$C$6)</f>
        <v>#DIV/0!</v>
      </c>
      <c r="I203" s="87"/>
      <c r="J203" s="88"/>
      <c r="K203" s="88"/>
      <c r="L203" s="89"/>
      <c r="M203" s="89"/>
      <c r="N203" s="90"/>
      <c r="O203" s="87"/>
      <c r="P203" s="87"/>
      <c r="Q203" s="90"/>
      <c r="R203" s="91"/>
      <c r="S203" s="92"/>
      <c r="T203" s="93"/>
    </row>
    <row r="204" spans="1:20" s="94" customFormat="1" x14ac:dyDescent="0.3">
      <c r="A204" s="82"/>
      <c r="B204" s="83"/>
      <c r="C204" s="87"/>
      <c r="D204" s="84"/>
      <c r="E204" s="83"/>
      <c r="F204" s="82"/>
      <c r="G204" s="130"/>
      <c r="H204" s="86" t="e">
        <f>IF(I204="fora",0%,G204/QUÓRUM!$C$6)</f>
        <v>#DIV/0!</v>
      </c>
      <c r="I204" s="87"/>
      <c r="J204" s="88"/>
      <c r="K204" s="88"/>
      <c r="L204" s="89"/>
      <c r="M204" s="89"/>
      <c r="N204" s="90"/>
      <c r="O204" s="87"/>
      <c r="P204" s="87"/>
      <c r="Q204" s="90"/>
      <c r="R204" s="91"/>
      <c r="S204" s="92"/>
      <c r="T204" s="93"/>
    </row>
    <row r="205" spans="1:20" s="94" customFormat="1" x14ac:dyDescent="0.3">
      <c r="A205" s="82"/>
      <c r="B205" s="83"/>
      <c r="C205" s="87"/>
      <c r="D205" s="84"/>
      <c r="E205" s="83"/>
      <c r="F205" s="82"/>
      <c r="G205" s="130"/>
      <c r="H205" s="86" t="e">
        <f>IF(I205="fora",0%,G205/QUÓRUM!$C$6)</f>
        <v>#DIV/0!</v>
      </c>
      <c r="I205" s="87"/>
      <c r="J205" s="88"/>
      <c r="K205" s="88"/>
      <c r="L205" s="89"/>
      <c r="M205" s="89"/>
      <c r="N205" s="90"/>
      <c r="O205" s="87"/>
      <c r="P205" s="87"/>
      <c r="Q205" s="90"/>
      <c r="R205" s="91"/>
      <c r="S205" s="92"/>
      <c r="T205" s="93"/>
    </row>
    <row r="206" spans="1:20" s="94" customFormat="1" x14ac:dyDescent="0.3">
      <c r="A206" s="96"/>
      <c r="B206" s="96"/>
      <c r="C206" s="87"/>
      <c r="D206" s="97"/>
      <c r="E206" s="83"/>
      <c r="F206" s="83"/>
      <c r="G206" s="131"/>
      <c r="H206" s="86" t="e">
        <f>IF(I206="fora",0%,G206/QUÓRUM!$C$6)</f>
        <v>#DIV/0!</v>
      </c>
      <c r="I206" s="87"/>
      <c r="J206" s="88"/>
      <c r="K206" s="88"/>
      <c r="L206" s="89"/>
      <c r="M206" s="89"/>
      <c r="N206" s="90"/>
      <c r="O206" s="90"/>
      <c r="P206" s="90"/>
      <c r="Q206" s="90"/>
      <c r="R206" s="98"/>
      <c r="S206" s="90"/>
      <c r="T206" s="99"/>
    </row>
    <row r="207" spans="1:20" s="94" customFormat="1" x14ac:dyDescent="0.3">
      <c r="A207" s="82"/>
      <c r="B207" s="83"/>
      <c r="C207" s="87"/>
      <c r="D207" s="84"/>
      <c r="E207" s="83"/>
      <c r="F207" s="82"/>
      <c r="G207" s="130"/>
      <c r="H207" s="86" t="e">
        <f>IF(I207="fora",0%,G207/QUÓRUM!$C$6)</f>
        <v>#DIV/0!</v>
      </c>
      <c r="I207" s="87"/>
      <c r="J207" s="88"/>
      <c r="K207" s="88"/>
      <c r="L207" s="89"/>
      <c r="M207" s="89"/>
      <c r="N207" s="90"/>
      <c r="O207" s="87"/>
      <c r="P207" s="87"/>
      <c r="Q207" s="90"/>
      <c r="R207" s="91"/>
      <c r="S207" s="92"/>
      <c r="T207" s="93"/>
    </row>
    <row r="208" spans="1:20" s="94" customFormat="1" x14ac:dyDescent="0.3">
      <c r="A208" s="96"/>
      <c r="B208" s="96"/>
      <c r="C208" s="87"/>
      <c r="D208" s="97"/>
      <c r="E208" s="83"/>
      <c r="F208" s="83"/>
      <c r="G208" s="131"/>
      <c r="H208" s="86" t="e">
        <f>IF(I208="fora",0%,G208/QUÓRUM!$C$6)</f>
        <v>#DIV/0!</v>
      </c>
      <c r="I208" s="87"/>
      <c r="J208" s="88"/>
      <c r="K208" s="88"/>
      <c r="L208" s="89"/>
      <c r="M208" s="89"/>
      <c r="N208" s="90"/>
      <c r="O208" s="90"/>
      <c r="P208" s="90"/>
      <c r="Q208" s="90"/>
      <c r="R208" s="98"/>
      <c r="S208" s="90"/>
      <c r="T208" s="99"/>
    </row>
    <row r="209" spans="1:20" s="94" customFormat="1" x14ac:dyDescent="0.3">
      <c r="A209" s="96"/>
      <c r="B209" s="96"/>
      <c r="C209" s="87"/>
      <c r="D209" s="97"/>
      <c r="E209" s="83"/>
      <c r="F209" s="83"/>
      <c r="G209" s="131"/>
      <c r="H209" s="86" t="e">
        <f>IF(I209="fora",0%,G209/QUÓRUM!$C$6)</f>
        <v>#DIV/0!</v>
      </c>
      <c r="I209" s="87"/>
      <c r="J209" s="88"/>
      <c r="K209" s="88"/>
      <c r="L209" s="89"/>
      <c r="M209" s="89"/>
      <c r="N209" s="90"/>
      <c r="O209" s="90"/>
      <c r="P209" s="90"/>
      <c r="Q209" s="90"/>
      <c r="R209" s="98"/>
      <c r="S209" s="90"/>
      <c r="T209" s="99"/>
    </row>
    <row r="210" spans="1:20" s="94" customFormat="1" x14ac:dyDescent="0.3">
      <c r="A210" s="96"/>
      <c r="B210" s="96"/>
      <c r="C210" s="87"/>
      <c r="D210" s="97"/>
      <c r="E210" s="83"/>
      <c r="F210" s="83"/>
      <c r="G210" s="131"/>
      <c r="H210" s="86" t="e">
        <f>IF(I210="fora",0%,G210/QUÓRUM!$C$6)</f>
        <v>#DIV/0!</v>
      </c>
      <c r="I210" s="87"/>
      <c r="J210" s="88"/>
      <c r="K210" s="88"/>
      <c r="L210" s="89"/>
      <c r="M210" s="89"/>
      <c r="N210" s="90"/>
      <c r="O210" s="90"/>
      <c r="P210" s="90"/>
      <c r="Q210" s="90"/>
      <c r="R210" s="98"/>
      <c r="S210" s="90"/>
      <c r="T210" s="99"/>
    </row>
    <row r="211" spans="1:20" s="94" customFormat="1" x14ac:dyDescent="0.3">
      <c r="A211" s="82"/>
      <c r="B211" s="83"/>
      <c r="C211" s="87"/>
      <c r="D211" s="84"/>
      <c r="E211" s="83"/>
      <c r="F211" s="82"/>
      <c r="G211" s="130"/>
      <c r="H211" s="86" t="e">
        <f>IF(I211="fora",0%,G211/QUÓRUM!$C$6)</f>
        <v>#DIV/0!</v>
      </c>
      <c r="I211" s="87"/>
      <c r="J211" s="88"/>
      <c r="K211" s="88"/>
      <c r="L211" s="89"/>
      <c r="M211" s="89"/>
      <c r="N211" s="90"/>
      <c r="O211" s="87"/>
      <c r="P211" s="87"/>
      <c r="Q211" s="90"/>
      <c r="R211" s="91"/>
      <c r="S211" s="92"/>
      <c r="T211" s="93"/>
    </row>
    <row r="212" spans="1:20" s="94" customFormat="1" x14ac:dyDescent="0.3">
      <c r="A212" s="82"/>
      <c r="B212" s="83"/>
      <c r="C212" s="87"/>
      <c r="D212" s="84"/>
      <c r="E212" s="83"/>
      <c r="F212" s="82"/>
      <c r="G212" s="130"/>
      <c r="H212" s="86" t="e">
        <f>IF(I212="fora",0%,G212/QUÓRUM!$C$6)</f>
        <v>#DIV/0!</v>
      </c>
      <c r="I212" s="87"/>
      <c r="J212" s="88"/>
      <c r="K212" s="88"/>
      <c r="L212" s="89"/>
      <c r="M212" s="89"/>
      <c r="N212" s="90"/>
      <c r="O212" s="87"/>
      <c r="P212" s="87"/>
      <c r="Q212" s="90"/>
      <c r="R212" s="91"/>
      <c r="S212" s="92"/>
      <c r="T212" s="93"/>
    </row>
    <row r="213" spans="1:20" s="94" customFormat="1" x14ac:dyDescent="0.3">
      <c r="A213" s="82"/>
      <c r="B213" s="83"/>
      <c r="C213" s="87"/>
      <c r="D213" s="84"/>
      <c r="E213" s="83"/>
      <c r="F213" s="82"/>
      <c r="G213" s="130"/>
      <c r="H213" s="86" t="e">
        <f>IF(I213="fora",0%,G213/QUÓRUM!$C$6)</f>
        <v>#DIV/0!</v>
      </c>
      <c r="I213" s="87"/>
      <c r="J213" s="88"/>
      <c r="K213" s="88"/>
      <c r="L213" s="89"/>
      <c r="M213" s="89"/>
      <c r="N213" s="90"/>
      <c r="O213" s="87"/>
      <c r="P213" s="87"/>
      <c r="Q213" s="90"/>
      <c r="R213" s="91"/>
      <c r="S213" s="92"/>
      <c r="T213" s="93"/>
    </row>
    <row r="214" spans="1:20" s="94" customFormat="1" x14ac:dyDescent="0.3">
      <c r="A214" s="82"/>
      <c r="B214" s="83"/>
      <c r="C214" s="87"/>
      <c r="D214" s="84"/>
      <c r="E214" s="83"/>
      <c r="F214" s="82"/>
      <c r="G214" s="130"/>
      <c r="H214" s="86" t="e">
        <f>IF(I214="fora",0%,G214/QUÓRUM!$C$6)</f>
        <v>#DIV/0!</v>
      </c>
      <c r="I214" s="87"/>
      <c r="J214" s="88"/>
      <c r="K214" s="88"/>
      <c r="L214" s="89"/>
      <c r="M214" s="89"/>
      <c r="N214" s="90"/>
      <c r="O214" s="87"/>
      <c r="P214" s="87"/>
      <c r="Q214" s="90"/>
      <c r="R214" s="91"/>
      <c r="S214" s="92"/>
      <c r="T214" s="93"/>
    </row>
    <row r="215" spans="1:20" s="94" customFormat="1" x14ac:dyDescent="0.3">
      <c r="A215" s="82"/>
      <c r="B215" s="83"/>
      <c r="C215" s="87"/>
      <c r="D215" s="84"/>
      <c r="E215" s="83"/>
      <c r="F215" s="82"/>
      <c r="G215" s="130"/>
      <c r="H215" s="86" t="e">
        <f>IF(I215="fora",0%,G215/QUÓRUM!$C$6)</f>
        <v>#DIV/0!</v>
      </c>
      <c r="I215" s="87"/>
      <c r="J215" s="88"/>
      <c r="K215" s="88"/>
      <c r="L215" s="89"/>
      <c r="M215" s="89"/>
      <c r="N215" s="90"/>
      <c r="O215" s="87"/>
      <c r="P215" s="87"/>
      <c r="Q215" s="90"/>
      <c r="R215" s="91"/>
      <c r="S215" s="92"/>
      <c r="T215" s="93"/>
    </row>
    <row r="216" spans="1:20" s="94" customFormat="1" x14ac:dyDescent="0.3">
      <c r="A216" s="82"/>
      <c r="B216" s="83"/>
      <c r="C216" s="87"/>
      <c r="D216" s="84"/>
      <c r="E216" s="83"/>
      <c r="F216" s="82"/>
      <c r="G216" s="130"/>
      <c r="H216" s="86" t="e">
        <f>IF(I216="fora",0%,G216/QUÓRUM!$C$6)</f>
        <v>#DIV/0!</v>
      </c>
      <c r="I216" s="87"/>
      <c r="J216" s="88"/>
      <c r="K216" s="88"/>
      <c r="L216" s="89"/>
      <c r="M216" s="89"/>
      <c r="N216" s="90"/>
      <c r="O216" s="87"/>
      <c r="P216" s="87"/>
      <c r="Q216" s="90"/>
      <c r="R216" s="91"/>
      <c r="S216" s="92"/>
      <c r="T216" s="93"/>
    </row>
    <row r="217" spans="1:20" s="94" customFormat="1" x14ac:dyDescent="0.3">
      <c r="A217" s="82"/>
      <c r="B217" s="83"/>
      <c r="C217" s="87"/>
      <c r="D217" s="84"/>
      <c r="E217" s="83"/>
      <c r="F217" s="82"/>
      <c r="G217" s="130"/>
      <c r="H217" s="86" t="e">
        <f>IF(I217="fora",0%,G217/QUÓRUM!$C$6)</f>
        <v>#DIV/0!</v>
      </c>
      <c r="I217" s="87"/>
      <c r="J217" s="88"/>
      <c r="K217" s="88"/>
      <c r="L217" s="89"/>
      <c r="M217" s="89"/>
      <c r="N217" s="90"/>
      <c r="O217" s="87"/>
      <c r="P217" s="87"/>
      <c r="Q217" s="90"/>
      <c r="R217" s="91"/>
      <c r="S217" s="92"/>
      <c r="T217" s="93"/>
    </row>
    <row r="218" spans="1:20" s="94" customFormat="1" x14ac:dyDescent="0.3">
      <c r="A218" s="82"/>
      <c r="B218" s="83"/>
      <c r="C218" s="87"/>
      <c r="D218" s="84"/>
      <c r="E218" s="83"/>
      <c r="F218" s="82"/>
      <c r="G218" s="130"/>
      <c r="H218" s="86" t="e">
        <f>IF(I218="fora",0%,G218/QUÓRUM!$C$6)</f>
        <v>#DIV/0!</v>
      </c>
      <c r="I218" s="87"/>
      <c r="J218" s="88"/>
      <c r="K218" s="88"/>
      <c r="L218" s="89"/>
      <c r="M218" s="89"/>
      <c r="N218" s="90"/>
      <c r="O218" s="87"/>
      <c r="P218" s="87"/>
      <c r="Q218" s="90"/>
      <c r="R218" s="91"/>
      <c r="S218" s="92"/>
      <c r="T218" s="93"/>
    </row>
    <row r="219" spans="1:20" s="94" customFormat="1" x14ac:dyDescent="0.3">
      <c r="A219" s="82"/>
      <c r="B219" s="83"/>
      <c r="C219" s="87"/>
      <c r="D219" s="84"/>
      <c r="E219" s="83"/>
      <c r="F219" s="82"/>
      <c r="G219" s="130"/>
      <c r="H219" s="86" t="e">
        <f>IF(I219="fora",0%,G219/QUÓRUM!$C$6)</f>
        <v>#DIV/0!</v>
      </c>
      <c r="I219" s="87"/>
      <c r="J219" s="88"/>
      <c r="K219" s="88"/>
      <c r="L219" s="89"/>
      <c r="M219" s="89"/>
      <c r="N219" s="90"/>
      <c r="O219" s="87"/>
      <c r="P219" s="87"/>
      <c r="Q219" s="90"/>
      <c r="R219" s="91"/>
      <c r="S219" s="92"/>
      <c r="T219" s="93"/>
    </row>
    <row r="220" spans="1:20" s="94" customFormat="1" x14ac:dyDescent="0.3">
      <c r="A220" s="82"/>
      <c r="B220" s="83"/>
      <c r="C220" s="87"/>
      <c r="D220" s="84"/>
      <c r="E220" s="83"/>
      <c r="F220" s="82"/>
      <c r="G220" s="130"/>
      <c r="H220" s="86" t="e">
        <f>IF(I220="fora",0%,G220/QUÓRUM!$C$6)</f>
        <v>#DIV/0!</v>
      </c>
      <c r="I220" s="87"/>
      <c r="J220" s="88"/>
      <c r="K220" s="88"/>
      <c r="L220" s="89"/>
      <c r="M220" s="89"/>
      <c r="N220" s="90"/>
      <c r="O220" s="87"/>
      <c r="P220" s="87"/>
      <c r="Q220" s="90"/>
      <c r="R220" s="91"/>
      <c r="S220" s="92"/>
      <c r="T220" s="93"/>
    </row>
    <row r="221" spans="1:20" s="94" customFormat="1" x14ac:dyDescent="0.3">
      <c r="A221" s="82"/>
      <c r="B221" s="83"/>
      <c r="C221" s="87"/>
      <c r="D221" s="84"/>
      <c r="E221" s="83"/>
      <c r="F221" s="82"/>
      <c r="G221" s="130"/>
      <c r="H221" s="86" t="e">
        <f>IF(I221="fora",0%,G221/QUÓRUM!$C$6)</f>
        <v>#DIV/0!</v>
      </c>
      <c r="I221" s="87"/>
      <c r="J221" s="88"/>
      <c r="K221" s="88"/>
      <c r="L221" s="89"/>
      <c r="M221" s="89"/>
      <c r="N221" s="90"/>
      <c r="O221" s="87"/>
      <c r="P221" s="87"/>
      <c r="Q221" s="90"/>
      <c r="R221" s="91"/>
      <c r="S221" s="92"/>
      <c r="T221" s="93"/>
    </row>
    <row r="222" spans="1:20" s="94" customFormat="1" x14ac:dyDescent="0.3">
      <c r="A222" s="96"/>
      <c r="B222" s="96"/>
      <c r="C222" s="87"/>
      <c r="D222" s="97"/>
      <c r="E222" s="83"/>
      <c r="F222" s="83"/>
      <c r="G222" s="131"/>
      <c r="H222" s="86" t="e">
        <f>IF(I222="fora",0%,G222/QUÓRUM!$C$6)</f>
        <v>#DIV/0!</v>
      </c>
      <c r="I222" s="87"/>
      <c r="J222" s="88"/>
      <c r="K222" s="88"/>
      <c r="L222" s="89"/>
      <c r="M222" s="89"/>
      <c r="N222" s="90"/>
      <c r="O222" s="90"/>
      <c r="P222" s="90"/>
      <c r="Q222" s="90"/>
      <c r="R222" s="98"/>
      <c r="S222" s="90"/>
      <c r="T222" s="99"/>
    </row>
    <row r="223" spans="1:20" s="94" customFormat="1" x14ac:dyDescent="0.3">
      <c r="A223" s="96"/>
      <c r="B223" s="96"/>
      <c r="C223" s="87"/>
      <c r="D223" s="97"/>
      <c r="E223" s="83"/>
      <c r="F223" s="83"/>
      <c r="G223" s="131"/>
      <c r="H223" s="86" t="e">
        <f>IF(I223="fora",0%,G223/QUÓRUM!$C$6)</f>
        <v>#DIV/0!</v>
      </c>
      <c r="I223" s="87"/>
      <c r="J223" s="88"/>
      <c r="K223" s="88"/>
      <c r="L223" s="89"/>
      <c r="M223" s="89"/>
      <c r="N223" s="90"/>
      <c r="O223" s="90"/>
      <c r="P223" s="90"/>
      <c r="Q223" s="90"/>
      <c r="R223" s="98"/>
      <c r="S223" s="90"/>
      <c r="T223" s="99"/>
    </row>
    <row r="224" spans="1:20" s="94" customFormat="1" x14ac:dyDescent="0.3">
      <c r="A224" s="96"/>
      <c r="B224" s="96"/>
      <c r="C224" s="87"/>
      <c r="D224" s="97"/>
      <c r="E224" s="83"/>
      <c r="F224" s="83"/>
      <c r="G224" s="131"/>
      <c r="H224" s="86" t="e">
        <f>IF(I224="fora",0%,G224/QUÓRUM!$C$6)</f>
        <v>#DIV/0!</v>
      </c>
      <c r="I224" s="87"/>
      <c r="J224" s="88"/>
      <c r="K224" s="88"/>
      <c r="L224" s="89"/>
      <c r="M224" s="89"/>
      <c r="N224" s="90"/>
      <c r="O224" s="90"/>
      <c r="P224" s="90"/>
      <c r="Q224" s="90"/>
      <c r="R224" s="98"/>
      <c r="S224" s="90"/>
      <c r="T224" s="99"/>
    </row>
    <row r="225" spans="1:20" s="94" customFormat="1" x14ac:dyDescent="0.3">
      <c r="A225" s="96"/>
      <c r="B225" s="96"/>
      <c r="C225" s="87"/>
      <c r="D225" s="97"/>
      <c r="E225" s="83"/>
      <c r="F225" s="83"/>
      <c r="G225" s="131"/>
      <c r="H225" s="86" t="e">
        <f>IF(I225="fora",0%,G225/QUÓRUM!$C$6)</f>
        <v>#DIV/0!</v>
      </c>
      <c r="I225" s="87"/>
      <c r="J225" s="88"/>
      <c r="K225" s="88"/>
      <c r="L225" s="89"/>
      <c r="M225" s="89"/>
      <c r="N225" s="90"/>
      <c r="O225" s="90"/>
      <c r="P225" s="90"/>
      <c r="Q225" s="90"/>
      <c r="R225" s="98"/>
      <c r="S225" s="90"/>
      <c r="T225" s="99"/>
    </row>
    <row r="226" spans="1:20" s="94" customFormat="1" x14ac:dyDescent="0.3">
      <c r="A226" s="96"/>
      <c r="B226" s="96"/>
      <c r="C226" s="87"/>
      <c r="D226" s="97"/>
      <c r="E226" s="83"/>
      <c r="F226" s="83"/>
      <c r="G226" s="131"/>
      <c r="H226" s="86" t="e">
        <f>IF(I226="fora",0%,G226/QUÓRUM!$C$6)</f>
        <v>#DIV/0!</v>
      </c>
      <c r="I226" s="87"/>
      <c r="J226" s="88"/>
      <c r="K226" s="88"/>
      <c r="L226" s="89"/>
      <c r="M226" s="89"/>
      <c r="N226" s="90"/>
      <c r="O226" s="90"/>
      <c r="P226" s="90"/>
      <c r="Q226" s="90"/>
      <c r="R226" s="98"/>
      <c r="S226" s="90"/>
      <c r="T226" s="99"/>
    </row>
    <row r="227" spans="1:20" s="94" customFormat="1" x14ac:dyDescent="0.3">
      <c r="A227" s="96"/>
      <c r="B227" s="96"/>
      <c r="C227" s="87"/>
      <c r="D227" s="97"/>
      <c r="E227" s="83"/>
      <c r="F227" s="83"/>
      <c r="G227" s="131"/>
      <c r="H227" s="86" t="e">
        <f>IF(I227="fora",0%,G227/QUÓRUM!$C$6)</f>
        <v>#DIV/0!</v>
      </c>
      <c r="I227" s="87"/>
      <c r="J227" s="88"/>
      <c r="K227" s="88"/>
      <c r="L227" s="89"/>
      <c r="M227" s="89"/>
      <c r="N227" s="90"/>
      <c r="O227" s="90"/>
      <c r="P227" s="90"/>
      <c r="Q227" s="90"/>
      <c r="R227" s="98"/>
      <c r="S227" s="90"/>
      <c r="T227" s="99"/>
    </row>
    <row r="228" spans="1:20" s="94" customFormat="1" x14ac:dyDescent="0.3">
      <c r="A228" s="96"/>
      <c r="B228" s="96"/>
      <c r="C228" s="87"/>
      <c r="D228" s="97"/>
      <c r="E228" s="83"/>
      <c r="F228" s="83"/>
      <c r="G228" s="131"/>
      <c r="H228" s="86" t="e">
        <f>IF(I228="fora",0%,G228/QUÓRUM!$C$6)</f>
        <v>#DIV/0!</v>
      </c>
      <c r="I228" s="87"/>
      <c r="J228" s="88"/>
      <c r="K228" s="88"/>
      <c r="L228" s="89"/>
      <c r="M228" s="89"/>
      <c r="N228" s="90"/>
      <c r="O228" s="90"/>
      <c r="P228" s="90"/>
      <c r="Q228" s="90"/>
      <c r="R228" s="98"/>
      <c r="S228" s="90"/>
      <c r="T228" s="99"/>
    </row>
    <row r="229" spans="1:20" s="94" customFormat="1" x14ac:dyDescent="0.3">
      <c r="A229" s="96"/>
      <c r="B229" s="96"/>
      <c r="C229" s="87"/>
      <c r="D229" s="97"/>
      <c r="E229" s="83"/>
      <c r="F229" s="83"/>
      <c r="G229" s="131"/>
      <c r="H229" s="86" t="e">
        <f>IF(I229="fora",0%,G229/QUÓRUM!$C$6)</f>
        <v>#DIV/0!</v>
      </c>
      <c r="I229" s="87"/>
      <c r="J229" s="88"/>
      <c r="K229" s="88"/>
      <c r="L229" s="89"/>
      <c r="M229" s="89"/>
      <c r="N229" s="90"/>
      <c r="O229" s="90"/>
      <c r="P229" s="90"/>
      <c r="Q229" s="90"/>
      <c r="R229" s="98"/>
      <c r="S229" s="90"/>
      <c r="T229" s="99"/>
    </row>
    <row r="230" spans="1:20" s="94" customFormat="1" x14ac:dyDescent="0.3">
      <c r="A230" s="96"/>
      <c r="B230" s="96"/>
      <c r="C230" s="87"/>
      <c r="D230" s="97"/>
      <c r="E230" s="83"/>
      <c r="F230" s="83"/>
      <c r="G230" s="131"/>
      <c r="H230" s="86" t="e">
        <f>IF(I230="fora",0%,G230/QUÓRUM!$C$6)</f>
        <v>#DIV/0!</v>
      </c>
      <c r="I230" s="87"/>
      <c r="J230" s="88"/>
      <c r="K230" s="88"/>
      <c r="L230" s="89"/>
      <c r="M230" s="89"/>
      <c r="N230" s="90"/>
      <c r="O230" s="90"/>
      <c r="P230" s="90"/>
      <c r="Q230" s="90"/>
      <c r="R230" s="98"/>
      <c r="S230" s="90"/>
      <c r="T230" s="99"/>
    </row>
    <row r="231" spans="1:20" s="94" customFormat="1" x14ac:dyDescent="0.3">
      <c r="A231" s="96"/>
      <c r="B231" s="96"/>
      <c r="C231" s="87"/>
      <c r="D231" s="97"/>
      <c r="E231" s="83"/>
      <c r="F231" s="83"/>
      <c r="G231" s="131"/>
      <c r="H231" s="86" t="e">
        <f>IF(I231="fora",0%,G231/QUÓRUM!$C$6)</f>
        <v>#DIV/0!</v>
      </c>
      <c r="I231" s="87"/>
      <c r="J231" s="88"/>
      <c r="K231" s="88"/>
      <c r="L231" s="89"/>
      <c r="M231" s="89"/>
      <c r="N231" s="90"/>
      <c r="O231" s="90"/>
      <c r="P231" s="90"/>
      <c r="Q231" s="90"/>
      <c r="R231" s="98"/>
      <c r="S231" s="90"/>
      <c r="T231" s="99"/>
    </row>
    <row r="232" spans="1:20" s="94" customFormat="1" x14ac:dyDescent="0.3">
      <c r="A232" s="96"/>
      <c r="B232" s="96"/>
      <c r="C232" s="87"/>
      <c r="D232" s="97"/>
      <c r="E232" s="83"/>
      <c r="F232" s="83"/>
      <c r="G232" s="131"/>
      <c r="H232" s="86" t="e">
        <f>IF(I232="fora",0%,G232/QUÓRUM!$C$6)</f>
        <v>#DIV/0!</v>
      </c>
      <c r="I232" s="87"/>
      <c r="J232" s="88"/>
      <c r="K232" s="88"/>
      <c r="L232" s="89"/>
      <c r="M232" s="89"/>
      <c r="N232" s="90"/>
      <c r="O232" s="90"/>
      <c r="P232" s="90"/>
      <c r="Q232" s="90"/>
      <c r="R232" s="98"/>
      <c r="S232" s="90"/>
      <c r="T232" s="99"/>
    </row>
    <row r="233" spans="1:20" s="94" customFormat="1" x14ac:dyDescent="0.3">
      <c r="A233" s="82"/>
      <c r="B233" s="83"/>
      <c r="C233" s="87"/>
      <c r="D233" s="84"/>
      <c r="E233" s="83"/>
      <c r="F233" s="82"/>
      <c r="G233" s="130"/>
      <c r="H233" s="86" t="e">
        <f>IF(I233="fora",0%,G233/QUÓRUM!$C$6)</f>
        <v>#DIV/0!</v>
      </c>
      <c r="I233" s="87"/>
      <c r="J233" s="88"/>
      <c r="K233" s="88"/>
      <c r="L233" s="89"/>
      <c r="M233" s="89"/>
      <c r="N233" s="90"/>
      <c r="O233" s="87"/>
      <c r="P233" s="87"/>
      <c r="Q233" s="90"/>
      <c r="R233" s="91"/>
      <c r="S233" s="92">
        <f t="shared" ref="S233:S250" si="0">R233*G233</f>
        <v>0</v>
      </c>
      <c r="T233" s="93" t="e">
        <f>IF(I233="fora",0%,S233/QUÓRUM!$M$7)</f>
        <v>#DIV/0!</v>
      </c>
    </row>
    <row r="234" spans="1:20" s="94" customFormat="1" x14ac:dyDescent="0.3">
      <c r="A234" s="82"/>
      <c r="B234" s="83"/>
      <c r="C234" s="87"/>
      <c r="D234" s="84"/>
      <c r="E234" s="83"/>
      <c r="F234" s="82"/>
      <c r="G234" s="130"/>
      <c r="H234" s="86" t="e">
        <f>IF(I234="fora",0%,G234/QUÓRUM!$C$6)</f>
        <v>#DIV/0!</v>
      </c>
      <c r="I234" s="87"/>
      <c r="J234" s="88"/>
      <c r="K234" s="88"/>
      <c r="L234" s="89"/>
      <c r="M234" s="89"/>
      <c r="N234" s="90"/>
      <c r="O234" s="87"/>
      <c r="P234" s="87"/>
      <c r="Q234" s="90"/>
      <c r="R234" s="91"/>
      <c r="S234" s="92">
        <f t="shared" si="0"/>
        <v>0</v>
      </c>
      <c r="T234" s="93" t="e">
        <f>IF(I234="fora",0%,S234/QUÓRUM!$M$7)</f>
        <v>#DIV/0!</v>
      </c>
    </row>
    <row r="235" spans="1:20" s="94" customFormat="1" x14ac:dyDescent="0.3">
      <c r="A235" s="82"/>
      <c r="B235" s="83"/>
      <c r="C235" s="87"/>
      <c r="D235" s="84"/>
      <c r="E235" s="83"/>
      <c r="F235" s="82"/>
      <c r="G235" s="130"/>
      <c r="H235" s="86" t="e">
        <f>IF(I235="fora",0%,G235/QUÓRUM!$C$6)</f>
        <v>#DIV/0!</v>
      </c>
      <c r="I235" s="87"/>
      <c r="J235" s="88"/>
      <c r="K235" s="88"/>
      <c r="L235" s="89"/>
      <c r="M235" s="89"/>
      <c r="N235" s="90"/>
      <c r="O235" s="87"/>
      <c r="P235" s="87"/>
      <c r="Q235" s="90"/>
      <c r="R235" s="91"/>
      <c r="S235" s="92">
        <f t="shared" si="0"/>
        <v>0</v>
      </c>
      <c r="T235" s="93" t="e">
        <f>IF(I235="fora",0%,S235/QUÓRUM!$M$7)</f>
        <v>#DIV/0!</v>
      </c>
    </row>
    <row r="236" spans="1:20" s="94" customFormat="1" x14ac:dyDescent="0.3">
      <c r="A236" s="82"/>
      <c r="B236" s="83"/>
      <c r="C236" s="87"/>
      <c r="D236" s="84"/>
      <c r="E236" s="83"/>
      <c r="F236" s="82"/>
      <c r="G236" s="130"/>
      <c r="H236" s="86" t="e">
        <f>IF(I236="fora",0%,G236/QUÓRUM!$C$6)</f>
        <v>#DIV/0!</v>
      </c>
      <c r="I236" s="87"/>
      <c r="J236" s="88"/>
      <c r="K236" s="88"/>
      <c r="L236" s="89"/>
      <c r="M236" s="89"/>
      <c r="N236" s="90"/>
      <c r="O236" s="87"/>
      <c r="P236" s="87"/>
      <c r="Q236" s="90"/>
      <c r="R236" s="91"/>
      <c r="S236" s="92">
        <f t="shared" si="0"/>
        <v>0</v>
      </c>
      <c r="T236" s="93" t="e">
        <f>IF(I236="fora",0%,S236/QUÓRUM!$M$7)</f>
        <v>#DIV/0!</v>
      </c>
    </row>
    <row r="237" spans="1:20" s="94" customFormat="1" x14ac:dyDescent="0.3">
      <c r="A237" s="82"/>
      <c r="B237" s="83"/>
      <c r="C237" s="87"/>
      <c r="D237" s="84"/>
      <c r="E237" s="83"/>
      <c r="F237" s="82"/>
      <c r="G237" s="130"/>
      <c r="H237" s="86" t="e">
        <f>IF(I237="fora",0%,G237/QUÓRUM!$C$6)</f>
        <v>#DIV/0!</v>
      </c>
      <c r="I237" s="87"/>
      <c r="J237" s="88"/>
      <c r="K237" s="88"/>
      <c r="L237" s="89"/>
      <c r="M237" s="89"/>
      <c r="N237" s="90"/>
      <c r="O237" s="87"/>
      <c r="P237" s="87"/>
      <c r="Q237" s="90"/>
      <c r="R237" s="91"/>
      <c r="S237" s="92">
        <f t="shared" si="0"/>
        <v>0</v>
      </c>
      <c r="T237" s="93" t="e">
        <f>IF(I237="fora",0%,S237/QUÓRUM!$M$7)</f>
        <v>#DIV/0!</v>
      </c>
    </row>
    <row r="238" spans="1:20" s="94" customFormat="1" x14ac:dyDescent="0.3">
      <c r="A238" s="82"/>
      <c r="B238" s="83"/>
      <c r="C238" s="87"/>
      <c r="D238" s="84"/>
      <c r="E238" s="83"/>
      <c r="F238" s="82"/>
      <c r="G238" s="130"/>
      <c r="H238" s="86" t="e">
        <f>IF(I238="fora",0%,G238/QUÓRUM!$C$6)</f>
        <v>#DIV/0!</v>
      </c>
      <c r="I238" s="87"/>
      <c r="J238" s="88"/>
      <c r="K238" s="88"/>
      <c r="L238" s="89"/>
      <c r="M238" s="89"/>
      <c r="N238" s="90"/>
      <c r="O238" s="87"/>
      <c r="P238" s="87"/>
      <c r="Q238" s="90"/>
      <c r="R238" s="91"/>
      <c r="S238" s="92">
        <f t="shared" si="0"/>
        <v>0</v>
      </c>
      <c r="T238" s="93" t="e">
        <f>IF(I238="fora",0%,S238/QUÓRUM!$M$7)</f>
        <v>#DIV/0!</v>
      </c>
    </row>
    <row r="239" spans="1:20" s="94" customFormat="1" x14ac:dyDescent="0.3">
      <c r="A239" s="82"/>
      <c r="B239" s="83"/>
      <c r="C239" s="87"/>
      <c r="D239" s="84"/>
      <c r="E239" s="83"/>
      <c r="F239" s="82"/>
      <c r="G239" s="130"/>
      <c r="H239" s="86" t="e">
        <f>IF(I239="fora",0%,G239/QUÓRUM!$C$6)</f>
        <v>#DIV/0!</v>
      </c>
      <c r="I239" s="87"/>
      <c r="J239" s="88"/>
      <c r="K239" s="88"/>
      <c r="L239" s="89"/>
      <c r="M239" s="89"/>
      <c r="N239" s="90"/>
      <c r="O239" s="87"/>
      <c r="P239" s="87"/>
      <c r="Q239" s="90"/>
      <c r="R239" s="91"/>
      <c r="S239" s="92">
        <f t="shared" si="0"/>
        <v>0</v>
      </c>
      <c r="T239" s="93" t="e">
        <f>IF(I239="fora",0%,S239/QUÓRUM!$M$7)</f>
        <v>#DIV/0!</v>
      </c>
    </row>
    <row r="240" spans="1:20" s="94" customFormat="1" x14ac:dyDescent="0.3">
      <c r="A240" s="82"/>
      <c r="B240" s="83"/>
      <c r="C240" s="87"/>
      <c r="D240" s="84"/>
      <c r="E240" s="83"/>
      <c r="F240" s="82"/>
      <c r="G240" s="130"/>
      <c r="H240" s="86" t="e">
        <f>IF(I240="fora",0%,G240/QUÓRUM!$C$6)</f>
        <v>#DIV/0!</v>
      </c>
      <c r="I240" s="87"/>
      <c r="J240" s="88"/>
      <c r="K240" s="88"/>
      <c r="L240" s="89"/>
      <c r="M240" s="89"/>
      <c r="N240" s="90"/>
      <c r="O240" s="87"/>
      <c r="P240" s="87"/>
      <c r="Q240" s="90"/>
      <c r="R240" s="91"/>
      <c r="S240" s="92">
        <f t="shared" si="0"/>
        <v>0</v>
      </c>
      <c r="T240" s="93" t="e">
        <f>IF(I240="fora",0%,S240/QUÓRUM!$M$7)</f>
        <v>#DIV/0!</v>
      </c>
    </row>
    <row r="241" spans="1:20" s="94" customFormat="1" x14ac:dyDescent="0.3">
      <c r="A241" s="82"/>
      <c r="B241" s="83"/>
      <c r="C241" s="87"/>
      <c r="D241" s="84"/>
      <c r="E241" s="83"/>
      <c r="F241" s="82"/>
      <c r="G241" s="130"/>
      <c r="H241" s="86" t="e">
        <f>IF(I241="fora",0%,G241/QUÓRUM!$C$6)</f>
        <v>#DIV/0!</v>
      </c>
      <c r="I241" s="87"/>
      <c r="J241" s="88"/>
      <c r="K241" s="88"/>
      <c r="L241" s="89"/>
      <c r="M241" s="89"/>
      <c r="N241" s="90"/>
      <c r="O241" s="87"/>
      <c r="P241" s="87"/>
      <c r="Q241" s="90"/>
      <c r="R241" s="91"/>
      <c r="S241" s="92">
        <f t="shared" si="0"/>
        <v>0</v>
      </c>
      <c r="T241" s="93" t="e">
        <f>IF(I241="fora",0%,S241/QUÓRUM!$M$7)</f>
        <v>#DIV/0!</v>
      </c>
    </row>
    <row r="242" spans="1:20" s="94" customFormat="1" x14ac:dyDescent="0.3">
      <c r="A242" s="82"/>
      <c r="B242" s="83"/>
      <c r="C242" s="87"/>
      <c r="D242" s="84"/>
      <c r="E242" s="83"/>
      <c r="F242" s="82"/>
      <c r="G242" s="130"/>
      <c r="H242" s="86" t="e">
        <f>IF(I242="fora",0%,G242/QUÓRUM!$C$6)</f>
        <v>#DIV/0!</v>
      </c>
      <c r="I242" s="87"/>
      <c r="J242" s="88"/>
      <c r="K242" s="88"/>
      <c r="L242" s="89"/>
      <c r="M242" s="89"/>
      <c r="N242" s="90"/>
      <c r="O242" s="87"/>
      <c r="P242" s="87"/>
      <c r="Q242" s="90"/>
      <c r="R242" s="91"/>
      <c r="S242" s="92">
        <f t="shared" si="0"/>
        <v>0</v>
      </c>
      <c r="T242" s="93" t="e">
        <f>IF(I242="fora",0%,S242/QUÓRUM!$M$7)</f>
        <v>#DIV/0!</v>
      </c>
    </row>
    <row r="243" spans="1:20" s="94" customFormat="1" x14ac:dyDescent="0.3">
      <c r="A243" s="82"/>
      <c r="B243" s="83"/>
      <c r="C243" s="87"/>
      <c r="D243" s="84"/>
      <c r="E243" s="83"/>
      <c r="F243" s="82"/>
      <c r="G243" s="130"/>
      <c r="H243" s="86" t="e">
        <f>IF(I243="fora",0%,G243/QUÓRUM!$C$6)</f>
        <v>#DIV/0!</v>
      </c>
      <c r="I243" s="87"/>
      <c r="J243" s="88"/>
      <c r="K243" s="88"/>
      <c r="L243" s="89"/>
      <c r="M243" s="89"/>
      <c r="N243" s="90"/>
      <c r="O243" s="87"/>
      <c r="P243" s="87"/>
      <c r="Q243" s="90"/>
      <c r="R243" s="91"/>
      <c r="S243" s="92">
        <f t="shared" si="0"/>
        <v>0</v>
      </c>
      <c r="T243" s="93" t="e">
        <f>IF(I243="fora",0%,S243/QUÓRUM!$M$7)</f>
        <v>#DIV/0!</v>
      </c>
    </row>
    <row r="244" spans="1:20" s="94" customFormat="1" x14ac:dyDescent="0.3">
      <c r="A244" s="82"/>
      <c r="B244" s="83"/>
      <c r="C244" s="87"/>
      <c r="D244" s="84"/>
      <c r="E244" s="83"/>
      <c r="F244" s="82"/>
      <c r="G244" s="130"/>
      <c r="H244" s="86" t="e">
        <f>IF(I244="fora",0%,G244/QUÓRUM!$C$6)</f>
        <v>#DIV/0!</v>
      </c>
      <c r="I244" s="87"/>
      <c r="J244" s="88"/>
      <c r="K244" s="88"/>
      <c r="L244" s="89"/>
      <c r="M244" s="89"/>
      <c r="N244" s="90"/>
      <c r="O244" s="87"/>
      <c r="P244" s="87"/>
      <c r="Q244" s="90"/>
      <c r="R244" s="91"/>
      <c r="S244" s="92">
        <f t="shared" si="0"/>
        <v>0</v>
      </c>
      <c r="T244" s="93" t="e">
        <f>IF(I244="fora",0%,S244/QUÓRUM!$M$7)</f>
        <v>#DIV/0!</v>
      </c>
    </row>
    <row r="245" spans="1:20" s="94" customFormat="1" x14ac:dyDescent="0.3">
      <c r="A245" s="82"/>
      <c r="B245" s="83"/>
      <c r="C245" s="87"/>
      <c r="D245" s="84"/>
      <c r="E245" s="83"/>
      <c r="F245" s="82"/>
      <c r="G245" s="130"/>
      <c r="H245" s="86" t="e">
        <f>IF(I245="fora",0%,G245/QUÓRUM!$C$6)</f>
        <v>#DIV/0!</v>
      </c>
      <c r="I245" s="87"/>
      <c r="J245" s="88"/>
      <c r="K245" s="88"/>
      <c r="L245" s="89"/>
      <c r="M245" s="89"/>
      <c r="N245" s="90"/>
      <c r="O245" s="87"/>
      <c r="P245" s="87"/>
      <c r="Q245" s="90"/>
      <c r="R245" s="91"/>
      <c r="S245" s="92">
        <f t="shared" si="0"/>
        <v>0</v>
      </c>
      <c r="T245" s="93" t="e">
        <f>IF(I245="fora",0%,S245/QUÓRUM!$M$7)</f>
        <v>#DIV/0!</v>
      </c>
    </row>
    <row r="246" spans="1:20" s="94" customFormat="1" x14ac:dyDescent="0.3">
      <c r="A246" s="82"/>
      <c r="B246" s="83"/>
      <c r="C246" s="87"/>
      <c r="D246" s="84"/>
      <c r="E246" s="83"/>
      <c r="F246" s="82"/>
      <c r="G246" s="130"/>
      <c r="H246" s="86" t="e">
        <f>IF(I246="fora",0%,G246/QUÓRUM!$C$6)</f>
        <v>#DIV/0!</v>
      </c>
      <c r="I246" s="87"/>
      <c r="J246" s="88"/>
      <c r="K246" s="88"/>
      <c r="L246" s="89"/>
      <c r="M246" s="89"/>
      <c r="N246" s="90"/>
      <c r="O246" s="87"/>
      <c r="P246" s="87"/>
      <c r="Q246" s="90"/>
      <c r="R246" s="91"/>
      <c r="S246" s="92">
        <f t="shared" si="0"/>
        <v>0</v>
      </c>
      <c r="T246" s="93" t="e">
        <f>IF(I246="fora",0%,S246/QUÓRUM!$M$7)</f>
        <v>#DIV/0!</v>
      </c>
    </row>
    <row r="247" spans="1:20" s="94" customFormat="1" x14ac:dyDescent="0.3">
      <c r="A247" s="82"/>
      <c r="B247" s="83"/>
      <c r="C247" s="87"/>
      <c r="D247" s="84"/>
      <c r="E247" s="83"/>
      <c r="F247" s="82"/>
      <c r="G247" s="130"/>
      <c r="H247" s="86" t="e">
        <f>IF(I247="fora",0%,G247/QUÓRUM!$C$6)</f>
        <v>#DIV/0!</v>
      </c>
      <c r="I247" s="87"/>
      <c r="J247" s="88"/>
      <c r="K247" s="88"/>
      <c r="L247" s="89"/>
      <c r="M247" s="89"/>
      <c r="N247" s="90"/>
      <c r="O247" s="87"/>
      <c r="P247" s="87"/>
      <c r="Q247" s="90"/>
      <c r="R247" s="91"/>
      <c r="S247" s="92">
        <f t="shared" si="0"/>
        <v>0</v>
      </c>
      <c r="T247" s="93" t="e">
        <f>IF(I247="fora",0%,S247/QUÓRUM!$M$7)</f>
        <v>#DIV/0!</v>
      </c>
    </row>
    <row r="248" spans="1:20" s="94" customFormat="1" x14ac:dyDescent="0.3">
      <c r="A248" s="82"/>
      <c r="B248" s="83"/>
      <c r="C248" s="87"/>
      <c r="D248" s="84"/>
      <c r="E248" s="83"/>
      <c r="F248" s="82"/>
      <c r="G248" s="130"/>
      <c r="H248" s="86" t="e">
        <f>IF(I248="fora",0%,G248/QUÓRUM!$C$6)</f>
        <v>#DIV/0!</v>
      </c>
      <c r="I248" s="87"/>
      <c r="J248" s="88"/>
      <c r="K248" s="88"/>
      <c r="L248" s="89"/>
      <c r="M248" s="89"/>
      <c r="N248" s="90"/>
      <c r="O248" s="87"/>
      <c r="P248" s="87"/>
      <c r="Q248" s="90"/>
      <c r="R248" s="91"/>
      <c r="S248" s="92">
        <f t="shared" si="0"/>
        <v>0</v>
      </c>
      <c r="T248" s="93" t="e">
        <f>IF(I248="fora",0%,S248/QUÓRUM!$M$7)</f>
        <v>#DIV/0!</v>
      </c>
    </row>
    <row r="249" spans="1:20" s="94" customFormat="1" x14ac:dyDescent="0.3">
      <c r="A249" s="82"/>
      <c r="B249" s="83"/>
      <c r="C249" s="87"/>
      <c r="D249" s="84"/>
      <c r="E249" s="83"/>
      <c r="F249" s="82"/>
      <c r="G249" s="130"/>
      <c r="H249" s="86" t="e">
        <f>IF(I249="fora",0%,G249/QUÓRUM!$C$6)</f>
        <v>#DIV/0!</v>
      </c>
      <c r="I249" s="87"/>
      <c r="J249" s="88"/>
      <c r="K249" s="88"/>
      <c r="L249" s="89"/>
      <c r="M249" s="89"/>
      <c r="N249" s="90"/>
      <c r="O249" s="87"/>
      <c r="P249" s="87"/>
      <c r="Q249" s="90"/>
      <c r="R249" s="91"/>
      <c r="S249" s="92">
        <f t="shared" si="0"/>
        <v>0</v>
      </c>
      <c r="T249" s="93" t="e">
        <f>IF(I249="fora",0%,S249/QUÓRUM!$M$7)</f>
        <v>#DIV/0!</v>
      </c>
    </row>
    <row r="250" spans="1:20" s="94" customFormat="1" x14ac:dyDescent="0.3">
      <c r="A250" s="82"/>
      <c r="B250" s="83"/>
      <c r="C250" s="87"/>
      <c r="D250" s="84"/>
      <c r="E250" s="83"/>
      <c r="F250" s="82"/>
      <c r="G250" s="130"/>
      <c r="H250" s="86" t="e">
        <f>IF(I250="fora",0%,G250/QUÓRUM!$C$6)</f>
        <v>#DIV/0!</v>
      </c>
      <c r="I250" s="87"/>
      <c r="J250" s="88"/>
      <c r="K250" s="88"/>
      <c r="L250" s="89"/>
      <c r="M250" s="89"/>
      <c r="N250" s="90"/>
      <c r="O250" s="87"/>
      <c r="P250" s="87"/>
      <c r="Q250" s="90"/>
      <c r="R250" s="91"/>
      <c r="S250" s="92">
        <f t="shared" si="0"/>
        <v>0</v>
      </c>
      <c r="T250" s="93" t="e">
        <f>IF(I250="fora",0%,S250/QUÓRUM!$M$7)</f>
        <v>#DIV/0!</v>
      </c>
    </row>
    <row r="251" spans="1:20" s="94" customFormat="1" x14ac:dyDescent="0.3">
      <c r="A251" s="82"/>
      <c r="B251" s="83"/>
      <c r="C251" s="87"/>
      <c r="D251" s="84"/>
      <c r="E251" s="83"/>
      <c r="F251" s="82"/>
      <c r="G251" s="130"/>
      <c r="H251" s="86" t="e">
        <f>IF(I251="fora",0%,G251/QUÓRUM!$C$6)</f>
        <v>#DIV/0!</v>
      </c>
      <c r="I251" s="87"/>
      <c r="J251" s="88"/>
      <c r="K251" s="88"/>
      <c r="L251" s="89"/>
      <c r="M251" s="89"/>
      <c r="N251" s="90"/>
      <c r="O251" s="87"/>
      <c r="P251" s="87"/>
      <c r="Q251" s="90"/>
      <c r="R251" s="91"/>
      <c r="S251" s="92"/>
      <c r="T251" s="93"/>
    </row>
    <row r="252" spans="1:20" s="94" customFormat="1" x14ac:dyDescent="0.3">
      <c r="A252" s="82"/>
      <c r="B252" s="83"/>
      <c r="C252" s="87"/>
      <c r="D252" s="84"/>
      <c r="E252" s="83"/>
      <c r="F252" s="82"/>
      <c r="G252" s="130"/>
      <c r="H252" s="86" t="e">
        <f>IF(I252="fora",0%,G252/QUÓRUM!$C$6)</f>
        <v>#DIV/0!</v>
      </c>
      <c r="I252" s="87"/>
      <c r="J252" s="88"/>
      <c r="K252" s="88"/>
      <c r="L252" s="89"/>
      <c r="M252" s="89"/>
      <c r="N252" s="90"/>
      <c r="O252" s="87"/>
      <c r="P252" s="87"/>
      <c r="Q252" s="90"/>
      <c r="R252" s="91"/>
      <c r="S252" s="92"/>
      <c r="T252" s="93"/>
    </row>
    <row r="253" spans="1:20" s="94" customFormat="1" x14ac:dyDescent="0.3">
      <c r="A253" s="82"/>
      <c r="B253" s="83"/>
      <c r="C253" s="87"/>
      <c r="D253" s="84"/>
      <c r="E253" s="83"/>
      <c r="F253" s="82"/>
      <c r="G253" s="130"/>
      <c r="H253" s="86" t="e">
        <f>IF(I253="fora",0%,G253/QUÓRUM!$C$6)</f>
        <v>#DIV/0!</v>
      </c>
      <c r="I253" s="87"/>
      <c r="J253" s="88"/>
      <c r="K253" s="88"/>
      <c r="L253" s="89"/>
      <c r="M253" s="89"/>
      <c r="N253" s="90"/>
      <c r="O253" s="87"/>
      <c r="P253" s="87"/>
      <c r="Q253" s="90"/>
      <c r="R253" s="91"/>
      <c r="S253" s="92"/>
      <c r="T253" s="93"/>
    </row>
    <row r="254" spans="1:20" s="94" customFormat="1" x14ac:dyDescent="0.3">
      <c r="A254" s="82"/>
      <c r="B254" s="83"/>
      <c r="C254" s="87"/>
      <c r="D254" s="84"/>
      <c r="E254" s="83"/>
      <c r="F254" s="82"/>
      <c r="G254" s="130"/>
      <c r="H254" s="86" t="e">
        <f>IF(I254="fora",0%,G254/QUÓRUM!$C$6)</f>
        <v>#DIV/0!</v>
      </c>
      <c r="I254" s="87"/>
      <c r="J254" s="88"/>
      <c r="K254" s="88"/>
      <c r="L254" s="89"/>
      <c r="M254" s="89"/>
      <c r="N254" s="90"/>
      <c r="O254" s="87"/>
      <c r="P254" s="87"/>
      <c r="Q254" s="90"/>
      <c r="R254" s="91"/>
      <c r="S254" s="92"/>
      <c r="T254" s="93"/>
    </row>
    <row r="255" spans="1:20" s="94" customFormat="1" x14ac:dyDescent="0.3">
      <c r="A255" s="82"/>
      <c r="B255" s="83"/>
      <c r="C255" s="87"/>
      <c r="D255" s="84"/>
      <c r="E255" s="83"/>
      <c r="F255" s="82"/>
      <c r="G255" s="130"/>
      <c r="H255" s="86" t="e">
        <f>IF(I255="fora",0%,G255/QUÓRUM!$C$6)</f>
        <v>#DIV/0!</v>
      </c>
      <c r="I255" s="87"/>
      <c r="J255" s="88"/>
      <c r="K255" s="88"/>
      <c r="L255" s="89"/>
      <c r="M255" s="89"/>
      <c r="N255" s="90"/>
      <c r="O255" s="87"/>
      <c r="P255" s="87"/>
      <c r="Q255" s="90"/>
      <c r="R255" s="91"/>
      <c r="S255" s="92"/>
      <c r="T255" s="93"/>
    </row>
    <row r="256" spans="1:20" s="94" customFormat="1" x14ac:dyDescent="0.3">
      <c r="A256" s="82"/>
      <c r="B256" s="83"/>
      <c r="C256" s="87"/>
      <c r="D256" s="84"/>
      <c r="E256" s="83"/>
      <c r="F256" s="82"/>
      <c r="G256" s="130"/>
      <c r="H256" s="86" t="e">
        <f>IF(I256="fora",0%,G256/QUÓRUM!$C$6)</f>
        <v>#DIV/0!</v>
      </c>
      <c r="I256" s="87"/>
      <c r="J256" s="88"/>
      <c r="K256" s="88"/>
      <c r="L256" s="89"/>
      <c r="M256" s="89"/>
      <c r="N256" s="90"/>
      <c r="O256" s="87"/>
      <c r="P256" s="87"/>
      <c r="Q256" s="90"/>
      <c r="R256" s="91"/>
      <c r="S256" s="92"/>
      <c r="T256" s="93"/>
    </row>
    <row r="257" spans="1:20" s="94" customFormat="1" x14ac:dyDescent="0.3">
      <c r="A257" s="82"/>
      <c r="B257" s="83"/>
      <c r="C257" s="87"/>
      <c r="D257" s="84"/>
      <c r="E257" s="83"/>
      <c r="F257" s="82"/>
      <c r="G257" s="130"/>
      <c r="H257" s="86" t="e">
        <f>IF(I257="fora",0%,G257/QUÓRUM!$C$6)</f>
        <v>#DIV/0!</v>
      </c>
      <c r="I257" s="87"/>
      <c r="J257" s="88"/>
      <c r="K257" s="88"/>
      <c r="L257" s="89"/>
      <c r="M257" s="89"/>
      <c r="N257" s="90"/>
      <c r="O257" s="87"/>
      <c r="P257" s="87"/>
      <c r="Q257" s="90"/>
      <c r="R257" s="91"/>
      <c r="S257" s="92"/>
      <c r="T257" s="93"/>
    </row>
    <row r="258" spans="1:20" s="94" customFormat="1" x14ac:dyDescent="0.3">
      <c r="A258" s="82"/>
      <c r="B258" s="83"/>
      <c r="C258" s="87"/>
      <c r="D258" s="84"/>
      <c r="E258" s="83"/>
      <c r="F258" s="82"/>
      <c r="G258" s="130"/>
      <c r="H258" s="86" t="e">
        <f>IF(I258="fora",0%,G258/QUÓRUM!$C$6)</f>
        <v>#DIV/0!</v>
      </c>
      <c r="I258" s="87"/>
      <c r="J258" s="88"/>
      <c r="K258" s="88"/>
      <c r="L258" s="89"/>
      <c r="M258" s="89"/>
      <c r="N258" s="90"/>
      <c r="O258" s="87"/>
      <c r="P258" s="87"/>
      <c r="Q258" s="90"/>
      <c r="R258" s="91"/>
      <c r="S258" s="92"/>
      <c r="T258" s="93"/>
    </row>
    <row r="259" spans="1:20" s="94" customFormat="1" x14ac:dyDescent="0.3">
      <c r="A259" s="82"/>
      <c r="B259" s="83"/>
      <c r="C259" s="87"/>
      <c r="D259" s="84"/>
      <c r="E259" s="83"/>
      <c r="F259" s="82"/>
      <c r="G259" s="130"/>
      <c r="H259" s="86" t="e">
        <f>IF(I259="fora",0%,G259/QUÓRUM!$C$6)</f>
        <v>#DIV/0!</v>
      </c>
      <c r="I259" s="87"/>
      <c r="J259" s="88"/>
      <c r="K259" s="88"/>
      <c r="L259" s="89"/>
      <c r="M259" s="89"/>
      <c r="N259" s="90"/>
      <c r="O259" s="87"/>
      <c r="P259" s="87"/>
      <c r="Q259" s="90"/>
      <c r="R259" s="91"/>
      <c r="S259" s="92"/>
      <c r="T259" s="93"/>
    </row>
    <row r="260" spans="1:20" s="94" customFormat="1" x14ac:dyDescent="0.3">
      <c r="A260" s="82"/>
      <c r="B260" s="83"/>
      <c r="C260" s="87"/>
      <c r="D260" s="84"/>
      <c r="E260" s="83"/>
      <c r="F260" s="82"/>
      <c r="G260" s="130"/>
      <c r="H260" s="86" t="e">
        <f>IF(I260="fora",0%,G260/QUÓRUM!$C$6)</f>
        <v>#DIV/0!</v>
      </c>
      <c r="I260" s="87"/>
      <c r="J260" s="88"/>
      <c r="K260" s="88"/>
      <c r="L260" s="89"/>
      <c r="M260" s="89"/>
      <c r="N260" s="90"/>
      <c r="O260" s="87"/>
      <c r="P260" s="87"/>
      <c r="Q260" s="90"/>
      <c r="R260" s="91"/>
      <c r="S260" s="92"/>
      <c r="T260" s="93"/>
    </row>
    <row r="261" spans="1:20" s="94" customFormat="1" x14ac:dyDescent="0.3">
      <c r="A261" s="82"/>
      <c r="B261" s="83"/>
      <c r="C261" s="87"/>
      <c r="D261" s="84"/>
      <c r="E261" s="83"/>
      <c r="F261" s="82"/>
      <c r="G261" s="130"/>
      <c r="H261" s="86" t="e">
        <f>IF(I261="fora",0%,G261/QUÓRUM!$C$6)</f>
        <v>#DIV/0!</v>
      </c>
      <c r="I261" s="87"/>
      <c r="J261" s="88"/>
      <c r="K261" s="88"/>
      <c r="L261" s="89"/>
      <c r="M261" s="89"/>
      <c r="N261" s="90"/>
      <c r="O261" s="87"/>
      <c r="P261" s="87"/>
      <c r="Q261" s="90"/>
      <c r="R261" s="91"/>
      <c r="S261" s="92"/>
      <c r="T261" s="93"/>
    </row>
    <row r="262" spans="1:20" s="94" customFormat="1" x14ac:dyDescent="0.3">
      <c r="A262" s="82"/>
      <c r="B262" s="83"/>
      <c r="C262" s="87"/>
      <c r="D262" s="84"/>
      <c r="E262" s="83"/>
      <c r="F262" s="82"/>
      <c r="G262" s="130"/>
      <c r="H262" s="86" t="e">
        <f>IF(I262="fora",0%,G262/QUÓRUM!$C$6)</f>
        <v>#DIV/0!</v>
      </c>
      <c r="I262" s="87"/>
      <c r="J262" s="88"/>
      <c r="K262" s="88"/>
      <c r="L262" s="89"/>
      <c r="M262" s="89"/>
      <c r="N262" s="90"/>
      <c r="O262" s="87"/>
      <c r="P262" s="87"/>
      <c r="Q262" s="90"/>
      <c r="R262" s="91"/>
      <c r="S262" s="92"/>
      <c r="T262" s="93"/>
    </row>
    <row r="263" spans="1:20" s="94" customFormat="1" x14ac:dyDescent="0.3">
      <c r="A263" s="82"/>
      <c r="B263" s="83"/>
      <c r="C263" s="87"/>
      <c r="D263" s="84"/>
      <c r="E263" s="83"/>
      <c r="F263" s="82"/>
      <c r="G263" s="130"/>
      <c r="H263" s="86" t="e">
        <f>IF(I263="fora",0%,G263/QUÓRUM!$C$6)</f>
        <v>#DIV/0!</v>
      </c>
      <c r="I263" s="87"/>
      <c r="J263" s="88"/>
      <c r="K263" s="88"/>
      <c r="L263" s="89"/>
      <c r="M263" s="89"/>
      <c r="N263" s="90"/>
      <c r="O263" s="87"/>
      <c r="P263" s="87"/>
      <c r="Q263" s="90"/>
      <c r="R263" s="91"/>
      <c r="S263" s="92"/>
      <c r="T263" s="93"/>
    </row>
    <row r="264" spans="1:20" s="94" customFormat="1" x14ac:dyDescent="0.3">
      <c r="A264" s="82"/>
      <c r="B264" s="83"/>
      <c r="C264" s="87"/>
      <c r="D264" s="84"/>
      <c r="E264" s="83"/>
      <c r="F264" s="82"/>
      <c r="G264" s="130"/>
      <c r="H264" s="86" t="e">
        <f>IF(I264="fora",0%,G264/QUÓRUM!$C$6)</f>
        <v>#DIV/0!</v>
      </c>
      <c r="I264" s="87"/>
      <c r="J264" s="88"/>
      <c r="K264" s="88"/>
      <c r="L264" s="89"/>
      <c r="M264" s="89"/>
      <c r="N264" s="90"/>
      <c r="O264" s="87"/>
      <c r="P264" s="87"/>
      <c r="Q264" s="90"/>
      <c r="R264" s="91"/>
      <c r="S264" s="92"/>
      <c r="T264" s="93"/>
    </row>
    <row r="265" spans="1:20" s="94" customFormat="1" x14ac:dyDescent="0.3">
      <c r="A265" s="82"/>
      <c r="B265" s="83"/>
      <c r="C265" s="87"/>
      <c r="D265" s="84"/>
      <c r="E265" s="83"/>
      <c r="F265" s="82"/>
      <c r="G265" s="130"/>
      <c r="H265" s="86" t="e">
        <f>IF(I265="fora",0%,G265/QUÓRUM!$C$6)</f>
        <v>#DIV/0!</v>
      </c>
      <c r="I265" s="87"/>
      <c r="J265" s="88"/>
      <c r="K265" s="88"/>
      <c r="L265" s="89"/>
      <c r="M265" s="89"/>
      <c r="N265" s="90"/>
      <c r="O265" s="87"/>
      <c r="P265" s="87"/>
      <c r="Q265" s="90"/>
      <c r="R265" s="91"/>
      <c r="S265" s="92"/>
      <c r="T265" s="93"/>
    </row>
    <row r="266" spans="1:20" s="94" customFormat="1" x14ac:dyDescent="0.3">
      <c r="A266" s="82"/>
      <c r="B266" s="83"/>
      <c r="C266" s="87"/>
      <c r="D266" s="84"/>
      <c r="E266" s="83"/>
      <c r="F266" s="82"/>
      <c r="G266" s="130"/>
      <c r="H266" s="86" t="e">
        <f>IF(I266="fora",0%,G266/QUÓRUM!$C$6)</f>
        <v>#DIV/0!</v>
      </c>
      <c r="I266" s="87"/>
      <c r="J266" s="88"/>
      <c r="K266" s="88"/>
      <c r="L266" s="89"/>
      <c r="M266" s="89"/>
      <c r="N266" s="90"/>
      <c r="O266" s="87"/>
      <c r="P266" s="87"/>
      <c r="Q266" s="90"/>
      <c r="R266" s="91"/>
      <c r="S266" s="92"/>
      <c r="T266" s="93"/>
    </row>
    <row r="267" spans="1:20" s="94" customFormat="1" x14ac:dyDescent="0.3">
      <c r="A267" s="82"/>
      <c r="B267" s="83"/>
      <c r="C267" s="87"/>
      <c r="D267" s="84"/>
      <c r="E267" s="83"/>
      <c r="F267" s="82"/>
      <c r="G267" s="130"/>
      <c r="H267" s="86" t="e">
        <f>IF(I267="fora",0%,G267/QUÓRUM!$C$6)</f>
        <v>#DIV/0!</v>
      </c>
      <c r="I267" s="87"/>
      <c r="J267" s="88"/>
      <c r="K267" s="88"/>
      <c r="L267" s="89"/>
      <c r="M267" s="89"/>
      <c r="N267" s="90"/>
      <c r="O267" s="87"/>
      <c r="P267" s="87"/>
      <c r="Q267" s="90"/>
      <c r="R267" s="91"/>
      <c r="S267" s="92"/>
      <c r="T267" s="93"/>
    </row>
    <row r="268" spans="1:20" s="94" customFormat="1" x14ac:dyDescent="0.3">
      <c r="A268" s="82"/>
      <c r="B268" s="83"/>
      <c r="C268" s="87"/>
      <c r="D268" s="84"/>
      <c r="E268" s="83"/>
      <c r="F268" s="82"/>
      <c r="G268" s="130"/>
      <c r="H268" s="86" t="e">
        <f>IF(I268="fora",0%,G268/QUÓRUM!$C$6)</f>
        <v>#DIV/0!</v>
      </c>
      <c r="I268" s="87"/>
      <c r="J268" s="88"/>
      <c r="K268" s="88"/>
      <c r="L268" s="89"/>
      <c r="M268" s="89"/>
      <c r="N268" s="90"/>
      <c r="O268" s="87"/>
      <c r="P268" s="87"/>
      <c r="Q268" s="90"/>
      <c r="R268" s="91"/>
      <c r="S268" s="92"/>
      <c r="T268" s="93"/>
    </row>
    <row r="269" spans="1:20" s="94" customFormat="1" x14ac:dyDescent="0.3">
      <c r="A269" s="82"/>
      <c r="B269" s="83"/>
      <c r="C269" s="87"/>
      <c r="D269" s="84"/>
      <c r="E269" s="83"/>
      <c r="F269" s="82"/>
      <c r="G269" s="130"/>
      <c r="H269" s="86" t="e">
        <f>IF(I269="fora",0%,G269/QUÓRUM!$C$6)</f>
        <v>#DIV/0!</v>
      </c>
      <c r="I269" s="87"/>
      <c r="J269" s="88"/>
      <c r="K269" s="88"/>
      <c r="L269" s="89"/>
      <c r="M269" s="89"/>
      <c r="N269" s="90"/>
      <c r="O269" s="87"/>
      <c r="P269" s="87"/>
      <c r="Q269" s="90"/>
      <c r="R269" s="91"/>
      <c r="S269" s="92"/>
      <c r="T269" s="93"/>
    </row>
    <row r="270" spans="1:20" s="94" customFormat="1" x14ac:dyDescent="0.3">
      <c r="A270" s="82"/>
      <c r="B270" s="83"/>
      <c r="C270" s="87"/>
      <c r="D270" s="84"/>
      <c r="E270" s="83"/>
      <c r="F270" s="82"/>
      <c r="G270" s="130"/>
      <c r="H270" s="86" t="e">
        <f>IF(I270="fora",0%,G270/QUÓRUM!$C$6)</f>
        <v>#DIV/0!</v>
      </c>
      <c r="I270" s="87"/>
      <c r="J270" s="88"/>
      <c r="K270" s="88"/>
      <c r="L270" s="89"/>
      <c r="M270" s="89"/>
      <c r="N270" s="90"/>
      <c r="O270" s="87"/>
      <c r="P270" s="87"/>
      <c r="Q270" s="90"/>
      <c r="R270" s="91"/>
      <c r="S270" s="92"/>
      <c r="T270" s="93"/>
    </row>
    <row r="271" spans="1:20" s="94" customFormat="1" x14ac:dyDescent="0.3">
      <c r="A271" s="82"/>
      <c r="B271" s="83"/>
      <c r="C271" s="87"/>
      <c r="D271" s="84"/>
      <c r="E271" s="83"/>
      <c r="F271" s="82"/>
      <c r="G271" s="130"/>
      <c r="H271" s="86" t="e">
        <f>IF(I271="fora",0%,G271/QUÓRUM!$C$6)</f>
        <v>#DIV/0!</v>
      </c>
      <c r="I271" s="87"/>
      <c r="J271" s="88"/>
      <c r="K271" s="88"/>
      <c r="L271" s="89"/>
      <c r="M271" s="89"/>
      <c r="N271" s="90"/>
      <c r="O271" s="87"/>
      <c r="P271" s="87"/>
      <c r="Q271" s="90"/>
      <c r="R271" s="91"/>
      <c r="S271" s="92"/>
      <c r="T271" s="93"/>
    </row>
    <row r="272" spans="1:20" s="94" customFormat="1" x14ac:dyDescent="0.3">
      <c r="A272" s="82"/>
      <c r="B272" s="83"/>
      <c r="C272" s="87"/>
      <c r="D272" s="84"/>
      <c r="E272" s="83"/>
      <c r="F272" s="82"/>
      <c r="G272" s="130"/>
      <c r="H272" s="86" t="e">
        <f>IF(I272="fora",0%,G272/QUÓRUM!$C$6)</f>
        <v>#DIV/0!</v>
      </c>
      <c r="I272" s="87"/>
      <c r="J272" s="88"/>
      <c r="K272" s="88"/>
      <c r="L272" s="89"/>
      <c r="M272" s="89"/>
      <c r="N272" s="90"/>
      <c r="O272" s="87"/>
      <c r="P272" s="87"/>
      <c r="Q272" s="90"/>
      <c r="R272" s="91"/>
      <c r="S272" s="92"/>
      <c r="T272" s="93"/>
    </row>
    <row r="273" spans="1:20" s="94" customFormat="1" ht="12" customHeight="1" x14ac:dyDescent="0.3">
      <c r="A273" s="82"/>
      <c r="B273" s="83"/>
      <c r="C273" s="87"/>
      <c r="D273" s="84"/>
      <c r="E273" s="83"/>
      <c r="F273" s="82"/>
      <c r="G273" s="130"/>
      <c r="H273" s="86" t="e">
        <f>IF(I273="fora",0%,G273/QUÓRUM!$C$6)</f>
        <v>#DIV/0!</v>
      </c>
      <c r="I273" s="87"/>
      <c r="J273" s="88"/>
      <c r="K273" s="88"/>
      <c r="L273" s="89"/>
      <c r="M273" s="89"/>
      <c r="N273" s="90"/>
      <c r="O273" s="87"/>
      <c r="P273" s="87"/>
      <c r="Q273" s="90"/>
      <c r="R273" s="91"/>
      <c r="S273" s="92"/>
      <c r="T273" s="93"/>
    </row>
    <row r="274" spans="1:20" s="94" customFormat="1" ht="12" customHeight="1" x14ac:dyDescent="0.3">
      <c r="A274" s="82"/>
      <c r="B274" s="83"/>
      <c r="C274" s="87"/>
      <c r="D274" s="84"/>
      <c r="E274" s="83"/>
      <c r="F274" s="82"/>
      <c r="G274" s="130"/>
      <c r="H274" s="86" t="e">
        <f>IF(I274="fora",0%,G274/QUÓRUM!$C$6)</f>
        <v>#DIV/0!</v>
      </c>
      <c r="I274" s="87"/>
      <c r="J274" s="88"/>
      <c r="K274" s="88"/>
      <c r="L274" s="89"/>
      <c r="M274" s="89"/>
      <c r="N274" s="90"/>
      <c r="O274" s="87"/>
      <c r="P274" s="87"/>
      <c r="Q274" s="90"/>
      <c r="R274" s="91"/>
      <c r="S274" s="92"/>
      <c r="T274" s="93"/>
    </row>
    <row r="275" spans="1:20" s="94" customFormat="1" ht="12" customHeight="1" x14ac:dyDescent="0.3">
      <c r="A275" s="82"/>
      <c r="B275" s="83"/>
      <c r="C275" s="87"/>
      <c r="D275" s="84"/>
      <c r="E275" s="83"/>
      <c r="F275" s="82"/>
      <c r="G275" s="130"/>
      <c r="H275" s="86" t="e">
        <f>IF(I275="fora",0%,G275/QUÓRUM!$C$6)</f>
        <v>#DIV/0!</v>
      </c>
      <c r="I275" s="87"/>
      <c r="J275" s="88"/>
      <c r="K275" s="88"/>
      <c r="L275" s="89"/>
      <c r="M275" s="89"/>
      <c r="N275" s="90"/>
      <c r="O275" s="87"/>
      <c r="P275" s="87"/>
      <c r="Q275" s="90"/>
      <c r="R275" s="91"/>
      <c r="S275" s="92"/>
      <c r="T275" s="93"/>
    </row>
    <row r="276" spans="1:20" s="94" customFormat="1" ht="12" customHeight="1" x14ac:dyDescent="0.3">
      <c r="A276" s="82"/>
      <c r="B276" s="83"/>
      <c r="C276" s="87"/>
      <c r="D276" s="84"/>
      <c r="E276" s="83"/>
      <c r="F276" s="82"/>
      <c r="G276" s="130"/>
      <c r="H276" s="86" t="e">
        <f>IF(I276="fora",0%,G276/QUÓRUM!$C$6)</f>
        <v>#DIV/0!</v>
      </c>
      <c r="I276" s="87"/>
      <c r="J276" s="88"/>
      <c r="K276" s="88"/>
      <c r="L276" s="89"/>
      <c r="M276" s="89"/>
      <c r="N276" s="90"/>
      <c r="O276" s="87"/>
      <c r="P276" s="87"/>
      <c r="Q276" s="90"/>
      <c r="R276" s="91"/>
      <c r="S276" s="92"/>
      <c r="T276" s="93"/>
    </row>
    <row r="277" spans="1:20" s="94" customFormat="1" ht="12" customHeight="1" x14ac:dyDescent="0.3">
      <c r="A277" s="82"/>
      <c r="B277" s="83"/>
      <c r="C277" s="87"/>
      <c r="D277" s="84"/>
      <c r="E277" s="83"/>
      <c r="F277" s="82"/>
      <c r="G277" s="130"/>
      <c r="H277" s="86" t="e">
        <f>IF(I277="fora",0%,G277/QUÓRUM!$C$6)</f>
        <v>#DIV/0!</v>
      </c>
      <c r="I277" s="87"/>
      <c r="J277" s="88"/>
      <c r="K277" s="88"/>
      <c r="L277" s="89"/>
      <c r="M277" s="89"/>
      <c r="N277" s="90"/>
      <c r="O277" s="87"/>
      <c r="P277" s="87"/>
      <c r="Q277" s="90"/>
      <c r="R277" s="91"/>
      <c r="S277" s="92"/>
      <c r="T277" s="93"/>
    </row>
    <row r="278" spans="1:20" s="94" customFormat="1" ht="12" customHeight="1" x14ac:dyDescent="0.3">
      <c r="A278" s="82"/>
      <c r="B278" s="83"/>
      <c r="C278" s="87"/>
      <c r="D278" s="84"/>
      <c r="E278" s="83"/>
      <c r="F278" s="82"/>
      <c r="G278" s="130"/>
      <c r="H278" s="86" t="e">
        <f>IF(I278="fora",0%,G278/QUÓRUM!$C$6)</f>
        <v>#DIV/0!</v>
      </c>
      <c r="I278" s="87"/>
      <c r="J278" s="88"/>
      <c r="K278" s="88"/>
      <c r="L278" s="89"/>
      <c r="M278" s="89"/>
      <c r="N278" s="90"/>
      <c r="O278" s="87"/>
      <c r="P278" s="87"/>
      <c r="Q278" s="90"/>
      <c r="R278" s="91"/>
      <c r="S278" s="92"/>
      <c r="T278" s="93"/>
    </row>
    <row r="279" spans="1:20" s="94" customFormat="1" ht="12" customHeight="1" x14ac:dyDescent="0.3">
      <c r="A279" s="82"/>
      <c r="B279" s="83"/>
      <c r="C279" s="87"/>
      <c r="D279" s="84"/>
      <c r="E279" s="83"/>
      <c r="F279" s="82"/>
      <c r="G279" s="130"/>
      <c r="H279" s="86" t="e">
        <f>IF(I279="fora",0%,G279/QUÓRUM!$C$6)</f>
        <v>#DIV/0!</v>
      </c>
      <c r="I279" s="87"/>
      <c r="J279" s="88"/>
      <c r="K279" s="88"/>
      <c r="L279" s="89"/>
      <c r="M279" s="89"/>
      <c r="N279" s="90"/>
      <c r="O279" s="87"/>
      <c r="P279" s="87"/>
      <c r="Q279" s="90"/>
      <c r="R279" s="91"/>
      <c r="S279" s="92"/>
      <c r="T279" s="93"/>
    </row>
    <row r="280" spans="1:20" s="94" customFormat="1" ht="12" customHeight="1" x14ac:dyDescent="0.3">
      <c r="A280" s="82"/>
      <c r="B280" s="83"/>
      <c r="C280" s="87"/>
      <c r="D280" s="84"/>
      <c r="E280" s="83"/>
      <c r="F280" s="82"/>
      <c r="G280" s="130"/>
      <c r="H280" s="86" t="e">
        <f>IF(I280="fora",0%,G280/QUÓRUM!$C$6)</f>
        <v>#DIV/0!</v>
      </c>
      <c r="I280" s="87"/>
      <c r="J280" s="88"/>
      <c r="K280" s="88"/>
      <c r="L280" s="89"/>
      <c r="M280" s="89"/>
      <c r="N280" s="90"/>
      <c r="O280" s="87"/>
      <c r="P280" s="87"/>
      <c r="Q280" s="90"/>
      <c r="R280" s="91"/>
      <c r="S280" s="92"/>
      <c r="T280" s="93"/>
    </row>
    <row r="281" spans="1:20" s="94" customFormat="1" ht="12" customHeight="1" x14ac:dyDescent="0.3">
      <c r="A281" s="82"/>
      <c r="B281" s="83"/>
      <c r="C281" s="87"/>
      <c r="D281" s="84"/>
      <c r="E281" s="83"/>
      <c r="F281" s="82"/>
      <c r="G281" s="130"/>
      <c r="H281" s="86" t="e">
        <f>IF(I281="fora",0%,G281/QUÓRUM!$C$6)</f>
        <v>#DIV/0!</v>
      </c>
      <c r="I281" s="87"/>
      <c r="J281" s="88"/>
      <c r="K281" s="88"/>
      <c r="L281" s="89"/>
      <c r="M281" s="89"/>
      <c r="N281" s="90"/>
      <c r="O281" s="87"/>
      <c r="P281" s="87"/>
      <c r="Q281" s="90"/>
      <c r="R281" s="91"/>
      <c r="S281" s="92"/>
      <c r="T281" s="93"/>
    </row>
    <row r="282" spans="1:20" s="94" customFormat="1" ht="12" customHeight="1" x14ac:dyDescent="0.3">
      <c r="A282" s="82"/>
      <c r="B282" s="83"/>
      <c r="C282" s="87"/>
      <c r="D282" s="84"/>
      <c r="E282" s="83"/>
      <c r="F282" s="82"/>
      <c r="G282" s="130"/>
      <c r="H282" s="86" t="e">
        <f>IF(I282="fora",0%,G282/QUÓRUM!$C$6)</f>
        <v>#DIV/0!</v>
      </c>
      <c r="I282" s="87"/>
      <c r="J282" s="88"/>
      <c r="K282" s="88"/>
      <c r="L282" s="89"/>
      <c r="M282" s="89"/>
      <c r="N282" s="90"/>
      <c r="O282" s="87"/>
      <c r="P282" s="87"/>
      <c r="Q282" s="90"/>
      <c r="R282" s="91"/>
      <c r="S282" s="92"/>
      <c r="T282" s="93"/>
    </row>
    <row r="283" spans="1:20" s="94" customFormat="1" ht="12" customHeight="1" x14ac:dyDescent="0.3">
      <c r="A283" s="82"/>
      <c r="B283" s="83"/>
      <c r="C283" s="87"/>
      <c r="D283" s="84"/>
      <c r="E283" s="83"/>
      <c r="F283" s="82"/>
      <c r="G283" s="130"/>
      <c r="H283" s="86" t="e">
        <f>IF(I283="fora",0%,G283/QUÓRUM!$C$6)</f>
        <v>#DIV/0!</v>
      </c>
      <c r="I283" s="87"/>
      <c r="J283" s="88"/>
      <c r="K283" s="88"/>
      <c r="L283" s="89"/>
      <c r="M283" s="89"/>
      <c r="N283" s="90"/>
      <c r="O283" s="87"/>
      <c r="P283" s="87"/>
      <c r="Q283" s="90"/>
      <c r="R283" s="91"/>
      <c r="S283" s="92"/>
      <c r="T283" s="93"/>
    </row>
    <row r="284" spans="1:20" s="94" customFormat="1" ht="12" customHeight="1" x14ac:dyDescent="0.3">
      <c r="A284" s="82"/>
      <c r="B284" s="83"/>
      <c r="C284" s="87"/>
      <c r="D284" s="84"/>
      <c r="E284" s="83"/>
      <c r="F284" s="82"/>
      <c r="G284" s="130"/>
      <c r="H284" s="86" t="e">
        <f>IF(I284="fora",0%,G284/QUÓRUM!$C$6)</f>
        <v>#DIV/0!</v>
      </c>
      <c r="I284" s="87"/>
      <c r="J284" s="88"/>
      <c r="K284" s="88"/>
      <c r="L284" s="89"/>
      <c r="M284" s="89"/>
      <c r="N284" s="90"/>
      <c r="O284" s="87"/>
      <c r="P284" s="87"/>
      <c r="Q284" s="90"/>
      <c r="R284" s="91"/>
      <c r="S284" s="92"/>
      <c r="T284" s="93"/>
    </row>
    <row r="285" spans="1:20" s="94" customFormat="1" ht="12" customHeight="1" x14ac:dyDescent="0.3">
      <c r="A285" s="82"/>
      <c r="B285" s="83"/>
      <c r="C285" s="87"/>
      <c r="D285" s="84"/>
      <c r="E285" s="83"/>
      <c r="F285" s="82"/>
      <c r="G285" s="130"/>
      <c r="H285" s="86" t="e">
        <f>IF(I285="fora",0%,G285/QUÓRUM!$C$6)</f>
        <v>#DIV/0!</v>
      </c>
      <c r="I285" s="87"/>
      <c r="J285" s="88"/>
      <c r="K285" s="88"/>
      <c r="L285" s="89"/>
      <c r="M285" s="89"/>
      <c r="N285" s="90"/>
      <c r="O285" s="87"/>
      <c r="P285" s="87"/>
      <c r="Q285" s="90"/>
      <c r="R285" s="91"/>
      <c r="S285" s="92"/>
      <c r="T285" s="93"/>
    </row>
    <row r="286" spans="1:20" s="94" customFormat="1" ht="12" customHeight="1" x14ac:dyDescent="0.3">
      <c r="A286" s="82"/>
      <c r="B286" s="83"/>
      <c r="C286" s="87"/>
      <c r="D286" s="84"/>
      <c r="E286" s="83"/>
      <c r="F286" s="82"/>
      <c r="G286" s="130"/>
      <c r="H286" s="86" t="e">
        <f>IF(I286="fora",0%,G286/QUÓRUM!$C$6)</f>
        <v>#DIV/0!</v>
      </c>
      <c r="I286" s="87"/>
      <c r="J286" s="88"/>
      <c r="K286" s="88"/>
      <c r="L286" s="89"/>
      <c r="M286" s="89"/>
      <c r="N286" s="90"/>
      <c r="O286" s="87"/>
      <c r="P286" s="87"/>
      <c r="Q286" s="90"/>
      <c r="R286" s="91"/>
      <c r="S286" s="92"/>
      <c r="T286" s="93"/>
    </row>
    <row r="287" spans="1:20" s="94" customFormat="1" ht="12" customHeight="1" x14ac:dyDescent="0.3">
      <c r="A287" s="82"/>
      <c r="B287" s="83"/>
      <c r="C287" s="87"/>
      <c r="D287" s="84"/>
      <c r="E287" s="83"/>
      <c r="F287" s="82"/>
      <c r="G287" s="130"/>
      <c r="H287" s="86" t="e">
        <f>IF(I287="fora",0%,G287/QUÓRUM!$C$6)</f>
        <v>#DIV/0!</v>
      </c>
      <c r="I287" s="87"/>
      <c r="J287" s="88"/>
      <c r="K287" s="88"/>
      <c r="L287" s="89"/>
      <c r="M287" s="89"/>
      <c r="N287" s="90"/>
      <c r="O287" s="87"/>
      <c r="P287" s="87"/>
      <c r="Q287" s="90"/>
      <c r="R287" s="91"/>
      <c r="S287" s="92"/>
      <c r="T287" s="93"/>
    </row>
    <row r="288" spans="1:20" s="94" customFormat="1" ht="12" customHeight="1" x14ac:dyDescent="0.3">
      <c r="A288" s="82"/>
      <c r="B288" s="83"/>
      <c r="C288" s="87"/>
      <c r="D288" s="84"/>
      <c r="E288" s="83"/>
      <c r="F288" s="82"/>
      <c r="G288" s="130"/>
      <c r="H288" s="86" t="e">
        <f>IF(I288="fora",0%,G288/QUÓRUM!$C$6)</f>
        <v>#DIV/0!</v>
      </c>
      <c r="I288" s="87"/>
      <c r="J288" s="88"/>
      <c r="K288" s="88"/>
      <c r="L288" s="89"/>
      <c r="M288" s="89"/>
      <c r="N288" s="90"/>
      <c r="O288" s="87"/>
      <c r="P288" s="87"/>
      <c r="Q288" s="90"/>
      <c r="R288" s="91"/>
      <c r="S288" s="92"/>
      <c r="T288" s="93"/>
    </row>
    <row r="289" spans="1:20" s="94" customFormat="1" ht="12" customHeight="1" x14ac:dyDescent="0.3">
      <c r="A289" s="82"/>
      <c r="B289" s="83"/>
      <c r="C289" s="87"/>
      <c r="D289" s="84"/>
      <c r="E289" s="83"/>
      <c r="F289" s="82"/>
      <c r="G289" s="130"/>
      <c r="H289" s="86" t="e">
        <f>IF(I289="fora",0%,G289/QUÓRUM!$C$6)</f>
        <v>#DIV/0!</v>
      </c>
      <c r="I289" s="87"/>
      <c r="J289" s="88"/>
      <c r="K289" s="88"/>
      <c r="L289" s="89"/>
      <c r="M289" s="89"/>
      <c r="N289" s="90"/>
      <c r="O289" s="87"/>
      <c r="P289" s="87"/>
      <c r="Q289" s="90"/>
      <c r="R289" s="91"/>
      <c r="S289" s="92"/>
      <c r="T289" s="93"/>
    </row>
    <row r="290" spans="1:20" s="94" customFormat="1" ht="12" customHeight="1" x14ac:dyDescent="0.3">
      <c r="A290" s="82"/>
      <c r="B290" s="83"/>
      <c r="C290" s="87"/>
      <c r="D290" s="84"/>
      <c r="E290" s="83"/>
      <c r="F290" s="82"/>
      <c r="G290" s="130"/>
      <c r="H290" s="86" t="e">
        <f>IF(I290="fora",0%,G290/QUÓRUM!$C$6)</f>
        <v>#DIV/0!</v>
      </c>
      <c r="I290" s="87"/>
      <c r="J290" s="88"/>
      <c r="K290" s="88"/>
      <c r="L290" s="89"/>
      <c r="M290" s="89"/>
      <c r="N290" s="90"/>
      <c r="O290" s="87"/>
      <c r="P290" s="87"/>
      <c r="Q290" s="90"/>
      <c r="R290" s="91"/>
      <c r="S290" s="92"/>
      <c r="T290" s="93"/>
    </row>
    <row r="291" spans="1:20" s="94" customFormat="1" ht="12" customHeight="1" x14ac:dyDescent="0.3">
      <c r="A291" s="82"/>
      <c r="B291" s="83"/>
      <c r="C291" s="87"/>
      <c r="D291" s="84"/>
      <c r="E291" s="83"/>
      <c r="F291" s="82"/>
      <c r="G291" s="130"/>
      <c r="H291" s="86" t="e">
        <f>IF(I291="fora",0%,G291/QUÓRUM!$C$6)</f>
        <v>#DIV/0!</v>
      </c>
      <c r="I291" s="87"/>
      <c r="J291" s="88"/>
      <c r="K291" s="88"/>
      <c r="L291" s="89"/>
      <c r="M291" s="89"/>
      <c r="N291" s="90"/>
      <c r="O291" s="87"/>
      <c r="P291" s="87"/>
      <c r="Q291" s="90"/>
      <c r="R291" s="91"/>
      <c r="S291" s="92"/>
      <c r="T291" s="93"/>
    </row>
    <row r="292" spans="1:20" s="94" customFormat="1" ht="12" customHeight="1" x14ac:dyDescent="0.3">
      <c r="A292" s="82"/>
      <c r="B292" s="83"/>
      <c r="C292" s="87"/>
      <c r="D292" s="84"/>
      <c r="E292" s="83"/>
      <c r="F292" s="82"/>
      <c r="G292" s="130"/>
      <c r="H292" s="86" t="e">
        <f>IF(I292="fora",0%,G292/QUÓRUM!$C$6)</f>
        <v>#DIV/0!</v>
      </c>
      <c r="I292" s="87"/>
      <c r="J292" s="88"/>
      <c r="K292" s="88"/>
      <c r="L292" s="89"/>
      <c r="M292" s="89"/>
      <c r="N292" s="90"/>
      <c r="O292" s="87"/>
      <c r="P292" s="87"/>
      <c r="Q292" s="90"/>
      <c r="R292" s="91"/>
      <c r="S292" s="92"/>
      <c r="T292" s="93"/>
    </row>
    <row r="293" spans="1:20" s="94" customFormat="1" ht="12" customHeight="1" x14ac:dyDescent="0.3">
      <c r="A293" s="82"/>
      <c r="B293" s="83"/>
      <c r="C293" s="87"/>
      <c r="D293" s="84"/>
      <c r="E293" s="83"/>
      <c r="F293" s="82"/>
      <c r="G293" s="130"/>
      <c r="H293" s="86" t="e">
        <f>IF(I293="fora",0%,G293/QUÓRUM!$C$6)</f>
        <v>#DIV/0!</v>
      </c>
      <c r="I293" s="87"/>
      <c r="J293" s="88"/>
      <c r="K293" s="88"/>
      <c r="L293" s="89"/>
      <c r="M293" s="89"/>
      <c r="N293" s="90"/>
      <c r="O293" s="87"/>
      <c r="P293" s="87"/>
      <c r="Q293" s="90"/>
      <c r="R293" s="91"/>
      <c r="S293" s="92"/>
      <c r="T293" s="93"/>
    </row>
    <row r="294" spans="1:20" s="94" customFormat="1" ht="12" customHeight="1" x14ac:dyDescent="0.3">
      <c r="A294" s="82"/>
      <c r="B294" s="83"/>
      <c r="C294" s="87"/>
      <c r="D294" s="84"/>
      <c r="E294" s="83"/>
      <c r="F294" s="82"/>
      <c r="G294" s="130"/>
      <c r="H294" s="86" t="e">
        <f>IF(I294="fora",0%,G294/QUÓRUM!$C$6)</f>
        <v>#DIV/0!</v>
      </c>
      <c r="I294" s="87"/>
      <c r="J294" s="88"/>
      <c r="K294" s="88"/>
      <c r="L294" s="89"/>
      <c r="M294" s="89"/>
      <c r="N294" s="90"/>
      <c r="O294" s="87"/>
      <c r="P294" s="87"/>
      <c r="Q294" s="90"/>
      <c r="R294" s="91"/>
      <c r="S294" s="92"/>
      <c r="T294" s="93"/>
    </row>
    <row r="295" spans="1:20" s="94" customFormat="1" ht="12" customHeight="1" x14ac:dyDescent="0.3">
      <c r="A295" s="82"/>
      <c r="B295" s="83"/>
      <c r="C295" s="87"/>
      <c r="D295" s="84"/>
      <c r="E295" s="83"/>
      <c r="F295" s="82"/>
      <c r="G295" s="130"/>
      <c r="H295" s="86" t="e">
        <f>IF(I295="fora",0%,G295/QUÓRUM!$C$6)</f>
        <v>#DIV/0!</v>
      </c>
      <c r="I295" s="87"/>
      <c r="J295" s="88"/>
      <c r="K295" s="88"/>
      <c r="L295" s="89"/>
      <c r="M295" s="89"/>
      <c r="N295" s="90"/>
      <c r="O295" s="87"/>
      <c r="P295" s="87"/>
      <c r="Q295" s="90"/>
      <c r="R295" s="91"/>
      <c r="S295" s="92"/>
      <c r="T295" s="93"/>
    </row>
    <row r="296" spans="1:20" s="94" customFormat="1" ht="12" customHeight="1" x14ac:dyDescent="0.3">
      <c r="A296" s="82"/>
      <c r="B296" s="83"/>
      <c r="C296" s="87"/>
      <c r="D296" s="84"/>
      <c r="E296" s="83"/>
      <c r="F296" s="82"/>
      <c r="G296" s="130"/>
      <c r="H296" s="86" t="e">
        <f>IF(I296="fora",0%,G296/QUÓRUM!$C$6)</f>
        <v>#DIV/0!</v>
      </c>
      <c r="I296" s="87"/>
      <c r="J296" s="88"/>
      <c r="K296" s="88"/>
      <c r="L296" s="89"/>
      <c r="M296" s="89"/>
      <c r="N296" s="90"/>
      <c r="O296" s="87"/>
      <c r="P296" s="87"/>
      <c r="Q296" s="90"/>
      <c r="R296" s="91"/>
      <c r="S296" s="92"/>
      <c r="T296" s="93"/>
    </row>
    <row r="297" spans="1:20" s="94" customFormat="1" ht="12" customHeight="1" x14ac:dyDescent="0.3">
      <c r="A297" s="82"/>
      <c r="B297" s="83"/>
      <c r="C297" s="87"/>
      <c r="D297" s="84"/>
      <c r="E297" s="83"/>
      <c r="F297" s="82"/>
      <c r="G297" s="130"/>
      <c r="H297" s="86" t="e">
        <f>IF(I297="fora",0%,G297/QUÓRUM!$C$6)</f>
        <v>#DIV/0!</v>
      </c>
      <c r="I297" s="87"/>
      <c r="J297" s="88"/>
      <c r="K297" s="88"/>
      <c r="L297" s="89"/>
      <c r="M297" s="89"/>
      <c r="N297" s="90"/>
      <c r="O297" s="87"/>
      <c r="P297" s="87"/>
      <c r="Q297" s="90"/>
      <c r="R297" s="91"/>
      <c r="S297" s="92"/>
      <c r="T297" s="93"/>
    </row>
    <row r="298" spans="1:20" s="94" customFormat="1" ht="12" customHeight="1" x14ac:dyDescent="0.3">
      <c r="A298" s="82"/>
      <c r="B298" s="83"/>
      <c r="C298" s="87"/>
      <c r="D298" s="84"/>
      <c r="E298" s="83"/>
      <c r="F298" s="82"/>
      <c r="G298" s="130"/>
      <c r="H298" s="86" t="e">
        <f>IF(I298="fora",0%,G298/QUÓRUM!$C$6)</f>
        <v>#DIV/0!</v>
      </c>
      <c r="I298" s="87"/>
      <c r="J298" s="88"/>
      <c r="K298" s="88"/>
      <c r="L298" s="89"/>
      <c r="M298" s="89"/>
      <c r="N298" s="90"/>
      <c r="O298" s="87"/>
      <c r="P298" s="87"/>
      <c r="Q298" s="90"/>
      <c r="R298" s="91"/>
      <c r="S298" s="92"/>
      <c r="T298" s="93"/>
    </row>
    <row r="299" spans="1:20" s="94" customFormat="1" ht="12" customHeight="1" x14ac:dyDescent="0.3">
      <c r="A299" s="82"/>
      <c r="B299" s="83"/>
      <c r="C299" s="87"/>
      <c r="D299" s="84"/>
      <c r="E299" s="83"/>
      <c r="F299" s="82"/>
      <c r="G299" s="130"/>
      <c r="H299" s="86" t="e">
        <f>IF(I299="fora",0%,G299/QUÓRUM!$C$6)</f>
        <v>#DIV/0!</v>
      </c>
      <c r="I299" s="87"/>
      <c r="J299" s="88"/>
      <c r="K299" s="88"/>
      <c r="L299" s="89"/>
      <c r="M299" s="89"/>
      <c r="N299" s="90"/>
      <c r="O299" s="87"/>
      <c r="P299" s="87"/>
      <c r="Q299" s="90"/>
      <c r="R299" s="91"/>
      <c r="S299" s="92"/>
      <c r="T299" s="93"/>
    </row>
    <row r="300" spans="1:20" s="94" customFormat="1" ht="12" customHeight="1" x14ac:dyDescent="0.3">
      <c r="A300" s="82"/>
      <c r="B300" s="83"/>
      <c r="C300" s="87"/>
      <c r="D300" s="84"/>
      <c r="E300" s="83"/>
      <c r="F300" s="82"/>
      <c r="G300" s="130"/>
      <c r="H300" s="86" t="e">
        <f>IF(I300="fora",0%,G300/QUÓRUM!$C$6)</f>
        <v>#DIV/0!</v>
      </c>
      <c r="I300" s="87"/>
      <c r="J300" s="88"/>
      <c r="K300" s="88"/>
      <c r="L300" s="89"/>
      <c r="M300" s="89"/>
      <c r="N300" s="90"/>
      <c r="O300" s="87"/>
      <c r="P300" s="87"/>
      <c r="Q300" s="90"/>
      <c r="R300" s="91"/>
      <c r="S300" s="92"/>
      <c r="T300" s="93"/>
    </row>
    <row r="301" spans="1:20" s="94" customFormat="1" ht="12" customHeight="1" x14ac:dyDescent="0.3">
      <c r="A301" s="82"/>
      <c r="B301" s="83"/>
      <c r="C301" s="87"/>
      <c r="D301" s="84"/>
      <c r="E301" s="83"/>
      <c r="F301" s="82"/>
      <c r="G301" s="130"/>
      <c r="H301" s="86" t="e">
        <f>IF(I301="fora",0%,G301/QUÓRUM!$C$6)</f>
        <v>#DIV/0!</v>
      </c>
      <c r="I301" s="87"/>
      <c r="J301" s="88"/>
      <c r="K301" s="88"/>
      <c r="L301" s="89"/>
      <c r="M301" s="89"/>
      <c r="N301" s="90"/>
      <c r="O301" s="87"/>
      <c r="P301" s="87"/>
      <c r="Q301" s="90"/>
      <c r="R301" s="91"/>
      <c r="S301" s="92"/>
      <c r="T301" s="93"/>
    </row>
    <row r="302" spans="1:20" s="94" customFormat="1" ht="12" customHeight="1" x14ac:dyDescent="0.3">
      <c r="A302" s="82"/>
      <c r="B302" s="83"/>
      <c r="C302" s="87"/>
      <c r="D302" s="84"/>
      <c r="E302" s="83"/>
      <c r="F302" s="82"/>
      <c r="G302" s="130"/>
      <c r="H302" s="86" t="e">
        <f>IF(I302="fora",0%,G302/QUÓRUM!$C$6)</f>
        <v>#DIV/0!</v>
      </c>
      <c r="I302" s="87"/>
      <c r="J302" s="88"/>
      <c r="K302" s="88"/>
      <c r="L302" s="89"/>
      <c r="M302" s="89"/>
      <c r="N302" s="90"/>
      <c r="O302" s="87"/>
      <c r="P302" s="87"/>
      <c r="Q302" s="90"/>
      <c r="R302" s="91"/>
      <c r="S302" s="92"/>
      <c r="T302" s="93"/>
    </row>
    <row r="303" spans="1:20" s="94" customFormat="1" ht="12" customHeight="1" x14ac:dyDescent="0.3">
      <c r="A303" s="82"/>
      <c r="B303" s="83"/>
      <c r="C303" s="87"/>
      <c r="D303" s="84"/>
      <c r="E303" s="83"/>
      <c r="F303" s="82"/>
      <c r="G303" s="130"/>
      <c r="H303" s="86" t="e">
        <f>IF(I303="fora",0%,G303/QUÓRUM!$C$6)</f>
        <v>#DIV/0!</v>
      </c>
      <c r="I303" s="87"/>
      <c r="J303" s="88"/>
      <c r="K303" s="88"/>
      <c r="L303" s="89"/>
      <c r="M303" s="89"/>
      <c r="N303" s="90"/>
      <c r="O303" s="87"/>
      <c r="P303" s="87"/>
      <c r="Q303" s="90"/>
      <c r="R303" s="91"/>
      <c r="S303" s="92"/>
      <c r="T303" s="93"/>
    </row>
    <row r="304" spans="1:20" s="94" customFormat="1" ht="12" customHeight="1" x14ac:dyDescent="0.3">
      <c r="A304" s="82"/>
      <c r="B304" s="83"/>
      <c r="C304" s="87"/>
      <c r="D304" s="84"/>
      <c r="E304" s="83"/>
      <c r="F304" s="82"/>
      <c r="G304" s="130"/>
      <c r="H304" s="86" t="e">
        <f>IF(I304="fora",0%,G304/QUÓRUM!$C$6)</f>
        <v>#DIV/0!</v>
      </c>
      <c r="I304" s="87"/>
      <c r="J304" s="88"/>
      <c r="K304" s="88"/>
      <c r="L304" s="89"/>
      <c r="M304" s="89"/>
      <c r="N304" s="90"/>
      <c r="O304" s="87"/>
      <c r="P304" s="87"/>
      <c r="Q304" s="90"/>
      <c r="R304" s="91"/>
      <c r="S304" s="92"/>
      <c r="T304" s="93"/>
    </row>
    <row r="305" spans="1:20" s="94" customFormat="1" ht="12" customHeight="1" x14ac:dyDescent="0.3">
      <c r="A305" s="82"/>
      <c r="B305" s="83"/>
      <c r="C305" s="87"/>
      <c r="D305" s="84"/>
      <c r="E305" s="83"/>
      <c r="F305" s="82"/>
      <c r="G305" s="130"/>
      <c r="H305" s="86" t="e">
        <f>IF(I305="fora",0%,G305/QUÓRUM!$C$6)</f>
        <v>#DIV/0!</v>
      </c>
      <c r="I305" s="87"/>
      <c r="J305" s="88"/>
      <c r="K305" s="88"/>
      <c r="L305" s="89"/>
      <c r="M305" s="89"/>
      <c r="N305" s="90"/>
      <c r="O305" s="87"/>
      <c r="P305" s="87"/>
      <c r="Q305" s="90"/>
      <c r="R305" s="91"/>
      <c r="S305" s="92"/>
      <c r="T305" s="93"/>
    </row>
    <row r="306" spans="1:20" s="94" customFormat="1" ht="12" customHeight="1" x14ac:dyDescent="0.3">
      <c r="A306" s="82"/>
      <c r="B306" s="83"/>
      <c r="C306" s="87"/>
      <c r="D306" s="84"/>
      <c r="E306" s="83"/>
      <c r="F306" s="82"/>
      <c r="G306" s="130"/>
      <c r="H306" s="86" t="e">
        <f>IF(I306="fora",0%,G306/QUÓRUM!$C$6)</f>
        <v>#DIV/0!</v>
      </c>
      <c r="I306" s="87"/>
      <c r="J306" s="88"/>
      <c r="K306" s="88"/>
      <c r="L306" s="89"/>
      <c r="M306" s="89"/>
      <c r="N306" s="90"/>
      <c r="O306" s="87"/>
      <c r="P306" s="87"/>
      <c r="Q306" s="90"/>
      <c r="R306" s="91"/>
      <c r="S306" s="92"/>
      <c r="T306" s="93"/>
    </row>
    <row r="307" spans="1:20" s="94" customFormat="1" ht="12" customHeight="1" x14ac:dyDescent="0.3">
      <c r="A307" s="82"/>
      <c r="B307" s="83"/>
      <c r="C307" s="87"/>
      <c r="D307" s="84"/>
      <c r="E307" s="83"/>
      <c r="F307" s="82"/>
      <c r="G307" s="130"/>
      <c r="H307" s="86" t="e">
        <f>IF(I307="fora",0%,G307/QUÓRUM!$C$6)</f>
        <v>#DIV/0!</v>
      </c>
      <c r="I307" s="87"/>
      <c r="J307" s="88"/>
      <c r="K307" s="88"/>
      <c r="L307" s="89"/>
      <c r="M307" s="89"/>
      <c r="N307" s="90"/>
      <c r="O307" s="87"/>
      <c r="P307" s="87"/>
      <c r="Q307" s="90"/>
      <c r="R307" s="91"/>
      <c r="S307" s="92"/>
      <c r="T307" s="93"/>
    </row>
    <row r="308" spans="1:20" s="94" customFormat="1" ht="12" customHeight="1" x14ac:dyDescent="0.3">
      <c r="A308" s="82"/>
      <c r="B308" s="83"/>
      <c r="C308" s="87"/>
      <c r="D308" s="84"/>
      <c r="E308" s="83"/>
      <c r="F308" s="82"/>
      <c r="G308" s="130"/>
      <c r="H308" s="86" t="e">
        <f>IF(I308="fora",0%,G308/QUÓRUM!$C$6)</f>
        <v>#DIV/0!</v>
      </c>
      <c r="I308" s="87"/>
      <c r="J308" s="88"/>
      <c r="K308" s="88"/>
      <c r="L308" s="89"/>
      <c r="M308" s="89"/>
      <c r="N308" s="90"/>
      <c r="O308" s="87"/>
      <c r="P308" s="87"/>
      <c r="Q308" s="90"/>
      <c r="R308" s="91"/>
      <c r="S308" s="92"/>
      <c r="T308" s="93"/>
    </row>
    <row r="309" spans="1:20" s="94" customFormat="1" ht="12" customHeight="1" x14ac:dyDescent="0.3">
      <c r="A309" s="82"/>
      <c r="B309" s="83"/>
      <c r="C309" s="87"/>
      <c r="D309" s="84"/>
      <c r="E309" s="83"/>
      <c r="F309" s="82"/>
      <c r="G309" s="130"/>
      <c r="H309" s="86" t="e">
        <f>IF(I309="fora",0%,G309/QUÓRUM!$C$6)</f>
        <v>#DIV/0!</v>
      </c>
      <c r="I309" s="87"/>
      <c r="J309" s="88"/>
      <c r="K309" s="88"/>
      <c r="L309" s="89"/>
      <c r="M309" s="89"/>
      <c r="N309" s="90"/>
      <c r="O309" s="87"/>
      <c r="P309" s="87"/>
      <c r="Q309" s="90"/>
      <c r="R309" s="91"/>
      <c r="S309" s="92"/>
      <c r="T309" s="93"/>
    </row>
    <row r="310" spans="1:20" s="94" customFormat="1" ht="12" customHeight="1" x14ac:dyDescent="0.3">
      <c r="A310" s="82"/>
      <c r="B310" s="83"/>
      <c r="C310" s="87"/>
      <c r="D310" s="84"/>
      <c r="E310" s="83"/>
      <c r="F310" s="82"/>
      <c r="G310" s="130"/>
      <c r="H310" s="86" t="e">
        <f>IF(I310="fora",0%,G310/QUÓRUM!$C$6)</f>
        <v>#DIV/0!</v>
      </c>
      <c r="I310" s="87"/>
      <c r="J310" s="88"/>
      <c r="K310" s="88"/>
      <c r="L310" s="89"/>
      <c r="M310" s="89"/>
      <c r="N310" s="90"/>
      <c r="O310" s="87"/>
      <c r="P310" s="87"/>
      <c r="Q310" s="90"/>
      <c r="R310" s="91"/>
      <c r="S310" s="92"/>
      <c r="T310" s="93"/>
    </row>
    <row r="311" spans="1:20" s="94" customFormat="1" ht="12" customHeight="1" x14ac:dyDescent="0.3">
      <c r="A311" s="82"/>
      <c r="B311" s="83"/>
      <c r="C311" s="87"/>
      <c r="D311" s="84"/>
      <c r="E311" s="83"/>
      <c r="F311" s="82"/>
      <c r="G311" s="130"/>
      <c r="H311" s="86" t="e">
        <f>IF(I311="fora",0%,G311/QUÓRUM!$C$6)</f>
        <v>#DIV/0!</v>
      </c>
      <c r="I311" s="87"/>
      <c r="J311" s="88"/>
      <c r="K311" s="88"/>
      <c r="L311" s="89"/>
      <c r="M311" s="89"/>
      <c r="N311" s="90"/>
      <c r="O311" s="87"/>
      <c r="P311" s="87"/>
      <c r="Q311" s="90"/>
      <c r="R311" s="91"/>
      <c r="S311" s="92"/>
      <c r="T311" s="93"/>
    </row>
    <row r="312" spans="1:20" s="94" customFormat="1" ht="12" customHeight="1" x14ac:dyDescent="0.3">
      <c r="A312" s="82"/>
      <c r="B312" s="83"/>
      <c r="C312" s="87"/>
      <c r="D312" s="84"/>
      <c r="E312" s="83"/>
      <c r="F312" s="82"/>
      <c r="G312" s="130"/>
      <c r="H312" s="86" t="e">
        <f>IF(I312="fora",0%,G312/QUÓRUM!$C$6)</f>
        <v>#DIV/0!</v>
      </c>
      <c r="I312" s="87"/>
      <c r="J312" s="88"/>
      <c r="K312" s="88"/>
      <c r="L312" s="89"/>
      <c r="M312" s="89"/>
      <c r="N312" s="90"/>
      <c r="O312" s="87"/>
      <c r="P312" s="87"/>
      <c r="Q312" s="90"/>
      <c r="R312" s="91"/>
      <c r="S312" s="92"/>
      <c r="T312" s="93"/>
    </row>
    <row r="313" spans="1:20" s="94" customFormat="1" ht="12" customHeight="1" x14ac:dyDescent="0.3">
      <c r="A313" s="82"/>
      <c r="B313" s="83"/>
      <c r="C313" s="87"/>
      <c r="D313" s="84"/>
      <c r="E313" s="83"/>
      <c r="F313" s="82"/>
      <c r="G313" s="130"/>
      <c r="H313" s="86" t="e">
        <f>IF(I313="fora",0%,G313/QUÓRUM!$C$6)</f>
        <v>#DIV/0!</v>
      </c>
      <c r="I313" s="87"/>
      <c r="J313" s="88"/>
      <c r="K313" s="88"/>
      <c r="L313" s="89"/>
      <c r="M313" s="89"/>
      <c r="N313" s="90"/>
      <c r="O313" s="87"/>
      <c r="P313" s="87"/>
      <c r="Q313" s="90"/>
      <c r="R313" s="91"/>
      <c r="S313" s="92"/>
      <c r="T313" s="93"/>
    </row>
    <row r="314" spans="1:20" s="94" customFormat="1" ht="12" customHeight="1" x14ac:dyDescent="0.3">
      <c r="A314" s="82"/>
      <c r="B314" s="83"/>
      <c r="C314" s="87"/>
      <c r="D314" s="84"/>
      <c r="E314" s="83"/>
      <c r="F314" s="82"/>
      <c r="G314" s="130"/>
      <c r="H314" s="86" t="e">
        <f>IF(I314="fora",0%,G314/QUÓRUM!$C$6)</f>
        <v>#DIV/0!</v>
      </c>
      <c r="I314" s="87"/>
      <c r="J314" s="88"/>
      <c r="K314" s="88"/>
      <c r="L314" s="89"/>
      <c r="M314" s="89"/>
      <c r="N314" s="90"/>
      <c r="O314" s="87"/>
      <c r="P314" s="87"/>
      <c r="Q314" s="90"/>
      <c r="R314" s="91"/>
      <c r="S314" s="92"/>
      <c r="T314" s="93"/>
    </row>
    <row r="315" spans="1:20" s="94" customFormat="1" ht="12" customHeight="1" x14ac:dyDescent="0.3">
      <c r="A315" s="82"/>
      <c r="B315" s="83"/>
      <c r="C315" s="87"/>
      <c r="D315" s="84"/>
      <c r="E315" s="83"/>
      <c r="F315" s="82"/>
      <c r="G315" s="130"/>
      <c r="H315" s="86" t="e">
        <f>IF(I315="fora",0%,G315/QUÓRUM!$C$6)</f>
        <v>#DIV/0!</v>
      </c>
      <c r="I315" s="87"/>
      <c r="J315" s="88"/>
      <c r="K315" s="88"/>
      <c r="L315" s="89"/>
      <c r="M315" s="89"/>
      <c r="N315" s="90"/>
      <c r="O315" s="87"/>
      <c r="P315" s="87"/>
      <c r="Q315" s="90"/>
      <c r="R315" s="91"/>
      <c r="S315" s="92"/>
      <c r="T315" s="93"/>
    </row>
    <row r="316" spans="1:20" s="94" customFormat="1" ht="12" customHeight="1" x14ac:dyDescent="0.3">
      <c r="A316" s="82"/>
      <c r="B316" s="83"/>
      <c r="C316" s="87"/>
      <c r="D316" s="84"/>
      <c r="E316" s="83"/>
      <c r="F316" s="82"/>
      <c r="G316" s="130"/>
      <c r="H316" s="86" t="e">
        <f>IF(I316="fora",0%,G316/QUÓRUM!$C$6)</f>
        <v>#DIV/0!</v>
      </c>
      <c r="I316" s="87"/>
      <c r="J316" s="88"/>
      <c r="K316" s="88"/>
      <c r="L316" s="89"/>
      <c r="M316" s="89"/>
      <c r="N316" s="90"/>
      <c r="O316" s="87"/>
      <c r="P316" s="87"/>
      <c r="Q316" s="90"/>
      <c r="R316" s="91"/>
      <c r="S316" s="92"/>
      <c r="T316" s="93"/>
    </row>
    <row r="317" spans="1:20" s="94" customFormat="1" ht="12" customHeight="1" x14ac:dyDescent="0.3">
      <c r="A317" s="82"/>
      <c r="B317" s="83"/>
      <c r="C317" s="87"/>
      <c r="D317" s="84"/>
      <c r="E317" s="83"/>
      <c r="F317" s="82"/>
      <c r="G317" s="130"/>
      <c r="H317" s="86" t="e">
        <f>IF(I317="fora",0%,G317/QUÓRUM!$C$6)</f>
        <v>#DIV/0!</v>
      </c>
      <c r="I317" s="87"/>
      <c r="J317" s="88"/>
      <c r="K317" s="88"/>
      <c r="L317" s="89"/>
      <c r="M317" s="89"/>
      <c r="N317" s="90"/>
      <c r="O317" s="87"/>
      <c r="P317" s="87"/>
      <c r="Q317" s="90"/>
      <c r="R317" s="91"/>
      <c r="S317" s="92"/>
      <c r="T317" s="93"/>
    </row>
    <row r="318" spans="1:20" s="94" customFormat="1" ht="12" customHeight="1" x14ac:dyDescent="0.3">
      <c r="A318" s="82"/>
      <c r="B318" s="83"/>
      <c r="C318" s="87"/>
      <c r="D318" s="84"/>
      <c r="E318" s="83"/>
      <c r="F318" s="82"/>
      <c r="G318" s="130"/>
      <c r="H318" s="86" t="e">
        <f>IF(I318="fora",0%,G318/QUÓRUM!$C$6)</f>
        <v>#DIV/0!</v>
      </c>
      <c r="I318" s="87"/>
      <c r="J318" s="88"/>
      <c r="K318" s="88"/>
      <c r="L318" s="89"/>
      <c r="M318" s="89"/>
      <c r="N318" s="90"/>
      <c r="O318" s="87"/>
      <c r="P318" s="87"/>
      <c r="Q318" s="90"/>
      <c r="R318" s="91"/>
      <c r="S318" s="92"/>
      <c r="T318" s="93"/>
    </row>
    <row r="319" spans="1:20" s="94" customFormat="1" ht="12" customHeight="1" x14ac:dyDescent="0.3">
      <c r="A319" s="82"/>
      <c r="B319" s="83"/>
      <c r="C319" s="87"/>
      <c r="D319" s="84"/>
      <c r="E319" s="83"/>
      <c r="F319" s="82"/>
      <c r="G319" s="130"/>
      <c r="H319" s="86" t="e">
        <f>IF(I319="fora",0%,G319/QUÓRUM!$C$6)</f>
        <v>#DIV/0!</v>
      </c>
      <c r="I319" s="87"/>
      <c r="J319" s="88"/>
      <c r="K319" s="88"/>
      <c r="L319" s="89"/>
      <c r="M319" s="89"/>
      <c r="N319" s="90"/>
      <c r="O319" s="87"/>
      <c r="P319" s="87"/>
      <c r="Q319" s="90"/>
      <c r="R319" s="91"/>
      <c r="S319" s="92"/>
      <c r="T319" s="93"/>
    </row>
    <row r="320" spans="1:20" s="94" customFormat="1" ht="12" customHeight="1" x14ac:dyDescent="0.3">
      <c r="A320" s="82"/>
      <c r="B320" s="83"/>
      <c r="C320" s="87"/>
      <c r="D320" s="84"/>
      <c r="E320" s="83"/>
      <c r="F320" s="82"/>
      <c r="G320" s="130"/>
      <c r="H320" s="86" t="e">
        <f>IF(I320="fora",0%,G320/QUÓRUM!$C$6)</f>
        <v>#DIV/0!</v>
      </c>
      <c r="I320" s="87"/>
      <c r="J320" s="88"/>
      <c r="K320" s="88"/>
      <c r="L320" s="89"/>
      <c r="M320" s="89"/>
      <c r="N320" s="90"/>
      <c r="O320" s="87"/>
      <c r="P320" s="87"/>
      <c r="Q320" s="90"/>
      <c r="R320" s="91"/>
      <c r="S320" s="92"/>
      <c r="T320" s="93"/>
    </row>
    <row r="321" spans="1:20" s="94" customFormat="1" ht="12" customHeight="1" x14ac:dyDescent="0.3">
      <c r="A321" s="82"/>
      <c r="B321" s="83"/>
      <c r="C321" s="87"/>
      <c r="D321" s="84"/>
      <c r="E321" s="83"/>
      <c r="F321" s="82"/>
      <c r="G321" s="130"/>
      <c r="H321" s="86" t="e">
        <f>IF(I321="fora",0%,G321/QUÓRUM!$C$6)</f>
        <v>#DIV/0!</v>
      </c>
      <c r="I321" s="87"/>
      <c r="J321" s="88"/>
      <c r="K321" s="88"/>
      <c r="L321" s="89"/>
      <c r="M321" s="89"/>
      <c r="N321" s="90"/>
      <c r="O321" s="87"/>
      <c r="P321" s="87"/>
      <c r="Q321" s="90"/>
      <c r="R321" s="91"/>
      <c r="S321" s="92"/>
      <c r="T321" s="93"/>
    </row>
    <row r="322" spans="1:20" s="94" customFormat="1" ht="12" customHeight="1" x14ac:dyDescent="0.3">
      <c r="A322" s="82"/>
      <c r="B322" s="83"/>
      <c r="C322" s="87"/>
      <c r="D322" s="84"/>
      <c r="E322" s="83"/>
      <c r="F322" s="82"/>
      <c r="G322" s="130"/>
      <c r="H322" s="86" t="e">
        <f>IF(I322="fora",0%,G322/QUÓRUM!$C$6)</f>
        <v>#DIV/0!</v>
      </c>
      <c r="I322" s="87"/>
      <c r="J322" s="88"/>
      <c r="K322" s="88"/>
      <c r="L322" s="89"/>
      <c r="M322" s="89"/>
      <c r="N322" s="90"/>
      <c r="O322" s="87"/>
      <c r="P322" s="87"/>
      <c r="Q322" s="90"/>
      <c r="R322" s="91"/>
      <c r="S322" s="92"/>
      <c r="T322" s="93"/>
    </row>
    <row r="323" spans="1:20" s="94" customFormat="1" ht="12" customHeight="1" x14ac:dyDescent="0.3">
      <c r="A323" s="82"/>
      <c r="B323" s="83"/>
      <c r="C323" s="87"/>
      <c r="D323" s="84"/>
      <c r="E323" s="83"/>
      <c r="F323" s="82"/>
      <c r="G323" s="85"/>
      <c r="H323" s="86" t="e">
        <f>IF(I323="fora",0%,G323/QUÓRUM!$C$6)</f>
        <v>#DIV/0!</v>
      </c>
      <c r="I323" s="87"/>
      <c r="J323" s="88"/>
      <c r="K323" s="88"/>
      <c r="L323" s="89"/>
      <c r="M323" s="89"/>
      <c r="N323" s="90"/>
      <c r="O323" s="87"/>
      <c r="P323" s="87"/>
      <c r="Q323" s="90"/>
      <c r="R323" s="91"/>
      <c r="S323" s="92"/>
      <c r="T323" s="93"/>
    </row>
    <row r="324" spans="1:20" s="94" customFormat="1" ht="12" customHeight="1" x14ac:dyDescent="0.3">
      <c r="A324" s="82"/>
      <c r="B324" s="83"/>
      <c r="C324" s="87"/>
      <c r="D324" s="84"/>
      <c r="E324" s="83"/>
      <c r="F324" s="82"/>
      <c r="G324" s="85"/>
      <c r="H324" s="86" t="e">
        <f>IF(I324="fora",0%,G324/QUÓRUM!$C$6)</f>
        <v>#DIV/0!</v>
      </c>
      <c r="I324" s="87"/>
      <c r="J324" s="88"/>
      <c r="K324" s="88"/>
      <c r="L324" s="89"/>
      <c r="M324" s="89"/>
      <c r="N324" s="90"/>
      <c r="O324" s="87"/>
      <c r="P324" s="87"/>
      <c r="Q324" s="90"/>
      <c r="R324" s="91"/>
      <c r="S324" s="92"/>
      <c r="T324" s="93"/>
    </row>
    <row r="325" spans="1:20" s="94" customFormat="1" ht="12" customHeight="1" x14ac:dyDescent="0.3">
      <c r="A325" s="82"/>
      <c r="B325" s="83"/>
      <c r="C325" s="87"/>
      <c r="D325" s="84"/>
      <c r="E325" s="83"/>
      <c r="F325" s="82"/>
      <c r="G325" s="85"/>
      <c r="H325" s="86" t="e">
        <f>IF(I325="fora",0%,G325/QUÓRUM!$C$6)</f>
        <v>#DIV/0!</v>
      </c>
      <c r="I325" s="87"/>
      <c r="J325" s="88"/>
      <c r="K325" s="88"/>
      <c r="L325" s="89"/>
      <c r="M325" s="89"/>
      <c r="N325" s="90"/>
      <c r="O325" s="87"/>
      <c r="P325" s="87"/>
      <c r="Q325" s="90"/>
      <c r="R325" s="91"/>
      <c r="S325" s="92"/>
      <c r="T325" s="93"/>
    </row>
    <row r="326" spans="1:20" s="94" customFormat="1" ht="12" customHeight="1" x14ac:dyDescent="0.3">
      <c r="A326" s="82"/>
      <c r="B326" s="83"/>
      <c r="C326" s="87"/>
      <c r="D326" s="84"/>
      <c r="E326" s="83"/>
      <c r="F326" s="82"/>
      <c r="G326" s="85"/>
      <c r="H326" s="86" t="e">
        <f>IF(I326="fora",0%,G326/QUÓRUM!$C$6)</f>
        <v>#DIV/0!</v>
      </c>
      <c r="I326" s="87"/>
      <c r="J326" s="88"/>
      <c r="K326" s="88"/>
      <c r="L326" s="89"/>
      <c r="M326" s="89"/>
      <c r="N326" s="90"/>
      <c r="O326" s="87"/>
      <c r="P326" s="87"/>
      <c r="Q326" s="90"/>
      <c r="R326" s="91"/>
      <c r="S326" s="92"/>
      <c r="T326" s="93"/>
    </row>
    <row r="327" spans="1:20" s="94" customFormat="1" ht="12" customHeight="1" x14ac:dyDescent="0.3">
      <c r="A327" s="82"/>
      <c r="B327" s="83"/>
      <c r="C327" s="87"/>
      <c r="D327" s="84"/>
      <c r="E327" s="83"/>
      <c r="F327" s="82"/>
      <c r="G327" s="85"/>
      <c r="H327" s="86" t="e">
        <f>IF(I327="fora",0%,G327/QUÓRUM!$C$6)</f>
        <v>#DIV/0!</v>
      </c>
      <c r="I327" s="87"/>
      <c r="J327" s="88"/>
      <c r="K327" s="88"/>
      <c r="L327" s="89"/>
      <c r="M327" s="89"/>
      <c r="N327" s="90"/>
      <c r="O327" s="87"/>
      <c r="P327" s="87"/>
      <c r="Q327" s="90"/>
      <c r="R327" s="91"/>
      <c r="S327" s="92"/>
      <c r="T327" s="93"/>
    </row>
    <row r="328" spans="1:20" s="94" customFormat="1" ht="12" customHeight="1" x14ac:dyDescent="0.3">
      <c r="A328" s="82"/>
      <c r="B328" s="83"/>
      <c r="C328" s="87"/>
      <c r="D328" s="84"/>
      <c r="E328" s="83"/>
      <c r="F328" s="82"/>
      <c r="G328" s="85"/>
      <c r="H328" s="86" t="e">
        <f>IF(I328="fora",0%,G328/QUÓRUM!$C$6)</f>
        <v>#DIV/0!</v>
      </c>
      <c r="I328" s="87"/>
      <c r="J328" s="88"/>
      <c r="K328" s="88"/>
      <c r="L328" s="89"/>
      <c r="M328" s="89"/>
      <c r="N328" s="90"/>
      <c r="O328" s="87"/>
      <c r="P328" s="87"/>
      <c r="Q328" s="90"/>
      <c r="R328" s="91"/>
      <c r="S328" s="92"/>
      <c r="T328" s="93"/>
    </row>
    <row r="329" spans="1:20" s="94" customFormat="1" ht="12" customHeight="1" x14ac:dyDescent="0.3">
      <c r="A329" s="82"/>
      <c r="B329" s="83"/>
      <c r="C329" s="87"/>
      <c r="D329" s="84"/>
      <c r="E329" s="83"/>
      <c r="F329" s="82"/>
      <c r="G329" s="85"/>
      <c r="H329" s="86" t="e">
        <f>IF(I329="fora",0%,G329/QUÓRUM!$C$6)</f>
        <v>#DIV/0!</v>
      </c>
      <c r="I329" s="87"/>
      <c r="J329" s="88"/>
      <c r="K329" s="88"/>
      <c r="L329" s="89"/>
      <c r="M329" s="89"/>
      <c r="N329" s="90"/>
      <c r="O329" s="87"/>
      <c r="P329" s="87"/>
      <c r="Q329" s="90"/>
      <c r="R329" s="91"/>
      <c r="S329" s="92"/>
      <c r="T329" s="93"/>
    </row>
    <row r="330" spans="1:20" s="94" customFormat="1" ht="12" customHeight="1" x14ac:dyDescent="0.3">
      <c r="A330" s="82"/>
      <c r="B330" s="83"/>
      <c r="C330" s="87"/>
      <c r="D330" s="84"/>
      <c r="E330" s="83"/>
      <c r="F330" s="82"/>
      <c r="G330" s="85"/>
      <c r="H330" s="86" t="e">
        <f>IF(I330="fora",0%,G330/QUÓRUM!$C$6)</f>
        <v>#DIV/0!</v>
      </c>
      <c r="I330" s="87"/>
      <c r="J330" s="88"/>
      <c r="K330" s="88"/>
      <c r="L330" s="89"/>
      <c r="M330" s="89"/>
      <c r="N330" s="90"/>
      <c r="O330" s="87"/>
      <c r="P330" s="87"/>
      <c r="Q330" s="90"/>
      <c r="R330" s="91"/>
      <c r="S330" s="92"/>
      <c r="T330" s="93"/>
    </row>
    <row r="331" spans="1:20" s="94" customFormat="1" ht="12" customHeight="1" x14ac:dyDescent="0.3">
      <c r="A331" s="82"/>
      <c r="B331" s="83"/>
      <c r="C331" s="87"/>
      <c r="D331" s="84"/>
      <c r="E331" s="83"/>
      <c r="F331" s="82"/>
      <c r="G331" s="85"/>
      <c r="H331" s="86" t="e">
        <f>IF(I331="fora",0%,G331/QUÓRUM!$C$6)</f>
        <v>#DIV/0!</v>
      </c>
      <c r="I331" s="87"/>
      <c r="J331" s="88"/>
      <c r="K331" s="88"/>
      <c r="L331" s="89"/>
      <c r="M331" s="89"/>
      <c r="N331" s="90"/>
      <c r="O331" s="87"/>
      <c r="P331" s="87"/>
      <c r="Q331" s="90"/>
      <c r="R331" s="91"/>
      <c r="S331" s="92"/>
      <c r="T331" s="93"/>
    </row>
    <row r="332" spans="1:20" s="94" customFormat="1" ht="12" customHeight="1" x14ac:dyDescent="0.3">
      <c r="A332" s="82"/>
      <c r="B332" s="83"/>
      <c r="C332" s="87"/>
      <c r="D332" s="84"/>
      <c r="E332" s="83"/>
      <c r="F332" s="82"/>
      <c r="G332" s="85"/>
      <c r="H332" s="86" t="e">
        <f>IF(I332="fora",0%,G332/QUÓRUM!$C$6)</f>
        <v>#DIV/0!</v>
      </c>
      <c r="I332" s="87"/>
      <c r="J332" s="88"/>
      <c r="K332" s="88"/>
      <c r="L332" s="89"/>
      <c r="M332" s="89"/>
      <c r="N332" s="90"/>
      <c r="O332" s="87"/>
      <c r="P332" s="87"/>
      <c r="Q332" s="90"/>
      <c r="R332" s="91"/>
      <c r="S332" s="92"/>
      <c r="T332" s="93"/>
    </row>
    <row r="333" spans="1:20" s="94" customFormat="1" ht="12" customHeight="1" x14ac:dyDescent="0.3">
      <c r="A333" s="82"/>
      <c r="B333" s="83"/>
      <c r="C333" s="87"/>
      <c r="D333" s="84"/>
      <c r="E333" s="83"/>
      <c r="F333" s="82"/>
      <c r="G333" s="85"/>
      <c r="H333" s="86" t="e">
        <f>IF(I333="fora",0%,G333/QUÓRUM!$C$6)</f>
        <v>#DIV/0!</v>
      </c>
      <c r="I333" s="87"/>
      <c r="J333" s="88"/>
      <c r="K333" s="88"/>
      <c r="L333" s="89"/>
      <c r="M333" s="89"/>
      <c r="N333" s="90"/>
      <c r="O333" s="87"/>
      <c r="P333" s="87"/>
      <c r="Q333" s="90"/>
      <c r="R333" s="91"/>
      <c r="S333" s="92"/>
      <c r="T333" s="93"/>
    </row>
    <row r="334" spans="1:20" s="94" customFormat="1" ht="12" customHeight="1" x14ac:dyDescent="0.3">
      <c r="A334" s="82"/>
      <c r="B334" s="83"/>
      <c r="C334" s="87"/>
      <c r="D334" s="84"/>
      <c r="E334" s="83"/>
      <c r="F334" s="82"/>
      <c r="G334" s="85"/>
      <c r="H334" s="86" t="e">
        <f>IF(I334="fora",0%,G334/QUÓRUM!$C$6)</f>
        <v>#DIV/0!</v>
      </c>
      <c r="I334" s="87"/>
      <c r="J334" s="88"/>
      <c r="K334" s="88"/>
      <c r="L334" s="89"/>
      <c r="M334" s="89"/>
      <c r="N334" s="90"/>
      <c r="O334" s="87"/>
      <c r="P334" s="87"/>
      <c r="Q334" s="90"/>
      <c r="R334" s="91"/>
      <c r="S334" s="92"/>
      <c r="T334" s="93"/>
    </row>
    <row r="335" spans="1:20" s="94" customFormat="1" ht="12" customHeight="1" x14ac:dyDescent="0.3">
      <c r="A335" s="82"/>
      <c r="B335" s="83"/>
      <c r="C335" s="87"/>
      <c r="D335" s="84"/>
      <c r="E335" s="83"/>
      <c r="F335" s="82"/>
      <c r="G335" s="85"/>
      <c r="H335" s="86" t="e">
        <f>IF(I335="fora",0%,G335/QUÓRUM!$C$6)</f>
        <v>#DIV/0!</v>
      </c>
      <c r="I335" s="87"/>
      <c r="J335" s="88"/>
      <c r="K335" s="88"/>
      <c r="L335" s="89"/>
      <c r="M335" s="89"/>
      <c r="N335" s="90"/>
      <c r="O335" s="87"/>
      <c r="P335" s="87"/>
      <c r="Q335" s="90"/>
      <c r="R335" s="91"/>
      <c r="S335" s="92"/>
      <c r="T335" s="93"/>
    </row>
    <row r="336" spans="1:20" s="94" customFormat="1" ht="12" customHeight="1" x14ac:dyDescent="0.3">
      <c r="A336" s="82"/>
      <c r="B336" s="83"/>
      <c r="C336" s="87"/>
      <c r="D336" s="84"/>
      <c r="E336" s="83"/>
      <c r="F336" s="82"/>
      <c r="G336" s="85"/>
      <c r="H336" s="86" t="e">
        <f>IF(I336="fora",0%,G336/QUÓRUM!$C$6)</f>
        <v>#DIV/0!</v>
      </c>
      <c r="I336" s="87"/>
      <c r="J336" s="88"/>
      <c r="K336" s="88"/>
      <c r="L336" s="89"/>
      <c r="M336" s="89"/>
      <c r="N336" s="90"/>
      <c r="O336" s="87"/>
      <c r="P336" s="87"/>
      <c r="Q336" s="90"/>
      <c r="R336" s="91"/>
      <c r="S336" s="92"/>
      <c r="T336" s="93"/>
    </row>
    <row r="337" spans="1:20" s="94" customFormat="1" ht="12" customHeight="1" x14ac:dyDescent="0.3">
      <c r="A337" s="82"/>
      <c r="B337" s="83"/>
      <c r="C337" s="87"/>
      <c r="D337" s="84"/>
      <c r="E337" s="83"/>
      <c r="F337" s="82"/>
      <c r="G337" s="85"/>
      <c r="H337" s="86" t="e">
        <f>IF(I337="fora",0%,G337/QUÓRUM!$C$6)</f>
        <v>#DIV/0!</v>
      </c>
      <c r="I337" s="87"/>
      <c r="J337" s="88"/>
      <c r="K337" s="88"/>
      <c r="L337" s="89"/>
      <c r="M337" s="89"/>
      <c r="N337" s="90"/>
      <c r="O337" s="87"/>
      <c r="P337" s="87"/>
      <c r="Q337" s="90"/>
      <c r="R337" s="91"/>
      <c r="S337" s="92"/>
      <c r="T337" s="93"/>
    </row>
    <row r="338" spans="1:20" s="94" customFormat="1" ht="12" customHeight="1" x14ac:dyDescent="0.3">
      <c r="A338" s="82"/>
      <c r="B338" s="83"/>
      <c r="C338" s="87"/>
      <c r="D338" s="84"/>
      <c r="E338" s="83"/>
      <c r="F338" s="82"/>
      <c r="G338" s="85"/>
      <c r="H338" s="86" t="e">
        <f>IF(I338="fora",0%,G338/QUÓRUM!$C$6)</f>
        <v>#DIV/0!</v>
      </c>
      <c r="I338" s="87"/>
      <c r="J338" s="88"/>
      <c r="K338" s="88"/>
      <c r="L338" s="89"/>
      <c r="M338" s="89"/>
      <c r="N338" s="90"/>
      <c r="O338" s="87"/>
      <c r="P338" s="87"/>
      <c r="Q338" s="90"/>
      <c r="R338" s="91"/>
      <c r="S338" s="92"/>
      <c r="T338" s="93"/>
    </row>
    <row r="339" spans="1:20" s="94" customFormat="1" ht="12" customHeight="1" x14ac:dyDescent="0.3">
      <c r="A339" s="82"/>
      <c r="B339" s="83"/>
      <c r="C339" s="87"/>
      <c r="D339" s="84"/>
      <c r="E339" s="83"/>
      <c r="F339" s="82"/>
      <c r="G339" s="85"/>
      <c r="H339" s="86" t="e">
        <f>IF(I339="fora",0%,G339/QUÓRUM!$C$6)</f>
        <v>#DIV/0!</v>
      </c>
      <c r="I339" s="87"/>
      <c r="J339" s="88"/>
      <c r="K339" s="88"/>
      <c r="L339" s="89"/>
      <c r="M339" s="89"/>
      <c r="N339" s="90"/>
      <c r="O339" s="87"/>
      <c r="P339" s="87"/>
      <c r="Q339" s="90"/>
      <c r="R339" s="91"/>
      <c r="S339" s="92"/>
      <c r="T339" s="93"/>
    </row>
    <row r="340" spans="1:20" s="94" customFormat="1" ht="12" customHeight="1" x14ac:dyDescent="0.3">
      <c r="A340" s="82"/>
      <c r="B340" s="83"/>
      <c r="C340" s="87"/>
      <c r="D340" s="84"/>
      <c r="E340" s="83"/>
      <c r="F340" s="82"/>
      <c r="G340" s="85"/>
      <c r="H340" s="86" t="e">
        <f>IF(I340="fora",0%,G340/QUÓRUM!$C$6)</f>
        <v>#DIV/0!</v>
      </c>
      <c r="I340" s="87"/>
      <c r="J340" s="88"/>
      <c r="K340" s="88"/>
      <c r="L340" s="89"/>
      <c r="M340" s="89"/>
      <c r="N340" s="90"/>
      <c r="O340" s="87"/>
      <c r="P340" s="87"/>
      <c r="Q340" s="90"/>
      <c r="R340" s="91"/>
      <c r="S340" s="92"/>
      <c r="T340" s="93"/>
    </row>
    <row r="341" spans="1:20" s="94" customFormat="1" ht="12" customHeight="1" x14ac:dyDescent="0.3">
      <c r="A341" s="82"/>
      <c r="B341" s="83"/>
      <c r="C341" s="87"/>
      <c r="D341" s="84"/>
      <c r="E341" s="83"/>
      <c r="F341" s="82"/>
      <c r="G341" s="85"/>
      <c r="H341" s="86" t="e">
        <f>IF(I341="fora",0%,G341/QUÓRUM!$C$6)</f>
        <v>#DIV/0!</v>
      </c>
      <c r="I341" s="87"/>
      <c r="J341" s="88"/>
      <c r="K341" s="88"/>
      <c r="L341" s="89"/>
      <c r="M341" s="89"/>
      <c r="N341" s="90"/>
      <c r="O341" s="87"/>
      <c r="P341" s="87"/>
      <c r="Q341" s="90"/>
      <c r="R341" s="91"/>
      <c r="S341" s="92"/>
      <c r="T341" s="93"/>
    </row>
    <row r="342" spans="1:20" s="94" customFormat="1" ht="12" customHeight="1" x14ac:dyDescent="0.3">
      <c r="A342" s="82"/>
      <c r="B342" s="83"/>
      <c r="C342" s="87"/>
      <c r="D342" s="84"/>
      <c r="E342" s="83"/>
      <c r="F342" s="82"/>
      <c r="G342" s="85"/>
      <c r="H342" s="86" t="e">
        <f>IF(I342="fora",0%,G342/QUÓRUM!$C$6)</f>
        <v>#DIV/0!</v>
      </c>
      <c r="I342" s="87"/>
      <c r="J342" s="88"/>
      <c r="K342" s="88"/>
      <c r="L342" s="89"/>
      <c r="M342" s="89"/>
      <c r="N342" s="90"/>
      <c r="O342" s="87"/>
      <c r="P342" s="87"/>
      <c r="Q342" s="90"/>
      <c r="R342" s="91"/>
      <c r="S342" s="92"/>
      <c r="T342" s="93"/>
    </row>
    <row r="343" spans="1:20" s="94" customFormat="1" ht="12" customHeight="1" x14ac:dyDescent="0.3">
      <c r="A343" s="82"/>
      <c r="B343" s="83"/>
      <c r="C343" s="87"/>
      <c r="D343" s="84"/>
      <c r="E343" s="83"/>
      <c r="F343" s="82"/>
      <c r="G343" s="85"/>
      <c r="H343" s="86" t="e">
        <f>IF(I343="fora",0%,G343/QUÓRUM!$C$6)</f>
        <v>#DIV/0!</v>
      </c>
      <c r="I343" s="87"/>
      <c r="J343" s="88"/>
      <c r="K343" s="88"/>
      <c r="L343" s="89"/>
      <c r="M343" s="89"/>
      <c r="N343" s="90"/>
      <c r="O343" s="87"/>
      <c r="P343" s="87"/>
      <c r="Q343" s="90"/>
      <c r="R343" s="91"/>
      <c r="S343" s="92"/>
      <c r="T343" s="93"/>
    </row>
    <row r="344" spans="1:20" s="94" customFormat="1" ht="12" customHeight="1" x14ac:dyDescent="0.3">
      <c r="A344" s="82"/>
      <c r="B344" s="83"/>
      <c r="C344" s="87"/>
      <c r="D344" s="84"/>
      <c r="E344" s="83"/>
      <c r="F344" s="82"/>
      <c r="G344" s="85"/>
      <c r="H344" s="86" t="e">
        <f>IF(I344="fora",0%,G344/QUÓRUM!$C$6)</f>
        <v>#DIV/0!</v>
      </c>
      <c r="I344" s="87"/>
      <c r="J344" s="88"/>
      <c r="K344" s="88"/>
      <c r="L344" s="89"/>
      <c r="M344" s="89"/>
      <c r="N344" s="90"/>
      <c r="O344" s="87"/>
      <c r="P344" s="87"/>
      <c r="Q344" s="90"/>
      <c r="R344" s="91"/>
      <c r="S344" s="92"/>
      <c r="T344" s="93"/>
    </row>
    <row r="345" spans="1:20" s="94" customFormat="1" ht="12" customHeight="1" x14ac:dyDescent="0.3">
      <c r="A345" s="82"/>
      <c r="B345" s="83"/>
      <c r="C345" s="87"/>
      <c r="D345" s="84"/>
      <c r="E345" s="83"/>
      <c r="F345" s="82"/>
      <c r="G345" s="85"/>
      <c r="H345" s="86" t="e">
        <f>IF(I345="fora",0%,G345/QUÓRUM!$C$6)</f>
        <v>#DIV/0!</v>
      </c>
      <c r="I345" s="87"/>
      <c r="J345" s="88"/>
      <c r="K345" s="88"/>
      <c r="L345" s="89"/>
      <c r="M345" s="89"/>
      <c r="N345" s="90"/>
      <c r="O345" s="87"/>
      <c r="P345" s="87"/>
      <c r="Q345" s="90"/>
      <c r="R345" s="91"/>
      <c r="S345" s="92"/>
      <c r="T345" s="93"/>
    </row>
    <row r="346" spans="1:20" s="94" customFormat="1" ht="12" customHeight="1" x14ac:dyDescent="0.3">
      <c r="A346" s="82"/>
      <c r="B346" s="83"/>
      <c r="C346" s="87"/>
      <c r="D346" s="84"/>
      <c r="E346" s="83"/>
      <c r="F346" s="82"/>
      <c r="G346" s="85"/>
      <c r="H346" s="86" t="e">
        <f>IF(I346="fora",0%,G346/QUÓRUM!$C$6)</f>
        <v>#DIV/0!</v>
      </c>
      <c r="I346" s="87"/>
      <c r="J346" s="88"/>
      <c r="K346" s="88"/>
      <c r="L346" s="89"/>
      <c r="M346" s="89"/>
      <c r="N346" s="90"/>
      <c r="O346" s="87"/>
      <c r="P346" s="87"/>
      <c r="Q346" s="90"/>
      <c r="R346" s="91"/>
      <c r="S346" s="92"/>
      <c r="T346" s="93"/>
    </row>
    <row r="347" spans="1:20" s="94" customFormat="1" ht="12" customHeight="1" x14ac:dyDescent="0.3">
      <c r="A347" s="82"/>
      <c r="B347" s="83"/>
      <c r="C347" s="87"/>
      <c r="D347" s="84"/>
      <c r="E347" s="83"/>
      <c r="F347" s="82"/>
      <c r="G347" s="85"/>
      <c r="H347" s="86" t="e">
        <f>IF(I347="fora",0%,G347/QUÓRUM!$C$6)</f>
        <v>#DIV/0!</v>
      </c>
      <c r="I347" s="87"/>
      <c r="J347" s="88"/>
      <c r="K347" s="88"/>
      <c r="L347" s="89"/>
      <c r="M347" s="89"/>
      <c r="N347" s="90"/>
      <c r="O347" s="87"/>
      <c r="P347" s="87"/>
      <c r="Q347" s="90"/>
      <c r="R347" s="91"/>
      <c r="S347" s="92"/>
      <c r="T347" s="93"/>
    </row>
    <row r="348" spans="1:20" s="94" customFormat="1" ht="12" customHeight="1" x14ac:dyDescent="0.3">
      <c r="A348" s="82"/>
      <c r="B348" s="83"/>
      <c r="C348" s="87"/>
      <c r="D348" s="84"/>
      <c r="E348" s="83"/>
      <c r="F348" s="82"/>
      <c r="G348" s="85"/>
      <c r="H348" s="86" t="e">
        <f>IF(I348="fora",0%,G348/QUÓRUM!$C$6)</f>
        <v>#DIV/0!</v>
      </c>
      <c r="I348" s="87"/>
      <c r="J348" s="88"/>
      <c r="K348" s="88"/>
      <c r="L348" s="89"/>
      <c r="M348" s="89"/>
      <c r="N348" s="90"/>
      <c r="O348" s="87"/>
      <c r="P348" s="87"/>
      <c r="Q348" s="90"/>
      <c r="R348" s="91"/>
      <c r="S348" s="92"/>
      <c r="T348" s="93"/>
    </row>
    <row r="349" spans="1:20" s="94" customFormat="1" ht="12" customHeight="1" x14ac:dyDescent="0.3">
      <c r="A349" s="82"/>
      <c r="B349" s="83"/>
      <c r="C349" s="87"/>
      <c r="D349" s="84"/>
      <c r="E349" s="83"/>
      <c r="F349" s="82"/>
      <c r="G349" s="85"/>
      <c r="H349" s="86" t="e">
        <f>IF(I349="fora",0%,G349/QUÓRUM!$C$6)</f>
        <v>#DIV/0!</v>
      </c>
      <c r="I349" s="87"/>
      <c r="J349" s="88"/>
      <c r="K349" s="88"/>
      <c r="L349" s="89"/>
      <c r="M349" s="89"/>
      <c r="N349" s="90"/>
      <c r="O349" s="87"/>
      <c r="P349" s="87"/>
      <c r="Q349" s="90"/>
      <c r="R349" s="91"/>
      <c r="S349" s="92"/>
      <c r="T349" s="93"/>
    </row>
    <row r="350" spans="1:20" s="94" customFormat="1" ht="12" customHeight="1" x14ac:dyDescent="0.3">
      <c r="A350" s="82"/>
      <c r="B350" s="83"/>
      <c r="C350" s="87"/>
      <c r="D350" s="84"/>
      <c r="E350" s="83"/>
      <c r="F350" s="82"/>
      <c r="G350" s="85"/>
      <c r="H350" s="86" t="e">
        <f>IF(I350="fora",0%,G350/QUÓRUM!$C$6)</f>
        <v>#DIV/0!</v>
      </c>
      <c r="I350" s="87"/>
      <c r="J350" s="88"/>
      <c r="K350" s="88"/>
      <c r="L350" s="89"/>
      <c r="M350" s="89"/>
      <c r="N350" s="90"/>
      <c r="O350" s="87"/>
      <c r="P350" s="87"/>
      <c r="Q350" s="90"/>
      <c r="R350" s="91"/>
      <c r="S350" s="92"/>
      <c r="T350" s="93"/>
    </row>
    <row r="351" spans="1:20" s="94" customFormat="1" ht="12" customHeight="1" x14ac:dyDescent="0.3">
      <c r="A351" s="82"/>
      <c r="B351" s="83"/>
      <c r="C351" s="87"/>
      <c r="D351" s="84"/>
      <c r="E351" s="83"/>
      <c r="F351" s="82"/>
      <c r="G351" s="85"/>
      <c r="H351" s="86" t="e">
        <f>IF(I351="fora",0%,G351/QUÓRUM!$C$6)</f>
        <v>#DIV/0!</v>
      </c>
      <c r="I351" s="87"/>
      <c r="J351" s="88"/>
      <c r="K351" s="88"/>
      <c r="L351" s="89"/>
      <c r="M351" s="89"/>
      <c r="N351" s="90"/>
      <c r="O351" s="87"/>
      <c r="P351" s="87"/>
      <c r="Q351" s="90"/>
      <c r="R351" s="91"/>
      <c r="S351" s="92"/>
      <c r="T351" s="93"/>
    </row>
    <row r="352" spans="1:20" s="94" customFormat="1" ht="12" customHeight="1" x14ac:dyDescent="0.3">
      <c r="A352" s="82"/>
      <c r="B352" s="83"/>
      <c r="C352" s="87"/>
      <c r="D352" s="84"/>
      <c r="E352" s="83"/>
      <c r="F352" s="82"/>
      <c r="G352" s="85"/>
      <c r="H352" s="86" t="e">
        <f>IF(I352="fora",0%,G352/QUÓRUM!$C$6)</f>
        <v>#DIV/0!</v>
      </c>
      <c r="I352" s="87"/>
      <c r="J352" s="88"/>
      <c r="K352" s="88"/>
      <c r="L352" s="89"/>
      <c r="M352" s="89"/>
      <c r="N352" s="90"/>
      <c r="O352" s="87"/>
      <c r="P352" s="87"/>
      <c r="Q352" s="90"/>
      <c r="R352" s="91"/>
      <c r="S352" s="92"/>
      <c r="T352" s="93"/>
    </row>
    <row r="353" spans="1:20" s="94" customFormat="1" ht="12" customHeight="1" x14ac:dyDescent="0.3">
      <c r="A353" s="82"/>
      <c r="B353" s="83"/>
      <c r="C353" s="87"/>
      <c r="D353" s="84"/>
      <c r="E353" s="83"/>
      <c r="F353" s="82"/>
      <c r="G353" s="85"/>
      <c r="H353" s="86" t="e">
        <f>IF(I353="fora",0%,G353/QUÓRUM!$C$6)</f>
        <v>#DIV/0!</v>
      </c>
      <c r="I353" s="87"/>
      <c r="J353" s="88"/>
      <c r="K353" s="88"/>
      <c r="L353" s="89"/>
      <c r="M353" s="89"/>
      <c r="N353" s="90"/>
      <c r="O353" s="87"/>
      <c r="P353" s="87"/>
      <c r="Q353" s="90"/>
      <c r="R353" s="91"/>
      <c r="S353" s="92"/>
      <c r="T353" s="93"/>
    </row>
    <row r="354" spans="1:20" s="94" customFormat="1" ht="12" customHeight="1" x14ac:dyDescent="0.3">
      <c r="A354" s="82"/>
      <c r="B354" s="83"/>
      <c r="C354" s="87"/>
      <c r="D354" s="84"/>
      <c r="E354" s="83"/>
      <c r="F354" s="82"/>
      <c r="G354" s="85"/>
      <c r="H354" s="86" t="e">
        <f>IF(I354="fora",0%,G354/QUÓRUM!$C$6)</f>
        <v>#DIV/0!</v>
      </c>
      <c r="I354" s="87"/>
      <c r="J354" s="88"/>
      <c r="K354" s="88"/>
      <c r="L354" s="89"/>
      <c r="M354" s="89"/>
      <c r="N354" s="90"/>
      <c r="O354" s="87"/>
      <c r="P354" s="87"/>
      <c r="Q354" s="90"/>
      <c r="R354" s="91"/>
      <c r="S354" s="92"/>
      <c r="T354" s="93"/>
    </row>
    <row r="355" spans="1:20" s="94" customFormat="1" ht="12" customHeight="1" x14ac:dyDescent="0.3">
      <c r="A355" s="82"/>
      <c r="B355" s="83"/>
      <c r="C355" s="87"/>
      <c r="D355" s="84"/>
      <c r="E355" s="83"/>
      <c r="F355" s="82"/>
      <c r="G355" s="85"/>
      <c r="H355" s="86" t="e">
        <f>IF(I355="fora",0%,G355/QUÓRUM!$C$6)</f>
        <v>#DIV/0!</v>
      </c>
      <c r="I355" s="87"/>
      <c r="J355" s="88"/>
      <c r="K355" s="88"/>
      <c r="L355" s="89"/>
      <c r="M355" s="89"/>
      <c r="N355" s="90"/>
      <c r="O355" s="87"/>
      <c r="P355" s="87"/>
      <c r="Q355" s="90"/>
      <c r="R355" s="91"/>
      <c r="S355" s="92"/>
      <c r="T355" s="93"/>
    </row>
    <row r="356" spans="1:20" s="94" customFormat="1" ht="12" customHeight="1" x14ac:dyDescent="0.3">
      <c r="A356" s="82"/>
      <c r="B356" s="83"/>
      <c r="C356" s="87"/>
      <c r="D356" s="84"/>
      <c r="E356" s="83"/>
      <c r="F356" s="82"/>
      <c r="G356" s="85"/>
      <c r="H356" s="86" t="e">
        <f>IF(I356="fora",0%,G356/QUÓRUM!$C$6)</f>
        <v>#DIV/0!</v>
      </c>
      <c r="I356" s="87"/>
      <c r="J356" s="88"/>
      <c r="K356" s="88"/>
      <c r="L356" s="89"/>
      <c r="M356" s="89"/>
      <c r="N356" s="90"/>
      <c r="O356" s="87"/>
      <c r="P356" s="87"/>
      <c r="Q356" s="90"/>
      <c r="R356" s="91"/>
      <c r="S356" s="92"/>
      <c r="T356" s="93"/>
    </row>
    <row r="357" spans="1:20" s="94" customFormat="1" x14ac:dyDescent="0.3">
      <c r="A357" s="82"/>
      <c r="B357" s="83"/>
      <c r="C357" s="87"/>
      <c r="D357" s="84"/>
      <c r="E357" s="83"/>
      <c r="F357" s="82"/>
      <c r="G357" s="85"/>
      <c r="H357" s="86" t="e">
        <f>IF(I357="fora",0%,G357/QUÓRUM!$C$6)</f>
        <v>#DIV/0!</v>
      </c>
      <c r="I357" s="87"/>
      <c r="J357" s="88"/>
      <c r="K357" s="88"/>
      <c r="L357" s="89"/>
      <c r="M357" s="89"/>
      <c r="N357" s="90"/>
      <c r="O357" s="87"/>
      <c r="P357" s="87"/>
      <c r="Q357" s="90"/>
      <c r="R357" s="91"/>
      <c r="S357" s="92"/>
      <c r="T357" s="93"/>
    </row>
    <row r="358" spans="1:20" s="94" customFormat="1" x14ac:dyDescent="0.3">
      <c r="A358" s="82"/>
      <c r="B358" s="83"/>
      <c r="C358" s="87"/>
      <c r="D358" s="84"/>
      <c r="E358" s="83"/>
      <c r="F358" s="82"/>
      <c r="G358" s="85"/>
      <c r="H358" s="86" t="e">
        <f>IF(I358="fora",0%,G358/QUÓRUM!$C$6)</f>
        <v>#DIV/0!</v>
      </c>
      <c r="I358" s="87"/>
      <c r="J358" s="88"/>
      <c r="K358" s="88"/>
      <c r="L358" s="89"/>
      <c r="M358" s="89"/>
      <c r="N358" s="90"/>
      <c r="O358" s="87"/>
      <c r="P358" s="87"/>
      <c r="Q358" s="90"/>
      <c r="R358" s="91"/>
      <c r="S358" s="92"/>
      <c r="T358" s="93"/>
    </row>
    <row r="359" spans="1:20" s="94" customFormat="1" x14ac:dyDescent="0.3">
      <c r="A359" s="82"/>
      <c r="B359" s="83"/>
      <c r="C359" s="87"/>
      <c r="D359" s="84"/>
      <c r="E359" s="83"/>
      <c r="F359" s="82"/>
      <c r="G359" s="85"/>
      <c r="H359" s="86" t="e">
        <f>IF(I359="fora",0%,G359/QUÓRUM!$C$6)</f>
        <v>#DIV/0!</v>
      </c>
      <c r="I359" s="87"/>
      <c r="J359" s="88"/>
      <c r="K359" s="88"/>
      <c r="L359" s="89"/>
      <c r="M359" s="89"/>
      <c r="N359" s="90"/>
      <c r="O359" s="87"/>
      <c r="P359" s="87"/>
      <c r="Q359" s="90"/>
      <c r="R359" s="91"/>
      <c r="S359" s="92"/>
      <c r="T359" s="93"/>
    </row>
    <row r="360" spans="1:20" s="94" customFormat="1" x14ac:dyDescent="0.3">
      <c r="A360" s="82"/>
      <c r="B360" s="83"/>
      <c r="C360" s="87"/>
      <c r="D360" s="84"/>
      <c r="E360" s="83"/>
      <c r="F360" s="82"/>
      <c r="G360" s="85"/>
      <c r="H360" s="86" t="e">
        <f>IF(I360="fora",0%,G360/QUÓRUM!$C$6)</f>
        <v>#DIV/0!</v>
      </c>
      <c r="I360" s="87"/>
      <c r="J360" s="88"/>
      <c r="K360" s="88"/>
      <c r="L360" s="89"/>
      <c r="M360" s="89"/>
      <c r="N360" s="90"/>
      <c r="O360" s="87"/>
      <c r="P360" s="87"/>
      <c r="Q360" s="90"/>
      <c r="R360" s="91"/>
      <c r="S360" s="92"/>
      <c r="T360" s="93"/>
    </row>
    <row r="361" spans="1:20" s="94" customFormat="1" x14ac:dyDescent="0.3">
      <c r="A361" s="82"/>
      <c r="B361" s="83"/>
      <c r="C361" s="87"/>
      <c r="D361" s="84"/>
      <c r="E361" s="83"/>
      <c r="F361" s="82"/>
      <c r="G361" s="85"/>
      <c r="H361" s="86" t="e">
        <f>IF(I361="fora",0%,G361/QUÓRUM!$C$6)</f>
        <v>#DIV/0!</v>
      </c>
      <c r="I361" s="87"/>
      <c r="J361" s="88"/>
      <c r="K361" s="88"/>
      <c r="L361" s="89"/>
      <c r="M361" s="89"/>
      <c r="N361" s="90"/>
      <c r="O361" s="87"/>
      <c r="P361" s="87"/>
      <c r="Q361" s="90"/>
      <c r="R361" s="91"/>
      <c r="S361" s="92"/>
      <c r="T361" s="93"/>
    </row>
    <row r="362" spans="1:20" s="94" customFormat="1" x14ac:dyDescent="0.3">
      <c r="A362" s="82"/>
      <c r="B362" s="83"/>
      <c r="C362" s="87"/>
      <c r="D362" s="84"/>
      <c r="E362" s="83"/>
      <c r="F362" s="82"/>
      <c r="G362" s="85"/>
      <c r="H362" s="86" t="e">
        <f>IF(I362="fora",0%,G362/QUÓRUM!$C$6)</f>
        <v>#DIV/0!</v>
      </c>
      <c r="I362" s="87"/>
      <c r="J362" s="88"/>
      <c r="K362" s="88"/>
      <c r="L362" s="89"/>
      <c r="M362" s="89"/>
      <c r="N362" s="90"/>
      <c r="O362" s="87"/>
      <c r="P362" s="87"/>
      <c r="Q362" s="90"/>
      <c r="R362" s="91"/>
      <c r="S362" s="92"/>
      <c r="T362" s="93"/>
    </row>
    <row r="363" spans="1:20" s="94" customFormat="1" x14ac:dyDescent="0.3">
      <c r="A363" s="82"/>
      <c r="B363" s="83"/>
      <c r="C363" s="87"/>
      <c r="D363" s="84"/>
      <c r="E363" s="83"/>
      <c r="F363" s="82"/>
      <c r="G363" s="85"/>
      <c r="H363" s="86" t="e">
        <f>IF(I363="fora",0%,G363/QUÓRUM!$C$6)</f>
        <v>#DIV/0!</v>
      </c>
      <c r="I363" s="87"/>
      <c r="J363" s="88"/>
      <c r="K363" s="88"/>
      <c r="L363" s="89"/>
      <c r="M363" s="89"/>
      <c r="N363" s="90"/>
      <c r="O363" s="87"/>
      <c r="P363" s="87"/>
      <c r="Q363" s="90"/>
      <c r="R363" s="91"/>
      <c r="S363" s="92"/>
      <c r="T363" s="93"/>
    </row>
    <row r="364" spans="1:20" s="94" customFormat="1" x14ac:dyDescent="0.3">
      <c r="A364" s="82"/>
      <c r="B364" s="83"/>
      <c r="C364" s="87"/>
      <c r="D364" s="84"/>
      <c r="E364" s="83"/>
      <c r="F364" s="82"/>
      <c r="G364" s="85"/>
      <c r="H364" s="86" t="e">
        <f>IF(I364="fora",0%,G364/QUÓRUM!$C$6)</f>
        <v>#DIV/0!</v>
      </c>
      <c r="I364" s="87"/>
      <c r="J364" s="88"/>
      <c r="K364" s="88"/>
      <c r="L364" s="89"/>
      <c r="M364" s="89"/>
      <c r="N364" s="90"/>
      <c r="O364" s="87"/>
      <c r="P364" s="87"/>
      <c r="Q364" s="90"/>
      <c r="R364" s="91"/>
      <c r="S364" s="92"/>
      <c r="T364" s="93"/>
    </row>
    <row r="365" spans="1:20" s="94" customFormat="1" x14ac:dyDescent="0.3">
      <c r="A365" s="82"/>
      <c r="B365" s="83"/>
      <c r="C365" s="87"/>
      <c r="D365" s="84"/>
      <c r="E365" s="83"/>
      <c r="F365" s="82"/>
      <c r="G365" s="85"/>
      <c r="H365" s="86" t="e">
        <f>IF(I365="fora",0%,G365/QUÓRUM!$C$6)</f>
        <v>#DIV/0!</v>
      </c>
      <c r="I365" s="87"/>
      <c r="J365" s="88"/>
      <c r="K365" s="88"/>
      <c r="L365" s="89"/>
      <c r="M365" s="89"/>
      <c r="N365" s="90"/>
      <c r="O365" s="87"/>
      <c r="P365" s="87"/>
      <c r="Q365" s="90"/>
      <c r="R365" s="91"/>
      <c r="S365" s="92"/>
      <c r="T365" s="93"/>
    </row>
    <row r="366" spans="1:20" s="94" customFormat="1" x14ac:dyDescent="0.3">
      <c r="A366" s="82"/>
      <c r="B366" s="83"/>
      <c r="C366" s="87"/>
      <c r="D366" s="84"/>
      <c r="E366" s="83"/>
      <c r="F366" s="82"/>
      <c r="G366" s="85"/>
      <c r="H366" s="86" t="e">
        <f>IF(I366="fora",0%,G366/QUÓRUM!$C$6)</f>
        <v>#DIV/0!</v>
      </c>
      <c r="I366" s="87"/>
      <c r="J366" s="88"/>
      <c r="K366" s="88"/>
      <c r="L366" s="89"/>
      <c r="M366" s="89"/>
      <c r="N366" s="90"/>
      <c r="O366" s="87"/>
      <c r="P366" s="87"/>
      <c r="Q366" s="90"/>
      <c r="R366" s="91"/>
      <c r="S366" s="92"/>
      <c r="T366" s="93"/>
    </row>
    <row r="367" spans="1:20" s="94" customFormat="1" x14ac:dyDescent="0.3">
      <c r="A367" s="82"/>
      <c r="B367" s="83"/>
      <c r="C367" s="87"/>
      <c r="D367" s="84"/>
      <c r="E367" s="83"/>
      <c r="F367" s="82"/>
      <c r="G367" s="85"/>
      <c r="H367" s="86" t="e">
        <f>IF(I367="fora",0%,G367/QUÓRUM!$C$6)</f>
        <v>#DIV/0!</v>
      </c>
      <c r="I367" s="87"/>
      <c r="J367" s="88"/>
      <c r="K367" s="88"/>
      <c r="L367" s="89"/>
      <c r="M367" s="89"/>
      <c r="N367" s="90"/>
      <c r="O367" s="87"/>
      <c r="P367" s="87"/>
      <c r="Q367" s="90"/>
      <c r="R367" s="91"/>
      <c r="S367" s="92"/>
      <c r="T367" s="93"/>
    </row>
    <row r="368" spans="1:20" s="94" customFormat="1" x14ac:dyDescent="0.3">
      <c r="A368" s="82"/>
      <c r="B368" s="83"/>
      <c r="C368" s="87"/>
      <c r="D368" s="84"/>
      <c r="E368" s="83"/>
      <c r="F368" s="82"/>
      <c r="G368" s="85"/>
      <c r="H368" s="86" t="e">
        <f>IF(I368="fora",0%,G368/QUÓRUM!$C$6)</f>
        <v>#DIV/0!</v>
      </c>
      <c r="I368" s="87"/>
      <c r="J368" s="88"/>
      <c r="K368" s="88"/>
      <c r="L368" s="89"/>
      <c r="M368" s="89"/>
      <c r="N368" s="90"/>
      <c r="O368" s="87"/>
      <c r="P368" s="87"/>
      <c r="Q368" s="90"/>
      <c r="R368" s="91"/>
      <c r="S368" s="92"/>
      <c r="T368" s="93"/>
    </row>
    <row r="369" spans="1:20" s="94" customFormat="1" x14ac:dyDescent="0.3">
      <c r="A369" s="82"/>
      <c r="B369" s="83"/>
      <c r="C369" s="87"/>
      <c r="D369" s="84"/>
      <c r="E369" s="83"/>
      <c r="F369" s="82"/>
      <c r="G369" s="85"/>
      <c r="H369" s="86" t="e">
        <f>IF(I369="fora",0%,G369/QUÓRUM!$C$6)</f>
        <v>#DIV/0!</v>
      </c>
      <c r="I369" s="87"/>
      <c r="J369" s="88"/>
      <c r="K369" s="88"/>
      <c r="L369" s="89"/>
      <c r="M369" s="89"/>
      <c r="N369" s="90"/>
      <c r="O369" s="87"/>
      <c r="P369" s="87"/>
      <c r="Q369" s="90"/>
      <c r="R369" s="91"/>
      <c r="S369" s="92"/>
      <c r="T369" s="93"/>
    </row>
    <row r="370" spans="1:20" s="94" customFormat="1" x14ac:dyDescent="0.3">
      <c r="A370" s="82"/>
      <c r="B370" s="83"/>
      <c r="C370" s="87"/>
      <c r="D370" s="84"/>
      <c r="E370" s="83"/>
      <c r="F370" s="82"/>
      <c r="G370" s="85"/>
      <c r="H370" s="86" t="e">
        <f>IF(I370="fora",0%,G370/QUÓRUM!$C$6)</f>
        <v>#DIV/0!</v>
      </c>
      <c r="I370" s="87"/>
      <c r="J370" s="88"/>
      <c r="K370" s="88"/>
      <c r="L370" s="89"/>
      <c r="M370" s="89"/>
      <c r="N370" s="90"/>
      <c r="O370" s="87"/>
      <c r="P370" s="87"/>
      <c r="Q370" s="90"/>
      <c r="R370" s="91"/>
      <c r="S370" s="92"/>
      <c r="T370" s="93"/>
    </row>
    <row r="371" spans="1:20" s="94" customFormat="1" x14ac:dyDescent="0.3">
      <c r="A371" s="82"/>
      <c r="B371" s="83"/>
      <c r="C371" s="87"/>
      <c r="D371" s="84"/>
      <c r="E371" s="83"/>
      <c r="F371" s="82"/>
      <c r="G371" s="85"/>
      <c r="H371" s="86" t="e">
        <f>IF(I371="fora",0%,G371/QUÓRUM!$C$6)</f>
        <v>#DIV/0!</v>
      </c>
      <c r="I371" s="87"/>
      <c r="J371" s="88"/>
      <c r="K371" s="88"/>
      <c r="L371" s="89"/>
      <c r="M371" s="89"/>
      <c r="N371" s="90"/>
      <c r="O371" s="87"/>
      <c r="P371" s="87"/>
      <c r="Q371" s="90"/>
      <c r="R371" s="91"/>
      <c r="S371" s="92"/>
      <c r="T371" s="93"/>
    </row>
    <row r="372" spans="1:20" s="94" customFormat="1" x14ac:dyDescent="0.3">
      <c r="A372" s="82"/>
      <c r="B372" s="83"/>
      <c r="C372" s="87"/>
      <c r="D372" s="84"/>
      <c r="E372" s="83"/>
      <c r="F372" s="82"/>
      <c r="G372" s="85"/>
      <c r="H372" s="86" t="e">
        <f>IF(I372="fora",0%,G372/QUÓRUM!$C$6)</f>
        <v>#DIV/0!</v>
      </c>
      <c r="I372" s="87"/>
      <c r="J372" s="88"/>
      <c r="K372" s="88"/>
      <c r="L372" s="89"/>
      <c r="M372" s="89"/>
      <c r="N372" s="90"/>
      <c r="O372" s="87"/>
      <c r="P372" s="87"/>
      <c r="Q372" s="90"/>
      <c r="R372" s="91"/>
      <c r="S372" s="92"/>
      <c r="T372" s="93"/>
    </row>
    <row r="373" spans="1:20" s="94" customFormat="1" x14ac:dyDescent="0.3">
      <c r="A373" s="82"/>
      <c r="B373" s="83"/>
      <c r="C373" s="87"/>
      <c r="D373" s="84"/>
      <c r="E373" s="83"/>
      <c r="F373" s="82"/>
      <c r="G373" s="85"/>
      <c r="H373" s="86" t="e">
        <f>IF(I373="fora",0%,G373/QUÓRUM!$C$6)</f>
        <v>#DIV/0!</v>
      </c>
      <c r="I373" s="87"/>
      <c r="J373" s="88"/>
      <c r="K373" s="88"/>
      <c r="L373" s="89"/>
      <c r="M373" s="89"/>
      <c r="N373" s="90"/>
      <c r="O373" s="87"/>
      <c r="P373" s="87"/>
      <c r="Q373" s="90"/>
      <c r="R373" s="91"/>
      <c r="S373" s="92"/>
      <c r="T373" s="93"/>
    </row>
    <row r="374" spans="1:20" s="94" customFormat="1" x14ac:dyDescent="0.3">
      <c r="A374" s="82"/>
      <c r="B374" s="83"/>
      <c r="C374" s="87"/>
      <c r="D374" s="84"/>
      <c r="E374" s="83"/>
      <c r="F374" s="82"/>
      <c r="G374" s="85"/>
      <c r="H374" s="86" t="e">
        <f>IF(I374="fora",0%,G374/QUÓRUM!$C$6)</f>
        <v>#DIV/0!</v>
      </c>
      <c r="I374" s="87"/>
      <c r="J374" s="88"/>
      <c r="K374" s="88"/>
      <c r="L374" s="89"/>
      <c r="M374" s="89"/>
      <c r="N374" s="90"/>
      <c r="O374" s="87"/>
      <c r="P374" s="87"/>
      <c r="Q374" s="90"/>
      <c r="R374" s="91"/>
      <c r="S374" s="92"/>
      <c r="T374" s="93"/>
    </row>
    <row r="375" spans="1:20" s="94" customFormat="1" x14ac:dyDescent="0.3">
      <c r="A375" s="82"/>
      <c r="B375" s="83"/>
      <c r="C375" s="87"/>
      <c r="D375" s="84"/>
      <c r="E375" s="83"/>
      <c r="F375" s="82"/>
      <c r="G375" s="85"/>
      <c r="H375" s="86" t="e">
        <f>IF(I375="fora",0%,G375/QUÓRUM!$C$6)</f>
        <v>#DIV/0!</v>
      </c>
      <c r="I375" s="87"/>
      <c r="J375" s="88"/>
      <c r="K375" s="88"/>
      <c r="L375" s="89"/>
      <c r="M375" s="89"/>
      <c r="N375" s="90"/>
      <c r="O375" s="87"/>
      <c r="P375" s="87"/>
      <c r="Q375" s="90"/>
      <c r="R375" s="91"/>
      <c r="S375" s="92"/>
      <c r="T375" s="93"/>
    </row>
    <row r="376" spans="1:20" s="94" customFormat="1" x14ac:dyDescent="0.3">
      <c r="A376" s="82"/>
      <c r="B376" s="83"/>
      <c r="C376" s="87"/>
      <c r="D376" s="84"/>
      <c r="E376" s="83"/>
      <c r="F376" s="82"/>
      <c r="G376" s="85"/>
      <c r="H376" s="86" t="e">
        <f>IF(I376="fora",0%,G376/QUÓRUM!$C$6)</f>
        <v>#DIV/0!</v>
      </c>
      <c r="I376" s="87"/>
      <c r="J376" s="88"/>
      <c r="K376" s="88"/>
      <c r="L376" s="89"/>
      <c r="M376" s="89"/>
      <c r="N376" s="90"/>
      <c r="O376" s="87"/>
      <c r="P376" s="87"/>
      <c r="Q376" s="90"/>
      <c r="R376" s="91"/>
      <c r="S376" s="92"/>
      <c r="T376" s="93"/>
    </row>
    <row r="377" spans="1:20" s="94" customFormat="1" x14ac:dyDescent="0.3">
      <c r="A377" s="82"/>
      <c r="B377" s="83"/>
      <c r="C377" s="87"/>
      <c r="D377" s="84"/>
      <c r="E377" s="83"/>
      <c r="F377" s="82"/>
      <c r="G377" s="85"/>
      <c r="H377" s="86" t="e">
        <f>IF(I377="fora",0%,G377/QUÓRUM!$C$6)</f>
        <v>#DIV/0!</v>
      </c>
      <c r="I377" s="87"/>
      <c r="J377" s="88"/>
      <c r="K377" s="88"/>
      <c r="L377" s="89"/>
      <c r="M377" s="89"/>
      <c r="N377" s="90"/>
      <c r="O377" s="87"/>
      <c r="P377" s="87"/>
      <c r="Q377" s="90"/>
      <c r="R377" s="91"/>
      <c r="S377" s="92"/>
      <c r="T377" s="93"/>
    </row>
    <row r="378" spans="1:20" s="94" customFormat="1" x14ac:dyDescent="0.3">
      <c r="A378" s="82"/>
      <c r="B378" s="83"/>
      <c r="C378" s="87"/>
      <c r="D378" s="84"/>
      <c r="E378" s="83"/>
      <c r="F378" s="82"/>
      <c r="G378" s="85"/>
      <c r="H378" s="86" t="e">
        <f>IF(I378="fora",0%,G378/QUÓRUM!$C$6)</f>
        <v>#DIV/0!</v>
      </c>
      <c r="I378" s="87"/>
      <c r="J378" s="88"/>
      <c r="K378" s="88"/>
      <c r="L378" s="89"/>
      <c r="M378" s="89"/>
      <c r="N378" s="90"/>
      <c r="O378" s="87"/>
      <c r="P378" s="87"/>
      <c r="Q378" s="90"/>
      <c r="R378" s="91"/>
      <c r="S378" s="92"/>
      <c r="T378" s="93"/>
    </row>
    <row r="379" spans="1:20" s="94" customFormat="1" x14ac:dyDescent="0.3">
      <c r="A379" s="82"/>
      <c r="B379" s="83"/>
      <c r="C379" s="87"/>
      <c r="D379" s="84"/>
      <c r="E379" s="83"/>
      <c r="F379" s="82"/>
      <c r="G379" s="85"/>
      <c r="H379" s="86" t="e">
        <f>IF(I379="fora",0%,G379/QUÓRUM!$C$6)</f>
        <v>#DIV/0!</v>
      </c>
      <c r="I379" s="87"/>
      <c r="J379" s="88"/>
      <c r="K379" s="88"/>
      <c r="L379" s="89"/>
      <c r="M379" s="89"/>
      <c r="N379" s="90"/>
      <c r="O379" s="87"/>
      <c r="P379" s="87"/>
      <c r="Q379" s="90"/>
      <c r="R379" s="91"/>
      <c r="S379" s="92"/>
      <c r="T379" s="93"/>
    </row>
    <row r="380" spans="1:20" s="94" customFormat="1" x14ac:dyDescent="0.3">
      <c r="A380" s="82"/>
      <c r="B380" s="83"/>
      <c r="C380" s="87"/>
      <c r="D380" s="84"/>
      <c r="E380" s="83"/>
      <c r="F380" s="82"/>
      <c r="G380" s="85"/>
      <c r="H380" s="86" t="e">
        <f>IF(I380="fora",0%,G380/QUÓRUM!$C$6)</f>
        <v>#DIV/0!</v>
      </c>
      <c r="I380" s="87"/>
      <c r="J380" s="88"/>
      <c r="K380" s="88"/>
      <c r="L380" s="89"/>
      <c r="M380" s="89"/>
      <c r="N380" s="90"/>
      <c r="O380" s="87"/>
      <c r="P380" s="87"/>
      <c r="Q380" s="90"/>
      <c r="R380" s="91"/>
      <c r="S380" s="92"/>
      <c r="T380" s="93"/>
    </row>
    <row r="381" spans="1:20" s="94" customFormat="1" x14ac:dyDescent="0.3">
      <c r="A381" s="82"/>
      <c r="B381" s="83"/>
      <c r="C381" s="87"/>
      <c r="D381" s="84"/>
      <c r="E381" s="83"/>
      <c r="F381" s="82"/>
      <c r="G381" s="85"/>
      <c r="H381" s="86" t="e">
        <f>IF(I381="fora",0%,G381/QUÓRUM!$C$6)</f>
        <v>#DIV/0!</v>
      </c>
      <c r="I381" s="87"/>
      <c r="J381" s="88"/>
      <c r="K381" s="88"/>
      <c r="L381" s="89"/>
      <c r="M381" s="89"/>
      <c r="N381" s="90"/>
      <c r="O381" s="87"/>
      <c r="P381" s="87"/>
      <c r="Q381" s="90"/>
      <c r="R381" s="91"/>
      <c r="S381" s="92"/>
      <c r="T381" s="93"/>
    </row>
    <row r="382" spans="1:20" s="94" customFormat="1" x14ac:dyDescent="0.3">
      <c r="A382" s="82"/>
      <c r="B382" s="83"/>
      <c r="C382" s="87"/>
      <c r="D382" s="84"/>
      <c r="E382" s="83"/>
      <c r="F382" s="82"/>
      <c r="G382" s="85"/>
      <c r="H382" s="86" t="e">
        <f>IF(I382="fora",0%,G382/QUÓRUM!$C$6)</f>
        <v>#DIV/0!</v>
      </c>
      <c r="I382" s="87"/>
      <c r="J382" s="88"/>
      <c r="K382" s="88"/>
      <c r="L382" s="89"/>
      <c r="M382" s="89"/>
      <c r="N382" s="90"/>
      <c r="O382" s="87"/>
      <c r="P382" s="87"/>
      <c r="Q382" s="90"/>
      <c r="R382" s="91"/>
      <c r="S382" s="92"/>
      <c r="T382" s="93"/>
    </row>
    <row r="383" spans="1:20" s="94" customFormat="1" x14ac:dyDescent="0.3">
      <c r="A383" s="82"/>
      <c r="B383" s="83"/>
      <c r="C383" s="87"/>
      <c r="D383" s="84"/>
      <c r="E383" s="83"/>
      <c r="F383" s="82"/>
      <c r="G383" s="85"/>
      <c r="H383" s="86" t="e">
        <f>IF(I383="fora",0%,G383/QUÓRUM!$C$6)</f>
        <v>#DIV/0!</v>
      </c>
      <c r="I383" s="87"/>
      <c r="J383" s="88"/>
      <c r="K383" s="88"/>
      <c r="L383" s="89"/>
      <c r="M383" s="89"/>
      <c r="N383" s="90"/>
      <c r="O383" s="87"/>
      <c r="P383" s="87"/>
      <c r="Q383" s="90"/>
      <c r="R383" s="91"/>
      <c r="S383" s="92"/>
      <c r="T383" s="93"/>
    </row>
    <row r="384" spans="1:20" s="94" customFormat="1" x14ac:dyDescent="0.3">
      <c r="A384" s="82"/>
      <c r="B384" s="83"/>
      <c r="C384" s="87"/>
      <c r="D384" s="84"/>
      <c r="E384" s="83"/>
      <c r="F384" s="82"/>
      <c r="G384" s="85"/>
      <c r="H384" s="86" t="e">
        <f>IF(I384="fora",0%,G384/QUÓRUM!$C$6)</f>
        <v>#DIV/0!</v>
      </c>
      <c r="I384" s="87"/>
      <c r="J384" s="88"/>
      <c r="K384" s="88"/>
      <c r="L384" s="89"/>
      <c r="M384" s="89"/>
      <c r="N384" s="90"/>
      <c r="O384" s="87"/>
      <c r="P384" s="87"/>
      <c r="Q384" s="90"/>
      <c r="R384" s="91"/>
      <c r="S384" s="92"/>
      <c r="T384" s="93"/>
    </row>
    <row r="385" spans="1:20" s="94" customFormat="1" x14ac:dyDescent="0.3">
      <c r="A385" s="82"/>
      <c r="B385" s="83"/>
      <c r="C385" s="87"/>
      <c r="D385" s="84"/>
      <c r="E385" s="83"/>
      <c r="F385" s="82"/>
      <c r="G385" s="85"/>
      <c r="H385" s="86" t="e">
        <f>IF(I385="fora",0%,G385/QUÓRUM!$C$6)</f>
        <v>#DIV/0!</v>
      </c>
      <c r="I385" s="87"/>
      <c r="J385" s="88"/>
      <c r="K385" s="88"/>
      <c r="L385" s="89"/>
      <c r="M385" s="89"/>
      <c r="N385" s="90"/>
      <c r="O385" s="87"/>
      <c r="P385" s="87"/>
      <c r="Q385" s="90"/>
      <c r="R385" s="91"/>
      <c r="S385" s="92"/>
      <c r="T385" s="93"/>
    </row>
    <row r="386" spans="1:20" s="94" customFormat="1" x14ac:dyDescent="0.3">
      <c r="A386" s="82"/>
      <c r="B386" s="83"/>
      <c r="C386" s="87"/>
      <c r="D386" s="84"/>
      <c r="E386" s="83"/>
      <c r="F386" s="82"/>
      <c r="G386" s="85"/>
      <c r="H386" s="86" t="e">
        <f>IF(I386="fora",0%,G386/QUÓRUM!$C$6)</f>
        <v>#DIV/0!</v>
      </c>
      <c r="I386" s="87"/>
      <c r="J386" s="88"/>
      <c r="K386" s="88"/>
      <c r="L386" s="89"/>
      <c r="M386" s="89"/>
      <c r="N386" s="90"/>
      <c r="O386" s="87"/>
      <c r="P386" s="87"/>
      <c r="Q386" s="90"/>
      <c r="R386" s="91"/>
      <c r="S386" s="92"/>
      <c r="T386" s="93"/>
    </row>
    <row r="387" spans="1:20" s="94" customFormat="1" x14ac:dyDescent="0.3">
      <c r="A387" s="82"/>
      <c r="B387" s="83"/>
      <c r="C387" s="87"/>
      <c r="D387" s="84"/>
      <c r="E387" s="83"/>
      <c r="F387" s="82"/>
      <c r="G387" s="85"/>
      <c r="H387" s="86" t="e">
        <f>IF(I387="fora",0%,G387/QUÓRUM!$C$6)</f>
        <v>#DIV/0!</v>
      </c>
      <c r="I387" s="87"/>
      <c r="J387" s="88"/>
      <c r="K387" s="88"/>
      <c r="L387" s="89"/>
      <c r="M387" s="89"/>
      <c r="N387" s="90"/>
      <c r="O387" s="87"/>
      <c r="P387" s="87"/>
      <c r="Q387" s="90"/>
      <c r="R387" s="91"/>
      <c r="S387" s="92"/>
      <c r="T387" s="93"/>
    </row>
    <row r="388" spans="1:20" s="94" customFormat="1" x14ac:dyDescent="0.3">
      <c r="A388" s="82"/>
      <c r="B388" s="83"/>
      <c r="C388" s="87"/>
      <c r="D388" s="84"/>
      <c r="E388" s="83"/>
      <c r="F388" s="82"/>
      <c r="G388" s="85"/>
      <c r="H388" s="86" t="e">
        <f>IF(I388="fora",0%,G388/QUÓRUM!$C$6)</f>
        <v>#DIV/0!</v>
      </c>
      <c r="I388" s="87"/>
      <c r="J388" s="88"/>
      <c r="K388" s="88"/>
      <c r="L388" s="89"/>
      <c r="M388" s="89"/>
      <c r="N388" s="90"/>
      <c r="O388" s="87"/>
      <c r="P388" s="87"/>
      <c r="Q388" s="90"/>
      <c r="R388" s="91"/>
      <c r="S388" s="92"/>
      <c r="T388" s="93"/>
    </row>
    <row r="389" spans="1:20" s="94" customFormat="1" x14ac:dyDescent="0.3">
      <c r="A389" s="82"/>
      <c r="B389" s="83"/>
      <c r="C389" s="87"/>
      <c r="D389" s="84"/>
      <c r="E389" s="83"/>
      <c r="F389" s="82"/>
      <c r="G389" s="85"/>
      <c r="H389" s="86" t="e">
        <f>IF(I389="fora",0%,G389/QUÓRUM!$C$6)</f>
        <v>#DIV/0!</v>
      </c>
      <c r="I389" s="87"/>
      <c r="J389" s="88"/>
      <c r="K389" s="88"/>
      <c r="L389" s="89"/>
      <c r="M389" s="89"/>
      <c r="N389" s="90"/>
      <c r="O389" s="87"/>
      <c r="P389" s="87"/>
      <c r="Q389" s="90"/>
      <c r="R389" s="91"/>
      <c r="S389" s="92"/>
      <c r="T389" s="93"/>
    </row>
    <row r="390" spans="1:20" s="94" customFormat="1" x14ac:dyDescent="0.3">
      <c r="A390" s="82"/>
      <c r="B390" s="83"/>
      <c r="C390" s="87"/>
      <c r="D390" s="84"/>
      <c r="E390" s="83"/>
      <c r="F390" s="82"/>
      <c r="G390" s="85"/>
      <c r="H390" s="86" t="e">
        <f>IF(I390="fora",0%,G390/QUÓRUM!$C$6)</f>
        <v>#DIV/0!</v>
      </c>
      <c r="I390" s="87"/>
      <c r="J390" s="88"/>
      <c r="K390" s="88"/>
      <c r="L390" s="89"/>
      <c r="M390" s="89"/>
      <c r="N390" s="90"/>
      <c r="O390" s="87"/>
      <c r="P390" s="87"/>
      <c r="Q390" s="90"/>
      <c r="R390" s="91"/>
      <c r="S390" s="92"/>
      <c r="T390" s="93"/>
    </row>
    <row r="391" spans="1:20" s="94" customFormat="1" x14ac:dyDescent="0.3">
      <c r="A391" s="82"/>
      <c r="B391" s="83"/>
      <c r="C391" s="87"/>
      <c r="D391" s="84"/>
      <c r="E391" s="83"/>
      <c r="F391" s="82"/>
      <c r="G391" s="85"/>
      <c r="H391" s="86" t="e">
        <f>IF(I391="fora",0%,G391/QUÓRUM!$C$6)</f>
        <v>#DIV/0!</v>
      </c>
      <c r="I391" s="87"/>
      <c r="J391" s="88"/>
      <c r="K391" s="88"/>
      <c r="L391" s="89"/>
      <c r="M391" s="89"/>
      <c r="N391" s="90"/>
      <c r="O391" s="87"/>
      <c r="P391" s="87"/>
      <c r="Q391" s="90"/>
      <c r="R391" s="91"/>
      <c r="S391" s="92"/>
      <c r="T391" s="93"/>
    </row>
    <row r="392" spans="1:20" s="94" customFormat="1" x14ac:dyDescent="0.3">
      <c r="A392" s="82"/>
      <c r="B392" s="83"/>
      <c r="C392" s="87"/>
      <c r="D392" s="84"/>
      <c r="E392" s="83"/>
      <c r="F392" s="82"/>
      <c r="G392" s="85"/>
      <c r="H392" s="86" t="e">
        <f>IF(I392="fora",0%,G392/QUÓRUM!$C$6)</f>
        <v>#DIV/0!</v>
      </c>
      <c r="I392" s="87"/>
      <c r="J392" s="88"/>
      <c r="K392" s="88"/>
      <c r="L392" s="89"/>
      <c r="M392" s="89"/>
      <c r="N392" s="90"/>
      <c r="O392" s="87"/>
      <c r="P392" s="87"/>
      <c r="Q392" s="90"/>
      <c r="R392" s="91"/>
      <c r="S392" s="92"/>
      <c r="T392" s="93"/>
    </row>
    <row r="393" spans="1:20" s="94" customFormat="1" x14ac:dyDescent="0.3">
      <c r="A393" s="82"/>
      <c r="B393" s="83"/>
      <c r="C393" s="87"/>
      <c r="D393" s="84"/>
      <c r="E393" s="83"/>
      <c r="F393" s="82"/>
      <c r="G393" s="85"/>
      <c r="H393" s="86" t="e">
        <f>IF(I393="fora",0%,G393/QUÓRUM!$C$6)</f>
        <v>#DIV/0!</v>
      </c>
      <c r="I393" s="87"/>
      <c r="J393" s="88"/>
      <c r="K393" s="88"/>
      <c r="L393" s="89"/>
      <c r="M393" s="89"/>
      <c r="N393" s="90"/>
      <c r="O393" s="87"/>
      <c r="P393" s="87"/>
      <c r="Q393" s="90"/>
      <c r="R393" s="91"/>
      <c r="S393" s="92"/>
      <c r="T393" s="93"/>
    </row>
    <row r="394" spans="1:20" s="94" customFormat="1" x14ac:dyDescent="0.3">
      <c r="A394" s="82"/>
      <c r="B394" s="83"/>
      <c r="C394" s="87"/>
      <c r="D394" s="84"/>
      <c r="E394" s="83"/>
      <c r="F394" s="82"/>
      <c r="G394" s="85"/>
      <c r="H394" s="86" t="e">
        <f>IF(I394="fora",0%,G394/QUÓRUM!$C$6)</f>
        <v>#DIV/0!</v>
      </c>
      <c r="I394" s="87"/>
      <c r="J394" s="88"/>
      <c r="K394" s="88"/>
      <c r="L394" s="89"/>
      <c r="M394" s="89"/>
      <c r="N394" s="90"/>
      <c r="O394" s="87"/>
      <c r="P394" s="87"/>
      <c r="Q394" s="90"/>
      <c r="R394" s="91"/>
      <c r="S394" s="92"/>
      <c r="T394" s="93"/>
    </row>
    <row r="395" spans="1:20" s="94" customFormat="1" x14ac:dyDescent="0.3">
      <c r="A395" s="82"/>
      <c r="B395" s="83"/>
      <c r="C395" s="87"/>
      <c r="D395" s="84"/>
      <c r="E395" s="83"/>
      <c r="F395" s="82"/>
      <c r="G395" s="85"/>
      <c r="H395" s="86" t="e">
        <f>IF(I395="fora",0%,G395/QUÓRUM!$C$6)</f>
        <v>#DIV/0!</v>
      </c>
      <c r="I395" s="87"/>
      <c r="J395" s="88"/>
      <c r="K395" s="88"/>
      <c r="L395" s="89"/>
      <c r="M395" s="89"/>
      <c r="N395" s="90"/>
      <c r="O395" s="87"/>
      <c r="P395" s="87"/>
      <c r="Q395" s="90"/>
      <c r="R395" s="91"/>
      <c r="S395" s="92"/>
      <c r="T395" s="93"/>
    </row>
    <row r="396" spans="1:20" s="94" customFormat="1" x14ac:dyDescent="0.3">
      <c r="A396" s="82"/>
      <c r="B396" s="83"/>
      <c r="C396" s="87"/>
      <c r="D396" s="84"/>
      <c r="E396" s="83"/>
      <c r="F396" s="82"/>
      <c r="G396" s="85"/>
      <c r="H396" s="86" t="e">
        <f>IF(I396="fora",0%,G396/QUÓRUM!$C$6)</f>
        <v>#DIV/0!</v>
      </c>
      <c r="I396" s="87"/>
      <c r="J396" s="88"/>
      <c r="K396" s="88"/>
      <c r="L396" s="89"/>
      <c r="M396" s="89"/>
      <c r="N396" s="90"/>
      <c r="O396" s="87"/>
      <c r="P396" s="87"/>
      <c r="Q396" s="90"/>
      <c r="R396" s="91"/>
      <c r="S396" s="92"/>
      <c r="T396" s="93"/>
    </row>
    <row r="397" spans="1:20" s="94" customFormat="1" x14ac:dyDescent="0.3">
      <c r="A397" s="82"/>
      <c r="B397" s="83"/>
      <c r="C397" s="87"/>
      <c r="D397" s="84"/>
      <c r="E397" s="83"/>
      <c r="F397" s="82"/>
      <c r="G397" s="85"/>
      <c r="H397" s="86" t="e">
        <f>IF(I397="fora",0%,G397/QUÓRUM!$C$6)</f>
        <v>#DIV/0!</v>
      </c>
      <c r="I397" s="87"/>
      <c r="J397" s="88"/>
      <c r="K397" s="88"/>
      <c r="L397" s="89"/>
      <c r="M397" s="89"/>
      <c r="N397" s="90"/>
      <c r="O397" s="87"/>
      <c r="P397" s="87"/>
      <c r="Q397" s="90"/>
      <c r="R397" s="91"/>
      <c r="S397" s="92"/>
      <c r="T397" s="93"/>
    </row>
    <row r="398" spans="1:20" s="94" customFormat="1" x14ac:dyDescent="0.3">
      <c r="A398" s="82"/>
      <c r="B398" s="83"/>
      <c r="C398" s="87"/>
      <c r="D398" s="84"/>
      <c r="E398" s="83"/>
      <c r="F398" s="82"/>
      <c r="G398" s="85"/>
      <c r="H398" s="86" t="e">
        <f>IF(I398="fora",0%,G398/QUÓRUM!$C$6)</f>
        <v>#DIV/0!</v>
      </c>
      <c r="I398" s="87"/>
      <c r="J398" s="88"/>
      <c r="K398" s="88"/>
      <c r="L398" s="89"/>
      <c r="M398" s="89"/>
      <c r="N398" s="90"/>
      <c r="O398" s="87"/>
      <c r="P398" s="87"/>
      <c r="Q398" s="90"/>
      <c r="R398" s="91"/>
      <c r="S398" s="92"/>
      <c r="T398" s="93"/>
    </row>
    <row r="399" spans="1:20" s="94" customFormat="1" x14ac:dyDescent="0.3">
      <c r="A399" s="82"/>
      <c r="B399" s="83"/>
      <c r="C399" s="87"/>
      <c r="D399" s="84"/>
      <c r="E399" s="83"/>
      <c r="F399" s="82"/>
      <c r="G399" s="85"/>
      <c r="H399" s="86" t="e">
        <f>IF(I399="fora",0%,G399/QUÓRUM!$C$6)</f>
        <v>#DIV/0!</v>
      </c>
      <c r="I399" s="87"/>
      <c r="J399" s="88"/>
      <c r="K399" s="88"/>
      <c r="L399" s="89"/>
      <c r="M399" s="89"/>
      <c r="N399" s="90"/>
      <c r="O399" s="87"/>
      <c r="P399" s="87"/>
      <c r="Q399" s="90"/>
      <c r="R399" s="91"/>
      <c r="S399" s="92"/>
      <c r="T399" s="93"/>
    </row>
    <row r="400" spans="1:20" s="94" customFormat="1" x14ac:dyDescent="0.3">
      <c r="A400" s="82"/>
      <c r="B400" s="83"/>
      <c r="C400" s="87"/>
      <c r="D400" s="84"/>
      <c r="E400" s="83"/>
      <c r="F400" s="82"/>
      <c r="G400" s="85"/>
      <c r="H400" s="86" t="e">
        <f>IF(I400="fora",0%,G400/QUÓRUM!$C$6)</f>
        <v>#DIV/0!</v>
      </c>
      <c r="I400" s="87"/>
      <c r="J400" s="88"/>
      <c r="K400" s="88"/>
      <c r="L400" s="89"/>
      <c r="M400" s="89"/>
      <c r="N400" s="90"/>
      <c r="O400" s="87"/>
      <c r="P400" s="87"/>
      <c r="Q400" s="90"/>
      <c r="R400" s="91"/>
      <c r="S400" s="92"/>
      <c r="T400" s="93"/>
    </row>
    <row r="401" spans="1:20" s="94" customFormat="1" x14ac:dyDescent="0.3">
      <c r="A401" s="82"/>
      <c r="B401" s="83"/>
      <c r="C401" s="87"/>
      <c r="D401" s="84"/>
      <c r="E401" s="83"/>
      <c r="F401" s="82"/>
      <c r="G401" s="85"/>
      <c r="H401" s="86" t="e">
        <f>IF(I401="fora",0%,G401/QUÓRUM!$C$6)</f>
        <v>#DIV/0!</v>
      </c>
      <c r="I401" s="87"/>
      <c r="J401" s="88"/>
      <c r="K401" s="88"/>
      <c r="L401" s="89"/>
      <c r="M401" s="89"/>
      <c r="N401" s="90"/>
      <c r="O401" s="87"/>
      <c r="P401" s="87"/>
      <c r="Q401" s="90"/>
      <c r="R401" s="91"/>
      <c r="S401" s="92"/>
      <c r="T401" s="93"/>
    </row>
    <row r="402" spans="1:20" s="94" customFormat="1" x14ac:dyDescent="0.3">
      <c r="A402" s="82"/>
      <c r="B402" s="83"/>
      <c r="C402" s="87"/>
      <c r="D402" s="84"/>
      <c r="E402" s="83"/>
      <c r="F402" s="82"/>
      <c r="G402" s="85"/>
      <c r="H402" s="86" t="e">
        <f>IF(I402="fora",0%,G402/QUÓRUM!$C$6)</f>
        <v>#DIV/0!</v>
      </c>
      <c r="I402" s="87"/>
      <c r="J402" s="88"/>
      <c r="K402" s="88"/>
      <c r="L402" s="89"/>
      <c r="M402" s="89"/>
      <c r="N402" s="90"/>
      <c r="O402" s="87"/>
      <c r="P402" s="87"/>
      <c r="Q402" s="90"/>
      <c r="R402" s="91"/>
      <c r="S402" s="92"/>
      <c r="T402" s="93"/>
    </row>
    <row r="403" spans="1:20" s="94" customFormat="1" x14ac:dyDescent="0.3">
      <c r="A403" s="82"/>
      <c r="B403" s="83"/>
      <c r="C403" s="87"/>
      <c r="D403" s="84"/>
      <c r="E403" s="83"/>
      <c r="F403" s="82"/>
      <c r="G403" s="85"/>
      <c r="H403" s="86" t="e">
        <f>IF(I403="fora",0%,G403/QUÓRUM!$C$6)</f>
        <v>#DIV/0!</v>
      </c>
      <c r="I403" s="87"/>
      <c r="J403" s="88"/>
      <c r="K403" s="88"/>
      <c r="L403" s="89"/>
      <c r="M403" s="89"/>
      <c r="N403" s="90"/>
      <c r="O403" s="87"/>
      <c r="P403" s="87"/>
      <c r="Q403" s="90"/>
      <c r="R403" s="91"/>
      <c r="S403" s="92"/>
      <c r="T403" s="93"/>
    </row>
    <row r="404" spans="1:20" s="94" customFormat="1" x14ac:dyDescent="0.3">
      <c r="A404" s="82"/>
      <c r="B404" s="83"/>
      <c r="C404" s="87"/>
      <c r="D404" s="84"/>
      <c r="E404" s="83"/>
      <c r="F404" s="82"/>
      <c r="G404" s="85"/>
      <c r="H404" s="86" t="e">
        <f>IF(I404="fora",0%,G404/QUÓRUM!$C$6)</f>
        <v>#DIV/0!</v>
      </c>
      <c r="I404" s="87"/>
      <c r="J404" s="88"/>
      <c r="K404" s="88"/>
      <c r="L404" s="89"/>
      <c r="M404" s="89"/>
      <c r="N404" s="90"/>
      <c r="O404" s="87"/>
      <c r="P404" s="87"/>
      <c r="Q404" s="90"/>
      <c r="R404" s="91"/>
      <c r="S404" s="92"/>
      <c r="T404" s="93"/>
    </row>
    <row r="405" spans="1:20" s="94" customFormat="1" x14ac:dyDescent="0.3">
      <c r="A405" s="82"/>
      <c r="B405" s="83"/>
      <c r="C405" s="87"/>
      <c r="D405" s="84"/>
      <c r="E405" s="83"/>
      <c r="F405" s="82"/>
      <c r="G405" s="85"/>
      <c r="H405" s="86" t="e">
        <f>IF(I405="fora",0%,G405/QUÓRUM!$C$6)</f>
        <v>#DIV/0!</v>
      </c>
      <c r="I405" s="87"/>
      <c r="J405" s="88"/>
      <c r="K405" s="88"/>
      <c r="L405" s="89"/>
      <c r="M405" s="89"/>
      <c r="N405" s="90"/>
      <c r="O405" s="87"/>
      <c r="P405" s="87"/>
      <c r="Q405" s="90"/>
      <c r="R405" s="91"/>
      <c r="S405" s="92"/>
      <c r="T405" s="93"/>
    </row>
    <row r="406" spans="1:20" s="94" customFormat="1" x14ac:dyDescent="0.3">
      <c r="A406" s="82"/>
      <c r="B406" s="83"/>
      <c r="C406" s="87"/>
      <c r="D406" s="84"/>
      <c r="E406" s="83"/>
      <c r="F406" s="82"/>
      <c r="G406" s="85"/>
      <c r="H406" s="86" t="e">
        <f>IF(I406="fora",0%,G406/QUÓRUM!$C$6)</f>
        <v>#DIV/0!</v>
      </c>
      <c r="I406" s="87"/>
      <c r="J406" s="88"/>
      <c r="K406" s="88"/>
      <c r="L406" s="89"/>
      <c r="M406" s="89"/>
      <c r="N406" s="90"/>
      <c r="O406" s="87"/>
      <c r="P406" s="87"/>
      <c r="Q406" s="90"/>
      <c r="R406" s="91"/>
      <c r="S406" s="92"/>
      <c r="T406" s="93"/>
    </row>
    <row r="407" spans="1:20" s="94" customFormat="1" x14ac:dyDescent="0.3">
      <c r="A407" s="82"/>
      <c r="B407" s="83"/>
      <c r="C407" s="87"/>
      <c r="D407" s="84"/>
      <c r="E407" s="83"/>
      <c r="F407" s="82"/>
      <c r="G407" s="85"/>
      <c r="H407" s="86" t="e">
        <f>IF(I407="fora",0%,G407/QUÓRUM!$C$6)</f>
        <v>#DIV/0!</v>
      </c>
      <c r="I407" s="87"/>
      <c r="J407" s="88"/>
      <c r="K407" s="88"/>
      <c r="L407" s="89"/>
      <c r="M407" s="89"/>
      <c r="N407" s="90"/>
      <c r="O407" s="87"/>
      <c r="P407" s="87"/>
      <c r="Q407" s="90"/>
      <c r="R407" s="91"/>
      <c r="S407" s="92"/>
      <c r="T407" s="93"/>
    </row>
    <row r="408" spans="1:20" s="94" customFormat="1" x14ac:dyDescent="0.3">
      <c r="A408" s="82"/>
      <c r="B408" s="83"/>
      <c r="C408" s="87"/>
      <c r="D408" s="84"/>
      <c r="E408" s="83"/>
      <c r="F408" s="82"/>
      <c r="G408" s="85"/>
      <c r="H408" s="86" t="e">
        <f>IF(I408="fora",0%,G408/QUÓRUM!$C$6)</f>
        <v>#DIV/0!</v>
      </c>
      <c r="I408" s="87"/>
      <c r="J408" s="88"/>
      <c r="K408" s="88"/>
      <c r="L408" s="89"/>
      <c r="M408" s="89"/>
      <c r="N408" s="90"/>
      <c r="O408" s="87"/>
      <c r="P408" s="87"/>
      <c r="Q408" s="90"/>
      <c r="R408" s="91"/>
      <c r="S408" s="92"/>
      <c r="T408" s="93"/>
    </row>
    <row r="409" spans="1:20" s="94" customFormat="1" x14ac:dyDescent="0.3">
      <c r="A409" s="82"/>
      <c r="B409" s="83"/>
      <c r="C409" s="87"/>
      <c r="D409" s="84"/>
      <c r="E409" s="83"/>
      <c r="F409" s="82"/>
      <c r="G409" s="85"/>
      <c r="H409" s="86" t="e">
        <f>IF(I409="fora",0%,G409/QUÓRUM!$C$6)</f>
        <v>#DIV/0!</v>
      </c>
      <c r="I409" s="87"/>
      <c r="J409" s="88"/>
      <c r="K409" s="88"/>
      <c r="L409" s="89"/>
      <c r="M409" s="89"/>
      <c r="N409" s="90"/>
      <c r="O409" s="87"/>
      <c r="P409" s="87"/>
      <c r="Q409" s="90"/>
      <c r="R409" s="91"/>
      <c r="S409" s="92"/>
      <c r="T409" s="93"/>
    </row>
    <row r="410" spans="1:20" s="94" customFormat="1" x14ac:dyDescent="0.3">
      <c r="A410" s="82"/>
      <c r="B410" s="83"/>
      <c r="C410" s="87"/>
      <c r="D410" s="84"/>
      <c r="E410" s="83"/>
      <c r="F410" s="82"/>
      <c r="G410" s="85"/>
      <c r="H410" s="86" t="e">
        <f>IF(I410="fora",0%,G410/QUÓRUM!$C$6)</f>
        <v>#DIV/0!</v>
      </c>
      <c r="I410" s="87"/>
      <c r="J410" s="88"/>
      <c r="K410" s="88"/>
      <c r="L410" s="89"/>
      <c r="M410" s="89"/>
      <c r="N410" s="90"/>
      <c r="O410" s="87"/>
      <c r="P410" s="87"/>
      <c r="Q410" s="90"/>
      <c r="R410" s="91"/>
      <c r="S410" s="92"/>
      <c r="T410" s="93"/>
    </row>
    <row r="411" spans="1:20" s="94" customFormat="1" x14ac:dyDescent="0.3">
      <c r="A411" s="82"/>
      <c r="B411" s="83"/>
      <c r="C411" s="87"/>
      <c r="D411" s="84"/>
      <c r="E411" s="83"/>
      <c r="F411" s="82"/>
      <c r="G411" s="85"/>
      <c r="H411" s="86" t="e">
        <f>IF(I411="fora",0%,G411/QUÓRUM!$C$6)</f>
        <v>#DIV/0!</v>
      </c>
      <c r="I411" s="87"/>
      <c r="J411" s="88"/>
      <c r="K411" s="88"/>
      <c r="L411" s="89"/>
      <c r="M411" s="89"/>
      <c r="N411" s="90"/>
      <c r="O411" s="87"/>
      <c r="P411" s="87"/>
      <c r="Q411" s="90"/>
      <c r="R411" s="91"/>
      <c r="S411" s="92"/>
      <c r="T411" s="93"/>
    </row>
    <row r="412" spans="1:20" s="94" customFormat="1" x14ac:dyDescent="0.3">
      <c r="A412" s="82"/>
      <c r="B412" s="83"/>
      <c r="C412" s="87"/>
      <c r="D412" s="84"/>
      <c r="E412" s="83"/>
      <c r="F412" s="82"/>
      <c r="G412" s="85"/>
      <c r="H412" s="86" t="e">
        <f>IF(I412="fora",0%,G412/QUÓRUM!$C$6)</f>
        <v>#DIV/0!</v>
      </c>
      <c r="I412" s="87"/>
      <c r="J412" s="88"/>
      <c r="K412" s="88"/>
      <c r="L412" s="89"/>
      <c r="M412" s="89"/>
      <c r="N412" s="90"/>
      <c r="O412" s="87"/>
      <c r="P412" s="87"/>
      <c r="Q412" s="90"/>
      <c r="R412" s="91"/>
      <c r="S412" s="92"/>
      <c r="T412" s="93"/>
    </row>
    <row r="413" spans="1:20" s="94" customFormat="1" x14ac:dyDescent="0.3">
      <c r="A413" s="82"/>
      <c r="B413" s="83"/>
      <c r="C413" s="87"/>
      <c r="D413" s="84"/>
      <c r="E413" s="83"/>
      <c r="F413" s="82"/>
      <c r="G413" s="85"/>
      <c r="H413" s="86" t="e">
        <f>IF(I413="fora",0%,G413/QUÓRUM!$C$6)</f>
        <v>#DIV/0!</v>
      </c>
      <c r="I413" s="87"/>
      <c r="J413" s="88"/>
      <c r="K413" s="88"/>
      <c r="L413" s="89"/>
      <c r="M413" s="89"/>
      <c r="N413" s="90"/>
      <c r="O413" s="87"/>
      <c r="P413" s="87"/>
      <c r="Q413" s="90"/>
      <c r="R413" s="91"/>
      <c r="S413" s="92"/>
      <c r="T413" s="93"/>
    </row>
    <row r="414" spans="1:20" s="94" customFormat="1" x14ac:dyDescent="0.3">
      <c r="A414" s="82"/>
      <c r="B414" s="83"/>
      <c r="C414" s="87"/>
      <c r="D414" s="84"/>
      <c r="E414" s="83"/>
      <c r="F414" s="82"/>
      <c r="G414" s="85"/>
      <c r="H414" s="86" t="e">
        <f>IF(I414="fora",0%,G414/QUÓRUM!$C$6)</f>
        <v>#DIV/0!</v>
      </c>
      <c r="I414" s="87"/>
      <c r="J414" s="88"/>
      <c r="K414" s="88"/>
      <c r="L414" s="89"/>
      <c r="M414" s="89"/>
      <c r="N414" s="90"/>
      <c r="O414" s="87"/>
      <c r="P414" s="87"/>
      <c r="Q414" s="90"/>
      <c r="R414" s="91"/>
      <c r="S414" s="92"/>
      <c r="T414" s="93"/>
    </row>
    <row r="415" spans="1:20" s="94" customFormat="1" x14ac:dyDescent="0.3">
      <c r="A415" s="82"/>
      <c r="B415" s="83"/>
      <c r="C415" s="87"/>
      <c r="D415" s="84"/>
      <c r="E415" s="83"/>
      <c r="F415" s="82"/>
      <c r="G415" s="85"/>
      <c r="H415" s="86" t="e">
        <f>IF(I415="fora",0%,G415/QUÓRUM!$C$6)</f>
        <v>#DIV/0!</v>
      </c>
      <c r="I415" s="87"/>
      <c r="J415" s="88"/>
      <c r="K415" s="88"/>
      <c r="L415" s="89"/>
      <c r="M415" s="89"/>
      <c r="N415" s="90"/>
      <c r="O415" s="87"/>
      <c r="P415" s="87"/>
      <c r="Q415" s="90"/>
      <c r="R415" s="91"/>
      <c r="S415" s="92"/>
      <c r="T415" s="93"/>
    </row>
    <row r="416" spans="1:20" s="94" customFormat="1" x14ac:dyDescent="0.3">
      <c r="A416" s="82"/>
      <c r="B416" s="83"/>
      <c r="C416" s="87"/>
      <c r="D416" s="84"/>
      <c r="E416" s="83"/>
      <c r="F416" s="82"/>
      <c r="G416" s="85"/>
      <c r="H416" s="86" t="e">
        <f>IF(I416="fora",0%,G416/QUÓRUM!$C$6)</f>
        <v>#DIV/0!</v>
      </c>
      <c r="I416" s="87"/>
      <c r="J416" s="88"/>
      <c r="K416" s="88"/>
      <c r="L416" s="89"/>
      <c r="M416" s="89"/>
      <c r="N416" s="90"/>
      <c r="O416" s="87"/>
      <c r="P416" s="87"/>
      <c r="Q416" s="90"/>
      <c r="R416" s="91"/>
      <c r="S416" s="92"/>
      <c r="T416" s="93"/>
    </row>
    <row r="417" spans="1:20" s="94" customFormat="1" x14ac:dyDescent="0.3">
      <c r="A417" s="82"/>
      <c r="B417" s="83"/>
      <c r="C417" s="87"/>
      <c r="D417" s="84"/>
      <c r="E417" s="83"/>
      <c r="F417" s="82"/>
      <c r="G417" s="85"/>
      <c r="H417" s="86" t="e">
        <f>IF(I417="fora",0%,G417/QUÓRUM!$C$6)</f>
        <v>#DIV/0!</v>
      </c>
      <c r="I417" s="87"/>
      <c r="J417" s="88"/>
      <c r="K417" s="88"/>
      <c r="L417" s="89"/>
      <c r="M417" s="89"/>
      <c r="N417" s="90"/>
      <c r="O417" s="87"/>
      <c r="P417" s="87"/>
      <c r="Q417" s="90"/>
      <c r="R417" s="91"/>
      <c r="S417" s="92"/>
      <c r="T417" s="93"/>
    </row>
    <row r="418" spans="1:20" s="94" customFormat="1" x14ac:dyDescent="0.3">
      <c r="A418" s="82"/>
      <c r="B418" s="83"/>
      <c r="C418" s="87"/>
      <c r="D418" s="84"/>
      <c r="E418" s="83"/>
      <c r="F418" s="82"/>
      <c r="G418" s="85"/>
      <c r="H418" s="86" t="e">
        <f>IF(I418="fora",0%,G418/QUÓRUM!$C$6)</f>
        <v>#DIV/0!</v>
      </c>
      <c r="I418" s="87"/>
      <c r="J418" s="88"/>
      <c r="K418" s="88"/>
      <c r="L418" s="89"/>
      <c r="M418" s="89"/>
      <c r="N418" s="90"/>
      <c r="O418" s="87"/>
      <c r="P418" s="87"/>
      <c r="Q418" s="90"/>
      <c r="R418" s="91"/>
      <c r="S418" s="92"/>
      <c r="T418" s="93"/>
    </row>
    <row r="419" spans="1:20" s="94" customFormat="1" x14ac:dyDescent="0.3">
      <c r="A419" s="82"/>
      <c r="B419" s="83"/>
      <c r="C419" s="87"/>
      <c r="D419" s="84"/>
      <c r="E419" s="83"/>
      <c r="F419" s="82"/>
      <c r="G419" s="85"/>
      <c r="H419" s="86" t="e">
        <f>IF(I419="fora",0%,G419/QUÓRUM!$C$6)</f>
        <v>#DIV/0!</v>
      </c>
      <c r="I419" s="87"/>
      <c r="J419" s="88"/>
      <c r="K419" s="88"/>
      <c r="L419" s="89"/>
      <c r="M419" s="89"/>
      <c r="N419" s="90"/>
      <c r="O419" s="87"/>
      <c r="P419" s="87"/>
      <c r="Q419" s="90"/>
      <c r="R419" s="91"/>
      <c r="S419" s="92"/>
      <c r="T419" s="93"/>
    </row>
    <row r="420" spans="1:20" s="94" customFormat="1" ht="12" customHeight="1" x14ac:dyDescent="0.3">
      <c r="A420" s="82"/>
      <c r="B420" s="83"/>
      <c r="C420" s="87"/>
      <c r="D420" s="84"/>
      <c r="E420" s="83"/>
      <c r="F420" s="82"/>
      <c r="G420" s="85"/>
      <c r="H420" s="86" t="e">
        <f>IF(I420="fora",0%,G420/QUÓRUM!$C$6)</f>
        <v>#DIV/0!</v>
      </c>
      <c r="I420" s="87"/>
      <c r="J420" s="88"/>
      <c r="K420" s="88"/>
      <c r="L420" s="89"/>
      <c r="M420" s="89"/>
      <c r="N420" s="90"/>
      <c r="O420" s="87"/>
      <c r="P420" s="87"/>
      <c r="Q420" s="90"/>
      <c r="R420" s="91"/>
      <c r="S420" s="92"/>
      <c r="T420" s="93"/>
    </row>
    <row r="421" spans="1:20" s="94" customFormat="1" ht="12" customHeight="1" x14ac:dyDescent="0.3">
      <c r="A421" s="82"/>
      <c r="B421" s="83"/>
      <c r="C421" s="87"/>
      <c r="D421" s="84"/>
      <c r="E421" s="83"/>
      <c r="F421" s="82"/>
      <c r="G421" s="85"/>
      <c r="H421" s="86" t="e">
        <f>IF(I421="fora",0%,G421/QUÓRUM!$C$6)</f>
        <v>#DIV/0!</v>
      </c>
      <c r="I421" s="87"/>
      <c r="J421" s="88"/>
      <c r="K421" s="88"/>
      <c r="L421" s="89"/>
      <c r="M421" s="89"/>
      <c r="N421" s="90"/>
      <c r="O421" s="87"/>
      <c r="P421" s="87"/>
      <c r="Q421" s="90"/>
      <c r="R421" s="91"/>
      <c r="S421" s="92"/>
      <c r="T421" s="93"/>
    </row>
    <row r="422" spans="1:20" s="94" customFormat="1" ht="12" customHeight="1" x14ac:dyDescent="0.3">
      <c r="A422" s="82"/>
      <c r="B422" s="83"/>
      <c r="C422" s="87"/>
      <c r="D422" s="84"/>
      <c r="E422" s="83"/>
      <c r="F422" s="82"/>
      <c r="G422" s="85"/>
      <c r="H422" s="86" t="e">
        <f>IF(I422="fora",0%,G422/QUÓRUM!$C$6)</f>
        <v>#DIV/0!</v>
      </c>
      <c r="I422" s="87"/>
      <c r="J422" s="88"/>
      <c r="K422" s="88"/>
      <c r="L422" s="89"/>
      <c r="M422" s="89"/>
      <c r="N422" s="90"/>
      <c r="O422" s="87"/>
      <c r="P422" s="87"/>
      <c r="Q422" s="90"/>
      <c r="R422" s="91"/>
      <c r="S422" s="92"/>
      <c r="T422" s="93"/>
    </row>
    <row r="423" spans="1:20" s="94" customFormat="1" ht="12" customHeight="1" x14ac:dyDescent="0.3">
      <c r="A423" s="82"/>
      <c r="B423" s="83"/>
      <c r="C423" s="87"/>
      <c r="D423" s="84"/>
      <c r="E423" s="83"/>
      <c r="F423" s="82"/>
      <c r="G423" s="85"/>
      <c r="H423" s="86" t="e">
        <f>IF(I423="fora",0%,G423/QUÓRUM!$C$6)</f>
        <v>#DIV/0!</v>
      </c>
      <c r="I423" s="87"/>
      <c r="J423" s="88"/>
      <c r="K423" s="88"/>
      <c r="L423" s="89"/>
      <c r="M423" s="89"/>
      <c r="N423" s="90"/>
      <c r="O423" s="87"/>
      <c r="P423" s="87"/>
      <c r="Q423" s="90"/>
      <c r="R423" s="91"/>
      <c r="S423" s="92"/>
      <c r="T423" s="93"/>
    </row>
    <row r="424" spans="1:20" s="94" customFormat="1" ht="12" customHeight="1" x14ac:dyDescent="0.3">
      <c r="A424" s="82"/>
      <c r="B424" s="83"/>
      <c r="C424" s="87"/>
      <c r="D424" s="84"/>
      <c r="E424" s="83"/>
      <c r="F424" s="82"/>
      <c r="G424" s="85"/>
      <c r="H424" s="86" t="e">
        <f>IF(I424="fora",0%,G424/QUÓRUM!$C$6)</f>
        <v>#DIV/0!</v>
      </c>
      <c r="I424" s="87"/>
      <c r="J424" s="88"/>
      <c r="K424" s="88"/>
      <c r="L424" s="89"/>
      <c r="M424" s="89"/>
      <c r="N424" s="90"/>
      <c r="O424" s="87"/>
      <c r="P424" s="87"/>
      <c r="Q424" s="87"/>
      <c r="R424" s="91"/>
      <c r="S424" s="92"/>
      <c r="T424" s="93"/>
    </row>
    <row r="425" spans="1:20" s="94" customFormat="1" ht="12" customHeight="1" x14ac:dyDescent="0.3">
      <c r="A425" s="82"/>
      <c r="B425" s="83"/>
      <c r="C425" s="87"/>
      <c r="D425" s="84"/>
      <c r="E425" s="83"/>
      <c r="F425" s="82"/>
      <c r="G425" s="85"/>
      <c r="H425" s="86" t="e">
        <f>IF(I425="fora",0%,G425/QUÓRUM!$C$6)</f>
        <v>#DIV/0!</v>
      </c>
      <c r="I425" s="87"/>
      <c r="J425" s="88"/>
      <c r="K425" s="88"/>
      <c r="L425" s="89"/>
      <c r="M425" s="89"/>
      <c r="N425" s="90"/>
      <c r="O425" s="87"/>
      <c r="P425" s="87"/>
      <c r="Q425" s="87"/>
      <c r="R425" s="91"/>
      <c r="S425" s="92"/>
      <c r="T425" s="93"/>
    </row>
    <row r="426" spans="1:20" s="94" customFormat="1" ht="12" customHeight="1" x14ac:dyDescent="0.3">
      <c r="A426" s="82"/>
      <c r="B426" s="83"/>
      <c r="C426" s="87"/>
      <c r="D426" s="84"/>
      <c r="E426" s="83"/>
      <c r="F426" s="82"/>
      <c r="G426" s="85"/>
      <c r="H426" s="86" t="e">
        <f>IF(I426="fora",0%,G426/QUÓRUM!$C$6)</f>
        <v>#DIV/0!</v>
      </c>
      <c r="I426" s="87"/>
      <c r="J426" s="88"/>
      <c r="K426" s="88"/>
      <c r="L426" s="89"/>
      <c r="M426" s="89"/>
      <c r="N426" s="90"/>
      <c r="O426" s="87"/>
      <c r="P426" s="87"/>
      <c r="Q426" s="87"/>
      <c r="R426" s="91"/>
      <c r="S426" s="92"/>
      <c r="T426" s="93"/>
    </row>
    <row r="427" spans="1:20" s="94" customFormat="1" ht="12" customHeight="1" x14ac:dyDescent="0.3">
      <c r="A427" s="82"/>
      <c r="B427" s="83"/>
      <c r="C427" s="87"/>
      <c r="D427" s="84"/>
      <c r="E427" s="83"/>
      <c r="F427" s="82"/>
      <c r="G427" s="85"/>
      <c r="H427" s="86" t="e">
        <f>IF(I427="fora",0%,G427/QUÓRUM!$C$6)</f>
        <v>#DIV/0!</v>
      </c>
      <c r="I427" s="87"/>
      <c r="J427" s="88"/>
      <c r="K427" s="88"/>
      <c r="L427" s="89"/>
      <c r="M427" s="89"/>
      <c r="N427" s="90"/>
      <c r="O427" s="87"/>
      <c r="P427" s="87"/>
      <c r="Q427" s="87"/>
      <c r="R427" s="91"/>
      <c r="S427" s="92"/>
      <c r="T427" s="93"/>
    </row>
    <row r="428" spans="1:20" s="94" customFormat="1" ht="12" customHeight="1" x14ac:dyDescent="0.3">
      <c r="A428" s="82"/>
      <c r="B428" s="83"/>
      <c r="C428" s="87"/>
      <c r="D428" s="84"/>
      <c r="E428" s="83"/>
      <c r="F428" s="82"/>
      <c r="G428" s="85"/>
      <c r="H428" s="86" t="e">
        <f>IF(I428="fora",0%,G428/QUÓRUM!$C$6)</f>
        <v>#DIV/0!</v>
      </c>
      <c r="I428" s="87"/>
      <c r="J428" s="88"/>
      <c r="K428" s="88"/>
      <c r="L428" s="89"/>
      <c r="M428" s="89"/>
      <c r="N428" s="90"/>
      <c r="O428" s="87"/>
      <c r="P428" s="87"/>
      <c r="Q428" s="87"/>
      <c r="R428" s="91"/>
      <c r="S428" s="92"/>
      <c r="T428" s="93"/>
    </row>
    <row r="429" spans="1:20" s="94" customFormat="1" ht="12" customHeight="1" x14ac:dyDescent="0.3">
      <c r="A429" s="82"/>
      <c r="B429" s="83"/>
      <c r="C429" s="87"/>
      <c r="D429" s="84"/>
      <c r="E429" s="83"/>
      <c r="F429" s="82"/>
      <c r="G429" s="85"/>
      <c r="H429" s="86" t="e">
        <f>IF(I429="fora",0%,G429/QUÓRUM!$C$6)</f>
        <v>#DIV/0!</v>
      </c>
      <c r="I429" s="87"/>
      <c r="J429" s="88"/>
      <c r="K429" s="88"/>
      <c r="L429" s="89"/>
      <c r="M429" s="89"/>
      <c r="N429" s="90"/>
      <c r="O429" s="87"/>
      <c r="P429" s="87"/>
      <c r="Q429" s="87"/>
      <c r="R429" s="91"/>
      <c r="S429" s="92"/>
      <c r="T429" s="93"/>
    </row>
    <row r="430" spans="1:20" s="94" customFormat="1" ht="12" customHeight="1" x14ac:dyDescent="0.3">
      <c r="A430" s="82"/>
      <c r="B430" s="83"/>
      <c r="C430" s="87"/>
      <c r="D430" s="84"/>
      <c r="E430" s="83"/>
      <c r="F430" s="82"/>
      <c r="G430" s="85"/>
      <c r="H430" s="86" t="e">
        <f>IF(I430="fora",0%,G430/QUÓRUM!$C$6)</f>
        <v>#DIV/0!</v>
      </c>
      <c r="I430" s="87"/>
      <c r="J430" s="88"/>
      <c r="K430" s="88"/>
      <c r="L430" s="89"/>
      <c r="M430" s="89"/>
      <c r="N430" s="90"/>
      <c r="O430" s="87"/>
      <c r="P430" s="87"/>
      <c r="Q430" s="87"/>
      <c r="R430" s="91"/>
      <c r="S430" s="92"/>
      <c r="T430" s="93"/>
    </row>
    <row r="431" spans="1:20" s="94" customFormat="1" ht="12" customHeight="1" x14ac:dyDescent="0.3">
      <c r="A431" s="82"/>
      <c r="B431" s="83"/>
      <c r="C431" s="87"/>
      <c r="D431" s="84"/>
      <c r="E431" s="83"/>
      <c r="F431" s="82"/>
      <c r="G431" s="85"/>
      <c r="H431" s="86" t="e">
        <f>IF(I431="fora",0%,G431/QUÓRUM!$C$6)</f>
        <v>#DIV/0!</v>
      </c>
      <c r="I431" s="87"/>
      <c r="J431" s="88"/>
      <c r="K431" s="88"/>
      <c r="L431" s="89"/>
      <c r="M431" s="89"/>
      <c r="N431" s="90"/>
      <c r="O431" s="87"/>
      <c r="P431" s="87"/>
      <c r="Q431" s="87"/>
      <c r="R431" s="91"/>
      <c r="S431" s="92"/>
      <c r="T431" s="93"/>
    </row>
    <row r="432" spans="1:20" s="94" customFormat="1" ht="12" customHeight="1" x14ac:dyDescent="0.3">
      <c r="A432" s="82"/>
      <c r="B432" s="83"/>
      <c r="C432" s="87"/>
      <c r="D432" s="84"/>
      <c r="E432" s="83"/>
      <c r="F432" s="82"/>
      <c r="G432" s="85"/>
      <c r="H432" s="86" t="e">
        <f>IF(I432="fora",0%,G432/QUÓRUM!$C$6)</f>
        <v>#DIV/0!</v>
      </c>
      <c r="I432" s="87"/>
      <c r="J432" s="88"/>
      <c r="K432" s="88"/>
      <c r="L432" s="89"/>
      <c r="M432" s="89"/>
      <c r="N432" s="90"/>
      <c r="O432" s="87"/>
      <c r="P432" s="87"/>
      <c r="Q432" s="87"/>
      <c r="R432" s="91"/>
      <c r="S432" s="92"/>
      <c r="T432" s="93"/>
    </row>
    <row r="433" spans="1:20" s="94" customFormat="1" ht="12" customHeight="1" x14ac:dyDescent="0.3">
      <c r="A433" s="82"/>
      <c r="B433" s="83"/>
      <c r="C433" s="87"/>
      <c r="D433" s="84"/>
      <c r="E433" s="83"/>
      <c r="F433" s="82"/>
      <c r="G433" s="85"/>
      <c r="H433" s="86" t="e">
        <f>IF(I433="fora",0%,G433/QUÓRUM!$C$6)</f>
        <v>#DIV/0!</v>
      </c>
      <c r="I433" s="87"/>
      <c r="J433" s="88"/>
      <c r="K433" s="88"/>
      <c r="L433" s="89"/>
      <c r="M433" s="89"/>
      <c r="N433" s="90"/>
      <c r="O433" s="87"/>
      <c r="P433" s="87"/>
      <c r="Q433" s="87"/>
      <c r="R433" s="91"/>
      <c r="S433" s="92"/>
      <c r="T433" s="93"/>
    </row>
    <row r="434" spans="1:20" s="94" customFormat="1" ht="12" customHeight="1" x14ac:dyDescent="0.3">
      <c r="A434" s="82"/>
      <c r="B434" s="83"/>
      <c r="C434" s="87"/>
      <c r="D434" s="84"/>
      <c r="E434" s="83"/>
      <c r="F434" s="82"/>
      <c r="G434" s="85"/>
      <c r="H434" s="86" t="e">
        <f>IF(I434="fora",0%,G434/QUÓRUM!$C$6)</f>
        <v>#DIV/0!</v>
      </c>
      <c r="I434" s="87"/>
      <c r="J434" s="88"/>
      <c r="K434" s="88"/>
      <c r="L434" s="89"/>
      <c r="M434" s="89"/>
      <c r="N434" s="90"/>
      <c r="O434" s="87"/>
      <c r="P434" s="87"/>
      <c r="Q434" s="87"/>
      <c r="R434" s="91"/>
      <c r="S434" s="92"/>
      <c r="T434" s="93"/>
    </row>
    <row r="435" spans="1:20" s="94" customFormat="1" ht="12" customHeight="1" x14ac:dyDescent="0.3">
      <c r="A435" s="82"/>
      <c r="B435" s="83"/>
      <c r="C435" s="87"/>
      <c r="D435" s="84"/>
      <c r="E435" s="83"/>
      <c r="F435" s="82"/>
      <c r="G435" s="85"/>
      <c r="H435" s="86" t="e">
        <f>IF(I435="fora",0%,G435/QUÓRUM!$C$6)</f>
        <v>#DIV/0!</v>
      </c>
      <c r="I435" s="87"/>
      <c r="J435" s="88"/>
      <c r="K435" s="88"/>
      <c r="L435" s="89"/>
      <c r="M435" s="89"/>
      <c r="N435" s="90"/>
      <c r="O435" s="87"/>
      <c r="P435" s="87"/>
      <c r="Q435" s="87"/>
      <c r="R435" s="91"/>
      <c r="S435" s="92"/>
      <c r="T435" s="93"/>
    </row>
    <row r="436" spans="1:20" s="94" customFormat="1" ht="12" customHeight="1" x14ac:dyDescent="0.3">
      <c r="A436" s="82"/>
      <c r="B436" s="83"/>
      <c r="C436" s="87"/>
      <c r="D436" s="84"/>
      <c r="E436" s="83"/>
      <c r="F436" s="82"/>
      <c r="G436" s="85"/>
      <c r="H436" s="86" t="e">
        <f>IF(I436="fora",0%,G436/QUÓRUM!$C$6)</f>
        <v>#DIV/0!</v>
      </c>
      <c r="I436" s="87"/>
      <c r="J436" s="88"/>
      <c r="K436" s="88"/>
      <c r="L436" s="89"/>
      <c r="M436" s="89"/>
      <c r="N436" s="90"/>
      <c r="O436" s="87"/>
      <c r="P436" s="87"/>
      <c r="Q436" s="87"/>
      <c r="R436" s="91"/>
      <c r="S436" s="92"/>
      <c r="T436" s="93"/>
    </row>
    <row r="437" spans="1:20" s="94" customFormat="1" ht="12" customHeight="1" x14ac:dyDescent="0.3">
      <c r="A437" s="82"/>
      <c r="B437" s="83"/>
      <c r="C437" s="87"/>
      <c r="D437" s="84"/>
      <c r="E437" s="83"/>
      <c r="F437" s="82"/>
      <c r="G437" s="85"/>
      <c r="H437" s="86" t="e">
        <f>IF(I437="fora",0%,G437/QUÓRUM!$C$6)</f>
        <v>#DIV/0!</v>
      </c>
      <c r="I437" s="87"/>
      <c r="J437" s="88"/>
      <c r="K437" s="88"/>
      <c r="L437" s="89"/>
      <c r="M437" s="89"/>
      <c r="N437" s="90"/>
      <c r="O437" s="87"/>
      <c r="P437" s="87"/>
      <c r="Q437" s="87"/>
      <c r="R437" s="91"/>
      <c r="S437" s="92"/>
      <c r="T437" s="93"/>
    </row>
    <row r="438" spans="1:20" s="94" customFormat="1" ht="12" customHeight="1" x14ac:dyDescent="0.3">
      <c r="A438" s="82"/>
      <c r="B438" s="83"/>
      <c r="C438" s="87"/>
      <c r="D438" s="84"/>
      <c r="E438" s="83"/>
      <c r="F438" s="82"/>
      <c r="G438" s="85"/>
      <c r="H438" s="86" t="e">
        <f>IF(I438="fora",0%,G438/QUÓRUM!$C$6)</f>
        <v>#DIV/0!</v>
      </c>
      <c r="I438" s="87"/>
      <c r="J438" s="88"/>
      <c r="K438" s="88"/>
      <c r="L438" s="89"/>
      <c r="M438" s="89"/>
      <c r="N438" s="90"/>
      <c r="O438" s="87"/>
      <c r="P438" s="87"/>
      <c r="Q438" s="87"/>
      <c r="R438" s="91"/>
      <c r="S438" s="92"/>
      <c r="T438" s="93"/>
    </row>
    <row r="439" spans="1:20" s="94" customFormat="1" ht="12" customHeight="1" x14ac:dyDescent="0.3">
      <c r="A439" s="82"/>
      <c r="B439" s="83"/>
      <c r="C439" s="87"/>
      <c r="D439" s="84"/>
      <c r="E439" s="83"/>
      <c r="F439" s="82"/>
      <c r="G439" s="85"/>
      <c r="H439" s="86" t="e">
        <f>IF(I439="fora",0%,G439/QUÓRUM!$C$6)</f>
        <v>#DIV/0!</v>
      </c>
      <c r="I439" s="87"/>
      <c r="J439" s="88"/>
      <c r="K439" s="88"/>
      <c r="L439" s="89"/>
      <c r="M439" s="89"/>
      <c r="N439" s="90"/>
      <c r="O439" s="87"/>
      <c r="P439" s="87"/>
      <c r="Q439" s="87"/>
      <c r="R439" s="91"/>
      <c r="S439" s="92"/>
      <c r="T439" s="93"/>
    </row>
    <row r="440" spans="1:20" s="94" customFormat="1" x14ac:dyDescent="0.3">
      <c r="A440" s="82"/>
      <c r="B440" s="83"/>
      <c r="C440" s="87"/>
      <c r="D440" s="84"/>
      <c r="E440" s="83"/>
      <c r="F440" s="82"/>
      <c r="G440" s="85"/>
      <c r="H440" s="86" t="e">
        <f>IF(I440="fora",0%,G440/QUÓRUM!$C$6)</f>
        <v>#DIV/0!</v>
      </c>
      <c r="I440" s="87"/>
      <c r="J440" s="88"/>
      <c r="K440" s="88"/>
      <c r="L440" s="89"/>
      <c r="M440" s="89"/>
      <c r="N440" s="90"/>
      <c r="O440" s="87"/>
      <c r="P440" s="87"/>
      <c r="Q440" s="87"/>
      <c r="R440" s="91"/>
      <c r="S440" s="92"/>
      <c r="T440" s="93"/>
    </row>
    <row r="441" spans="1:20" s="94" customFormat="1" x14ac:dyDescent="0.3">
      <c r="A441" s="82"/>
      <c r="B441" s="83"/>
      <c r="C441" s="87"/>
      <c r="D441" s="84"/>
      <c r="E441" s="83"/>
      <c r="F441" s="82"/>
      <c r="G441" s="85"/>
      <c r="H441" s="86" t="e">
        <f>IF(I441="fora",0%,G441/QUÓRUM!$C$6)</f>
        <v>#DIV/0!</v>
      </c>
      <c r="I441" s="87"/>
      <c r="J441" s="88"/>
      <c r="K441" s="88"/>
      <c r="L441" s="89"/>
      <c r="M441" s="89"/>
      <c r="N441" s="90"/>
      <c r="O441" s="87"/>
      <c r="P441" s="87"/>
      <c r="Q441" s="87"/>
      <c r="R441" s="91"/>
      <c r="S441" s="92"/>
      <c r="T441" s="93"/>
    </row>
    <row r="442" spans="1:20" s="94" customFormat="1" x14ac:dyDescent="0.3">
      <c r="A442" s="82"/>
      <c r="B442" s="83"/>
      <c r="C442" s="87"/>
      <c r="D442" s="84"/>
      <c r="E442" s="83"/>
      <c r="F442" s="82"/>
      <c r="G442" s="85"/>
      <c r="H442" s="86" t="e">
        <f>IF(I442="fora",0%,G442/QUÓRUM!$C$6)</f>
        <v>#DIV/0!</v>
      </c>
      <c r="I442" s="87"/>
      <c r="J442" s="88"/>
      <c r="K442" s="88"/>
      <c r="L442" s="89"/>
      <c r="M442" s="89"/>
      <c r="N442" s="90"/>
      <c r="O442" s="87"/>
      <c r="P442" s="87"/>
      <c r="Q442" s="87"/>
      <c r="R442" s="91"/>
      <c r="S442" s="92"/>
      <c r="T442" s="93"/>
    </row>
    <row r="443" spans="1:20" s="94" customFormat="1" x14ac:dyDescent="0.3">
      <c r="A443" s="82"/>
      <c r="B443" s="83"/>
      <c r="C443" s="87"/>
      <c r="D443" s="84"/>
      <c r="E443" s="83"/>
      <c r="F443" s="82"/>
      <c r="G443" s="85"/>
      <c r="H443" s="86" t="e">
        <f>IF(I443="fora",0%,G443/QUÓRUM!$C$6)</f>
        <v>#DIV/0!</v>
      </c>
      <c r="I443" s="87"/>
      <c r="J443" s="88"/>
      <c r="K443" s="88"/>
      <c r="L443" s="89"/>
      <c r="M443" s="89"/>
      <c r="N443" s="90"/>
      <c r="O443" s="87"/>
      <c r="P443" s="87"/>
      <c r="Q443" s="87"/>
      <c r="R443" s="91"/>
      <c r="S443" s="92"/>
      <c r="T443" s="93"/>
    </row>
    <row r="444" spans="1:20" s="94" customFormat="1" x14ac:dyDescent="0.3">
      <c r="A444" s="82"/>
      <c r="B444" s="83"/>
      <c r="C444" s="87"/>
      <c r="D444" s="84"/>
      <c r="E444" s="83"/>
      <c r="F444" s="82"/>
      <c r="G444" s="85"/>
      <c r="H444" s="86" t="e">
        <f>IF(I444="fora",0%,G444/QUÓRUM!$C$6)</f>
        <v>#DIV/0!</v>
      </c>
      <c r="I444" s="87"/>
      <c r="J444" s="88"/>
      <c r="K444" s="88"/>
      <c r="L444" s="89"/>
      <c r="M444" s="89"/>
      <c r="N444" s="90"/>
      <c r="O444" s="87"/>
      <c r="P444" s="87"/>
      <c r="Q444" s="87"/>
      <c r="R444" s="91"/>
      <c r="S444" s="92"/>
      <c r="T444" s="93"/>
    </row>
    <row r="445" spans="1:20" s="94" customFormat="1" x14ac:dyDescent="0.3">
      <c r="A445" s="82"/>
      <c r="B445" s="83"/>
      <c r="C445" s="87"/>
      <c r="D445" s="84"/>
      <c r="E445" s="83"/>
      <c r="F445" s="82"/>
      <c r="G445" s="85"/>
      <c r="H445" s="86" t="e">
        <f>IF(I445="fora",0%,G445/QUÓRUM!$C$6)</f>
        <v>#DIV/0!</v>
      </c>
      <c r="I445" s="87"/>
      <c r="J445" s="88"/>
      <c r="K445" s="88"/>
      <c r="L445" s="89"/>
      <c r="M445" s="89"/>
      <c r="N445" s="90"/>
      <c r="O445" s="87"/>
      <c r="P445" s="87"/>
      <c r="Q445" s="87"/>
      <c r="R445" s="91"/>
      <c r="S445" s="92"/>
      <c r="T445" s="93"/>
    </row>
    <row r="446" spans="1:20" s="94" customFormat="1" x14ac:dyDescent="0.3">
      <c r="A446" s="82"/>
      <c r="B446" s="83"/>
      <c r="C446" s="87"/>
      <c r="D446" s="84"/>
      <c r="E446" s="83"/>
      <c r="F446" s="82"/>
      <c r="G446" s="85"/>
      <c r="H446" s="86" t="e">
        <f>IF(I446="fora",0%,G446/QUÓRUM!$C$6)</f>
        <v>#DIV/0!</v>
      </c>
      <c r="I446" s="87"/>
      <c r="J446" s="88"/>
      <c r="K446" s="88"/>
      <c r="L446" s="89"/>
      <c r="M446" s="89"/>
      <c r="N446" s="90"/>
      <c r="O446" s="87"/>
      <c r="P446" s="87"/>
      <c r="Q446" s="87"/>
      <c r="R446" s="91"/>
      <c r="S446" s="92"/>
      <c r="T446" s="93"/>
    </row>
    <row r="447" spans="1:20" s="94" customFormat="1" x14ac:dyDescent="0.3">
      <c r="A447" s="82"/>
      <c r="B447" s="83"/>
      <c r="C447" s="87"/>
      <c r="D447" s="84"/>
      <c r="E447" s="83"/>
      <c r="F447" s="82"/>
      <c r="G447" s="85"/>
      <c r="H447" s="86" t="e">
        <f>IF(I447="fora",0%,G447/QUÓRUM!$C$6)</f>
        <v>#DIV/0!</v>
      </c>
      <c r="I447" s="87"/>
      <c r="J447" s="88"/>
      <c r="K447" s="88"/>
      <c r="L447" s="89"/>
      <c r="M447" s="89"/>
      <c r="N447" s="90"/>
      <c r="O447" s="87"/>
      <c r="P447" s="87"/>
      <c r="Q447" s="87"/>
      <c r="R447" s="91"/>
      <c r="S447" s="92"/>
      <c r="T447" s="93"/>
    </row>
    <row r="448" spans="1:20" s="94" customFormat="1" x14ac:dyDescent="0.3">
      <c r="A448" s="82"/>
      <c r="B448" s="83"/>
      <c r="C448" s="87"/>
      <c r="D448" s="84"/>
      <c r="E448" s="83"/>
      <c r="F448" s="82"/>
      <c r="G448" s="85"/>
      <c r="H448" s="86" t="e">
        <f>IF(I448="fora",0%,G448/QUÓRUM!$C$6)</f>
        <v>#DIV/0!</v>
      </c>
      <c r="I448" s="87"/>
      <c r="J448" s="88"/>
      <c r="K448" s="88"/>
      <c r="L448" s="89"/>
      <c r="M448" s="89"/>
      <c r="N448" s="90"/>
      <c r="O448" s="87"/>
      <c r="P448" s="87"/>
      <c r="Q448" s="87"/>
      <c r="R448" s="91"/>
      <c r="S448" s="92"/>
      <c r="T448" s="93"/>
    </row>
    <row r="449" spans="1:20" s="94" customFormat="1" x14ac:dyDescent="0.3">
      <c r="A449" s="82"/>
      <c r="B449" s="83"/>
      <c r="C449" s="87"/>
      <c r="D449" s="84"/>
      <c r="E449" s="83"/>
      <c r="F449" s="82"/>
      <c r="G449" s="85"/>
      <c r="H449" s="86" t="e">
        <f>IF(I449="fora",0%,G449/QUÓRUM!$C$6)</f>
        <v>#DIV/0!</v>
      </c>
      <c r="I449" s="87"/>
      <c r="J449" s="88"/>
      <c r="K449" s="88"/>
      <c r="L449" s="89"/>
      <c r="M449" s="89"/>
      <c r="N449" s="90"/>
      <c r="O449" s="87"/>
      <c r="P449" s="87"/>
      <c r="Q449" s="87"/>
      <c r="R449" s="91"/>
      <c r="S449" s="92"/>
      <c r="T449" s="93"/>
    </row>
    <row r="450" spans="1:20" s="94" customFormat="1" x14ac:dyDescent="0.3">
      <c r="A450" s="82"/>
      <c r="B450" s="83"/>
      <c r="C450" s="87"/>
      <c r="D450" s="84"/>
      <c r="E450" s="83"/>
      <c r="F450" s="82"/>
      <c r="G450" s="85"/>
      <c r="H450" s="86" t="e">
        <f>IF(I450="fora",0%,G450/QUÓRUM!$C$6)</f>
        <v>#DIV/0!</v>
      </c>
      <c r="I450" s="87"/>
      <c r="J450" s="88"/>
      <c r="K450" s="88"/>
      <c r="L450" s="89"/>
      <c r="M450" s="89"/>
      <c r="N450" s="90"/>
      <c r="O450" s="87"/>
      <c r="P450" s="87"/>
      <c r="Q450" s="87"/>
      <c r="R450" s="91"/>
      <c r="S450" s="92"/>
      <c r="T450" s="93"/>
    </row>
    <row r="451" spans="1:20" s="94" customFormat="1" x14ac:dyDescent="0.3">
      <c r="A451" s="82"/>
      <c r="B451" s="83"/>
      <c r="C451" s="87"/>
      <c r="D451" s="84"/>
      <c r="E451" s="83"/>
      <c r="F451" s="82"/>
      <c r="G451" s="85"/>
      <c r="H451" s="86" t="e">
        <f>IF(I451="fora",0%,G451/QUÓRUM!$C$6)</f>
        <v>#DIV/0!</v>
      </c>
      <c r="I451" s="87"/>
      <c r="J451" s="88"/>
      <c r="K451" s="88"/>
      <c r="L451" s="89"/>
      <c r="M451" s="89"/>
      <c r="N451" s="90"/>
      <c r="O451" s="87"/>
      <c r="P451" s="87"/>
      <c r="Q451" s="87"/>
      <c r="R451" s="91"/>
      <c r="S451" s="92"/>
      <c r="T451" s="93"/>
    </row>
    <row r="452" spans="1:20" s="94" customFormat="1" x14ac:dyDescent="0.3">
      <c r="A452" s="82"/>
      <c r="B452" s="83"/>
      <c r="C452" s="87"/>
      <c r="D452" s="84"/>
      <c r="E452" s="83"/>
      <c r="F452" s="82"/>
      <c r="G452" s="85"/>
      <c r="H452" s="86" t="e">
        <f>IF(I452="fora",0%,G452/QUÓRUM!$C$6)</f>
        <v>#DIV/0!</v>
      </c>
      <c r="I452" s="87"/>
      <c r="J452" s="88"/>
      <c r="K452" s="88"/>
      <c r="L452" s="89"/>
      <c r="M452" s="89"/>
      <c r="N452" s="90"/>
      <c r="O452" s="87"/>
      <c r="P452" s="87"/>
      <c r="Q452" s="87"/>
      <c r="R452" s="91"/>
      <c r="S452" s="92"/>
      <c r="T452" s="93"/>
    </row>
    <row r="453" spans="1:20" s="94" customFormat="1" x14ac:dyDescent="0.3">
      <c r="A453" s="82"/>
      <c r="B453" s="83"/>
      <c r="C453" s="87"/>
      <c r="D453" s="84"/>
      <c r="E453" s="83"/>
      <c r="F453" s="82"/>
      <c r="G453" s="85"/>
      <c r="H453" s="86" t="e">
        <f>IF(I453="fora",0%,G453/QUÓRUM!$C$6)</f>
        <v>#DIV/0!</v>
      </c>
      <c r="I453" s="87"/>
      <c r="J453" s="88"/>
      <c r="K453" s="88"/>
      <c r="L453" s="89"/>
      <c r="M453" s="89"/>
      <c r="N453" s="90"/>
      <c r="O453" s="87"/>
      <c r="P453" s="87"/>
      <c r="Q453" s="87"/>
      <c r="R453" s="91"/>
      <c r="S453" s="92"/>
      <c r="T453" s="93"/>
    </row>
    <row r="454" spans="1:20" s="94" customFormat="1" x14ac:dyDescent="0.3">
      <c r="A454" s="82"/>
      <c r="B454" s="83"/>
      <c r="C454" s="87"/>
      <c r="D454" s="84"/>
      <c r="E454" s="83"/>
      <c r="F454" s="82"/>
      <c r="G454" s="85"/>
      <c r="H454" s="86" t="e">
        <f>IF(I454="fora",0%,G454/QUÓRUM!$C$6)</f>
        <v>#DIV/0!</v>
      </c>
      <c r="I454" s="87"/>
      <c r="J454" s="88"/>
      <c r="K454" s="88"/>
      <c r="L454" s="89"/>
      <c r="M454" s="89"/>
      <c r="N454" s="90"/>
      <c r="O454" s="87"/>
      <c r="P454" s="87"/>
      <c r="Q454" s="87"/>
      <c r="R454" s="91"/>
      <c r="S454" s="92"/>
      <c r="T454" s="93"/>
    </row>
    <row r="455" spans="1:20" s="94" customFormat="1" x14ac:dyDescent="0.3">
      <c r="A455" s="82"/>
      <c r="B455" s="83"/>
      <c r="C455" s="87"/>
      <c r="D455" s="84"/>
      <c r="E455" s="83"/>
      <c r="F455" s="82"/>
      <c r="G455" s="85"/>
      <c r="H455" s="86" t="e">
        <f>IF(I455="fora",0%,G455/QUÓRUM!$C$6)</f>
        <v>#DIV/0!</v>
      </c>
      <c r="I455" s="87"/>
      <c r="J455" s="88"/>
      <c r="K455" s="88"/>
      <c r="L455" s="89"/>
      <c r="M455" s="89"/>
      <c r="N455" s="90"/>
      <c r="O455" s="87"/>
      <c r="P455" s="87"/>
      <c r="Q455" s="87"/>
      <c r="R455" s="91"/>
      <c r="S455" s="92"/>
      <c r="T455" s="93"/>
    </row>
    <row r="456" spans="1:20" s="94" customFormat="1" x14ac:dyDescent="0.3">
      <c r="A456" s="82"/>
      <c r="B456" s="83"/>
      <c r="C456" s="87"/>
      <c r="D456" s="84"/>
      <c r="E456" s="83"/>
      <c r="F456" s="82"/>
      <c r="G456" s="85"/>
      <c r="H456" s="86" t="e">
        <f>IF(I456="fora",0%,G456/QUÓRUM!$C$6)</f>
        <v>#DIV/0!</v>
      </c>
      <c r="I456" s="87"/>
      <c r="J456" s="88"/>
      <c r="K456" s="88"/>
      <c r="L456" s="89"/>
      <c r="M456" s="89"/>
      <c r="N456" s="90"/>
      <c r="O456" s="87"/>
      <c r="P456" s="87"/>
      <c r="Q456" s="87"/>
      <c r="R456" s="91"/>
      <c r="S456" s="92"/>
      <c r="T456" s="93"/>
    </row>
    <row r="457" spans="1:20" s="94" customFormat="1" x14ac:dyDescent="0.3">
      <c r="A457" s="82"/>
      <c r="B457" s="83"/>
      <c r="C457" s="87"/>
      <c r="D457" s="84"/>
      <c r="E457" s="83"/>
      <c r="F457" s="82"/>
      <c r="G457" s="85"/>
      <c r="H457" s="86" t="e">
        <f>IF(I457="fora",0%,G457/QUÓRUM!$C$6)</f>
        <v>#DIV/0!</v>
      </c>
      <c r="I457" s="87"/>
      <c r="J457" s="88"/>
      <c r="K457" s="88"/>
      <c r="L457" s="89"/>
      <c r="M457" s="89"/>
      <c r="N457" s="90"/>
      <c r="O457" s="87"/>
      <c r="P457" s="87"/>
      <c r="Q457" s="87"/>
      <c r="R457" s="91"/>
      <c r="S457" s="92"/>
      <c r="T457" s="93"/>
    </row>
    <row r="458" spans="1:20" s="94" customFormat="1" x14ac:dyDescent="0.3">
      <c r="A458" s="82"/>
      <c r="B458" s="83"/>
      <c r="C458" s="87"/>
      <c r="D458" s="84"/>
      <c r="E458" s="83"/>
      <c r="F458" s="82"/>
      <c r="G458" s="85"/>
      <c r="H458" s="86" t="e">
        <f>IF(I458="fora",0%,G458/QUÓRUM!$C$6)</f>
        <v>#DIV/0!</v>
      </c>
      <c r="I458" s="87"/>
      <c r="J458" s="88"/>
      <c r="K458" s="88"/>
      <c r="L458" s="89"/>
      <c r="M458" s="89"/>
      <c r="N458" s="90"/>
      <c r="O458" s="87"/>
      <c r="P458" s="87"/>
      <c r="Q458" s="87"/>
      <c r="R458" s="91"/>
      <c r="S458" s="92"/>
      <c r="T458" s="93"/>
    </row>
    <row r="459" spans="1:20" s="94" customFormat="1" x14ac:dyDescent="0.3">
      <c r="A459" s="82"/>
      <c r="B459" s="83"/>
      <c r="C459" s="87"/>
      <c r="D459" s="84"/>
      <c r="E459" s="83"/>
      <c r="F459" s="82"/>
      <c r="G459" s="85"/>
      <c r="H459" s="86" t="e">
        <f>IF(I459="fora",0%,G459/QUÓRUM!$C$6)</f>
        <v>#DIV/0!</v>
      </c>
      <c r="I459" s="87"/>
      <c r="J459" s="88"/>
      <c r="K459" s="88"/>
      <c r="L459" s="89"/>
      <c r="M459" s="89"/>
      <c r="N459" s="90"/>
      <c r="O459" s="87"/>
      <c r="P459" s="87"/>
      <c r="Q459" s="87"/>
      <c r="R459" s="91"/>
      <c r="S459" s="92"/>
      <c r="T459" s="93"/>
    </row>
    <row r="460" spans="1:20" s="94" customFormat="1" x14ac:dyDescent="0.3">
      <c r="A460" s="82"/>
      <c r="B460" s="83"/>
      <c r="C460" s="87"/>
      <c r="D460" s="84"/>
      <c r="E460" s="83"/>
      <c r="F460" s="82"/>
      <c r="G460" s="85"/>
      <c r="H460" s="86" t="e">
        <f>IF(I460="fora",0%,G460/QUÓRUM!$C$6)</f>
        <v>#DIV/0!</v>
      </c>
      <c r="I460" s="87"/>
      <c r="J460" s="88"/>
      <c r="K460" s="88"/>
      <c r="L460" s="89"/>
      <c r="M460" s="89"/>
      <c r="N460" s="90"/>
      <c r="O460" s="87"/>
      <c r="P460" s="87"/>
      <c r="Q460" s="87"/>
      <c r="R460" s="91"/>
      <c r="S460" s="92"/>
      <c r="T460" s="93"/>
    </row>
    <row r="461" spans="1:20" s="94" customFormat="1" x14ac:dyDescent="0.3">
      <c r="A461" s="82"/>
      <c r="B461" s="83"/>
      <c r="C461" s="87"/>
      <c r="D461" s="84"/>
      <c r="E461" s="83"/>
      <c r="F461" s="82"/>
      <c r="G461" s="85"/>
      <c r="H461" s="86" t="e">
        <f>IF(I461="fora",0%,G461/QUÓRUM!$C$6)</f>
        <v>#DIV/0!</v>
      </c>
      <c r="I461" s="87"/>
      <c r="J461" s="88"/>
      <c r="K461" s="88"/>
      <c r="L461" s="89"/>
      <c r="M461" s="89"/>
      <c r="N461" s="90"/>
      <c r="O461" s="87"/>
      <c r="P461" s="87"/>
      <c r="Q461" s="87"/>
      <c r="R461" s="91"/>
      <c r="S461" s="92"/>
      <c r="T461" s="93"/>
    </row>
    <row r="462" spans="1:20" s="94" customFormat="1" x14ac:dyDescent="0.3">
      <c r="A462" s="82"/>
      <c r="B462" s="83"/>
      <c r="C462" s="87"/>
      <c r="D462" s="84"/>
      <c r="E462" s="83"/>
      <c r="F462" s="82"/>
      <c r="G462" s="85"/>
      <c r="H462" s="86" t="e">
        <f>IF(I462="fora",0%,G462/QUÓRUM!$C$6)</f>
        <v>#DIV/0!</v>
      </c>
      <c r="I462" s="87"/>
      <c r="J462" s="88"/>
      <c r="K462" s="88"/>
      <c r="L462" s="89"/>
      <c r="M462" s="89"/>
      <c r="N462" s="90"/>
      <c r="O462" s="87"/>
      <c r="P462" s="87"/>
      <c r="Q462" s="87"/>
      <c r="R462" s="91"/>
      <c r="S462" s="92"/>
      <c r="T462" s="93"/>
    </row>
    <row r="463" spans="1:20" s="94" customFormat="1" x14ac:dyDescent="0.3">
      <c r="A463" s="82"/>
      <c r="B463" s="83"/>
      <c r="C463" s="87"/>
      <c r="D463" s="84"/>
      <c r="E463" s="83"/>
      <c r="F463" s="82"/>
      <c r="G463" s="85"/>
      <c r="H463" s="86" t="e">
        <f>IF(I463="fora",0%,G463/QUÓRUM!$C$6)</f>
        <v>#DIV/0!</v>
      </c>
      <c r="I463" s="87"/>
      <c r="J463" s="88"/>
      <c r="K463" s="88"/>
      <c r="L463" s="89"/>
      <c r="M463" s="89"/>
      <c r="N463" s="90"/>
      <c r="O463" s="87"/>
      <c r="P463" s="87"/>
      <c r="Q463" s="87"/>
      <c r="R463" s="91"/>
      <c r="S463" s="92"/>
      <c r="T463" s="93"/>
    </row>
    <row r="464" spans="1:20" s="94" customFormat="1" x14ac:dyDescent="0.3">
      <c r="A464" s="82"/>
      <c r="B464" s="83"/>
      <c r="C464" s="87"/>
      <c r="D464" s="84"/>
      <c r="E464" s="83"/>
      <c r="F464" s="82"/>
      <c r="G464" s="85"/>
      <c r="H464" s="86" t="e">
        <f>IF(I464="fora",0%,G464/QUÓRUM!$C$6)</f>
        <v>#DIV/0!</v>
      </c>
      <c r="I464" s="87"/>
      <c r="J464" s="88"/>
      <c r="K464" s="88"/>
      <c r="L464" s="89"/>
      <c r="M464" s="89"/>
      <c r="N464" s="90"/>
      <c r="O464" s="87"/>
      <c r="P464" s="87"/>
      <c r="Q464" s="87"/>
      <c r="R464" s="91"/>
      <c r="S464" s="92"/>
      <c r="T464" s="93"/>
    </row>
    <row r="465" spans="1:20" s="94" customFormat="1" ht="12" customHeight="1" x14ac:dyDescent="0.3">
      <c r="A465" s="82"/>
      <c r="B465" s="83"/>
      <c r="C465" s="87"/>
      <c r="D465" s="84"/>
      <c r="E465" s="83"/>
      <c r="F465" s="82"/>
      <c r="G465" s="85"/>
      <c r="H465" s="86" t="e">
        <f>IF(I465="fora",0%,G465/QUÓRUM!$C$6)</f>
        <v>#DIV/0!</v>
      </c>
      <c r="I465" s="87"/>
      <c r="J465" s="88"/>
      <c r="K465" s="88"/>
      <c r="L465" s="89"/>
      <c r="M465" s="89"/>
      <c r="N465" s="90"/>
      <c r="O465" s="87"/>
      <c r="P465" s="87"/>
      <c r="Q465" s="87"/>
      <c r="R465" s="91"/>
      <c r="S465" s="92"/>
      <c r="T465" s="93"/>
    </row>
    <row r="466" spans="1:20" s="94" customFormat="1" ht="12" customHeight="1" x14ac:dyDescent="0.3">
      <c r="A466" s="82"/>
      <c r="B466" s="83"/>
      <c r="C466" s="87"/>
      <c r="D466" s="84"/>
      <c r="E466" s="83"/>
      <c r="F466" s="82"/>
      <c r="G466" s="85"/>
      <c r="H466" s="86" t="e">
        <f>IF(I466="fora",0%,G466/QUÓRUM!$C$6)</f>
        <v>#DIV/0!</v>
      </c>
      <c r="I466" s="87"/>
      <c r="J466" s="88"/>
      <c r="K466" s="88"/>
      <c r="L466" s="89"/>
      <c r="M466" s="89"/>
      <c r="N466" s="90"/>
      <c r="O466" s="87"/>
      <c r="P466" s="87"/>
      <c r="Q466" s="87"/>
      <c r="R466" s="91"/>
      <c r="S466" s="92"/>
      <c r="T466" s="93"/>
    </row>
    <row r="467" spans="1:20" s="94" customFormat="1" ht="12" customHeight="1" x14ac:dyDescent="0.3">
      <c r="A467" s="82"/>
      <c r="B467" s="83"/>
      <c r="C467" s="87"/>
      <c r="D467" s="84"/>
      <c r="E467" s="83"/>
      <c r="F467" s="82"/>
      <c r="G467" s="85"/>
      <c r="H467" s="86" t="e">
        <f>IF(I467="fora",0%,G467/QUÓRUM!$C$6)</f>
        <v>#DIV/0!</v>
      </c>
      <c r="I467" s="87"/>
      <c r="J467" s="88"/>
      <c r="K467" s="88"/>
      <c r="L467" s="89"/>
      <c r="M467" s="89"/>
      <c r="N467" s="90"/>
      <c r="O467" s="87"/>
      <c r="P467" s="87"/>
      <c r="Q467" s="87"/>
      <c r="R467" s="91"/>
      <c r="S467" s="92"/>
      <c r="T467" s="93"/>
    </row>
    <row r="468" spans="1:20" s="94" customFormat="1" ht="12" customHeight="1" x14ac:dyDescent="0.3">
      <c r="A468" s="82"/>
      <c r="B468" s="83"/>
      <c r="C468" s="87"/>
      <c r="D468" s="84"/>
      <c r="E468" s="83"/>
      <c r="F468" s="82"/>
      <c r="G468" s="85"/>
      <c r="H468" s="86" t="e">
        <f>IF(I468="fora",0%,G468/QUÓRUM!$C$6)</f>
        <v>#DIV/0!</v>
      </c>
      <c r="I468" s="87"/>
      <c r="J468" s="88"/>
      <c r="K468" s="88"/>
      <c r="L468" s="89"/>
      <c r="M468" s="89"/>
      <c r="N468" s="90"/>
      <c r="O468" s="87"/>
      <c r="P468" s="87"/>
      <c r="Q468" s="87"/>
      <c r="R468" s="91"/>
      <c r="S468" s="92"/>
      <c r="T468" s="93"/>
    </row>
    <row r="469" spans="1:20" s="94" customFormat="1" ht="12" customHeight="1" x14ac:dyDescent="0.3">
      <c r="A469" s="82"/>
      <c r="B469" s="83"/>
      <c r="C469" s="87"/>
      <c r="D469" s="84"/>
      <c r="E469" s="83"/>
      <c r="F469" s="82"/>
      <c r="G469" s="85"/>
      <c r="H469" s="86" t="e">
        <f>IF(I469="fora",0%,G469/QUÓRUM!$C$6)</f>
        <v>#DIV/0!</v>
      </c>
      <c r="I469" s="87"/>
      <c r="J469" s="88"/>
      <c r="K469" s="88"/>
      <c r="L469" s="89"/>
      <c r="M469" s="89"/>
      <c r="N469" s="90"/>
      <c r="O469" s="87"/>
      <c r="P469" s="87"/>
      <c r="Q469" s="87"/>
      <c r="R469" s="91"/>
      <c r="S469" s="92"/>
      <c r="T469" s="93"/>
    </row>
    <row r="470" spans="1:20" s="94" customFormat="1" ht="12" customHeight="1" x14ac:dyDescent="0.3">
      <c r="A470" s="82"/>
      <c r="B470" s="83"/>
      <c r="C470" s="87"/>
      <c r="D470" s="84"/>
      <c r="E470" s="83"/>
      <c r="F470" s="82"/>
      <c r="G470" s="85"/>
      <c r="H470" s="86" t="e">
        <f>IF(I470="fora",0%,G470/QUÓRUM!$C$6)</f>
        <v>#DIV/0!</v>
      </c>
      <c r="I470" s="87"/>
      <c r="J470" s="88"/>
      <c r="K470" s="88"/>
      <c r="L470" s="89"/>
      <c r="M470" s="89"/>
      <c r="N470" s="90"/>
      <c r="O470" s="87"/>
      <c r="P470" s="87"/>
      <c r="Q470" s="87"/>
      <c r="R470" s="91"/>
      <c r="S470" s="92"/>
      <c r="T470" s="93"/>
    </row>
    <row r="471" spans="1:20" s="94" customFormat="1" ht="12" customHeight="1" x14ac:dyDescent="0.3">
      <c r="A471" s="82"/>
      <c r="B471" s="83"/>
      <c r="C471" s="87"/>
      <c r="D471" s="84"/>
      <c r="E471" s="83"/>
      <c r="F471" s="82"/>
      <c r="G471" s="85"/>
      <c r="H471" s="86" t="e">
        <f>IF(I471="fora",0%,G471/QUÓRUM!$C$6)</f>
        <v>#DIV/0!</v>
      </c>
      <c r="I471" s="87"/>
      <c r="J471" s="88"/>
      <c r="K471" s="88"/>
      <c r="L471" s="89"/>
      <c r="M471" s="89"/>
      <c r="N471" s="90"/>
      <c r="O471" s="87"/>
      <c r="P471" s="87"/>
      <c r="Q471" s="87"/>
      <c r="R471" s="91"/>
      <c r="S471" s="92"/>
      <c r="T471" s="93"/>
    </row>
    <row r="472" spans="1:20" s="94" customFormat="1" ht="12" customHeight="1" x14ac:dyDescent="0.3">
      <c r="A472" s="82"/>
      <c r="B472" s="83"/>
      <c r="C472" s="87"/>
      <c r="D472" s="84"/>
      <c r="E472" s="83"/>
      <c r="F472" s="82"/>
      <c r="G472" s="85"/>
      <c r="H472" s="86" t="e">
        <f>IF(I472="fora",0%,G472/QUÓRUM!$C$6)</f>
        <v>#DIV/0!</v>
      </c>
      <c r="I472" s="87"/>
      <c r="J472" s="88"/>
      <c r="K472" s="88"/>
      <c r="L472" s="89"/>
      <c r="M472" s="89"/>
      <c r="N472" s="90"/>
      <c r="O472" s="87"/>
      <c r="P472" s="87"/>
      <c r="Q472" s="87"/>
      <c r="R472" s="91"/>
      <c r="S472" s="92"/>
      <c r="T472" s="93"/>
    </row>
    <row r="473" spans="1:20" s="94" customFormat="1" ht="12" customHeight="1" x14ac:dyDescent="0.3">
      <c r="A473" s="82"/>
      <c r="B473" s="83"/>
      <c r="C473" s="87"/>
      <c r="D473" s="84"/>
      <c r="E473" s="83"/>
      <c r="F473" s="82"/>
      <c r="G473" s="85"/>
      <c r="H473" s="86" t="e">
        <f>IF(I473="fora",0%,G473/QUÓRUM!$C$6)</f>
        <v>#DIV/0!</v>
      </c>
      <c r="I473" s="87"/>
      <c r="J473" s="88"/>
      <c r="K473" s="88"/>
      <c r="L473" s="89"/>
      <c r="M473" s="89"/>
      <c r="N473" s="90"/>
      <c r="O473" s="87"/>
      <c r="P473" s="87"/>
      <c r="Q473" s="87"/>
      <c r="R473" s="91"/>
      <c r="S473" s="92"/>
      <c r="T473" s="93"/>
    </row>
    <row r="474" spans="1:20" s="94" customFormat="1" ht="12" customHeight="1" x14ac:dyDescent="0.3">
      <c r="A474" s="82"/>
      <c r="B474" s="83"/>
      <c r="C474" s="87"/>
      <c r="D474" s="84"/>
      <c r="E474" s="83"/>
      <c r="F474" s="82"/>
      <c r="G474" s="85"/>
      <c r="H474" s="86" t="e">
        <f>IF(I474="fora",0%,G474/QUÓRUM!$C$6)</f>
        <v>#DIV/0!</v>
      </c>
      <c r="I474" s="87"/>
      <c r="J474" s="88"/>
      <c r="K474" s="88"/>
      <c r="L474" s="89"/>
      <c r="M474" s="89"/>
      <c r="N474" s="90"/>
      <c r="O474" s="87"/>
      <c r="P474" s="87"/>
      <c r="Q474" s="87"/>
      <c r="R474" s="91"/>
      <c r="S474" s="92"/>
      <c r="T474" s="93"/>
    </row>
    <row r="475" spans="1:20" s="94" customFormat="1" ht="12" customHeight="1" x14ac:dyDescent="0.3">
      <c r="A475" s="82"/>
      <c r="B475" s="83"/>
      <c r="C475" s="87"/>
      <c r="D475" s="84"/>
      <c r="E475" s="83"/>
      <c r="F475" s="82"/>
      <c r="G475" s="85"/>
      <c r="H475" s="86" t="e">
        <f>IF(I475="fora",0%,G475/QUÓRUM!$C$6)</f>
        <v>#DIV/0!</v>
      </c>
      <c r="I475" s="87"/>
      <c r="J475" s="88"/>
      <c r="K475" s="88"/>
      <c r="L475" s="89"/>
      <c r="M475" s="89"/>
      <c r="N475" s="90"/>
      <c r="O475" s="87"/>
      <c r="P475" s="87"/>
      <c r="Q475" s="87"/>
      <c r="R475" s="91"/>
      <c r="S475" s="92"/>
      <c r="T475" s="93"/>
    </row>
    <row r="476" spans="1:20" s="94" customFormat="1" ht="12" customHeight="1" x14ac:dyDescent="0.3">
      <c r="A476" s="82"/>
      <c r="B476" s="83"/>
      <c r="C476" s="87"/>
      <c r="D476" s="84"/>
      <c r="E476" s="83"/>
      <c r="F476" s="82"/>
      <c r="G476" s="85"/>
      <c r="H476" s="86" t="e">
        <f>IF(I476="fora",0%,G476/QUÓRUM!$C$6)</f>
        <v>#DIV/0!</v>
      </c>
      <c r="I476" s="87"/>
      <c r="J476" s="88"/>
      <c r="K476" s="88"/>
      <c r="L476" s="89"/>
      <c r="M476" s="89"/>
      <c r="N476" s="90"/>
      <c r="O476" s="87"/>
      <c r="P476" s="87"/>
      <c r="Q476" s="87"/>
      <c r="R476" s="91"/>
      <c r="S476" s="92"/>
      <c r="T476" s="93"/>
    </row>
    <row r="477" spans="1:20" s="94" customFormat="1" ht="12" customHeight="1" x14ac:dyDescent="0.3">
      <c r="A477" s="82"/>
      <c r="B477" s="83"/>
      <c r="C477" s="87"/>
      <c r="D477" s="84"/>
      <c r="E477" s="83"/>
      <c r="F477" s="82"/>
      <c r="G477" s="85"/>
      <c r="H477" s="86" t="e">
        <f>IF(I477="fora",0%,G477/QUÓRUM!$C$6)</f>
        <v>#DIV/0!</v>
      </c>
      <c r="I477" s="87"/>
      <c r="J477" s="88"/>
      <c r="K477" s="88"/>
      <c r="L477" s="89"/>
      <c r="M477" s="89"/>
      <c r="N477" s="90"/>
      <c r="O477" s="87"/>
      <c r="P477" s="87"/>
      <c r="Q477" s="87"/>
      <c r="R477" s="91"/>
      <c r="S477" s="92"/>
      <c r="T477" s="93"/>
    </row>
    <row r="478" spans="1:20" s="94" customFormat="1" ht="12" customHeight="1" x14ac:dyDescent="0.3">
      <c r="A478" s="82"/>
      <c r="B478" s="83"/>
      <c r="C478" s="87"/>
      <c r="D478" s="84"/>
      <c r="E478" s="83"/>
      <c r="F478" s="82"/>
      <c r="G478" s="85"/>
      <c r="H478" s="86" t="e">
        <f>IF(I478="fora",0%,G478/QUÓRUM!$C$6)</f>
        <v>#DIV/0!</v>
      </c>
      <c r="I478" s="87"/>
      <c r="J478" s="88"/>
      <c r="K478" s="88"/>
      <c r="L478" s="89"/>
      <c r="M478" s="89"/>
      <c r="N478" s="90"/>
      <c r="O478" s="87"/>
      <c r="P478" s="87"/>
      <c r="Q478" s="87"/>
      <c r="R478" s="91"/>
      <c r="S478" s="92"/>
      <c r="T478" s="93"/>
    </row>
    <row r="479" spans="1:20" s="94" customFormat="1" ht="12" customHeight="1" x14ac:dyDescent="0.3">
      <c r="A479" s="82"/>
      <c r="B479" s="83"/>
      <c r="C479" s="87"/>
      <c r="D479" s="84"/>
      <c r="E479" s="83"/>
      <c r="F479" s="82"/>
      <c r="G479" s="85"/>
      <c r="H479" s="86" t="e">
        <f>IF(I479="fora",0%,G479/QUÓRUM!$C$6)</f>
        <v>#DIV/0!</v>
      </c>
      <c r="I479" s="87"/>
      <c r="J479" s="88"/>
      <c r="K479" s="88"/>
      <c r="L479" s="89"/>
      <c r="M479" s="89"/>
      <c r="N479" s="90"/>
      <c r="O479" s="87"/>
      <c r="P479" s="87"/>
      <c r="Q479" s="87"/>
      <c r="R479" s="91"/>
      <c r="S479" s="92"/>
      <c r="T479" s="93"/>
    </row>
    <row r="480" spans="1:20" s="94" customFormat="1" ht="12" customHeight="1" x14ac:dyDescent="0.3">
      <c r="A480" s="82"/>
      <c r="B480" s="83"/>
      <c r="C480" s="87"/>
      <c r="D480" s="84"/>
      <c r="E480" s="83"/>
      <c r="F480" s="82"/>
      <c r="G480" s="85"/>
      <c r="H480" s="86" t="e">
        <f>IF(I480="fora",0%,G480/QUÓRUM!$C$6)</f>
        <v>#DIV/0!</v>
      </c>
      <c r="I480" s="87"/>
      <c r="J480" s="88"/>
      <c r="K480" s="88"/>
      <c r="L480" s="89"/>
      <c r="M480" s="89"/>
      <c r="N480" s="90"/>
      <c r="O480" s="87"/>
      <c r="P480" s="87"/>
      <c r="Q480" s="87"/>
      <c r="R480" s="91"/>
      <c r="S480" s="92"/>
      <c r="T480" s="93"/>
    </row>
    <row r="481" spans="1:20" s="94" customFormat="1" ht="12" customHeight="1" x14ac:dyDescent="0.3">
      <c r="A481" s="82"/>
      <c r="B481" s="83"/>
      <c r="C481" s="87"/>
      <c r="D481" s="84"/>
      <c r="E481" s="83"/>
      <c r="F481" s="82"/>
      <c r="G481" s="85"/>
      <c r="H481" s="86" t="e">
        <f>IF(I481="fora",0%,G481/QUÓRUM!$C$6)</f>
        <v>#DIV/0!</v>
      </c>
      <c r="I481" s="87"/>
      <c r="J481" s="88"/>
      <c r="K481" s="88"/>
      <c r="L481" s="89"/>
      <c r="M481" s="89"/>
      <c r="N481" s="90"/>
      <c r="O481" s="87"/>
      <c r="P481" s="87"/>
      <c r="Q481" s="87"/>
      <c r="R481" s="91"/>
      <c r="S481" s="92"/>
      <c r="T481" s="93"/>
    </row>
    <row r="482" spans="1:20" s="94" customFormat="1" ht="12" customHeight="1" x14ac:dyDescent="0.3">
      <c r="A482" s="82"/>
      <c r="B482" s="83"/>
      <c r="C482" s="87"/>
      <c r="D482" s="84"/>
      <c r="E482" s="83"/>
      <c r="F482" s="82"/>
      <c r="G482" s="85"/>
      <c r="H482" s="86" t="e">
        <f>IF(I482="fora",0%,G482/QUÓRUM!$C$6)</f>
        <v>#DIV/0!</v>
      </c>
      <c r="I482" s="87"/>
      <c r="J482" s="88"/>
      <c r="K482" s="88"/>
      <c r="L482" s="89"/>
      <c r="M482" s="89"/>
      <c r="N482" s="90"/>
      <c r="O482" s="87"/>
      <c r="P482" s="87"/>
      <c r="Q482" s="87"/>
      <c r="R482" s="91"/>
      <c r="S482" s="92"/>
      <c r="T482" s="93"/>
    </row>
    <row r="483" spans="1:20" s="94" customFormat="1" x14ac:dyDescent="0.3">
      <c r="A483" s="82"/>
      <c r="B483" s="83"/>
      <c r="C483" s="87"/>
      <c r="D483" s="84"/>
      <c r="E483" s="83"/>
      <c r="F483" s="82"/>
      <c r="G483" s="85"/>
      <c r="H483" s="86" t="e">
        <f>IF(I483="fora",0%,G483/QUÓRUM!$C$6)</f>
        <v>#DIV/0!</v>
      </c>
      <c r="I483" s="87"/>
      <c r="J483" s="88"/>
      <c r="K483" s="88"/>
      <c r="L483" s="89"/>
      <c r="M483" s="89"/>
      <c r="N483" s="90"/>
      <c r="O483" s="87"/>
      <c r="P483" s="87"/>
      <c r="Q483" s="87"/>
      <c r="R483" s="91"/>
      <c r="S483" s="92"/>
      <c r="T483" s="93"/>
    </row>
    <row r="484" spans="1:20" s="94" customFormat="1" x14ac:dyDescent="0.3">
      <c r="A484" s="82"/>
      <c r="B484" s="83"/>
      <c r="C484" s="87"/>
      <c r="D484" s="84"/>
      <c r="E484" s="83"/>
      <c r="F484" s="82"/>
      <c r="G484" s="85"/>
      <c r="H484" s="86" t="e">
        <f>IF(I484="fora",0%,G484/QUÓRUM!$C$6)</f>
        <v>#DIV/0!</v>
      </c>
      <c r="I484" s="87"/>
      <c r="J484" s="88"/>
      <c r="K484" s="88"/>
      <c r="L484" s="89"/>
      <c r="M484" s="89"/>
      <c r="N484" s="90"/>
      <c r="O484" s="87"/>
      <c r="P484" s="87"/>
      <c r="Q484" s="87"/>
      <c r="R484" s="91"/>
      <c r="S484" s="92"/>
      <c r="T484" s="93"/>
    </row>
    <row r="485" spans="1:20" s="94" customFormat="1" x14ac:dyDescent="0.3">
      <c r="A485" s="82"/>
      <c r="B485" s="83"/>
      <c r="C485" s="87"/>
      <c r="D485" s="84"/>
      <c r="E485" s="83"/>
      <c r="F485" s="82"/>
      <c r="G485" s="85"/>
      <c r="H485" s="86" t="e">
        <f>IF(I485="fora",0%,G485/QUÓRUM!$C$6)</f>
        <v>#DIV/0!</v>
      </c>
      <c r="I485" s="87"/>
      <c r="J485" s="88"/>
      <c r="K485" s="88"/>
      <c r="L485" s="89"/>
      <c r="M485" s="89"/>
      <c r="N485" s="90"/>
      <c r="O485" s="87"/>
      <c r="P485" s="87"/>
      <c r="Q485" s="87"/>
      <c r="R485" s="91"/>
      <c r="S485" s="92"/>
      <c r="T485" s="93"/>
    </row>
    <row r="486" spans="1:20" s="94" customFormat="1" x14ac:dyDescent="0.3">
      <c r="A486" s="82"/>
      <c r="B486" s="83"/>
      <c r="C486" s="87"/>
      <c r="D486" s="84"/>
      <c r="E486" s="83"/>
      <c r="F486" s="82"/>
      <c r="G486" s="85"/>
      <c r="H486" s="86" t="e">
        <f>IF(I486="fora",0%,G486/QUÓRUM!$C$6)</f>
        <v>#DIV/0!</v>
      </c>
      <c r="I486" s="87"/>
      <c r="J486" s="88"/>
      <c r="K486" s="88"/>
      <c r="L486" s="89"/>
      <c r="M486" s="89"/>
      <c r="N486" s="90"/>
      <c r="O486" s="87"/>
      <c r="P486" s="87"/>
      <c r="Q486" s="87"/>
      <c r="R486" s="91"/>
      <c r="S486" s="92"/>
      <c r="T486" s="93"/>
    </row>
    <row r="487" spans="1:20" s="94" customFormat="1" x14ac:dyDescent="0.3">
      <c r="A487" s="82"/>
      <c r="B487" s="83"/>
      <c r="C487" s="87"/>
      <c r="D487" s="84"/>
      <c r="E487" s="83"/>
      <c r="F487" s="82"/>
      <c r="G487" s="85"/>
      <c r="H487" s="86" t="e">
        <f>IF(I487="fora",0%,G487/QUÓRUM!$C$6)</f>
        <v>#DIV/0!</v>
      </c>
      <c r="I487" s="87"/>
      <c r="J487" s="88"/>
      <c r="K487" s="88"/>
      <c r="L487" s="89"/>
      <c r="M487" s="89"/>
      <c r="N487" s="90"/>
      <c r="O487" s="87"/>
      <c r="P487" s="87"/>
      <c r="Q487" s="87"/>
      <c r="R487" s="91"/>
      <c r="S487" s="92"/>
      <c r="T487" s="93"/>
    </row>
    <row r="488" spans="1:20" s="94" customFormat="1" x14ac:dyDescent="0.3">
      <c r="A488" s="82"/>
      <c r="B488" s="83"/>
      <c r="C488" s="87"/>
      <c r="D488" s="84"/>
      <c r="E488" s="83"/>
      <c r="F488" s="82"/>
      <c r="G488" s="85"/>
      <c r="H488" s="86" t="e">
        <f>IF(I488="fora",0%,G488/QUÓRUM!$C$6)</f>
        <v>#DIV/0!</v>
      </c>
      <c r="I488" s="87"/>
      <c r="J488" s="88"/>
      <c r="K488" s="88"/>
      <c r="L488" s="89"/>
      <c r="M488" s="89"/>
      <c r="N488" s="90"/>
      <c r="O488" s="87"/>
      <c r="P488" s="87"/>
      <c r="Q488" s="87"/>
      <c r="R488" s="91"/>
      <c r="S488" s="92"/>
      <c r="T488" s="93"/>
    </row>
    <row r="489" spans="1:20" s="94" customFormat="1" x14ac:dyDescent="0.3">
      <c r="A489" s="82"/>
      <c r="B489" s="83"/>
      <c r="C489" s="87"/>
      <c r="D489" s="84"/>
      <c r="E489" s="83"/>
      <c r="F489" s="82"/>
      <c r="G489" s="85"/>
      <c r="H489" s="86" t="e">
        <f>IF(I489="fora",0%,G489/QUÓRUM!$C$6)</f>
        <v>#DIV/0!</v>
      </c>
      <c r="I489" s="87"/>
      <c r="J489" s="88"/>
      <c r="K489" s="88"/>
      <c r="L489" s="89"/>
      <c r="M489" s="89"/>
      <c r="N489" s="90"/>
      <c r="O489" s="87"/>
      <c r="P489" s="87"/>
      <c r="Q489" s="87"/>
      <c r="R489" s="91"/>
      <c r="S489" s="92"/>
      <c r="T489" s="93"/>
    </row>
    <row r="490" spans="1:20" s="94" customFormat="1" x14ac:dyDescent="0.3">
      <c r="A490" s="82"/>
      <c r="B490" s="83"/>
      <c r="C490" s="87"/>
      <c r="D490" s="84"/>
      <c r="E490" s="83"/>
      <c r="F490" s="82"/>
      <c r="G490" s="85"/>
      <c r="H490" s="86" t="e">
        <f>IF(I490="fora",0%,G490/QUÓRUM!$C$6)</f>
        <v>#DIV/0!</v>
      </c>
      <c r="I490" s="87"/>
      <c r="J490" s="88"/>
      <c r="K490" s="88"/>
      <c r="L490" s="89"/>
      <c r="M490" s="89"/>
      <c r="N490" s="90"/>
      <c r="O490" s="87"/>
      <c r="P490" s="87"/>
      <c r="Q490" s="87"/>
      <c r="R490" s="91"/>
      <c r="S490" s="92"/>
      <c r="T490" s="93"/>
    </row>
    <row r="491" spans="1:20" s="94" customFormat="1" x14ac:dyDescent="0.3">
      <c r="A491" s="82"/>
      <c r="B491" s="83"/>
      <c r="C491" s="87"/>
      <c r="D491" s="84"/>
      <c r="E491" s="83"/>
      <c r="F491" s="82"/>
      <c r="G491" s="85"/>
      <c r="H491" s="86" t="e">
        <f>IF(I491="fora",0%,G491/QUÓRUM!$C$6)</f>
        <v>#DIV/0!</v>
      </c>
      <c r="I491" s="87"/>
      <c r="J491" s="88"/>
      <c r="K491" s="88"/>
      <c r="L491" s="89"/>
      <c r="M491" s="89"/>
      <c r="N491" s="90"/>
      <c r="O491" s="87"/>
      <c r="P491" s="87"/>
      <c r="Q491" s="87"/>
      <c r="R491" s="91"/>
      <c r="S491" s="92"/>
      <c r="T491" s="93"/>
    </row>
    <row r="492" spans="1:20" s="94" customFormat="1" x14ac:dyDescent="0.3">
      <c r="A492" s="82"/>
      <c r="B492" s="83"/>
      <c r="C492" s="87"/>
      <c r="D492" s="84"/>
      <c r="E492" s="83"/>
      <c r="F492" s="82"/>
      <c r="G492" s="85"/>
      <c r="H492" s="86" t="e">
        <f>IF(I492="fora",0%,G492/QUÓRUM!$C$6)</f>
        <v>#DIV/0!</v>
      </c>
      <c r="I492" s="87"/>
      <c r="J492" s="88"/>
      <c r="K492" s="88"/>
      <c r="L492" s="89"/>
      <c r="M492" s="89"/>
      <c r="N492" s="90"/>
      <c r="O492" s="87"/>
      <c r="P492" s="87"/>
      <c r="Q492" s="87"/>
      <c r="R492" s="91"/>
      <c r="S492" s="92"/>
      <c r="T492" s="93"/>
    </row>
    <row r="493" spans="1:20" s="94" customFormat="1" x14ac:dyDescent="0.3">
      <c r="A493" s="82"/>
      <c r="B493" s="83"/>
      <c r="C493" s="87"/>
      <c r="D493" s="84"/>
      <c r="E493" s="83"/>
      <c r="F493" s="82"/>
      <c r="G493" s="85"/>
      <c r="H493" s="86" t="e">
        <f>IF(I493="fora",0%,G493/QUÓRUM!$C$6)</f>
        <v>#DIV/0!</v>
      </c>
      <c r="I493" s="87"/>
      <c r="J493" s="88"/>
      <c r="K493" s="88"/>
      <c r="L493" s="89"/>
      <c r="M493" s="89"/>
      <c r="N493" s="90"/>
      <c r="O493" s="87"/>
      <c r="P493" s="87"/>
      <c r="Q493" s="87"/>
      <c r="R493" s="91"/>
      <c r="S493" s="92"/>
      <c r="T493" s="93"/>
    </row>
    <row r="494" spans="1:20" s="94" customFormat="1" x14ac:dyDescent="0.3">
      <c r="A494" s="82"/>
      <c r="B494" s="83"/>
      <c r="C494" s="87"/>
      <c r="D494" s="84"/>
      <c r="E494" s="83"/>
      <c r="F494" s="82"/>
      <c r="G494" s="85"/>
      <c r="H494" s="86" t="e">
        <f>IF(I494="fora",0%,G494/QUÓRUM!$C$6)</f>
        <v>#DIV/0!</v>
      </c>
      <c r="I494" s="87"/>
      <c r="J494" s="88"/>
      <c r="K494" s="88"/>
      <c r="L494" s="89"/>
      <c r="M494" s="89"/>
      <c r="N494" s="90"/>
      <c r="O494" s="87"/>
      <c r="P494" s="87"/>
      <c r="Q494" s="87"/>
      <c r="R494" s="91"/>
      <c r="S494" s="92"/>
      <c r="T494" s="93"/>
    </row>
    <row r="495" spans="1:20" s="94" customFormat="1" x14ac:dyDescent="0.3">
      <c r="A495" s="82"/>
      <c r="B495" s="83"/>
      <c r="C495" s="87"/>
      <c r="D495" s="84"/>
      <c r="E495" s="83"/>
      <c r="F495" s="82"/>
      <c r="G495" s="85"/>
      <c r="H495" s="86" t="e">
        <f>IF(I495="fora",0%,G495/QUÓRUM!$C$6)</f>
        <v>#DIV/0!</v>
      </c>
      <c r="I495" s="87"/>
      <c r="J495" s="88"/>
      <c r="K495" s="88"/>
      <c r="L495" s="89"/>
      <c r="M495" s="89"/>
      <c r="N495" s="90"/>
      <c r="O495" s="87"/>
      <c r="P495" s="87"/>
      <c r="Q495" s="87"/>
      <c r="R495" s="91"/>
      <c r="S495" s="92"/>
      <c r="T495" s="93"/>
    </row>
    <row r="496" spans="1:20" s="94" customFormat="1" x14ac:dyDescent="0.3">
      <c r="A496" s="82"/>
      <c r="B496" s="83"/>
      <c r="C496" s="87"/>
      <c r="D496" s="84"/>
      <c r="E496" s="83"/>
      <c r="F496" s="82"/>
      <c r="G496" s="85"/>
      <c r="H496" s="86" t="e">
        <f>IF(I496="fora",0%,G496/QUÓRUM!$C$6)</f>
        <v>#DIV/0!</v>
      </c>
      <c r="I496" s="87"/>
      <c r="J496" s="88"/>
      <c r="K496" s="88"/>
      <c r="L496" s="89"/>
      <c r="M496" s="89"/>
      <c r="N496" s="90"/>
      <c r="O496" s="87"/>
      <c r="P496" s="87"/>
      <c r="Q496" s="87"/>
      <c r="R496" s="91"/>
      <c r="S496" s="92"/>
      <c r="T496" s="93"/>
    </row>
    <row r="497" spans="1:20" s="94" customFormat="1" ht="12" customHeight="1" x14ac:dyDescent="0.3">
      <c r="A497" s="82"/>
      <c r="B497" s="83"/>
      <c r="C497" s="87"/>
      <c r="D497" s="84"/>
      <c r="E497" s="83"/>
      <c r="F497" s="82"/>
      <c r="G497" s="85"/>
      <c r="H497" s="86" t="e">
        <f>IF(I497="fora",0%,G497/QUÓRUM!$C$6)</f>
        <v>#DIV/0!</v>
      </c>
      <c r="I497" s="87"/>
      <c r="J497" s="88"/>
      <c r="K497" s="88"/>
      <c r="L497" s="89"/>
      <c r="M497" s="89"/>
      <c r="N497" s="90"/>
      <c r="O497" s="87"/>
      <c r="P497" s="87"/>
      <c r="Q497" s="87"/>
      <c r="R497" s="91"/>
      <c r="S497" s="92"/>
      <c r="T497" s="93"/>
    </row>
    <row r="498" spans="1:20" s="94" customFormat="1" ht="12" customHeight="1" x14ac:dyDescent="0.3">
      <c r="A498" s="82"/>
      <c r="B498" s="83"/>
      <c r="C498" s="87"/>
      <c r="D498" s="84"/>
      <c r="E498" s="83"/>
      <c r="F498" s="82"/>
      <c r="G498" s="85"/>
      <c r="H498" s="86" t="e">
        <f>IF(I498="fora",0%,G498/QUÓRUM!$C$6)</f>
        <v>#DIV/0!</v>
      </c>
      <c r="I498" s="87"/>
      <c r="J498" s="88"/>
      <c r="K498" s="88"/>
      <c r="L498" s="89"/>
      <c r="M498" s="89"/>
      <c r="N498" s="90"/>
      <c r="O498" s="87"/>
      <c r="P498" s="87"/>
      <c r="Q498" s="87"/>
      <c r="R498" s="91"/>
      <c r="S498" s="92"/>
      <c r="T498" s="93"/>
    </row>
    <row r="499" spans="1:20" s="94" customFormat="1" ht="12" customHeight="1" x14ac:dyDescent="0.3">
      <c r="A499" s="82"/>
      <c r="B499" s="83"/>
      <c r="C499" s="87"/>
      <c r="D499" s="84"/>
      <c r="E499" s="83"/>
      <c r="F499" s="82"/>
      <c r="G499" s="85"/>
      <c r="H499" s="86" t="e">
        <f>IF(I499="fora",0%,G499/QUÓRUM!$C$6)</f>
        <v>#DIV/0!</v>
      </c>
      <c r="I499" s="87"/>
      <c r="J499" s="88"/>
      <c r="K499" s="88"/>
      <c r="L499" s="89"/>
      <c r="M499" s="89"/>
      <c r="N499" s="90"/>
      <c r="O499" s="87"/>
      <c r="P499" s="87"/>
      <c r="Q499" s="87"/>
      <c r="R499" s="91"/>
      <c r="S499" s="92"/>
      <c r="T499" s="93"/>
    </row>
    <row r="500" spans="1:20" s="94" customFormat="1" ht="12" customHeight="1" x14ac:dyDescent="0.3">
      <c r="A500" s="82"/>
      <c r="B500" s="83"/>
      <c r="C500" s="87"/>
      <c r="D500" s="84"/>
      <c r="E500" s="83"/>
      <c r="F500" s="82"/>
      <c r="G500" s="85"/>
      <c r="H500" s="86" t="e">
        <f>IF(I500="fora",0%,G500/QUÓRUM!$C$6)</f>
        <v>#DIV/0!</v>
      </c>
      <c r="I500" s="87"/>
      <c r="J500" s="88"/>
      <c r="K500" s="88"/>
      <c r="L500" s="89"/>
      <c r="M500" s="89"/>
      <c r="N500" s="90"/>
      <c r="O500" s="87"/>
      <c r="P500" s="87"/>
      <c r="Q500" s="87"/>
      <c r="R500" s="91"/>
      <c r="S500" s="92"/>
      <c r="T500" s="93"/>
    </row>
    <row r="501" spans="1:20" s="94" customFormat="1" ht="12" customHeight="1" x14ac:dyDescent="0.3">
      <c r="A501" s="82"/>
      <c r="B501" s="83"/>
      <c r="C501" s="87"/>
      <c r="D501" s="84"/>
      <c r="E501" s="83"/>
      <c r="F501" s="82"/>
      <c r="G501" s="85"/>
      <c r="H501" s="86" t="e">
        <f>IF(I501="fora",0%,G501/QUÓRUM!$C$6)</f>
        <v>#DIV/0!</v>
      </c>
      <c r="I501" s="87"/>
      <c r="J501" s="88"/>
      <c r="K501" s="88"/>
      <c r="L501" s="89"/>
      <c r="M501" s="89"/>
      <c r="N501" s="90"/>
      <c r="O501" s="87"/>
      <c r="P501" s="87"/>
      <c r="Q501" s="87"/>
      <c r="R501" s="91"/>
      <c r="S501" s="92"/>
      <c r="T501" s="93"/>
    </row>
    <row r="502" spans="1:20" s="94" customFormat="1" ht="12" customHeight="1" x14ac:dyDescent="0.3">
      <c r="A502" s="82"/>
      <c r="B502" s="83"/>
      <c r="C502" s="87"/>
      <c r="D502" s="84"/>
      <c r="E502" s="83"/>
      <c r="F502" s="82"/>
      <c r="G502" s="85"/>
      <c r="H502" s="86" t="e">
        <f>IF(I502="fora",0%,G502/QUÓRUM!$C$6)</f>
        <v>#DIV/0!</v>
      </c>
      <c r="I502" s="87"/>
      <c r="J502" s="88"/>
      <c r="K502" s="88"/>
      <c r="L502" s="89"/>
      <c r="M502" s="89"/>
      <c r="N502" s="90"/>
      <c r="O502" s="87"/>
      <c r="P502" s="87"/>
      <c r="Q502" s="87"/>
      <c r="R502" s="91"/>
      <c r="S502" s="92"/>
      <c r="T502" s="93"/>
    </row>
    <row r="503" spans="1:20" s="94" customFormat="1" ht="12" customHeight="1" x14ac:dyDescent="0.3">
      <c r="A503" s="82"/>
      <c r="B503" s="83"/>
      <c r="C503" s="87"/>
      <c r="D503" s="84"/>
      <c r="E503" s="83"/>
      <c r="F503" s="82"/>
      <c r="G503" s="85"/>
      <c r="H503" s="86" t="e">
        <f>IF(I503="fora",0%,G503/QUÓRUM!$C$6)</f>
        <v>#DIV/0!</v>
      </c>
      <c r="I503" s="87"/>
      <c r="J503" s="88"/>
      <c r="K503" s="88"/>
      <c r="L503" s="89"/>
      <c r="M503" s="89"/>
      <c r="N503" s="90"/>
      <c r="O503" s="87"/>
      <c r="P503" s="87"/>
      <c r="Q503" s="87"/>
      <c r="R503" s="91"/>
      <c r="S503" s="92"/>
      <c r="T503" s="93"/>
    </row>
    <row r="504" spans="1:20" s="94" customFormat="1" ht="12" customHeight="1" x14ac:dyDescent="0.3">
      <c r="A504" s="82"/>
      <c r="B504" s="83"/>
      <c r="C504" s="87"/>
      <c r="D504" s="84"/>
      <c r="E504" s="83"/>
      <c r="F504" s="82"/>
      <c r="G504" s="85"/>
      <c r="H504" s="86" t="e">
        <f>IF(I504="fora",0%,G504/QUÓRUM!$C$6)</f>
        <v>#DIV/0!</v>
      </c>
      <c r="I504" s="87"/>
      <c r="J504" s="88"/>
      <c r="K504" s="88"/>
      <c r="L504" s="89"/>
      <c r="M504" s="89"/>
      <c r="N504" s="90"/>
      <c r="O504" s="87"/>
      <c r="P504" s="87"/>
      <c r="Q504" s="87"/>
      <c r="R504" s="91"/>
      <c r="S504" s="92"/>
      <c r="T504" s="93"/>
    </row>
    <row r="505" spans="1:20" s="94" customFormat="1" ht="12" customHeight="1" x14ac:dyDescent="0.3">
      <c r="A505" s="82"/>
      <c r="B505" s="83"/>
      <c r="C505" s="87"/>
      <c r="D505" s="84"/>
      <c r="E505" s="83"/>
      <c r="F505" s="82"/>
      <c r="G505" s="85"/>
      <c r="H505" s="86" t="e">
        <f>IF(I505="fora",0%,G505/QUÓRUM!$C$6)</f>
        <v>#DIV/0!</v>
      </c>
      <c r="I505" s="87"/>
      <c r="J505" s="88"/>
      <c r="K505" s="88"/>
      <c r="L505" s="89"/>
      <c r="M505" s="89"/>
      <c r="N505" s="90"/>
      <c r="O505" s="87"/>
      <c r="P505" s="87"/>
      <c r="Q505" s="87"/>
      <c r="R505" s="91"/>
      <c r="S505" s="92"/>
      <c r="T505" s="93"/>
    </row>
    <row r="506" spans="1:20" s="94" customFormat="1" ht="12" customHeight="1" x14ac:dyDescent="0.3">
      <c r="A506" s="82"/>
      <c r="B506" s="83"/>
      <c r="C506" s="87"/>
      <c r="D506" s="84"/>
      <c r="E506" s="83"/>
      <c r="F506" s="82"/>
      <c r="G506" s="85"/>
      <c r="H506" s="86" t="e">
        <f>IF(I506="fora",0%,G506/QUÓRUM!$C$6)</f>
        <v>#DIV/0!</v>
      </c>
      <c r="I506" s="87"/>
      <c r="J506" s="88"/>
      <c r="K506" s="88"/>
      <c r="L506" s="89"/>
      <c r="M506" s="89"/>
      <c r="N506" s="90"/>
      <c r="O506" s="87"/>
      <c r="P506" s="87"/>
      <c r="Q506" s="87"/>
      <c r="R506" s="91"/>
      <c r="S506" s="92"/>
      <c r="T506" s="93"/>
    </row>
    <row r="507" spans="1:20" s="94" customFormat="1" ht="12" customHeight="1" x14ac:dyDescent="0.3">
      <c r="A507" s="82"/>
      <c r="B507" s="83"/>
      <c r="C507" s="87"/>
      <c r="D507" s="84"/>
      <c r="E507" s="83"/>
      <c r="F507" s="82"/>
      <c r="G507" s="85"/>
      <c r="H507" s="86" t="e">
        <f>IF(I507="fora",0%,G507/QUÓRUM!$C$6)</f>
        <v>#DIV/0!</v>
      </c>
      <c r="I507" s="87"/>
      <c r="J507" s="88"/>
      <c r="K507" s="88"/>
      <c r="L507" s="89"/>
      <c r="M507" s="89"/>
      <c r="N507" s="90"/>
      <c r="O507" s="87"/>
      <c r="P507" s="87"/>
      <c r="Q507" s="87"/>
      <c r="R507" s="91"/>
      <c r="S507" s="92"/>
      <c r="T507" s="93"/>
    </row>
    <row r="508" spans="1:20" s="94" customFormat="1" ht="12" customHeight="1" x14ac:dyDescent="0.3">
      <c r="A508" s="82"/>
      <c r="B508" s="83"/>
      <c r="C508" s="87"/>
      <c r="D508" s="84"/>
      <c r="E508" s="83"/>
      <c r="F508" s="82"/>
      <c r="G508" s="85"/>
      <c r="H508" s="86" t="e">
        <f>IF(I508="fora",0%,G508/QUÓRUM!$C$6)</f>
        <v>#DIV/0!</v>
      </c>
      <c r="I508" s="87"/>
      <c r="J508" s="88"/>
      <c r="K508" s="88"/>
      <c r="L508" s="89"/>
      <c r="M508" s="89"/>
      <c r="N508" s="90"/>
      <c r="O508" s="87"/>
      <c r="P508" s="87"/>
      <c r="Q508" s="87"/>
      <c r="R508" s="91"/>
      <c r="S508" s="92"/>
      <c r="T508" s="93"/>
    </row>
    <row r="509" spans="1:20" s="94" customFormat="1" ht="12" customHeight="1" x14ac:dyDescent="0.3">
      <c r="A509" s="82"/>
      <c r="B509" s="83"/>
      <c r="C509" s="87"/>
      <c r="D509" s="84"/>
      <c r="E509" s="83"/>
      <c r="F509" s="82"/>
      <c r="G509" s="85"/>
      <c r="H509" s="86" t="e">
        <f>IF(I509="fora",0%,G509/QUÓRUM!$C$6)</f>
        <v>#DIV/0!</v>
      </c>
      <c r="I509" s="87"/>
      <c r="J509" s="88"/>
      <c r="K509" s="88"/>
      <c r="L509" s="89"/>
      <c r="M509" s="89"/>
      <c r="N509" s="90"/>
      <c r="O509" s="87"/>
      <c r="P509" s="87"/>
      <c r="Q509" s="87"/>
      <c r="R509" s="91"/>
      <c r="S509" s="92"/>
      <c r="T509" s="93"/>
    </row>
    <row r="510" spans="1:20" s="94" customFormat="1" ht="12" customHeight="1" x14ac:dyDescent="0.3">
      <c r="A510" s="82"/>
      <c r="B510" s="83"/>
      <c r="C510" s="87"/>
      <c r="D510" s="84"/>
      <c r="E510" s="83"/>
      <c r="F510" s="82"/>
      <c r="G510" s="85"/>
      <c r="H510" s="86" t="e">
        <f>IF(I510="fora",0%,G510/QUÓRUM!$C$6)</f>
        <v>#DIV/0!</v>
      </c>
      <c r="I510" s="87"/>
      <c r="J510" s="88"/>
      <c r="K510" s="88"/>
      <c r="L510" s="89"/>
      <c r="M510" s="89"/>
      <c r="N510" s="90"/>
      <c r="O510" s="87"/>
      <c r="P510" s="87"/>
      <c r="Q510" s="87"/>
      <c r="R510" s="91"/>
      <c r="S510" s="92"/>
      <c r="T510" s="93"/>
    </row>
    <row r="511" spans="1:20" s="94" customFormat="1" ht="12" customHeight="1" x14ac:dyDescent="0.3">
      <c r="A511" s="82"/>
      <c r="B511" s="83"/>
      <c r="C511" s="87"/>
      <c r="D511" s="84"/>
      <c r="E511" s="83"/>
      <c r="F511" s="82"/>
      <c r="G511" s="85"/>
      <c r="H511" s="86" t="e">
        <f>IF(I511="fora",0%,G511/QUÓRUM!$C$6)</f>
        <v>#DIV/0!</v>
      </c>
      <c r="I511" s="87"/>
      <c r="J511" s="88"/>
      <c r="K511" s="88"/>
      <c r="L511" s="89"/>
      <c r="M511" s="89"/>
      <c r="N511" s="90"/>
      <c r="O511" s="87"/>
      <c r="P511" s="87"/>
      <c r="Q511" s="87"/>
      <c r="R511" s="91"/>
      <c r="S511" s="92"/>
      <c r="T511" s="93"/>
    </row>
    <row r="512" spans="1:20" s="94" customFormat="1" ht="12" customHeight="1" x14ac:dyDescent="0.3">
      <c r="A512" s="82"/>
      <c r="B512" s="83"/>
      <c r="C512" s="87"/>
      <c r="D512" s="84"/>
      <c r="E512" s="83"/>
      <c r="F512" s="82"/>
      <c r="G512" s="85"/>
      <c r="H512" s="86" t="e">
        <f>IF(I512="fora",0%,G512/QUÓRUM!$C$6)</f>
        <v>#DIV/0!</v>
      </c>
      <c r="I512" s="87"/>
      <c r="J512" s="88"/>
      <c r="K512" s="88"/>
      <c r="L512" s="89"/>
      <c r="M512" s="89"/>
      <c r="N512" s="90"/>
      <c r="O512" s="87"/>
      <c r="P512" s="87"/>
      <c r="Q512" s="87"/>
      <c r="R512" s="91"/>
      <c r="S512" s="92"/>
      <c r="T512" s="93"/>
    </row>
    <row r="513" spans="1:20" s="94" customFormat="1" ht="12" customHeight="1" x14ac:dyDescent="0.3">
      <c r="A513" s="82"/>
      <c r="B513" s="83"/>
      <c r="C513" s="87"/>
      <c r="D513" s="84"/>
      <c r="E513" s="83"/>
      <c r="F513" s="82"/>
      <c r="G513" s="85"/>
      <c r="H513" s="86" t="e">
        <f>IF(I513="fora",0%,G513/QUÓRUM!$C$6)</f>
        <v>#DIV/0!</v>
      </c>
      <c r="I513" s="87"/>
      <c r="J513" s="88"/>
      <c r="K513" s="88"/>
      <c r="L513" s="89"/>
      <c r="M513" s="89"/>
      <c r="N513" s="90"/>
      <c r="O513" s="87"/>
      <c r="P513" s="87"/>
      <c r="Q513" s="87"/>
      <c r="R513" s="91"/>
      <c r="S513" s="92"/>
      <c r="T513" s="93"/>
    </row>
    <row r="514" spans="1:20" s="94" customFormat="1" ht="12" customHeight="1" x14ac:dyDescent="0.3">
      <c r="A514" s="82"/>
      <c r="B514" s="83"/>
      <c r="C514" s="87"/>
      <c r="D514" s="84"/>
      <c r="E514" s="83"/>
      <c r="F514" s="82"/>
      <c r="G514" s="85"/>
      <c r="H514" s="86" t="e">
        <f>IF(I514="fora",0%,G514/QUÓRUM!$C$6)</f>
        <v>#DIV/0!</v>
      </c>
      <c r="I514" s="87"/>
      <c r="J514" s="88"/>
      <c r="K514" s="88"/>
      <c r="L514" s="89"/>
      <c r="M514" s="89"/>
      <c r="N514" s="90"/>
      <c r="O514" s="87"/>
      <c r="P514" s="87"/>
      <c r="Q514" s="87"/>
      <c r="R514" s="91"/>
      <c r="S514" s="92"/>
      <c r="T514" s="93"/>
    </row>
    <row r="515" spans="1:20" s="94" customFormat="1" ht="12" customHeight="1" x14ac:dyDescent="0.3">
      <c r="A515" s="82"/>
      <c r="B515" s="83"/>
      <c r="C515" s="87"/>
      <c r="D515" s="84"/>
      <c r="E515" s="83"/>
      <c r="F515" s="82"/>
      <c r="G515" s="85"/>
      <c r="H515" s="86" t="e">
        <f>IF(I515="fora",0%,G515/QUÓRUM!$C$6)</f>
        <v>#DIV/0!</v>
      </c>
      <c r="I515" s="87"/>
      <c r="J515" s="88"/>
      <c r="K515" s="88"/>
      <c r="L515" s="89"/>
      <c r="M515" s="89"/>
      <c r="N515" s="90"/>
      <c r="O515" s="87"/>
      <c r="P515" s="87"/>
      <c r="Q515" s="87"/>
      <c r="R515" s="91"/>
      <c r="S515" s="92"/>
      <c r="T515" s="93"/>
    </row>
    <row r="516" spans="1:20" s="94" customFormat="1" ht="12" customHeight="1" x14ac:dyDescent="0.3">
      <c r="A516" s="82"/>
      <c r="B516" s="83"/>
      <c r="C516" s="87"/>
      <c r="D516" s="84"/>
      <c r="E516" s="83"/>
      <c r="F516" s="82"/>
      <c r="G516" s="85"/>
      <c r="H516" s="86" t="e">
        <f>IF(I516="fora",0%,G516/QUÓRUM!$C$6)</f>
        <v>#DIV/0!</v>
      </c>
      <c r="I516" s="87"/>
      <c r="J516" s="88"/>
      <c r="K516" s="88"/>
      <c r="L516" s="89"/>
      <c r="M516" s="89"/>
      <c r="N516" s="90"/>
      <c r="O516" s="87"/>
      <c r="P516" s="87"/>
      <c r="Q516" s="87"/>
      <c r="R516" s="91"/>
      <c r="S516" s="92"/>
      <c r="T516" s="93"/>
    </row>
    <row r="517" spans="1:20" s="94" customFormat="1" ht="12" customHeight="1" x14ac:dyDescent="0.3">
      <c r="A517" s="82"/>
      <c r="B517" s="83"/>
      <c r="C517" s="87"/>
      <c r="D517" s="84"/>
      <c r="E517" s="83"/>
      <c r="F517" s="82"/>
      <c r="G517" s="85"/>
      <c r="H517" s="86" t="e">
        <f>IF(I517="fora",0%,G517/QUÓRUM!$C$6)</f>
        <v>#DIV/0!</v>
      </c>
      <c r="I517" s="87"/>
      <c r="J517" s="88"/>
      <c r="K517" s="88"/>
      <c r="L517" s="89"/>
      <c r="M517" s="89"/>
      <c r="N517" s="90"/>
      <c r="O517" s="87"/>
      <c r="P517" s="87"/>
      <c r="Q517" s="87"/>
      <c r="R517" s="91"/>
      <c r="S517" s="92"/>
      <c r="T517" s="93"/>
    </row>
    <row r="518" spans="1:20" s="94" customFormat="1" ht="12" customHeight="1" x14ac:dyDescent="0.3">
      <c r="A518" s="82"/>
      <c r="B518" s="83"/>
      <c r="C518" s="87"/>
      <c r="D518" s="84"/>
      <c r="E518" s="83"/>
      <c r="F518" s="82"/>
      <c r="G518" s="85"/>
      <c r="H518" s="86" t="e">
        <f>IF(I518="fora",0%,G518/QUÓRUM!$C$6)</f>
        <v>#DIV/0!</v>
      </c>
      <c r="I518" s="87"/>
      <c r="J518" s="88"/>
      <c r="K518" s="88"/>
      <c r="L518" s="89"/>
      <c r="M518" s="89"/>
      <c r="N518" s="90"/>
      <c r="O518" s="87"/>
      <c r="P518" s="87"/>
      <c r="Q518" s="87"/>
      <c r="R518" s="91"/>
      <c r="S518" s="92"/>
      <c r="T518" s="93"/>
    </row>
    <row r="519" spans="1:20" s="94" customFormat="1" ht="12" customHeight="1" x14ac:dyDescent="0.3">
      <c r="A519" s="82"/>
      <c r="B519" s="83"/>
      <c r="C519" s="87"/>
      <c r="D519" s="84"/>
      <c r="E519" s="83"/>
      <c r="F519" s="82"/>
      <c r="G519" s="85"/>
      <c r="H519" s="86" t="e">
        <f>IF(I519="fora",0%,G519/QUÓRUM!$C$6)</f>
        <v>#DIV/0!</v>
      </c>
      <c r="I519" s="87"/>
      <c r="J519" s="88"/>
      <c r="K519" s="88"/>
      <c r="L519" s="89"/>
      <c r="M519" s="89"/>
      <c r="N519" s="90"/>
      <c r="O519" s="87"/>
      <c r="P519" s="87"/>
      <c r="Q519" s="87"/>
      <c r="R519" s="91"/>
      <c r="S519" s="92"/>
      <c r="T519" s="93"/>
    </row>
    <row r="520" spans="1:20" s="94" customFormat="1" ht="12" customHeight="1" x14ac:dyDescent="0.3">
      <c r="A520" s="82"/>
      <c r="B520" s="83"/>
      <c r="C520" s="87"/>
      <c r="D520" s="84"/>
      <c r="E520" s="83"/>
      <c r="F520" s="82"/>
      <c r="G520" s="85"/>
      <c r="H520" s="86" t="e">
        <f>IF(I520="fora",0%,G520/QUÓRUM!$C$6)</f>
        <v>#DIV/0!</v>
      </c>
      <c r="I520" s="87"/>
      <c r="J520" s="88"/>
      <c r="K520" s="88"/>
      <c r="L520" s="89"/>
      <c r="M520" s="89"/>
      <c r="N520" s="90"/>
      <c r="O520" s="87"/>
      <c r="P520" s="87"/>
      <c r="Q520" s="87"/>
      <c r="R520" s="91"/>
      <c r="S520" s="92"/>
      <c r="T520" s="93"/>
    </row>
    <row r="521" spans="1:20" s="94" customFormat="1" ht="12" customHeight="1" x14ac:dyDescent="0.3">
      <c r="A521" s="82"/>
      <c r="B521" s="83"/>
      <c r="C521" s="87"/>
      <c r="D521" s="84"/>
      <c r="E521" s="83"/>
      <c r="F521" s="82"/>
      <c r="G521" s="85"/>
      <c r="H521" s="86" t="e">
        <f>IF(I521="fora",0%,G521/QUÓRUM!$C$6)</f>
        <v>#DIV/0!</v>
      </c>
      <c r="I521" s="87"/>
      <c r="J521" s="88"/>
      <c r="K521" s="88"/>
      <c r="L521" s="89"/>
      <c r="M521" s="89"/>
      <c r="N521" s="90"/>
      <c r="O521" s="87"/>
      <c r="P521" s="87"/>
      <c r="Q521" s="87"/>
      <c r="R521" s="91"/>
      <c r="S521" s="92"/>
      <c r="T521" s="93"/>
    </row>
    <row r="522" spans="1:20" s="94" customFormat="1" ht="12" customHeight="1" x14ac:dyDescent="0.3">
      <c r="A522" s="82"/>
      <c r="B522" s="83"/>
      <c r="C522" s="87"/>
      <c r="D522" s="84"/>
      <c r="E522" s="83"/>
      <c r="F522" s="82"/>
      <c r="G522" s="85"/>
      <c r="H522" s="86" t="e">
        <f>IF(I522="fora",0%,G522/QUÓRUM!$C$6)</f>
        <v>#DIV/0!</v>
      </c>
      <c r="I522" s="87"/>
      <c r="J522" s="88"/>
      <c r="K522" s="88"/>
      <c r="L522" s="89"/>
      <c r="M522" s="89"/>
      <c r="N522" s="90"/>
      <c r="O522" s="87"/>
      <c r="P522" s="87"/>
      <c r="Q522" s="87"/>
      <c r="R522" s="91"/>
      <c r="S522" s="92"/>
      <c r="T522" s="93"/>
    </row>
    <row r="523" spans="1:20" s="94" customFormat="1" ht="12" customHeight="1" x14ac:dyDescent="0.3">
      <c r="A523" s="82"/>
      <c r="B523" s="83"/>
      <c r="C523" s="87"/>
      <c r="D523" s="84"/>
      <c r="E523" s="83"/>
      <c r="F523" s="82"/>
      <c r="G523" s="85"/>
      <c r="H523" s="86" t="e">
        <f>IF(I523="fora",0%,G523/QUÓRUM!$C$6)</f>
        <v>#DIV/0!</v>
      </c>
      <c r="I523" s="87"/>
      <c r="J523" s="88"/>
      <c r="K523" s="88"/>
      <c r="L523" s="89"/>
      <c r="M523" s="89"/>
      <c r="N523" s="90"/>
      <c r="O523" s="87"/>
      <c r="P523" s="87"/>
      <c r="Q523" s="87"/>
      <c r="R523" s="91"/>
      <c r="S523" s="92"/>
      <c r="T523" s="93"/>
    </row>
    <row r="524" spans="1:20" s="94" customFormat="1" ht="12" customHeight="1" x14ac:dyDescent="0.3">
      <c r="A524" s="82"/>
      <c r="B524" s="83"/>
      <c r="C524" s="87"/>
      <c r="D524" s="84"/>
      <c r="E524" s="83"/>
      <c r="F524" s="82"/>
      <c r="G524" s="85"/>
      <c r="H524" s="86" t="e">
        <f>IF(I524="fora",0%,G524/QUÓRUM!$C$6)</f>
        <v>#DIV/0!</v>
      </c>
      <c r="I524" s="87"/>
      <c r="J524" s="88"/>
      <c r="K524" s="88"/>
      <c r="L524" s="89"/>
      <c r="M524" s="89"/>
      <c r="N524" s="90"/>
      <c r="O524" s="87"/>
      <c r="P524" s="87"/>
      <c r="Q524" s="87"/>
      <c r="R524" s="91"/>
      <c r="S524" s="92"/>
      <c r="T524" s="93"/>
    </row>
    <row r="525" spans="1:20" s="94" customFormat="1" ht="12" customHeight="1" x14ac:dyDescent="0.3">
      <c r="A525" s="82"/>
      <c r="B525" s="83"/>
      <c r="C525" s="87"/>
      <c r="D525" s="84"/>
      <c r="E525" s="83"/>
      <c r="F525" s="82"/>
      <c r="G525" s="85"/>
      <c r="H525" s="86" t="e">
        <f>IF(I525="fora",0%,G525/QUÓRUM!$C$6)</f>
        <v>#DIV/0!</v>
      </c>
      <c r="I525" s="87"/>
      <c r="J525" s="88"/>
      <c r="K525" s="88"/>
      <c r="L525" s="89"/>
      <c r="M525" s="89"/>
      <c r="N525" s="90"/>
      <c r="O525" s="87"/>
      <c r="P525" s="87"/>
      <c r="Q525" s="87"/>
      <c r="R525" s="91"/>
      <c r="S525" s="92"/>
      <c r="T525" s="93"/>
    </row>
    <row r="526" spans="1:20" s="94" customFormat="1" ht="12" customHeight="1" x14ac:dyDescent="0.3">
      <c r="A526" s="82"/>
      <c r="B526" s="83"/>
      <c r="C526" s="87"/>
      <c r="D526" s="84"/>
      <c r="E526" s="83"/>
      <c r="F526" s="82"/>
      <c r="G526" s="85"/>
      <c r="H526" s="86" t="e">
        <f>IF(I526="fora",0%,G526/QUÓRUM!$C$6)</f>
        <v>#DIV/0!</v>
      </c>
      <c r="I526" s="87"/>
      <c r="J526" s="88"/>
      <c r="K526" s="88"/>
      <c r="L526" s="89"/>
      <c r="M526" s="89"/>
      <c r="N526" s="90"/>
      <c r="O526" s="87"/>
      <c r="P526" s="87"/>
      <c r="Q526" s="87"/>
      <c r="R526" s="91"/>
      <c r="S526" s="92"/>
      <c r="T526" s="93"/>
    </row>
    <row r="527" spans="1:20" s="94" customFormat="1" ht="12" customHeight="1" x14ac:dyDescent="0.3">
      <c r="A527" s="82"/>
      <c r="B527" s="83"/>
      <c r="C527" s="87"/>
      <c r="D527" s="84"/>
      <c r="E527" s="83"/>
      <c r="F527" s="82"/>
      <c r="G527" s="85"/>
      <c r="H527" s="86" t="e">
        <f>IF(I527="fora",0%,G527/QUÓRUM!$C$6)</f>
        <v>#DIV/0!</v>
      </c>
      <c r="I527" s="87"/>
      <c r="J527" s="88"/>
      <c r="K527" s="88"/>
      <c r="L527" s="89"/>
      <c r="M527" s="89"/>
      <c r="N527" s="90"/>
      <c r="O527" s="87"/>
      <c r="P527" s="87"/>
      <c r="Q527" s="87"/>
      <c r="R527" s="91"/>
      <c r="S527" s="92"/>
      <c r="T527" s="93"/>
    </row>
    <row r="528" spans="1:20" s="94" customFormat="1" ht="12" customHeight="1" x14ac:dyDescent="0.3">
      <c r="A528" s="82"/>
      <c r="B528" s="83"/>
      <c r="C528" s="87"/>
      <c r="D528" s="84"/>
      <c r="E528" s="83"/>
      <c r="F528" s="82"/>
      <c r="G528" s="85"/>
      <c r="H528" s="86" t="e">
        <f>IF(I528="fora",0%,G528/QUÓRUM!$C$6)</f>
        <v>#DIV/0!</v>
      </c>
      <c r="I528" s="87"/>
      <c r="J528" s="88"/>
      <c r="K528" s="88"/>
      <c r="L528" s="89"/>
      <c r="M528" s="89"/>
      <c r="N528" s="90"/>
      <c r="O528" s="87"/>
      <c r="P528" s="87"/>
      <c r="Q528" s="87"/>
      <c r="R528" s="91"/>
      <c r="S528" s="92"/>
      <c r="T528" s="93"/>
    </row>
    <row r="529" spans="1:20" s="94" customFormat="1" ht="12" customHeight="1" x14ac:dyDescent="0.3">
      <c r="A529" s="82"/>
      <c r="B529" s="83"/>
      <c r="C529" s="87"/>
      <c r="D529" s="84"/>
      <c r="E529" s="83"/>
      <c r="F529" s="82"/>
      <c r="G529" s="85"/>
      <c r="H529" s="86" t="e">
        <f>IF(I529="fora",0%,G529/QUÓRUM!$C$6)</f>
        <v>#DIV/0!</v>
      </c>
      <c r="I529" s="87"/>
      <c r="J529" s="88"/>
      <c r="K529" s="88"/>
      <c r="L529" s="89"/>
      <c r="M529" s="89"/>
      <c r="N529" s="90"/>
      <c r="O529" s="87"/>
      <c r="P529" s="87"/>
      <c r="Q529" s="87"/>
      <c r="R529" s="91"/>
      <c r="S529" s="92"/>
      <c r="T529" s="93"/>
    </row>
    <row r="530" spans="1:20" s="94" customFormat="1" ht="12" customHeight="1" x14ac:dyDescent="0.3">
      <c r="A530" s="82"/>
      <c r="B530" s="83"/>
      <c r="C530" s="87"/>
      <c r="D530" s="84"/>
      <c r="E530" s="83"/>
      <c r="F530" s="82"/>
      <c r="G530" s="85"/>
      <c r="H530" s="86" t="e">
        <f>IF(I530="fora",0%,G530/QUÓRUM!$C$6)</f>
        <v>#DIV/0!</v>
      </c>
      <c r="I530" s="87"/>
      <c r="J530" s="88"/>
      <c r="K530" s="88"/>
      <c r="L530" s="89"/>
      <c r="M530" s="89"/>
      <c r="N530" s="90"/>
      <c r="O530" s="87"/>
      <c r="P530" s="87"/>
      <c r="Q530" s="87"/>
      <c r="R530" s="91"/>
      <c r="S530" s="92"/>
      <c r="T530" s="93"/>
    </row>
    <row r="531" spans="1:20" s="94" customFormat="1" ht="12" customHeight="1" x14ac:dyDescent="0.3">
      <c r="A531" s="82"/>
      <c r="B531" s="83"/>
      <c r="C531" s="87"/>
      <c r="D531" s="84"/>
      <c r="E531" s="83"/>
      <c r="F531" s="82"/>
      <c r="G531" s="85"/>
      <c r="H531" s="86" t="e">
        <f>IF(I531="fora",0%,G531/QUÓRUM!$C$6)</f>
        <v>#DIV/0!</v>
      </c>
      <c r="I531" s="87"/>
      <c r="J531" s="88"/>
      <c r="K531" s="88"/>
      <c r="L531" s="89"/>
      <c r="M531" s="89"/>
      <c r="N531" s="90"/>
      <c r="O531" s="87"/>
      <c r="P531" s="87"/>
      <c r="Q531" s="87"/>
      <c r="R531" s="91"/>
      <c r="S531" s="92"/>
      <c r="T531" s="93"/>
    </row>
    <row r="532" spans="1:20" s="94" customFormat="1" ht="12" customHeight="1" x14ac:dyDescent="0.3">
      <c r="A532" s="82"/>
      <c r="B532" s="83"/>
      <c r="C532" s="87"/>
      <c r="D532" s="84"/>
      <c r="E532" s="83"/>
      <c r="F532" s="82"/>
      <c r="G532" s="85"/>
      <c r="H532" s="86" t="e">
        <f>IF(I532="fora",0%,G532/QUÓRUM!$C$6)</f>
        <v>#DIV/0!</v>
      </c>
      <c r="I532" s="87"/>
      <c r="J532" s="88"/>
      <c r="K532" s="88"/>
      <c r="L532" s="89"/>
      <c r="M532" s="89"/>
      <c r="N532" s="90"/>
      <c r="O532" s="87"/>
      <c r="P532" s="87"/>
      <c r="Q532" s="87"/>
      <c r="R532" s="91"/>
      <c r="S532" s="92"/>
      <c r="T532" s="93"/>
    </row>
    <row r="533" spans="1:20" s="94" customFormat="1" ht="12" customHeight="1" x14ac:dyDescent="0.3">
      <c r="A533" s="82"/>
      <c r="B533" s="83"/>
      <c r="C533" s="87"/>
      <c r="D533" s="84"/>
      <c r="E533" s="83"/>
      <c r="F533" s="82"/>
      <c r="G533" s="85"/>
      <c r="H533" s="86" t="e">
        <f>IF(I533="fora",0%,G533/QUÓRUM!$C$6)</f>
        <v>#DIV/0!</v>
      </c>
      <c r="I533" s="87"/>
      <c r="J533" s="88"/>
      <c r="K533" s="88"/>
      <c r="L533" s="89"/>
      <c r="M533" s="89"/>
      <c r="N533" s="90"/>
      <c r="O533" s="87"/>
      <c r="P533" s="87"/>
      <c r="Q533" s="87"/>
      <c r="R533" s="91"/>
      <c r="S533" s="92"/>
      <c r="T533" s="93"/>
    </row>
    <row r="534" spans="1:20" s="94" customFormat="1" ht="12" customHeight="1" x14ac:dyDescent="0.3">
      <c r="A534" s="82"/>
      <c r="B534" s="83"/>
      <c r="C534" s="87"/>
      <c r="D534" s="84"/>
      <c r="E534" s="83"/>
      <c r="F534" s="82"/>
      <c r="G534" s="85"/>
      <c r="H534" s="86" t="e">
        <f>IF(I534="fora",0%,G534/QUÓRUM!$C$6)</f>
        <v>#DIV/0!</v>
      </c>
      <c r="I534" s="87"/>
      <c r="J534" s="88"/>
      <c r="K534" s="88"/>
      <c r="L534" s="89"/>
      <c r="M534" s="89"/>
      <c r="N534" s="90"/>
      <c r="O534" s="87"/>
      <c r="P534" s="87"/>
      <c r="Q534" s="87"/>
      <c r="R534" s="91"/>
      <c r="S534" s="92"/>
      <c r="T534" s="93"/>
    </row>
    <row r="535" spans="1:20" s="94" customFormat="1" ht="12" customHeight="1" x14ac:dyDescent="0.3">
      <c r="A535" s="82"/>
      <c r="B535" s="83"/>
      <c r="C535" s="87"/>
      <c r="D535" s="84"/>
      <c r="E535" s="83"/>
      <c r="F535" s="82"/>
      <c r="G535" s="85"/>
      <c r="H535" s="86" t="e">
        <f>IF(I535="fora",0%,G535/QUÓRUM!$C$6)</f>
        <v>#DIV/0!</v>
      </c>
      <c r="I535" s="87"/>
      <c r="J535" s="88"/>
      <c r="K535" s="88"/>
      <c r="L535" s="89"/>
      <c r="M535" s="89"/>
      <c r="N535" s="90"/>
      <c r="O535" s="87"/>
      <c r="P535" s="87"/>
      <c r="Q535" s="87"/>
      <c r="R535" s="91"/>
      <c r="S535" s="92"/>
      <c r="T535" s="93"/>
    </row>
    <row r="536" spans="1:20" s="94" customFormat="1" ht="12" customHeight="1" x14ac:dyDescent="0.3">
      <c r="A536" s="82"/>
      <c r="B536" s="83"/>
      <c r="C536" s="87"/>
      <c r="D536" s="84"/>
      <c r="E536" s="83"/>
      <c r="F536" s="82"/>
      <c r="G536" s="85"/>
      <c r="H536" s="86" t="e">
        <f>IF(I536="fora",0%,G536/QUÓRUM!$C$6)</f>
        <v>#DIV/0!</v>
      </c>
      <c r="I536" s="87"/>
      <c r="J536" s="88"/>
      <c r="K536" s="88"/>
      <c r="L536" s="89"/>
      <c r="M536" s="89"/>
      <c r="N536" s="90"/>
      <c r="O536" s="87"/>
      <c r="P536" s="87"/>
      <c r="Q536" s="87"/>
      <c r="R536" s="91"/>
      <c r="S536" s="92"/>
      <c r="T536" s="93"/>
    </row>
    <row r="537" spans="1:20" s="94" customFormat="1" ht="12" customHeight="1" x14ac:dyDescent="0.3">
      <c r="A537" s="82"/>
      <c r="B537" s="83"/>
      <c r="C537" s="87"/>
      <c r="D537" s="84"/>
      <c r="E537" s="83"/>
      <c r="F537" s="82"/>
      <c r="G537" s="85"/>
      <c r="H537" s="86" t="e">
        <f>IF(I537="fora",0%,G537/QUÓRUM!$C$6)</f>
        <v>#DIV/0!</v>
      </c>
      <c r="I537" s="87"/>
      <c r="J537" s="88"/>
      <c r="K537" s="88"/>
      <c r="L537" s="89"/>
      <c r="M537" s="89"/>
      <c r="N537" s="90"/>
      <c r="O537" s="87"/>
      <c r="P537" s="87"/>
      <c r="Q537" s="87"/>
      <c r="R537" s="91"/>
      <c r="S537" s="92"/>
      <c r="T537" s="93"/>
    </row>
    <row r="538" spans="1:20" s="94" customFormat="1" ht="12" customHeight="1" x14ac:dyDescent="0.3">
      <c r="A538" s="82"/>
      <c r="B538" s="83"/>
      <c r="C538" s="87"/>
      <c r="D538" s="84"/>
      <c r="E538" s="83"/>
      <c r="F538" s="82"/>
      <c r="G538" s="85"/>
      <c r="H538" s="86" t="e">
        <f>IF(I538="fora",0%,G538/QUÓRUM!$C$6)</f>
        <v>#DIV/0!</v>
      </c>
      <c r="I538" s="87"/>
      <c r="J538" s="88"/>
      <c r="K538" s="88"/>
      <c r="L538" s="89"/>
      <c r="M538" s="89"/>
      <c r="N538" s="90"/>
      <c r="O538" s="87"/>
      <c r="P538" s="87"/>
      <c r="Q538" s="87"/>
      <c r="R538" s="91"/>
      <c r="S538" s="92"/>
      <c r="T538" s="93"/>
    </row>
    <row r="539" spans="1:20" s="94" customFormat="1" x14ac:dyDescent="0.3">
      <c r="A539" s="82"/>
      <c r="B539" s="83"/>
      <c r="C539" s="87"/>
      <c r="D539" s="84"/>
      <c r="E539" s="83"/>
      <c r="F539" s="82"/>
      <c r="G539" s="85"/>
      <c r="H539" s="86" t="e">
        <f>IF(I539="fora",0%,G539/QUÓRUM!$C$6)</f>
        <v>#DIV/0!</v>
      </c>
      <c r="I539" s="87"/>
      <c r="J539" s="88"/>
      <c r="K539" s="88"/>
      <c r="L539" s="89"/>
      <c r="M539" s="89"/>
      <c r="N539" s="90"/>
      <c r="O539" s="87"/>
      <c r="P539" s="87"/>
      <c r="Q539" s="87"/>
      <c r="R539" s="91"/>
      <c r="S539" s="92"/>
      <c r="T539" s="93"/>
    </row>
    <row r="540" spans="1:20" s="94" customFormat="1" x14ac:dyDescent="0.3">
      <c r="A540" s="82"/>
      <c r="B540" s="83"/>
      <c r="C540" s="87"/>
      <c r="D540" s="84"/>
      <c r="E540" s="83"/>
      <c r="F540" s="82"/>
      <c r="G540" s="85"/>
      <c r="H540" s="86" t="e">
        <f>IF(I540="fora",0%,G540/QUÓRUM!$C$6)</f>
        <v>#DIV/0!</v>
      </c>
      <c r="I540" s="87"/>
      <c r="J540" s="88"/>
      <c r="K540" s="88"/>
      <c r="L540" s="89"/>
      <c r="M540" s="89"/>
      <c r="N540" s="90"/>
      <c r="O540" s="87"/>
      <c r="P540" s="87"/>
      <c r="Q540" s="87"/>
      <c r="R540" s="91"/>
      <c r="S540" s="92"/>
      <c r="T540" s="93"/>
    </row>
    <row r="541" spans="1:20" s="94" customFormat="1" x14ac:dyDescent="0.3">
      <c r="A541" s="82"/>
      <c r="B541" s="83"/>
      <c r="C541" s="87"/>
      <c r="D541" s="84"/>
      <c r="E541" s="83"/>
      <c r="F541" s="82"/>
      <c r="G541" s="85"/>
      <c r="H541" s="86" t="e">
        <f>IF(I541="fora",0%,G541/QUÓRUM!$C$6)</f>
        <v>#DIV/0!</v>
      </c>
      <c r="I541" s="87"/>
      <c r="J541" s="88"/>
      <c r="K541" s="88"/>
      <c r="L541" s="89"/>
      <c r="M541" s="89"/>
      <c r="N541" s="90"/>
      <c r="O541" s="87"/>
      <c r="P541" s="87"/>
      <c r="Q541" s="87"/>
      <c r="R541" s="91"/>
      <c r="S541" s="92"/>
      <c r="T541" s="93"/>
    </row>
    <row r="542" spans="1:20" s="94" customFormat="1" x14ac:dyDescent="0.3">
      <c r="A542" s="82"/>
      <c r="B542" s="83"/>
      <c r="C542" s="87"/>
      <c r="D542" s="84"/>
      <c r="E542" s="83"/>
      <c r="F542" s="82"/>
      <c r="G542" s="85"/>
      <c r="H542" s="86" t="e">
        <f>IF(I542="fora",0%,G542/QUÓRUM!$C$6)</f>
        <v>#DIV/0!</v>
      </c>
      <c r="I542" s="87"/>
      <c r="J542" s="88"/>
      <c r="K542" s="88"/>
      <c r="L542" s="89"/>
      <c r="M542" s="89"/>
      <c r="N542" s="90"/>
      <c r="O542" s="87"/>
      <c r="P542" s="87"/>
      <c r="Q542" s="87"/>
      <c r="R542" s="91"/>
      <c r="S542" s="92"/>
      <c r="T542" s="93"/>
    </row>
    <row r="543" spans="1:20" s="94" customFormat="1" x14ac:dyDescent="0.3">
      <c r="A543" s="82"/>
      <c r="B543" s="83"/>
      <c r="C543" s="87"/>
      <c r="D543" s="84"/>
      <c r="E543" s="83"/>
      <c r="F543" s="82"/>
      <c r="G543" s="85"/>
      <c r="H543" s="86" t="e">
        <f>IF(I543="fora",0%,G543/QUÓRUM!$C$6)</f>
        <v>#DIV/0!</v>
      </c>
      <c r="I543" s="87"/>
      <c r="J543" s="88"/>
      <c r="K543" s="88"/>
      <c r="L543" s="89"/>
      <c r="M543" s="89"/>
      <c r="N543" s="90"/>
      <c r="O543" s="87"/>
      <c r="P543" s="87"/>
      <c r="Q543" s="87"/>
      <c r="R543" s="91"/>
      <c r="S543" s="92"/>
      <c r="T543" s="93"/>
    </row>
    <row r="544" spans="1:20" s="94" customFormat="1" x14ac:dyDescent="0.3">
      <c r="A544" s="82"/>
      <c r="B544" s="83"/>
      <c r="C544" s="87"/>
      <c r="D544" s="84"/>
      <c r="E544" s="83"/>
      <c r="F544" s="82"/>
      <c r="G544" s="85"/>
      <c r="H544" s="86" t="e">
        <f>IF(I544="fora",0%,G544/QUÓRUM!$C$6)</f>
        <v>#DIV/0!</v>
      </c>
      <c r="I544" s="87"/>
      <c r="J544" s="88"/>
      <c r="K544" s="88"/>
      <c r="L544" s="89"/>
      <c r="M544" s="89"/>
      <c r="N544" s="90"/>
      <c r="O544" s="87"/>
      <c r="P544" s="87"/>
      <c r="Q544" s="87"/>
      <c r="R544" s="91"/>
      <c r="S544" s="92"/>
      <c r="T544" s="93"/>
    </row>
    <row r="545" spans="1:20" s="94" customFormat="1" x14ac:dyDescent="0.3">
      <c r="A545" s="82"/>
      <c r="B545" s="83"/>
      <c r="C545" s="87"/>
      <c r="D545" s="84"/>
      <c r="E545" s="83"/>
      <c r="F545" s="82"/>
      <c r="G545" s="85"/>
      <c r="H545" s="86" t="e">
        <f>IF(I545="fora",0%,G545/QUÓRUM!$C$6)</f>
        <v>#DIV/0!</v>
      </c>
      <c r="I545" s="87"/>
      <c r="J545" s="88"/>
      <c r="K545" s="88"/>
      <c r="L545" s="89"/>
      <c r="M545" s="89"/>
      <c r="N545" s="90"/>
      <c r="O545" s="87"/>
      <c r="P545" s="87"/>
      <c r="Q545" s="87"/>
      <c r="R545" s="91"/>
      <c r="S545" s="92"/>
      <c r="T545" s="93"/>
    </row>
    <row r="546" spans="1:20" s="94" customFormat="1" x14ac:dyDescent="0.3">
      <c r="A546" s="82"/>
      <c r="B546" s="83"/>
      <c r="C546" s="87"/>
      <c r="D546" s="84"/>
      <c r="E546" s="83"/>
      <c r="F546" s="82"/>
      <c r="G546" s="85"/>
      <c r="H546" s="86" t="e">
        <f>IF(I546="fora",0%,G546/QUÓRUM!$C$6)</f>
        <v>#DIV/0!</v>
      </c>
      <c r="I546" s="87"/>
      <c r="J546" s="88"/>
      <c r="K546" s="88"/>
      <c r="L546" s="89"/>
      <c r="M546" s="89"/>
      <c r="N546" s="90"/>
      <c r="O546" s="87"/>
      <c r="P546" s="87"/>
      <c r="Q546" s="87"/>
      <c r="R546" s="91"/>
      <c r="S546" s="92"/>
      <c r="T546" s="93"/>
    </row>
    <row r="547" spans="1:20" s="94" customFormat="1" x14ac:dyDescent="0.3">
      <c r="A547" s="82"/>
      <c r="B547" s="83"/>
      <c r="C547" s="87"/>
      <c r="D547" s="84"/>
      <c r="E547" s="83"/>
      <c r="F547" s="82"/>
      <c r="G547" s="85"/>
      <c r="H547" s="86" t="e">
        <f>IF(I547="fora",0%,G547/QUÓRUM!$C$6)</f>
        <v>#DIV/0!</v>
      </c>
      <c r="I547" s="87"/>
      <c r="J547" s="88"/>
      <c r="K547" s="88"/>
      <c r="L547" s="89"/>
      <c r="M547" s="89"/>
      <c r="N547" s="90"/>
      <c r="O547" s="87"/>
      <c r="P547" s="87"/>
      <c r="Q547" s="87"/>
      <c r="R547" s="91"/>
      <c r="S547" s="92"/>
      <c r="T547" s="93"/>
    </row>
    <row r="548" spans="1:20" s="94" customFormat="1" ht="12" customHeight="1" x14ac:dyDescent="0.3">
      <c r="A548" s="82"/>
      <c r="B548" s="83"/>
      <c r="C548" s="87"/>
      <c r="D548" s="84"/>
      <c r="E548" s="83"/>
      <c r="F548" s="82"/>
      <c r="G548" s="85"/>
      <c r="H548" s="86" t="e">
        <f>IF(I548="fora",0%,G548/QUÓRUM!$C$6)</f>
        <v>#DIV/0!</v>
      </c>
      <c r="I548" s="87"/>
      <c r="J548" s="88"/>
      <c r="K548" s="88"/>
      <c r="L548" s="89"/>
      <c r="M548" s="89"/>
      <c r="N548" s="90"/>
      <c r="O548" s="87"/>
      <c r="P548" s="87"/>
      <c r="Q548" s="87"/>
      <c r="R548" s="91"/>
      <c r="S548" s="92"/>
      <c r="T548" s="93"/>
    </row>
    <row r="549" spans="1:20" s="94" customFormat="1" ht="12" customHeight="1" x14ac:dyDescent="0.3">
      <c r="A549" s="82"/>
      <c r="B549" s="83"/>
      <c r="C549" s="87"/>
      <c r="D549" s="84"/>
      <c r="E549" s="83"/>
      <c r="F549" s="82"/>
      <c r="G549" s="85"/>
      <c r="H549" s="86" t="e">
        <f>IF(I549="fora",0%,G549/QUÓRUM!$C$6)</f>
        <v>#DIV/0!</v>
      </c>
      <c r="I549" s="87"/>
      <c r="J549" s="88"/>
      <c r="K549" s="88"/>
      <c r="L549" s="89"/>
      <c r="M549" s="89"/>
      <c r="N549" s="90"/>
      <c r="O549" s="87"/>
      <c r="P549" s="87"/>
      <c r="Q549" s="87"/>
      <c r="R549" s="91"/>
      <c r="S549" s="92"/>
      <c r="T549" s="93"/>
    </row>
    <row r="550" spans="1:20" s="94" customFormat="1" ht="12" customHeight="1" x14ac:dyDescent="0.3">
      <c r="A550" s="82"/>
      <c r="B550" s="83"/>
      <c r="C550" s="87"/>
      <c r="D550" s="84"/>
      <c r="E550" s="83"/>
      <c r="F550" s="82"/>
      <c r="G550" s="85"/>
      <c r="H550" s="86" t="e">
        <f>IF(I550="fora",0%,G550/QUÓRUM!$C$6)</f>
        <v>#DIV/0!</v>
      </c>
      <c r="I550" s="87"/>
      <c r="J550" s="88"/>
      <c r="K550" s="88"/>
      <c r="L550" s="89"/>
      <c r="M550" s="89"/>
      <c r="N550" s="90"/>
      <c r="O550" s="87"/>
      <c r="P550" s="87"/>
      <c r="Q550" s="87"/>
      <c r="R550" s="91"/>
      <c r="S550" s="92"/>
      <c r="T550" s="93"/>
    </row>
    <row r="551" spans="1:20" s="94" customFormat="1" ht="12" customHeight="1" x14ac:dyDescent="0.3">
      <c r="A551" s="82"/>
      <c r="B551" s="83"/>
      <c r="C551" s="87"/>
      <c r="D551" s="84"/>
      <c r="E551" s="83"/>
      <c r="F551" s="82"/>
      <c r="G551" s="85"/>
      <c r="H551" s="86" t="e">
        <f>IF(I551="fora",0%,G551/QUÓRUM!$C$6)</f>
        <v>#DIV/0!</v>
      </c>
      <c r="I551" s="87"/>
      <c r="J551" s="88"/>
      <c r="K551" s="88"/>
      <c r="L551" s="89"/>
      <c r="M551" s="89"/>
      <c r="N551" s="90"/>
      <c r="O551" s="87"/>
      <c r="P551" s="87"/>
      <c r="Q551" s="87"/>
      <c r="R551" s="91"/>
      <c r="S551" s="92"/>
      <c r="T551" s="93"/>
    </row>
    <row r="552" spans="1:20" s="94" customFormat="1" ht="12" customHeight="1" x14ac:dyDescent="0.3">
      <c r="A552" s="82"/>
      <c r="B552" s="83"/>
      <c r="C552" s="87"/>
      <c r="D552" s="84"/>
      <c r="E552" s="83"/>
      <c r="F552" s="82"/>
      <c r="G552" s="85"/>
      <c r="H552" s="86" t="e">
        <f>IF(I552="fora",0%,G552/QUÓRUM!$C$6)</f>
        <v>#DIV/0!</v>
      </c>
      <c r="I552" s="87"/>
      <c r="J552" s="88"/>
      <c r="K552" s="88"/>
      <c r="L552" s="89"/>
      <c r="M552" s="89"/>
      <c r="N552" s="90"/>
      <c r="O552" s="87"/>
      <c r="P552" s="87"/>
      <c r="Q552" s="87"/>
      <c r="R552" s="91"/>
      <c r="S552" s="92"/>
      <c r="T552" s="93"/>
    </row>
    <row r="553" spans="1:20" s="94" customFormat="1" ht="12" customHeight="1" x14ac:dyDescent="0.3">
      <c r="A553" s="82"/>
      <c r="B553" s="83"/>
      <c r="C553" s="87"/>
      <c r="D553" s="84"/>
      <c r="E553" s="83"/>
      <c r="F553" s="82"/>
      <c r="G553" s="85"/>
      <c r="H553" s="86" t="e">
        <f>IF(I553="fora",0%,G553/QUÓRUM!$C$6)</f>
        <v>#DIV/0!</v>
      </c>
      <c r="I553" s="87"/>
      <c r="J553" s="88"/>
      <c r="K553" s="88"/>
      <c r="L553" s="89"/>
      <c r="M553" s="89"/>
      <c r="N553" s="90"/>
      <c r="O553" s="87"/>
      <c r="P553" s="87"/>
      <c r="Q553" s="87"/>
      <c r="R553" s="91"/>
      <c r="S553" s="92"/>
      <c r="T553" s="93"/>
    </row>
    <row r="554" spans="1:20" s="94" customFormat="1" ht="12" customHeight="1" x14ac:dyDescent="0.3">
      <c r="A554" s="82"/>
      <c r="B554" s="83"/>
      <c r="C554" s="87"/>
      <c r="D554" s="84"/>
      <c r="E554" s="83"/>
      <c r="F554" s="82"/>
      <c r="G554" s="85"/>
      <c r="H554" s="86" t="e">
        <f>IF(I554="fora",0%,G554/QUÓRUM!$C$6)</f>
        <v>#DIV/0!</v>
      </c>
      <c r="I554" s="87"/>
      <c r="J554" s="88"/>
      <c r="K554" s="88"/>
      <c r="L554" s="89"/>
      <c r="M554" s="89"/>
      <c r="N554" s="90"/>
      <c r="O554" s="87"/>
      <c r="P554" s="87"/>
      <c r="Q554" s="87"/>
      <c r="R554" s="91"/>
      <c r="S554" s="92"/>
      <c r="T554" s="93"/>
    </row>
    <row r="555" spans="1:20" s="94" customFormat="1" ht="12" customHeight="1" x14ac:dyDescent="0.3">
      <c r="A555" s="82"/>
      <c r="B555" s="83"/>
      <c r="C555" s="87"/>
      <c r="D555" s="84"/>
      <c r="E555" s="83"/>
      <c r="F555" s="82"/>
      <c r="G555" s="85"/>
      <c r="H555" s="86" t="e">
        <f>IF(I555="fora",0%,G555/QUÓRUM!$C$6)</f>
        <v>#DIV/0!</v>
      </c>
      <c r="I555" s="87"/>
      <c r="J555" s="88"/>
      <c r="K555" s="88"/>
      <c r="L555" s="89"/>
      <c r="M555" s="89"/>
      <c r="N555" s="90"/>
      <c r="O555" s="87"/>
      <c r="P555" s="87"/>
      <c r="Q555" s="87"/>
      <c r="R555" s="91"/>
      <c r="S555" s="92"/>
      <c r="T555" s="93"/>
    </row>
    <row r="556" spans="1:20" s="94" customFormat="1" ht="12" customHeight="1" x14ac:dyDescent="0.3">
      <c r="A556" s="82"/>
      <c r="B556" s="83"/>
      <c r="C556" s="87"/>
      <c r="D556" s="84"/>
      <c r="E556" s="83"/>
      <c r="F556" s="82"/>
      <c r="G556" s="85"/>
      <c r="H556" s="86" t="e">
        <f>IF(I556="fora",0%,G556/QUÓRUM!$C$6)</f>
        <v>#DIV/0!</v>
      </c>
      <c r="I556" s="87"/>
      <c r="J556" s="88"/>
      <c r="K556" s="88"/>
      <c r="L556" s="89"/>
      <c r="M556" s="89"/>
      <c r="N556" s="90"/>
      <c r="O556" s="87"/>
      <c r="P556" s="87"/>
      <c r="Q556" s="87"/>
      <c r="R556" s="91"/>
      <c r="S556" s="92"/>
      <c r="T556" s="93"/>
    </row>
    <row r="557" spans="1:20" s="94" customFormat="1" ht="12" customHeight="1" x14ac:dyDescent="0.3">
      <c r="A557" s="82"/>
      <c r="B557" s="83"/>
      <c r="C557" s="87"/>
      <c r="D557" s="84"/>
      <c r="E557" s="83"/>
      <c r="F557" s="82"/>
      <c r="G557" s="85"/>
      <c r="H557" s="86" t="e">
        <f>IF(I557="fora",0%,G557/QUÓRUM!$C$6)</f>
        <v>#DIV/0!</v>
      </c>
      <c r="I557" s="87"/>
      <c r="J557" s="88"/>
      <c r="K557" s="88"/>
      <c r="L557" s="89"/>
      <c r="M557" s="89"/>
      <c r="N557" s="90"/>
      <c r="O557" s="87"/>
      <c r="P557" s="87"/>
      <c r="Q557" s="87"/>
      <c r="R557" s="91"/>
      <c r="S557" s="92"/>
      <c r="T557" s="93"/>
    </row>
    <row r="558" spans="1:20" s="94" customFormat="1" ht="12" customHeight="1" x14ac:dyDescent="0.3">
      <c r="A558" s="82"/>
      <c r="B558" s="83"/>
      <c r="C558" s="87"/>
      <c r="D558" s="84"/>
      <c r="E558" s="83"/>
      <c r="F558" s="82"/>
      <c r="G558" s="85"/>
      <c r="H558" s="86" t="e">
        <f>IF(I558="fora",0%,G558/QUÓRUM!$C$6)</f>
        <v>#DIV/0!</v>
      </c>
      <c r="I558" s="87"/>
      <c r="J558" s="88"/>
      <c r="K558" s="88"/>
      <c r="L558" s="89"/>
      <c r="M558" s="89"/>
      <c r="N558" s="90"/>
      <c r="O558" s="87"/>
      <c r="P558" s="87"/>
      <c r="Q558" s="87"/>
      <c r="R558" s="91"/>
      <c r="S558" s="92"/>
      <c r="T558" s="93"/>
    </row>
    <row r="559" spans="1:20" s="94" customFormat="1" ht="12" customHeight="1" x14ac:dyDescent="0.3">
      <c r="A559" s="82"/>
      <c r="B559" s="83"/>
      <c r="C559" s="87"/>
      <c r="D559" s="84"/>
      <c r="E559" s="83"/>
      <c r="F559" s="82"/>
      <c r="G559" s="85"/>
      <c r="H559" s="86" t="e">
        <f>IF(I559="fora",0%,G559/QUÓRUM!$C$6)</f>
        <v>#DIV/0!</v>
      </c>
      <c r="I559" s="87"/>
      <c r="J559" s="88"/>
      <c r="K559" s="88"/>
      <c r="L559" s="89"/>
      <c r="M559" s="89"/>
      <c r="N559" s="90"/>
      <c r="O559" s="87"/>
      <c r="P559" s="87"/>
      <c r="Q559" s="87"/>
      <c r="R559" s="91"/>
      <c r="S559" s="92"/>
      <c r="T559" s="93"/>
    </row>
    <row r="560" spans="1:20" s="94" customFormat="1" ht="12" customHeight="1" x14ac:dyDescent="0.3">
      <c r="A560" s="82"/>
      <c r="B560" s="83"/>
      <c r="C560" s="87"/>
      <c r="D560" s="84"/>
      <c r="E560" s="83"/>
      <c r="F560" s="82"/>
      <c r="G560" s="85"/>
      <c r="H560" s="86" t="e">
        <f>IF(I560="fora",0%,G560/QUÓRUM!$C$6)</f>
        <v>#DIV/0!</v>
      </c>
      <c r="I560" s="87"/>
      <c r="J560" s="88"/>
      <c r="K560" s="88"/>
      <c r="L560" s="89"/>
      <c r="M560" s="89"/>
      <c r="N560" s="90"/>
      <c r="O560" s="87"/>
      <c r="P560" s="87"/>
      <c r="Q560" s="87"/>
      <c r="R560" s="91"/>
      <c r="S560" s="92"/>
      <c r="T560" s="93"/>
    </row>
    <row r="561" spans="1:20" s="94" customFormat="1" ht="12" customHeight="1" x14ac:dyDescent="0.3">
      <c r="A561" s="82"/>
      <c r="B561" s="83"/>
      <c r="C561" s="87"/>
      <c r="D561" s="84"/>
      <c r="E561" s="83"/>
      <c r="F561" s="82"/>
      <c r="G561" s="85"/>
      <c r="H561" s="86" t="e">
        <f>IF(I561="fora",0%,G561/QUÓRUM!$C$6)</f>
        <v>#DIV/0!</v>
      </c>
      <c r="I561" s="87"/>
      <c r="J561" s="88"/>
      <c r="K561" s="88"/>
      <c r="L561" s="89"/>
      <c r="M561" s="89"/>
      <c r="N561" s="90"/>
      <c r="O561" s="87"/>
      <c r="P561" s="87"/>
      <c r="Q561" s="87"/>
      <c r="R561" s="91"/>
      <c r="S561" s="92"/>
      <c r="T561" s="93"/>
    </row>
    <row r="562" spans="1:20" s="94" customFormat="1" ht="12" customHeight="1" x14ac:dyDescent="0.3">
      <c r="A562" s="82"/>
      <c r="B562" s="83"/>
      <c r="C562" s="87"/>
      <c r="D562" s="84"/>
      <c r="E562" s="83"/>
      <c r="F562" s="82"/>
      <c r="G562" s="85"/>
      <c r="H562" s="86" t="e">
        <f>IF(I562="fora",0%,G562/QUÓRUM!$C$6)</f>
        <v>#DIV/0!</v>
      </c>
      <c r="I562" s="87"/>
      <c r="J562" s="88"/>
      <c r="K562" s="88"/>
      <c r="L562" s="89"/>
      <c r="M562" s="89"/>
      <c r="N562" s="90"/>
      <c r="O562" s="87"/>
      <c r="P562" s="87"/>
      <c r="Q562" s="87"/>
      <c r="R562" s="91"/>
      <c r="S562" s="92"/>
      <c r="T562" s="93"/>
    </row>
    <row r="563" spans="1:20" s="94" customFormat="1" ht="12" customHeight="1" x14ac:dyDescent="0.3">
      <c r="A563" s="82"/>
      <c r="B563" s="83"/>
      <c r="C563" s="87"/>
      <c r="D563" s="84"/>
      <c r="E563" s="83"/>
      <c r="F563" s="82"/>
      <c r="G563" s="85"/>
      <c r="H563" s="86" t="e">
        <f>IF(I563="fora",0%,G563/QUÓRUM!$C$6)</f>
        <v>#DIV/0!</v>
      </c>
      <c r="I563" s="87"/>
      <c r="J563" s="88"/>
      <c r="K563" s="88"/>
      <c r="L563" s="89"/>
      <c r="M563" s="89"/>
      <c r="N563" s="90"/>
      <c r="O563" s="87"/>
      <c r="P563" s="87"/>
      <c r="Q563" s="87"/>
      <c r="R563" s="91"/>
      <c r="S563" s="92"/>
      <c r="T563" s="93"/>
    </row>
    <row r="564" spans="1:20" s="94" customFormat="1" ht="12" customHeight="1" x14ac:dyDescent="0.3">
      <c r="A564" s="82"/>
      <c r="B564" s="83"/>
      <c r="C564" s="87"/>
      <c r="D564" s="84"/>
      <c r="E564" s="83"/>
      <c r="F564" s="82"/>
      <c r="G564" s="85"/>
      <c r="H564" s="86" t="e">
        <f>IF(I564="fora",0%,G564/QUÓRUM!$C$6)</f>
        <v>#DIV/0!</v>
      </c>
      <c r="I564" s="87"/>
      <c r="J564" s="88"/>
      <c r="K564" s="88"/>
      <c r="L564" s="89"/>
      <c r="M564" s="89"/>
      <c r="N564" s="90"/>
      <c r="O564" s="87"/>
      <c r="P564" s="87"/>
      <c r="Q564" s="87"/>
      <c r="R564" s="91"/>
      <c r="S564" s="92"/>
      <c r="T564" s="93"/>
    </row>
    <row r="565" spans="1:20" s="94" customFormat="1" ht="12" customHeight="1" x14ac:dyDescent="0.3">
      <c r="A565" s="82"/>
      <c r="B565" s="83"/>
      <c r="C565" s="87"/>
      <c r="D565" s="84"/>
      <c r="E565" s="83"/>
      <c r="F565" s="82"/>
      <c r="G565" s="85"/>
      <c r="H565" s="86" t="e">
        <f>IF(I565="fora",0%,G565/QUÓRUM!$C$6)</f>
        <v>#DIV/0!</v>
      </c>
      <c r="I565" s="87"/>
      <c r="J565" s="88"/>
      <c r="K565" s="88"/>
      <c r="L565" s="89"/>
      <c r="M565" s="89"/>
      <c r="N565" s="90"/>
      <c r="O565" s="87"/>
      <c r="P565" s="87"/>
      <c r="Q565" s="87"/>
      <c r="R565" s="91"/>
      <c r="S565" s="92"/>
      <c r="T565" s="93"/>
    </row>
    <row r="566" spans="1:20" s="94" customFormat="1" ht="12" customHeight="1" x14ac:dyDescent="0.3">
      <c r="A566" s="82"/>
      <c r="B566" s="83"/>
      <c r="C566" s="87"/>
      <c r="D566" s="84"/>
      <c r="E566" s="83"/>
      <c r="F566" s="82"/>
      <c r="G566" s="85"/>
      <c r="H566" s="86" t="e">
        <f>IF(I566="fora",0%,G566/QUÓRUM!$C$6)</f>
        <v>#DIV/0!</v>
      </c>
      <c r="I566" s="87"/>
      <c r="J566" s="88"/>
      <c r="K566" s="88"/>
      <c r="L566" s="89"/>
      <c r="M566" s="89"/>
      <c r="N566" s="90"/>
      <c r="O566" s="87"/>
      <c r="P566" s="87"/>
      <c r="Q566" s="87"/>
      <c r="R566" s="91"/>
      <c r="S566" s="92"/>
      <c r="T566" s="93"/>
    </row>
    <row r="567" spans="1:20" s="94" customFormat="1" ht="12" customHeight="1" x14ac:dyDescent="0.3">
      <c r="A567" s="82"/>
      <c r="B567" s="83"/>
      <c r="C567" s="87"/>
      <c r="D567" s="84"/>
      <c r="E567" s="83"/>
      <c r="F567" s="82"/>
      <c r="G567" s="85"/>
      <c r="H567" s="86" t="e">
        <f>IF(I567="fora",0%,G567/QUÓRUM!$C$6)</f>
        <v>#DIV/0!</v>
      </c>
      <c r="I567" s="87"/>
      <c r="J567" s="88"/>
      <c r="K567" s="88"/>
      <c r="L567" s="89"/>
      <c r="M567" s="89"/>
      <c r="N567" s="90"/>
      <c r="O567" s="87"/>
      <c r="P567" s="87"/>
      <c r="Q567" s="87"/>
      <c r="R567" s="91"/>
      <c r="S567" s="92"/>
      <c r="T567" s="93"/>
    </row>
    <row r="568" spans="1:20" s="94" customFormat="1" ht="12" customHeight="1" x14ac:dyDescent="0.3">
      <c r="A568" s="82"/>
      <c r="B568" s="83"/>
      <c r="C568" s="87"/>
      <c r="D568" s="84"/>
      <c r="E568" s="83"/>
      <c r="F568" s="82"/>
      <c r="G568" s="85"/>
      <c r="H568" s="86" t="e">
        <f>IF(I568="fora",0%,G568/QUÓRUM!$C$6)</f>
        <v>#DIV/0!</v>
      </c>
      <c r="I568" s="87"/>
      <c r="J568" s="88"/>
      <c r="K568" s="88"/>
      <c r="L568" s="89"/>
      <c r="M568" s="89"/>
      <c r="N568" s="90"/>
      <c r="O568" s="87"/>
      <c r="P568" s="87"/>
      <c r="Q568" s="87"/>
      <c r="R568" s="91"/>
      <c r="S568" s="92"/>
      <c r="T568" s="93"/>
    </row>
    <row r="569" spans="1:20" s="94" customFormat="1" ht="12" customHeight="1" x14ac:dyDescent="0.3">
      <c r="A569" s="82"/>
      <c r="B569" s="83"/>
      <c r="C569" s="87"/>
      <c r="D569" s="84"/>
      <c r="E569" s="83"/>
      <c r="F569" s="82"/>
      <c r="G569" s="85"/>
      <c r="H569" s="86" t="e">
        <f>IF(I569="fora",0%,G569/QUÓRUM!$C$6)</f>
        <v>#DIV/0!</v>
      </c>
      <c r="I569" s="87"/>
      <c r="J569" s="88"/>
      <c r="K569" s="88"/>
      <c r="L569" s="89"/>
      <c r="M569" s="89"/>
      <c r="N569" s="90"/>
      <c r="O569" s="87"/>
      <c r="P569" s="87"/>
      <c r="Q569" s="87"/>
      <c r="R569" s="91"/>
      <c r="S569" s="92"/>
      <c r="T569" s="93"/>
    </row>
    <row r="570" spans="1:20" s="94" customFormat="1" ht="12" customHeight="1" x14ac:dyDescent="0.3">
      <c r="A570" s="82"/>
      <c r="B570" s="83"/>
      <c r="C570" s="87"/>
      <c r="D570" s="84"/>
      <c r="E570" s="83"/>
      <c r="F570" s="82"/>
      <c r="G570" s="85"/>
      <c r="H570" s="86" t="e">
        <f>IF(I570="fora",0%,G570/QUÓRUM!$C$6)</f>
        <v>#DIV/0!</v>
      </c>
      <c r="I570" s="87"/>
      <c r="J570" s="88"/>
      <c r="K570" s="88"/>
      <c r="L570" s="89"/>
      <c r="M570" s="89"/>
      <c r="N570" s="90"/>
      <c r="O570" s="87"/>
      <c r="P570" s="87"/>
      <c r="Q570" s="87"/>
      <c r="R570" s="91"/>
      <c r="S570" s="92"/>
      <c r="T570" s="93"/>
    </row>
    <row r="571" spans="1:20" s="94" customFormat="1" ht="12" customHeight="1" x14ac:dyDescent="0.3">
      <c r="A571" s="82"/>
      <c r="B571" s="83"/>
      <c r="C571" s="87"/>
      <c r="D571" s="84"/>
      <c r="E571" s="83"/>
      <c r="F571" s="82"/>
      <c r="G571" s="85"/>
      <c r="H571" s="86" t="e">
        <f>IF(I571="fora",0%,G571/QUÓRUM!$C$6)</f>
        <v>#DIV/0!</v>
      </c>
      <c r="I571" s="87"/>
      <c r="J571" s="88"/>
      <c r="K571" s="88"/>
      <c r="L571" s="89"/>
      <c r="M571" s="89"/>
      <c r="N571" s="90"/>
      <c r="O571" s="87"/>
      <c r="P571" s="87"/>
      <c r="Q571" s="87"/>
      <c r="R571" s="91"/>
      <c r="S571" s="92"/>
      <c r="T571" s="93"/>
    </row>
    <row r="572" spans="1:20" s="94" customFormat="1" ht="12" customHeight="1" x14ac:dyDescent="0.3">
      <c r="A572" s="82"/>
      <c r="B572" s="83"/>
      <c r="C572" s="87"/>
      <c r="D572" s="84"/>
      <c r="E572" s="83"/>
      <c r="F572" s="82"/>
      <c r="G572" s="85"/>
      <c r="H572" s="86" t="e">
        <f>IF(I572="fora",0%,G572/QUÓRUM!$C$6)</f>
        <v>#DIV/0!</v>
      </c>
      <c r="I572" s="87"/>
      <c r="J572" s="88"/>
      <c r="K572" s="88"/>
      <c r="L572" s="89"/>
      <c r="M572" s="89"/>
      <c r="N572" s="90"/>
      <c r="O572" s="87"/>
      <c r="P572" s="87"/>
      <c r="Q572" s="87"/>
      <c r="R572" s="91"/>
      <c r="S572" s="92"/>
      <c r="T572" s="93"/>
    </row>
    <row r="573" spans="1:20" s="94" customFormat="1" ht="12" customHeight="1" x14ac:dyDescent="0.3">
      <c r="A573" s="82"/>
      <c r="B573" s="83"/>
      <c r="C573" s="87"/>
      <c r="D573" s="84"/>
      <c r="E573" s="83"/>
      <c r="F573" s="82"/>
      <c r="G573" s="85"/>
      <c r="H573" s="86" t="e">
        <f>IF(I573="fora",0%,G573/QUÓRUM!$C$6)</f>
        <v>#DIV/0!</v>
      </c>
      <c r="I573" s="87"/>
      <c r="J573" s="88"/>
      <c r="K573" s="88"/>
      <c r="L573" s="89"/>
      <c r="M573" s="89"/>
      <c r="N573" s="90"/>
      <c r="O573" s="87"/>
      <c r="P573" s="87"/>
      <c r="Q573" s="87"/>
      <c r="R573" s="91"/>
      <c r="S573" s="92"/>
      <c r="T573" s="93"/>
    </row>
    <row r="574" spans="1:20" s="94" customFormat="1" ht="12" customHeight="1" x14ac:dyDescent="0.3">
      <c r="A574" s="82"/>
      <c r="B574" s="83"/>
      <c r="C574" s="87"/>
      <c r="D574" s="84"/>
      <c r="E574" s="83"/>
      <c r="F574" s="82"/>
      <c r="G574" s="85"/>
      <c r="H574" s="86" t="e">
        <f>IF(I574="fora",0%,G574/QUÓRUM!$C$6)</f>
        <v>#DIV/0!</v>
      </c>
      <c r="I574" s="87"/>
      <c r="J574" s="88"/>
      <c r="K574" s="88"/>
      <c r="L574" s="89"/>
      <c r="M574" s="89"/>
      <c r="N574" s="90"/>
      <c r="O574" s="87"/>
      <c r="P574" s="87"/>
      <c r="Q574" s="87"/>
      <c r="R574" s="91"/>
      <c r="S574" s="92"/>
      <c r="T574" s="93"/>
    </row>
    <row r="575" spans="1:20" s="94" customFormat="1" ht="12" customHeight="1" x14ac:dyDescent="0.3">
      <c r="A575" s="82"/>
      <c r="B575" s="83"/>
      <c r="C575" s="87"/>
      <c r="D575" s="84"/>
      <c r="E575" s="83"/>
      <c r="F575" s="82"/>
      <c r="G575" s="85"/>
      <c r="H575" s="86" t="e">
        <f>IF(I575="fora",0%,G575/QUÓRUM!$C$6)</f>
        <v>#DIV/0!</v>
      </c>
      <c r="I575" s="87"/>
      <c r="J575" s="88"/>
      <c r="K575" s="88"/>
      <c r="L575" s="89"/>
      <c r="M575" s="89"/>
      <c r="N575" s="90"/>
      <c r="O575" s="87"/>
      <c r="P575" s="87"/>
      <c r="Q575" s="87"/>
      <c r="R575" s="91"/>
      <c r="S575" s="92"/>
      <c r="T575" s="93"/>
    </row>
    <row r="576" spans="1:20" s="94" customFormat="1" ht="12" customHeight="1" x14ac:dyDescent="0.3">
      <c r="A576" s="82"/>
      <c r="B576" s="83"/>
      <c r="C576" s="87"/>
      <c r="D576" s="84"/>
      <c r="E576" s="83"/>
      <c r="F576" s="82"/>
      <c r="G576" s="85"/>
      <c r="H576" s="86" t="e">
        <f>IF(I576="fora",0%,G576/QUÓRUM!$C$6)</f>
        <v>#DIV/0!</v>
      </c>
      <c r="I576" s="87"/>
      <c r="J576" s="88"/>
      <c r="K576" s="88"/>
      <c r="L576" s="89"/>
      <c r="M576" s="89"/>
      <c r="N576" s="90"/>
      <c r="O576" s="87"/>
      <c r="P576" s="87"/>
      <c r="Q576" s="87"/>
      <c r="R576" s="91"/>
      <c r="S576" s="92"/>
      <c r="T576" s="93"/>
    </row>
    <row r="577" spans="1:20" s="94" customFormat="1" ht="12" customHeight="1" x14ac:dyDescent="0.3">
      <c r="A577" s="82"/>
      <c r="B577" s="83"/>
      <c r="C577" s="87"/>
      <c r="D577" s="84"/>
      <c r="E577" s="83"/>
      <c r="F577" s="82"/>
      <c r="G577" s="85"/>
      <c r="H577" s="86" t="e">
        <f>IF(I577="fora",0%,G577/QUÓRUM!$C$6)</f>
        <v>#DIV/0!</v>
      </c>
      <c r="I577" s="87"/>
      <c r="J577" s="88"/>
      <c r="K577" s="88"/>
      <c r="L577" s="89"/>
      <c r="M577" s="89"/>
      <c r="N577" s="90"/>
      <c r="O577" s="87"/>
      <c r="P577" s="87"/>
      <c r="Q577" s="87"/>
      <c r="R577" s="91"/>
      <c r="S577" s="92"/>
      <c r="T577" s="93"/>
    </row>
    <row r="578" spans="1:20" s="94" customFormat="1" ht="12" customHeight="1" x14ac:dyDescent="0.3">
      <c r="A578" s="82"/>
      <c r="B578" s="83"/>
      <c r="C578" s="87"/>
      <c r="D578" s="84"/>
      <c r="E578" s="83"/>
      <c r="F578" s="82"/>
      <c r="G578" s="85"/>
      <c r="H578" s="86" t="e">
        <f>IF(I578="fora",0%,G578/QUÓRUM!$C$6)</f>
        <v>#DIV/0!</v>
      </c>
      <c r="I578" s="87"/>
      <c r="J578" s="88"/>
      <c r="K578" s="88"/>
      <c r="L578" s="89"/>
      <c r="M578" s="89"/>
      <c r="N578" s="90"/>
      <c r="O578" s="87"/>
      <c r="P578" s="87"/>
      <c r="Q578" s="87"/>
      <c r="R578" s="91"/>
      <c r="S578" s="92"/>
      <c r="T578" s="93"/>
    </row>
    <row r="579" spans="1:20" s="94" customFormat="1" ht="12" customHeight="1" x14ac:dyDescent="0.3">
      <c r="A579" s="82"/>
      <c r="B579" s="83"/>
      <c r="C579" s="87"/>
      <c r="D579" s="84"/>
      <c r="E579" s="83"/>
      <c r="F579" s="82"/>
      <c r="G579" s="85"/>
      <c r="H579" s="86" t="e">
        <f>IF(I579="fora",0%,G579/QUÓRUM!$C$6)</f>
        <v>#DIV/0!</v>
      </c>
      <c r="I579" s="87"/>
      <c r="J579" s="88"/>
      <c r="K579" s="88"/>
      <c r="L579" s="89"/>
      <c r="M579" s="89"/>
      <c r="N579" s="90"/>
      <c r="O579" s="87"/>
      <c r="P579" s="87"/>
      <c r="Q579" s="87"/>
      <c r="R579" s="91"/>
      <c r="S579" s="92"/>
      <c r="T579" s="93"/>
    </row>
    <row r="580" spans="1:20" s="94" customFormat="1" ht="12" customHeight="1" x14ac:dyDescent="0.3">
      <c r="A580" s="82"/>
      <c r="B580" s="83"/>
      <c r="C580" s="87"/>
      <c r="D580" s="84"/>
      <c r="E580" s="83"/>
      <c r="F580" s="82"/>
      <c r="G580" s="85"/>
      <c r="H580" s="86" t="e">
        <f>IF(I580="fora",0%,G580/QUÓRUM!$C$6)</f>
        <v>#DIV/0!</v>
      </c>
      <c r="I580" s="87"/>
      <c r="J580" s="88"/>
      <c r="K580" s="88"/>
      <c r="L580" s="89"/>
      <c r="M580" s="89"/>
      <c r="N580" s="90"/>
      <c r="O580" s="87"/>
      <c r="P580" s="87"/>
      <c r="Q580" s="87"/>
      <c r="R580" s="91"/>
      <c r="S580" s="92"/>
      <c r="T580" s="93"/>
    </row>
    <row r="581" spans="1:20" s="94" customFormat="1" ht="12" customHeight="1" x14ac:dyDescent="0.3">
      <c r="A581" s="82"/>
      <c r="B581" s="83"/>
      <c r="C581" s="87"/>
      <c r="D581" s="84"/>
      <c r="E581" s="83"/>
      <c r="F581" s="82"/>
      <c r="G581" s="85"/>
      <c r="H581" s="86" t="e">
        <f>IF(I581="fora",0%,G581/QUÓRUM!$C$6)</f>
        <v>#DIV/0!</v>
      </c>
      <c r="I581" s="87"/>
      <c r="J581" s="88"/>
      <c r="K581" s="88"/>
      <c r="L581" s="89"/>
      <c r="M581" s="89"/>
      <c r="N581" s="90"/>
      <c r="O581" s="87"/>
      <c r="P581" s="87"/>
      <c r="Q581" s="87"/>
      <c r="R581" s="91"/>
      <c r="S581" s="92"/>
      <c r="T581" s="93"/>
    </row>
    <row r="582" spans="1:20" s="94" customFormat="1" ht="12" customHeight="1" x14ac:dyDescent="0.3">
      <c r="A582" s="82"/>
      <c r="B582" s="83"/>
      <c r="C582" s="87"/>
      <c r="D582" s="84"/>
      <c r="E582" s="83"/>
      <c r="F582" s="82"/>
      <c r="G582" s="85"/>
      <c r="H582" s="86" t="e">
        <f>IF(I582="fora",0%,G582/QUÓRUM!$C$6)</f>
        <v>#DIV/0!</v>
      </c>
      <c r="I582" s="87"/>
      <c r="J582" s="88"/>
      <c r="K582" s="88"/>
      <c r="L582" s="89"/>
      <c r="M582" s="89"/>
      <c r="N582" s="90"/>
      <c r="O582" s="87"/>
      <c r="P582" s="87"/>
      <c r="Q582" s="87"/>
      <c r="R582" s="91"/>
      <c r="S582" s="92"/>
      <c r="T582" s="93"/>
    </row>
    <row r="583" spans="1:20" s="94" customFormat="1" ht="12" customHeight="1" x14ac:dyDescent="0.3">
      <c r="A583" s="82"/>
      <c r="B583" s="83"/>
      <c r="C583" s="87"/>
      <c r="D583" s="84"/>
      <c r="E583" s="83"/>
      <c r="F583" s="82"/>
      <c r="G583" s="85"/>
      <c r="H583" s="86" t="e">
        <f>IF(I583="fora",0%,G583/QUÓRUM!$C$6)</f>
        <v>#DIV/0!</v>
      </c>
      <c r="I583" s="87"/>
      <c r="J583" s="88"/>
      <c r="K583" s="88"/>
      <c r="L583" s="89"/>
      <c r="M583" s="89"/>
      <c r="N583" s="90"/>
      <c r="O583" s="87"/>
      <c r="P583" s="87"/>
      <c r="Q583" s="87"/>
      <c r="R583" s="91"/>
      <c r="S583" s="92"/>
      <c r="T583" s="93"/>
    </row>
    <row r="584" spans="1:20" s="94" customFormat="1" ht="12" customHeight="1" x14ac:dyDescent="0.3">
      <c r="A584" s="82"/>
      <c r="B584" s="83"/>
      <c r="C584" s="87"/>
      <c r="D584" s="84"/>
      <c r="E584" s="83"/>
      <c r="F584" s="82"/>
      <c r="G584" s="85"/>
      <c r="H584" s="86" t="e">
        <f>IF(I584="fora",0%,G584/QUÓRUM!$C$6)</f>
        <v>#DIV/0!</v>
      </c>
      <c r="I584" s="87"/>
      <c r="J584" s="88"/>
      <c r="K584" s="88"/>
      <c r="L584" s="89"/>
      <c r="M584" s="89"/>
      <c r="N584" s="90"/>
      <c r="O584" s="87"/>
      <c r="P584" s="87"/>
      <c r="Q584" s="87"/>
      <c r="R584" s="91"/>
      <c r="S584" s="92"/>
      <c r="T584" s="93"/>
    </row>
    <row r="585" spans="1:20" s="94" customFormat="1" ht="12" customHeight="1" x14ac:dyDescent="0.3">
      <c r="A585" s="82"/>
      <c r="B585" s="83"/>
      <c r="C585" s="87"/>
      <c r="D585" s="84"/>
      <c r="E585" s="83"/>
      <c r="F585" s="82"/>
      <c r="G585" s="85"/>
      <c r="H585" s="86" t="e">
        <f>IF(I585="fora",0%,G585/QUÓRUM!$C$6)</f>
        <v>#DIV/0!</v>
      </c>
      <c r="I585" s="87"/>
      <c r="J585" s="88"/>
      <c r="K585" s="88"/>
      <c r="L585" s="89"/>
      <c r="M585" s="89"/>
      <c r="N585" s="90"/>
      <c r="O585" s="87"/>
      <c r="P585" s="87"/>
      <c r="Q585" s="87"/>
      <c r="R585" s="91"/>
      <c r="S585" s="92"/>
      <c r="T585" s="93"/>
    </row>
    <row r="586" spans="1:20" s="94" customFormat="1" ht="12" customHeight="1" x14ac:dyDescent="0.3">
      <c r="A586" s="82"/>
      <c r="B586" s="83"/>
      <c r="C586" s="87"/>
      <c r="D586" s="84"/>
      <c r="E586" s="83"/>
      <c r="F586" s="82"/>
      <c r="G586" s="85"/>
      <c r="H586" s="86" t="e">
        <f>IF(I586="fora",0%,G586/QUÓRUM!$C$6)</f>
        <v>#DIV/0!</v>
      </c>
      <c r="I586" s="87"/>
      <c r="J586" s="88"/>
      <c r="K586" s="88"/>
      <c r="L586" s="89"/>
      <c r="M586" s="89"/>
      <c r="N586" s="90"/>
      <c r="O586" s="87"/>
      <c r="P586" s="87"/>
      <c r="Q586" s="87"/>
      <c r="R586" s="91"/>
      <c r="S586" s="92"/>
      <c r="T586" s="93"/>
    </row>
    <row r="587" spans="1:20" s="94" customFormat="1" ht="12" customHeight="1" x14ac:dyDescent="0.3">
      <c r="A587" s="82"/>
      <c r="B587" s="83"/>
      <c r="C587" s="87"/>
      <c r="D587" s="84"/>
      <c r="E587" s="83"/>
      <c r="F587" s="82"/>
      <c r="G587" s="85"/>
      <c r="H587" s="86" t="e">
        <f>IF(I587="fora",0%,G587/QUÓRUM!$C$6)</f>
        <v>#DIV/0!</v>
      </c>
      <c r="I587" s="87"/>
      <c r="J587" s="88"/>
      <c r="K587" s="88"/>
      <c r="L587" s="89"/>
      <c r="M587" s="89"/>
      <c r="N587" s="90"/>
      <c r="O587" s="87"/>
      <c r="P587" s="87"/>
      <c r="Q587" s="87"/>
      <c r="R587" s="91"/>
      <c r="S587" s="92"/>
      <c r="T587" s="93"/>
    </row>
    <row r="588" spans="1:20" s="94" customFormat="1" ht="12" customHeight="1" x14ac:dyDescent="0.3">
      <c r="A588" s="82"/>
      <c r="B588" s="83"/>
      <c r="C588" s="87"/>
      <c r="D588" s="84"/>
      <c r="E588" s="83"/>
      <c r="F588" s="82"/>
      <c r="G588" s="85"/>
      <c r="H588" s="86" t="e">
        <f>IF(I588="fora",0%,G588/QUÓRUM!$C$6)</f>
        <v>#DIV/0!</v>
      </c>
      <c r="I588" s="87"/>
      <c r="J588" s="88"/>
      <c r="K588" s="88"/>
      <c r="L588" s="89"/>
      <c r="M588" s="89"/>
      <c r="N588" s="90"/>
      <c r="O588" s="87"/>
      <c r="P588" s="87"/>
      <c r="Q588" s="87"/>
      <c r="R588" s="91"/>
      <c r="S588" s="92"/>
      <c r="T588" s="93"/>
    </row>
    <row r="589" spans="1:20" s="94" customFormat="1" ht="12" customHeight="1" x14ac:dyDescent="0.3">
      <c r="A589" s="82"/>
      <c r="B589" s="83"/>
      <c r="C589" s="87"/>
      <c r="D589" s="84"/>
      <c r="E589" s="83"/>
      <c r="F589" s="82"/>
      <c r="G589" s="85"/>
      <c r="H589" s="86" t="e">
        <f>IF(I589="fora",0%,G589/QUÓRUM!$C$6)</f>
        <v>#DIV/0!</v>
      </c>
      <c r="I589" s="87"/>
      <c r="J589" s="88"/>
      <c r="K589" s="88"/>
      <c r="L589" s="89"/>
      <c r="M589" s="89"/>
      <c r="N589" s="90"/>
      <c r="O589" s="87"/>
      <c r="P589" s="87"/>
      <c r="Q589" s="87"/>
      <c r="R589" s="91"/>
      <c r="S589" s="92"/>
      <c r="T589" s="93"/>
    </row>
    <row r="590" spans="1:20" s="94" customFormat="1" ht="12" customHeight="1" x14ac:dyDescent="0.3">
      <c r="A590" s="82"/>
      <c r="B590" s="83"/>
      <c r="C590" s="87"/>
      <c r="D590" s="84"/>
      <c r="E590" s="83"/>
      <c r="F590" s="82"/>
      <c r="G590" s="85"/>
      <c r="H590" s="86" t="e">
        <f>IF(I590="fora",0%,G590/QUÓRUM!$C$6)</f>
        <v>#DIV/0!</v>
      </c>
      <c r="I590" s="87"/>
      <c r="J590" s="88"/>
      <c r="K590" s="88"/>
      <c r="L590" s="89"/>
      <c r="M590" s="89"/>
      <c r="N590" s="90"/>
      <c r="O590" s="87"/>
      <c r="P590" s="87"/>
      <c r="Q590" s="87"/>
      <c r="R590" s="91"/>
      <c r="S590" s="92"/>
      <c r="T590" s="93"/>
    </row>
    <row r="591" spans="1:20" s="94" customFormat="1" ht="12" customHeight="1" x14ac:dyDescent="0.3">
      <c r="A591" s="82"/>
      <c r="B591" s="83"/>
      <c r="C591" s="87"/>
      <c r="D591" s="84"/>
      <c r="E591" s="83"/>
      <c r="F591" s="82"/>
      <c r="G591" s="85"/>
      <c r="H591" s="86" t="e">
        <f>IF(I591="fora",0%,G591/QUÓRUM!$C$6)</f>
        <v>#DIV/0!</v>
      </c>
      <c r="I591" s="87"/>
      <c r="J591" s="88"/>
      <c r="K591" s="88"/>
      <c r="L591" s="89"/>
      <c r="M591" s="89"/>
      <c r="N591" s="90"/>
      <c r="O591" s="87"/>
      <c r="P591" s="87"/>
      <c r="Q591" s="87"/>
      <c r="R591" s="91"/>
      <c r="S591" s="92"/>
      <c r="T591" s="93"/>
    </row>
    <row r="592" spans="1:20" s="94" customFormat="1" ht="12" customHeight="1" x14ac:dyDescent="0.3">
      <c r="A592" s="82"/>
      <c r="B592" s="83"/>
      <c r="C592" s="87"/>
      <c r="D592" s="84"/>
      <c r="E592" s="83"/>
      <c r="F592" s="82"/>
      <c r="G592" s="85"/>
      <c r="H592" s="86" t="e">
        <f>IF(I592="fora",0%,G592/QUÓRUM!$C$6)</f>
        <v>#DIV/0!</v>
      </c>
      <c r="I592" s="87"/>
      <c r="J592" s="88"/>
      <c r="K592" s="88"/>
      <c r="L592" s="89"/>
      <c r="M592" s="89"/>
      <c r="N592" s="90"/>
      <c r="O592" s="87"/>
      <c r="P592" s="87"/>
      <c r="Q592" s="87"/>
      <c r="R592" s="91"/>
      <c r="S592" s="92"/>
      <c r="T592" s="93"/>
    </row>
    <row r="593" spans="1:20" s="94" customFormat="1" ht="12" customHeight="1" x14ac:dyDescent="0.3">
      <c r="A593" s="82"/>
      <c r="B593" s="83"/>
      <c r="C593" s="87"/>
      <c r="D593" s="84"/>
      <c r="E593" s="83"/>
      <c r="F593" s="82"/>
      <c r="G593" s="85"/>
      <c r="H593" s="86" t="e">
        <f>IF(I593="fora",0%,G593/QUÓRUM!$C$6)</f>
        <v>#DIV/0!</v>
      </c>
      <c r="I593" s="87"/>
      <c r="J593" s="88"/>
      <c r="K593" s="88"/>
      <c r="L593" s="89"/>
      <c r="M593" s="89"/>
      <c r="N593" s="90"/>
      <c r="O593" s="87"/>
      <c r="P593" s="87"/>
      <c r="Q593" s="87"/>
      <c r="R593" s="91"/>
      <c r="S593" s="92"/>
      <c r="T593" s="93"/>
    </row>
    <row r="594" spans="1:20" s="94" customFormat="1" ht="12" customHeight="1" x14ac:dyDescent="0.3">
      <c r="A594" s="82"/>
      <c r="B594" s="83"/>
      <c r="C594" s="87"/>
      <c r="D594" s="84"/>
      <c r="E594" s="83"/>
      <c r="F594" s="82"/>
      <c r="G594" s="85"/>
      <c r="H594" s="86" t="e">
        <f>IF(I594="fora",0%,G594/QUÓRUM!$C$6)</f>
        <v>#DIV/0!</v>
      </c>
      <c r="I594" s="87"/>
      <c r="J594" s="88"/>
      <c r="K594" s="88"/>
      <c r="L594" s="89"/>
      <c r="M594" s="89"/>
      <c r="N594" s="90"/>
      <c r="O594" s="87"/>
      <c r="P594" s="87"/>
      <c r="Q594" s="87"/>
      <c r="R594" s="91"/>
      <c r="S594" s="92"/>
      <c r="T594" s="93"/>
    </row>
    <row r="595" spans="1:20" s="94" customFormat="1" ht="12" customHeight="1" x14ac:dyDescent="0.3">
      <c r="A595" s="82"/>
      <c r="B595" s="83"/>
      <c r="C595" s="87"/>
      <c r="D595" s="84"/>
      <c r="E595" s="83"/>
      <c r="F595" s="82"/>
      <c r="G595" s="85"/>
      <c r="H595" s="86" t="e">
        <f>IF(I595="fora",0%,G595/QUÓRUM!$C$6)</f>
        <v>#DIV/0!</v>
      </c>
      <c r="I595" s="87"/>
      <c r="J595" s="88"/>
      <c r="K595" s="88"/>
      <c r="L595" s="89"/>
      <c r="M595" s="89"/>
      <c r="N595" s="90"/>
      <c r="O595" s="87"/>
      <c r="P595" s="87"/>
      <c r="Q595" s="87"/>
      <c r="R595" s="91"/>
      <c r="S595" s="92"/>
      <c r="T595" s="93"/>
    </row>
    <row r="596" spans="1:20" s="94" customFormat="1" ht="12" customHeight="1" x14ac:dyDescent="0.3">
      <c r="A596" s="82"/>
      <c r="B596" s="83"/>
      <c r="C596" s="87"/>
      <c r="D596" s="84"/>
      <c r="E596" s="83"/>
      <c r="F596" s="82"/>
      <c r="G596" s="85"/>
      <c r="H596" s="86" t="e">
        <f>IF(I596="fora",0%,G596/QUÓRUM!$C$6)</f>
        <v>#DIV/0!</v>
      </c>
      <c r="I596" s="87"/>
      <c r="J596" s="88"/>
      <c r="K596" s="88"/>
      <c r="L596" s="89"/>
      <c r="M596" s="89"/>
      <c r="N596" s="90"/>
      <c r="O596" s="87"/>
      <c r="P596" s="87"/>
      <c r="Q596" s="87"/>
      <c r="R596" s="91"/>
      <c r="S596" s="92"/>
      <c r="T596" s="93"/>
    </row>
    <row r="597" spans="1:20" s="94" customFormat="1" ht="12" customHeight="1" x14ac:dyDescent="0.3">
      <c r="A597" s="82"/>
      <c r="B597" s="83"/>
      <c r="C597" s="87"/>
      <c r="D597" s="84"/>
      <c r="E597" s="83"/>
      <c r="F597" s="82"/>
      <c r="G597" s="85"/>
      <c r="H597" s="86" t="e">
        <f>IF(I597="fora",0%,G597/QUÓRUM!$C$6)</f>
        <v>#DIV/0!</v>
      </c>
      <c r="I597" s="87"/>
      <c r="J597" s="88"/>
      <c r="K597" s="88"/>
      <c r="L597" s="89"/>
      <c r="M597" s="89"/>
      <c r="N597" s="90"/>
      <c r="O597" s="87"/>
      <c r="P597" s="87"/>
      <c r="Q597" s="87"/>
      <c r="R597" s="91"/>
      <c r="S597" s="92"/>
      <c r="T597" s="93"/>
    </row>
    <row r="598" spans="1:20" s="94" customFormat="1" ht="12" customHeight="1" x14ac:dyDescent="0.3">
      <c r="A598" s="82"/>
      <c r="B598" s="83"/>
      <c r="C598" s="87"/>
      <c r="D598" s="84"/>
      <c r="E598" s="83"/>
      <c r="F598" s="82"/>
      <c r="G598" s="85"/>
      <c r="H598" s="86" t="e">
        <f>IF(I598="fora",0%,G598/QUÓRUM!$C$6)</f>
        <v>#DIV/0!</v>
      </c>
      <c r="I598" s="87"/>
      <c r="J598" s="88"/>
      <c r="K598" s="88"/>
      <c r="L598" s="89"/>
      <c r="M598" s="89"/>
      <c r="N598" s="90"/>
      <c r="O598" s="87"/>
      <c r="P598" s="87"/>
      <c r="Q598" s="87"/>
      <c r="R598" s="91"/>
      <c r="S598" s="92"/>
      <c r="T598" s="93"/>
    </row>
    <row r="599" spans="1:20" s="94" customFormat="1" ht="12" customHeight="1" x14ac:dyDescent="0.3">
      <c r="A599" s="82"/>
      <c r="B599" s="83"/>
      <c r="C599" s="87"/>
      <c r="D599" s="84"/>
      <c r="E599" s="83"/>
      <c r="F599" s="82"/>
      <c r="G599" s="85"/>
      <c r="H599" s="86" t="e">
        <f>IF(I599="fora",0%,G599/QUÓRUM!$C$6)</f>
        <v>#DIV/0!</v>
      </c>
      <c r="I599" s="87"/>
      <c r="J599" s="88"/>
      <c r="K599" s="88"/>
      <c r="L599" s="89"/>
      <c r="M599" s="89"/>
      <c r="N599" s="90"/>
      <c r="O599" s="87"/>
      <c r="P599" s="87"/>
      <c r="Q599" s="87"/>
      <c r="R599" s="91"/>
      <c r="S599" s="92"/>
      <c r="T599" s="93"/>
    </row>
    <row r="600" spans="1:20" s="94" customFormat="1" ht="12" customHeight="1" x14ac:dyDescent="0.3">
      <c r="A600" s="82"/>
      <c r="B600" s="83"/>
      <c r="C600" s="87"/>
      <c r="D600" s="84"/>
      <c r="E600" s="83"/>
      <c r="F600" s="82"/>
      <c r="G600" s="85"/>
      <c r="H600" s="86" t="e">
        <f>IF(I600="fora",0%,G600/QUÓRUM!$C$6)</f>
        <v>#DIV/0!</v>
      </c>
      <c r="I600" s="87"/>
      <c r="J600" s="88"/>
      <c r="K600" s="88"/>
      <c r="L600" s="89"/>
      <c r="M600" s="89"/>
      <c r="N600" s="90"/>
      <c r="O600" s="87"/>
      <c r="P600" s="87"/>
      <c r="Q600" s="87"/>
      <c r="R600" s="91"/>
      <c r="S600" s="92"/>
      <c r="T600" s="93"/>
    </row>
    <row r="601" spans="1:20" s="94" customFormat="1" ht="12" customHeight="1" x14ac:dyDescent="0.3">
      <c r="A601" s="82"/>
      <c r="B601" s="83"/>
      <c r="C601" s="87"/>
      <c r="D601" s="84"/>
      <c r="E601" s="83"/>
      <c r="F601" s="82"/>
      <c r="G601" s="85"/>
      <c r="H601" s="86" t="e">
        <f>IF(I601="fora",0%,G601/QUÓRUM!$C$6)</f>
        <v>#DIV/0!</v>
      </c>
      <c r="I601" s="87"/>
      <c r="J601" s="88"/>
      <c r="K601" s="88"/>
      <c r="L601" s="89"/>
      <c r="M601" s="89"/>
      <c r="N601" s="90"/>
      <c r="O601" s="87"/>
      <c r="P601" s="87"/>
      <c r="Q601" s="87"/>
      <c r="R601" s="91"/>
      <c r="S601" s="92"/>
      <c r="T601" s="93"/>
    </row>
    <row r="602" spans="1:20" s="94" customFormat="1" ht="12" customHeight="1" x14ac:dyDescent="0.3">
      <c r="A602" s="82"/>
      <c r="B602" s="83"/>
      <c r="C602" s="87"/>
      <c r="D602" s="84"/>
      <c r="E602" s="83"/>
      <c r="F602" s="82"/>
      <c r="G602" s="85"/>
      <c r="H602" s="86" t="e">
        <f>IF(I602="fora",0%,G602/QUÓRUM!$C$6)</f>
        <v>#DIV/0!</v>
      </c>
      <c r="I602" s="87"/>
      <c r="J602" s="88"/>
      <c r="K602" s="88"/>
      <c r="L602" s="89"/>
      <c r="M602" s="89"/>
      <c r="N602" s="90"/>
      <c r="O602" s="87"/>
      <c r="P602" s="87"/>
      <c r="Q602" s="87"/>
      <c r="R602" s="91"/>
      <c r="S602" s="92"/>
      <c r="T602" s="93"/>
    </row>
    <row r="603" spans="1:20" s="94" customFormat="1" ht="12" customHeight="1" x14ac:dyDescent="0.3">
      <c r="A603" s="82"/>
      <c r="B603" s="83"/>
      <c r="C603" s="87"/>
      <c r="D603" s="84"/>
      <c r="E603" s="83"/>
      <c r="F603" s="82"/>
      <c r="G603" s="85"/>
      <c r="H603" s="86" t="e">
        <f>IF(I603="fora",0%,G603/QUÓRUM!$C$6)</f>
        <v>#DIV/0!</v>
      </c>
      <c r="I603" s="87"/>
      <c r="J603" s="88"/>
      <c r="K603" s="88"/>
      <c r="L603" s="89"/>
      <c r="M603" s="89"/>
      <c r="N603" s="90"/>
      <c r="O603" s="87"/>
      <c r="P603" s="87"/>
      <c r="Q603" s="87"/>
      <c r="R603" s="91"/>
      <c r="S603" s="92"/>
      <c r="T603" s="93"/>
    </row>
    <row r="604" spans="1:20" s="94" customFormat="1" ht="12" customHeight="1" x14ac:dyDescent="0.3">
      <c r="A604" s="82"/>
      <c r="B604" s="83"/>
      <c r="C604" s="87"/>
      <c r="D604" s="84"/>
      <c r="E604" s="83"/>
      <c r="F604" s="82"/>
      <c r="G604" s="85"/>
      <c r="H604" s="86" t="e">
        <f>IF(I604="fora",0%,G604/QUÓRUM!$C$6)</f>
        <v>#DIV/0!</v>
      </c>
      <c r="I604" s="87"/>
      <c r="J604" s="88"/>
      <c r="K604" s="88"/>
      <c r="L604" s="89"/>
      <c r="M604" s="89"/>
      <c r="N604" s="90"/>
      <c r="O604" s="87"/>
      <c r="P604" s="87"/>
      <c r="Q604" s="87"/>
      <c r="R604" s="91"/>
      <c r="S604" s="92"/>
      <c r="T604" s="93"/>
    </row>
    <row r="605" spans="1:20" s="94" customFormat="1" ht="12" customHeight="1" x14ac:dyDescent="0.3">
      <c r="A605" s="82"/>
      <c r="B605" s="83"/>
      <c r="C605" s="87"/>
      <c r="D605" s="84"/>
      <c r="E605" s="83"/>
      <c r="F605" s="82"/>
      <c r="G605" s="85"/>
      <c r="H605" s="86" t="e">
        <f>IF(I605="fora",0%,G605/QUÓRUM!$C$6)</f>
        <v>#DIV/0!</v>
      </c>
      <c r="I605" s="87"/>
      <c r="J605" s="88"/>
      <c r="K605" s="88"/>
      <c r="L605" s="89"/>
      <c r="M605" s="89"/>
      <c r="N605" s="90"/>
      <c r="O605" s="87"/>
      <c r="P605" s="87"/>
      <c r="Q605" s="87"/>
      <c r="R605" s="91"/>
      <c r="S605" s="92"/>
      <c r="T605" s="93"/>
    </row>
    <row r="606" spans="1:20" s="94" customFormat="1" ht="12" customHeight="1" x14ac:dyDescent="0.3">
      <c r="A606" s="82"/>
      <c r="B606" s="83"/>
      <c r="C606" s="87"/>
      <c r="D606" s="84"/>
      <c r="E606" s="83"/>
      <c r="F606" s="82"/>
      <c r="G606" s="85"/>
      <c r="H606" s="86" t="e">
        <f>IF(I606="fora",0%,G606/QUÓRUM!$C$6)</f>
        <v>#DIV/0!</v>
      </c>
      <c r="I606" s="87"/>
      <c r="J606" s="88"/>
      <c r="K606" s="88"/>
      <c r="L606" s="89"/>
      <c r="M606" s="89"/>
      <c r="N606" s="90"/>
      <c r="O606" s="87"/>
      <c r="P606" s="87"/>
      <c r="Q606" s="87"/>
      <c r="R606" s="91"/>
      <c r="S606" s="92"/>
      <c r="T606" s="93"/>
    </row>
    <row r="607" spans="1:20" s="94" customFormat="1" ht="12" customHeight="1" x14ac:dyDescent="0.3">
      <c r="A607" s="82"/>
      <c r="B607" s="83"/>
      <c r="C607" s="87"/>
      <c r="D607" s="84"/>
      <c r="E607" s="83"/>
      <c r="F607" s="82"/>
      <c r="G607" s="85"/>
      <c r="H607" s="86" t="e">
        <f>IF(I607="fora",0%,G607/QUÓRUM!$C$6)</f>
        <v>#DIV/0!</v>
      </c>
      <c r="I607" s="87"/>
      <c r="J607" s="88"/>
      <c r="K607" s="88"/>
      <c r="L607" s="89"/>
      <c r="M607" s="89"/>
      <c r="N607" s="90"/>
      <c r="O607" s="87"/>
      <c r="P607" s="87"/>
      <c r="Q607" s="87"/>
      <c r="R607" s="91"/>
      <c r="S607" s="92"/>
      <c r="T607" s="93"/>
    </row>
    <row r="608" spans="1:20" s="94" customFormat="1" ht="12" customHeight="1" x14ac:dyDescent="0.3">
      <c r="A608" s="82"/>
      <c r="B608" s="83"/>
      <c r="C608" s="87"/>
      <c r="D608" s="84"/>
      <c r="E608" s="83"/>
      <c r="F608" s="82"/>
      <c r="G608" s="85"/>
      <c r="H608" s="86" t="e">
        <f>IF(I608="fora",0%,G608/QUÓRUM!$C$6)</f>
        <v>#DIV/0!</v>
      </c>
      <c r="I608" s="87"/>
      <c r="J608" s="88"/>
      <c r="K608" s="88"/>
      <c r="L608" s="89"/>
      <c r="M608" s="89"/>
      <c r="N608" s="90"/>
      <c r="O608" s="87"/>
      <c r="P608" s="87"/>
      <c r="Q608" s="87"/>
      <c r="R608" s="91"/>
      <c r="S608" s="92"/>
      <c r="T608" s="93"/>
    </row>
    <row r="609" spans="1:20" s="94" customFormat="1" ht="12" customHeight="1" x14ac:dyDescent="0.3">
      <c r="A609" s="82"/>
      <c r="B609" s="83"/>
      <c r="C609" s="87"/>
      <c r="D609" s="84"/>
      <c r="E609" s="83"/>
      <c r="F609" s="82"/>
      <c r="G609" s="85"/>
      <c r="H609" s="86" t="e">
        <f>IF(I609="fora",0%,G609/QUÓRUM!$C$6)</f>
        <v>#DIV/0!</v>
      </c>
      <c r="I609" s="87"/>
      <c r="J609" s="88"/>
      <c r="K609" s="88"/>
      <c r="L609" s="89"/>
      <c r="M609" s="89"/>
      <c r="N609" s="90"/>
      <c r="O609" s="87"/>
      <c r="P609" s="87"/>
      <c r="Q609" s="87"/>
      <c r="R609" s="91"/>
      <c r="S609" s="92"/>
      <c r="T609" s="93"/>
    </row>
    <row r="610" spans="1:20" s="94" customFormat="1" ht="12" customHeight="1" x14ac:dyDescent="0.3">
      <c r="A610" s="82"/>
      <c r="B610" s="83"/>
      <c r="C610" s="87"/>
      <c r="D610" s="84"/>
      <c r="E610" s="83"/>
      <c r="F610" s="82"/>
      <c r="G610" s="85"/>
      <c r="H610" s="86" t="e">
        <f>IF(I610="fora",0%,G610/QUÓRUM!$C$6)</f>
        <v>#DIV/0!</v>
      </c>
      <c r="I610" s="87"/>
      <c r="J610" s="88"/>
      <c r="K610" s="88"/>
      <c r="L610" s="89"/>
      <c r="M610" s="89"/>
      <c r="N610" s="90"/>
      <c r="O610" s="87"/>
      <c r="P610" s="87"/>
      <c r="Q610" s="87"/>
      <c r="R610" s="91"/>
      <c r="S610" s="92"/>
      <c r="T610" s="93"/>
    </row>
    <row r="611" spans="1:20" s="94" customFormat="1" ht="12" customHeight="1" x14ac:dyDescent="0.3">
      <c r="A611" s="82"/>
      <c r="B611" s="83"/>
      <c r="C611" s="87"/>
      <c r="D611" s="84"/>
      <c r="E611" s="83"/>
      <c r="F611" s="82"/>
      <c r="G611" s="85"/>
      <c r="H611" s="86" t="e">
        <f>IF(I611="fora",0%,G611/QUÓRUM!$C$6)</f>
        <v>#DIV/0!</v>
      </c>
      <c r="I611" s="87"/>
      <c r="J611" s="88"/>
      <c r="K611" s="88"/>
      <c r="L611" s="89"/>
      <c r="M611" s="89"/>
      <c r="N611" s="90"/>
      <c r="O611" s="87"/>
      <c r="P611" s="87"/>
      <c r="Q611" s="87"/>
      <c r="R611" s="91"/>
      <c r="S611" s="92"/>
      <c r="T611" s="93"/>
    </row>
    <row r="612" spans="1:20" s="94" customFormat="1" ht="12" customHeight="1" x14ac:dyDescent="0.3">
      <c r="A612" s="82"/>
      <c r="B612" s="83"/>
      <c r="C612" s="87"/>
      <c r="D612" s="84"/>
      <c r="E612" s="83"/>
      <c r="F612" s="82"/>
      <c r="G612" s="85"/>
      <c r="H612" s="86" t="e">
        <f>IF(I612="fora",0%,G612/QUÓRUM!$C$6)</f>
        <v>#DIV/0!</v>
      </c>
      <c r="I612" s="87"/>
      <c r="J612" s="88"/>
      <c r="K612" s="88"/>
      <c r="L612" s="89"/>
      <c r="M612" s="89"/>
      <c r="N612" s="90"/>
      <c r="O612" s="87"/>
      <c r="P612" s="87"/>
      <c r="Q612" s="87"/>
      <c r="R612" s="91"/>
      <c r="S612" s="92"/>
      <c r="T612" s="93"/>
    </row>
    <row r="613" spans="1:20" s="94" customFormat="1" ht="12" customHeight="1" x14ac:dyDescent="0.3">
      <c r="A613" s="82"/>
      <c r="B613" s="83"/>
      <c r="C613" s="87"/>
      <c r="D613" s="84"/>
      <c r="E613" s="83"/>
      <c r="F613" s="82"/>
      <c r="G613" s="85"/>
      <c r="H613" s="86" t="e">
        <f>IF(I613="fora",0%,G613/QUÓRUM!$C$6)</f>
        <v>#DIV/0!</v>
      </c>
      <c r="I613" s="87"/>
      <c r="J613" s="88"/>
      <c r="K613" s="88"/>
      <c r="L613" s="89"/>
      <c r="M613" s="89"/>
      <c r="N613" s="90"/>
      <c r="O613" s="87"/>
      <c r="P613" s="87"/>
      <c r="Q613" s="87"/>
      <c r="R613" s="91"/>
      <c r="S613" s="92"/>
      <c r="T613" s="93"/>
    </row>
    <row r="614" spans="1:20" s="94" customFormat="1" ht="12" customHeight="1" x14ac:dyDescent="0.3">
      <c r="A614" s="82"/>
      <c r="B614" s="83"/>
      <c r="C614" s="87"/>
      <c r="D614" s="84"/>
      <c r="E614" s="83"/>
      <c r="F614" s="82"/>
      <c r="G614" s="85"/>
      <c r="H614" s="86" t="e">
        <f>IF(I614="fora",0%,G614/QUÓRUM!$C$6)</f>
        <v>#DIV/0!</v>
      </c>
      <c r="I614" s="87"/>
      <c r="J614" s="88"/>
      <c r="K614" s="88"/>
      <c r="L614" s="89"/>
      <c r="M614" s="89"/>
      <c r="N614" s="90"/>
      <c r="O614" s="87"/>
      <c r="P614" s="87"/>
      <c r="Q614" s="87"/>
      <c r="R614" s="91"/>
      <c r="S614" s="92"/>
      <c r="T614" s="93"/>
    </row>
    <row r="615" spans="1:20" s="94" customFormat="1" ht="12" customHeight="1" x14ac:dyDescent="0.3">
      <c r="A615" s="82"/>
      <c r="B615" s="83"/>
      <c r="C615" s="87"/>
      <c r="D615" s="84"/>
      <c r="E615" s="83"/>
      <c r="F615" s="82"/>
      <c r="G615" s="85"/>
      <c r="H615" s="86" t="e">
        <f>IF(I615="fora",0%,G615/QUÓRUM!$C$6)</f>
        <v>#DIV/0!</v>
      </c>
      <c r="I615" s="87"/>
      <c r="J615" s="88"/>
      <c r="K615" s="88"/>
      <c r="L615" s="89"/>
      <c r="M615" s="89"/>
      <c r="N615" s="90"/>
      <c r="O615" s="87"/>
      <c r="P615" s="87"/>
      <c r="Q615" s="87"/>
      <c r="R615" s="91"/>
      <c r="S615" s="92"/>
      <c r="T615" s="93"/>
    </row>
    <row r="616" spans="1:20" s="94" customFormat="1" ht="12" customHeight="1" x14ac:dyDescent="0.3">
      <c r="A616" s="82"/>
      <c r="B616" s="83"/>
      <c r="C616" s="87"/>
      <c r="D616" s="84"/>
      <c r="E616" s="83"/>
      <c r="F616" s="82"/>
      <c r="G616" s="85"/>
      <c r="H616" s="86" t="e">
        <f>IF(I616="fora",0%,G616/QUÓRUM!$C$6)</f>
        <v>#DIV/0!</v>
      </c>
      <c r="I616" s="87"/>
      <c r="J616" s="88"/>
      <c r="K616" s="88"/>
      <c r="L616" s="89"/>
      <c r="M616" s="89"/>
      <c r="N616" s="90"/>
      <c r="O616" s="87"/>
      <c r="P616" s="87"/>
      <c r="Q616" s="87"/>
      <c r="R616" s="91"/>
      <c r="S616" s="92"/>
      <c r="T616" s="93"/>
    </row>
    <row r="617" spans="1:20" s="94" customFormat="1" ht="12" customHeight="1" x14ac:dyDescent="0.3">
      <c r="A617" s="82"/>
      <c r="B617" s="83"/>
      <c r="C617" s="87"/>
      <c r="D617" s="84"/>
      <c r="E617" s="83"/>
      <c r="F617" s="82"/>
      <c r="G617" s="85"/>
      <c r="H617" s="86" t="e">
        <f>IF(I617="fora",0%,G617/QUÓRUM!$C$6)</f>
        <v>#DIV/0!</v>
      </c>
      <c r="I617" s="87"/>
      <c r="J617" s="88"/>
      <c r="K617" s="88"/>
      <c r="L617" s="89"/>
      <c r="M617" s="89"/>
      <c r="N617" s="90"/>
      <c r="O617" s="87"/>
      <c r="P617" s="87"/>
      <c r="Q617" s="87"/>
      <c r="R617" s="91"/>
      <c r="S617" s="92"/>
      <c r="T617" s="93"/>
    </row>
    <row r="618" spans="1:20" s="94" customFormat="1" ht="12" customHeight="1" x14ac:dyDescent="0.3">
      <c r="A618" s="82"/>
      <c r="B618" s="83"/>
      <c r="C618" s="87"/>
      <c r="D618" s="84"/>
      <c r="E618" s="83"/>
      <c r="F618" s="82"/>
      <c r="G618" s="85"/>
      <c r="H618" s="86" t="e">
        <f>IF(I618="fora",0%,G618/QUÓRUM!$C$6)</f>
        <v>#DIV/0!</v>
      </c>
      <c r="I618" s="87"/>
      <c r="J618" s="88"/>
      <c r="K618" s="88"/>
      <c r="L618" s="89"/>
      <c r="M618" s="89"/>
      <c r="N618" s="90"/>
      <c r="O618" s="87"/>
      <c r="P618" s="87"/>
      <c r="Q618" s="87"/>
      <c r="R618" s="91"/>
      <c r="S618" s="92"/>
      <c r="T618" s="93"/>
    </row>
    <row r="619" spans="1:20" s="94" customFormat="1" ht="12" customHeight="1" x14ac:dyDescent="0.3">
      <c r="A619" s="82"/>
      <c r="B619" s="83"/>
      <c r="C619" s="87"/>
      <c r="D619" s="84"/>
      <c r="E619" s="83"/>
      <c r="F619" s="82"/>
      <c r="G619" s="85"/>
      <c r="H619" s="86" t="e">
        <f>IF(I619="fora",0%,G619/QUÓRUM!$C$6)</f>
        <v>#DIV/0!</v>
      </c>
      <c r="I619" s="87"/>
      <c r="J619" s="88"/>
      <c r="K619" s="88"/>
      <c r="L619" s="89"/>
      <c r="M619" s="89"/>
      <c r="N619" s="90"/>
      <c r="O619" s="87"/>
      <c r="P619" s="87"/>
      <c r="Q619" s="87"/>
      <c r="R619" s="91"/>
      <c r="S619" s="92"/>
      <c r="T619" s="93"/>
    </row>
    <row r="620" spans="1:20" s="94" customFormat="1" ht="12" customHeight="1" x14ac:dyDescent="0.3">
      <c r="A620" s="82"/>
      <c r="B620" s="83"/>
      <c r="C620" s="87"/>
      <c r="D620" s="84"/>
      <c r="E620" s="83"/>
      <c r="F620" s="82"/>
      <c r="G620" s="85"/>
      <c r="H620" s="86" t="e">
        <f>IF(I620="fora",0%,G620/QUÓRUM!$C$6)</f>
        <v>#DIV/0!</v>
      </c>
      <c r="I620" s="87"/>
      <c r="J620" s="88"/>
      <c r="K620" s="88"/>
      <c r="L620" s="89"/>
      <c r="M620" s="89"/>
      <c r="N620" s="90"/>
      <c r="O620" s="87"/>
      <c r="P620" s="87"/>
      <c r="Q620" s="87"/>
      <c r="R620" s="91"/>
      <c r="S620" s="92"/>
      <c r="T620" s="93"/>
    </row>
    <row r="621" spans="1:20" s="94" customFormat="1" ht="12" customHeight="1" x14ac:dyDescent="0.3">
      <c r="A621" s="82"/>
      <c r="B621" s="83"/>
      <c r="C621" s="87"/>
      <c r="D621" s="84"/>
      <c r="E621" s="83"/>
      <c r="F621" s="82"/>
      <c r="G621" s="85"/>
      <c r="H621" s="86" t="e">
        <f>IF(I621="fora",0%,G621/QUÓRUM!$C$6)</f>
        <v>#DIV/0!</v>
      </c>
      <c r="I621" s="87"/>
      <c r="J621" s="88"/>
      <c r="K621" s="88"/>
      <c r="L621" s="89"/>
      <c r="M621" s="89"/>
      <c r="N621" s="90"/>
      <c r="O621" s="87"/>
      <c r="P621" s="87"/>
      <c r="Q621" s="87"/>
      <c r="R621" s="91"/>
      <c r="S621" s="92"/>
      <c r="T621" s="93"/>
    </row>
    <row r="622" spans="1:20" s="94" customFormat="1" ht="12" customHeight="1" x14ac:dyDescent="0.3">
      <c r="A622" s="82"/>
      <c r="B622" s="83"/>
      <c r="C622" s="87"/>
      <c r="D622" s="84"/>
      <c r="E622" s="83"/>
      <c r="F622" s="82"/>
      <c r="G622" s="85"/>
      <c r="H622" s="86" t="e">
        <f>IF(I622="fora",0%,G622/QUÓRUM!$C$6)</f>
        <v>#DIV/0!</v>
      </c>
      <c r="I622" s="87"/>
      <c r="J622" s="88"/>
      <c r="K622" s="88"/>
      <c r="L622" s="89"/>
      <c r="M622" s="89"/>
      <c r="N622" s="90"/>
      <c r="O622" s="87"/>
      <c r="P622" s="87"/>
      <c r="Q622" s="87"/>
      <c r="R622" s="91"/>
      <c r="S622" s="92"/>
      <c r="T622" s="93"/>
    </row>
    <row r="623" spans="1:20" s="94" customFormat="1" ht="12" customHeight="1" x14ac:dyDescent="0.3">
      <c r="A623" s="82"/>
      <c r="B623" s="83"/>
      <c r="C623" s="87"/>
      <c r="D623" s="84"/>
      <c r="E623" s="83"/>
      <c r="F623" s="82"/>
      <c r="G623" s="85"/>
      <c r="H623" s="86" t="e">
        <f>IF(I623="fora",0%,G623/QUÓRUM!$C$6)</f>
        <v>#DIV/0!</v>
      </c>
      <c r="I623" s="87"/>
      <c r="J623" s="88"/>
      <c r="K623" s="88"/>
      <c r="L623" s="89"/>
      <c r="M623" s="89"/>
      <c r="N623" s="90"/>
      <c r="O623" s="87"/>
      <c r="P623" s="87"/>
      <c r="Q623" s="87"/>
      <c r="R623" s="91"/>
      <c r="S623" s="92"/>
      <c r="T623" s="93"/>
    </row>
    <row r="624" spans="1:20" s="94" customFormat="1" ht="12" customHeight="1" x14ac:dyDescent="0.3">
      <c r="A624" s="82"/>
      <c r="B624" s="83"/>
      <c r="C624" s="87"/>
      <c r="D624" s="84"/>
      <c r="E624" s="83"/>
      <c r="F624" s="82"/>
      <c r="G624" s="85"/>
      <c r="H624" s="86" t="e">
        <f>IF(I624="fora",0%,G624/QUÓRUM!$C$6)</f>
        <v>#DIV/0!</v>
      </c>
      <c r="I624" s="87"/>
      <c r="J624" s="88"/>
      <c r="K624" s="88"/>
      <c r="L624" s="89"/>
      <c r="M624" s="89"/>
      <c r="N624" s="90"/>
      <c r="O624" s="87"/>
      <c r="P624" s="87"/>
      <c r="Q624" s="87"/>
      <c r="R624" s="91"/>
      <c r="S624" s="92"/>
      <c r="T624" s="93"/>
    </row>
    <row r="625" spans="1:20" s="94" customFormat="1" ht="12" customHeight="1" x14ac:dyDescent="0.3">
      <c r="A625" s="82"/>
      <c r="B625" s="83"/>
      <c r="C625" s="87"/>
      <c r="D625" s="84"/>
      <c r="E625" s="83"/>
      <c r="F625" s="82"/>
      <c r="G625" s="85"/>
      <c r="H625" s="86" t="e">
        <f>IF(I625="fora",0%,G625/QUÓRUM!$C$6)</f>
        <v>#DIV/0!</v>
      </c>
      <c r="I625" s="87"/>
      <c r="J625" s="88"/>
      <c r="K625" s="88"/>
      <c r="L625" s="89"/>
      <c r="M625" s="89"/>
      <c r="N625" s="90"/>
      <c r="O625" s="87"/>
      <c r="P625" s="87"/>
      <c r="Q625" s="87"/>
      <c r="R625" s="91"/>
      <c r="S625" s="92"/>
      <c r="T625" s="93"/>
    </row>
    <row r="626" spans="1:20" s="94" customFormat="1" ht="12" customHeight="1" x14ac:dyDescent="0.3">
      <c r="A626" s="82"/>
      <c r="B626" s="83"/>
      <c r="C626" s="87"/>
      <c r="D626" s="84"/>
      <c r="E626" s="83"/>
      <c r="F626" s="82"/>
      <c r="G626" s="85"/>
      <c r="H626" s="86" t="e">
        <f>IF(I626="fora",0%,G626/QUÓRUM!$C$6)</f>
        <v>#DIV/0!</v>
      </c>
      <c r="I626" s="87"/>
      <c r="J626" s="88"/>
      <c r="K626" s="88"/>
      <c r="L626" s="89"/>
      <c r="M626" s="89"/>
      <c r="N626" s="90"/>
      <c r="O626" s="87"/>
      <c r="P626" s="87"/>
      <c r="Q626" s="87"/>
      <c r="R626" s="91"/>
      <c r="S626" s="92"/>
      <c r="T626" s="93"/>
    </row>
    <row r="627" spans="1:20" s="94" customFormat="1" ht="12" customHeight="1" x14ac:dyDescent="0.3">
      <c r="A627" s="82"/>
      <c r="B627" s="83"/>
      <c r="C627" s="87"/>
      <c r="D627" s="84"/>
      <c r="E627" s="83"/>
      <c r="F627" s="82"/>
      <c r="G627" s="85"/>
      <c r="H627" s="86" t="e">
        <f>IF(I627="fora",0%,G627/QUÓRUM!$C$6)</f>
        <v>#DIV/0!</v>
      </c>
      <c r="I627" s="87"/>
      <c r="J627" s="88"/>
      <c r="K627" s="88"/>
      <c r="L627" s="89"/>
      <c r="M627" s="89"/>
      <c r="N627" s="90"/>
      <c r="O627" s="87"/>
      <c r="P627" s="87"/>
      <c r="Q627" s="87"/>
      <c r="R627" s="91"/>
      <c r="S627" s="92"/>
      <c r="T627" s="93"/>
    </row>
    <row r="628" spans="1:20" s="94" customFormat="1" ht="12" customHeight="1" x14ac:dyDescent="0.3">
      <c r="A628" s="82"/>
      <c r="B628" s="83"/>
      <c r="C628" s="87"/>
      <c r="D628" s="84"/>
      <c r="E628" s="83"/>
      <c r="F628" s="82"/>
      <c r="G628" s="85"/>
      <c r="H628" s="86" t="e">
        <f>IF(I628="fora",0%,G628/QUÓRUM!$C$6)</f>
        <v>#DIV/0!</v>
      </c>
      <c r="I628" s="87"/>
      <c r="J628" s="88"/>
      <c r="K628" s="88"/>
      <c r="L628" s="89"/>
      <c r="M628" s="89"/>
      <c r="N628" s="90"/>
      <c r="O628" s="87"/>
      <c r="P628" s="87"/>
      <c r="Q628" s="87"/>
      <c r="R628" s="91"/>
      <c r="S628" s="92"/>
      <c r="T628" s="93"/>
    </row>
    <row r="629" spans="1:20" s="94" customFormat="1" ht="12" customHeight="1" x14ac:dyDescent="0.3">
      <c r="A629" s="82"/>
      <c r="B629" s="83"/>
      <c r="C629" s="87"/>
      <c r="D629" s="84"/>
      <c r="E629" s="83"/>
      <c r="F629" s="82"/>
      <c r="G629" s="85"/>
      <c r="H629" s="86" t="e">
        <f>IF(I629="fora",0%,G629/QUÓRUM!$C$6)</f>
        <v>#DIV/0!</v>
      </c>
      <c r="I629" s="87"/>
      <c r="J629" s="88"/>
      <c r="K629" s="88"/>
      <c r="L629" s="89"/>
      <c r="M629" s="89"/>
      <c r="N629" s="90"/>
      <c r="O629" s="87"/>
      <c r="P629" s="87"/>
      <c r="Q629" s="87"/>
      <c r="R629" s="91"/>
      <c r="S629" s="92"/>
      <c r="T629" s="93"/>
    </row>
    <row r="630" spans="1:20" s="94" customFormat="1" ht="12" customHeight="1" x14ac:dyDescent="0.3">
      <c r="A630" s="82"/>
      <c r="B630" s="83"/>
      <c r="C630" s="87"/>
      <c r="D630" s="84"/>
      <c r="E630" s="83"/>
      <c r="F630" s="82"/>
      <c r="G630" s="85"/>
      <c r="H630" s="86" t="e">
        <f>IF(I630="fora",0%,G630/QUÓRUM!$C$6)</f>
        <v>#DIV/0!</v>
      </c>
      <c r="I630" s="87"/>
      <c r="J630" s="88"/>
      <c r="K630" s="88"/>
      <c r="L630" s="89"/>
      <c r="M630" s="89"/>
      <c r="N630" s="90"/>
      <c r="O630" s="87"/>
      <c r="P630" s="87"/>
      <c r="Q630" s="87"/>
      <c r="R630" s="91"/>
      <c r="S630" s="92"/>
      <c r="T630" s="93"/>
    </row>
    <row r="631" spans="1:20" s="94" customFormat="1" ht="12" customHeight="1" x14ac:dyDescent="0.3">
      <c r="A631" s="82"/>
      <c r="B631" s="83"/>
      <c r="C631" s="87"/>
      <c r="D631" s="84"/>
      <c r="E631" s="83"/>
      <c r="F631" s="82"/>
      <c r="G631" s="85"/>
      <c r="H631" s="86" t="e">
        <f>IF(I631="fora",0%,G631/QUÓRUM!$C$6)</f>
        <v>#DIV/0!</v>
      </c>
      <c r="I631" s="87"/>
      <c r="J631" s="88"/>
      <c r="K631" s="88"/>
      <c r="L631" s="89"/>
      <c r="M631" s="89"/>
      <c r="N631" s="90"/>
      <c r="O631" s="87"/>
      <c r="P631" s="87"/>
      <c r="Q631" s="87"/>
      <c r="R631" s="91"/>
      <c r="S631" s="92"/>
      <c r="T631" s="93"/>
    </row>
    <row r="632" spans="1:20" s="94" customFormat="1" ht="12" customHeight="1" x14ac:dyDescent="0.3">
      <c r="A632" s="82"/>
      <c r="B632" s="83"/>
      <c r="C632" s="87"/>
      <c r="D632" s="84"/>
      <c r="E632" s="83"/>
      <c r="F632" s="82"/>
      <c r="G632" s="85"/>
      <c r="H632" s="86" t="e">
        <f>IF(I632="fora",0%,G632/QUÓRUM!$C$6)</f>
        <v>#DIV/0!</v>
      </c>
      <c r="I632" s="87"/>
      <c r="J632" s="88"/>
      <c r="K632" s="88"/>
      <c r="L632" s="89"/>
      <c r="M632" s="89"/>
      <c r="N632" s="90"/>
      <c r="O632" s="87"/>
      <c r="P632" s="87"/>
      <c r="Q632" s="87"/>
      <c r="R632" s="91"/>
      <c r="S632" s="92"/>
      <c r="T632" s="93"/>
    </row>
    <row r="633" spans="1:20" s="94" customFormat="1" ht="12" customHeight="1" x14ac:dyDescent="0.3">
      <c r="A633" s="82"/>
      <c r="B633" s="83"/>
      <c r="C633" s="87"/>
      <c r="D633" s="84"/>
      <c r="E633" s="83"/>
      <c r="F633" s="82"/>
      <c r="G633" s="85"/>
      <c r="H633" s="86" t="e">
        <f>IF(I633="fora",0%,G633/QUÓRUM!$C$6)</f>
        <v>#DIV/0!</v>
      </c>
      <c r="I633" s="87"/>
      <c r="J633" s="88"/>
      <c r="K633" s="88"/>
      <c r="L633" s="89"/>
      <c r="M633" s="89"/>
      <c r="N633" s="90"/>
      <c r="O633" s="87"/>
      <c r="P633" s="87"/>
      <c r="Q633" s="87"/>
      <c r="R633" s="91"/>
      <c r="S633" s="92"/>
      <c r="T633" s="93"/>
    </row>
    <row r="634" spans="1:20" s="94" customFormat="1" ht="12" customHeight="1" x14ac:dyDescent="0.3">
      <c r="A634" s="82"/>
      <c r="B634" s="83"/>
      <c r="C634" s="87"/>
      <c r="D634" s="84"/>
      <c r="E634" s="83"/>
      <c r="F634" s="82"/>
      <c r="G634" s="85"/>
      <c r="H634" s="86" t="e">
        <f>IF(I634="fora",0%,G634/QUÓRUM!$C$6)</f>
        <v>#DIV/0!</v>
      </c>
      <c r="I634" s="87"/>
      <c r="J634" s="88"/>
      <c r="K634" s="88"/>
      <c r="L634" s="89"/>
      <c r="M634" s="89"/>
      <c r="N634" s="90"/>
      <c r="O634" s="87"/>
      <c r="P634" s="87"/>
      <c r="Q634" s="87"/>
      <c r="R634" s="91"/>
      <c r="S634" s="92"/>
      <c r="T634" s="93"/>
    </row>
    <row r="635" spans="1:20" s="94" customFormat="1" ht="12" customHeight="1" x14ac:dyDescent="0.3">
      <c r="A635" s="82"/>
      <c r="B635" s="83"/>
      <c r="C635" s="87"/>
      <c r="D635" s="84"/>
      <c r="E635" s="83"/>
      <c r="F635" s="82"/>
      <c r="G635" s="85"/>
      <c r="H635" s="86" t="e">
        <f>IF(I635="fora",0%,G635/QUÓRUM!$C$6)</f>
        <v>#DIV/0!</v>
      </c>
      <c r="I635" s="87"/>
      <c r="J635" s="88"/>
      <c r="K635" s="88"/>
      <c r="L635" s="89"/>
      <c r="M635" s="89"/>
      <c r="N635" s="90"/>
      <c r="O635" s="87"/>
      <c r="P635" s="87"/>
      <c r="Q635" s="87"/>
      <c r="R635" s="91"/>
      <c r="S635" s="92"/>
      <c r="T635" s="93"/>
    </row>
    <row r="636" spans="1:20" s="94" customFormat="1" ht="12" customHeight="1" x14ac:dyDescent="0.3">
      <c r="A636" s="82"/>
      <c r="B636" s="83"/>
      <c r="C636" s="87"/>
      <c r="D636" s="84"/>
      <c r="E636" s="83"/>
      <c r="F636" s="82"/>
      <c r="G636" s="85"/>
      <c r="H636" s="86" t="e">
        <f>IF(I636="fora",0%,G636/QUÓRUM!$C$6)</f>
        <v>#DIV/0!</v>
      </c>
      <c r="I636" s="87"/>
      <c r="J636" s="88"/>
      <c r="K636" s="88"/>
      <c r="L636" s="89"/>
      <c r="M636" s="89"/>
      <c r="N636" s="90"/>
      <c r="O636" s="87"/>
      <c r="P636" s="87"/>
      <c r="Q636" s="87"/>
      <c r="R636" s="91"/>
      <c r="S636" s="92"/>
      <c r="T636" s="93"/>
    </row>
    <row r="637" spans="1:20" s="94" customFormat="1" ht="12" customHeight="1" x14ac:dyDescent="0.3">
      <c r="A637" s="82"/>
      <c r="B637" s="83"/>
      <c r="C637" s="87"/>
      <c r="D637" s="84"/>
      <c r="E637" s="83"/>
      <c r="F637" s="82"/>
      <c r="G637" s="85"/>
      <c r="H637" s="86" t="e">
        <f>IF(I637="fora",0%,G637/QUÓRUM!$C$6)</f>
        <v>#DIV/0!</v>
      </c>
      <c r="I637" s="87"/>
      <c r="J637" s="88"/>
      <c r="K637" s="88"/>
      <c r="L637" s="89"/>
      <c r="M637" s="89"/>
      <c r="N637" s="90"/>
      <c r="O637" s="87"/>
      <c r="P637" s="87"/>
      <c r="Q637" s="87"/>
      <c r="R637" s="91"/>
      <c r="S637" s="92"/>
      <c r="T637" s="93"/>
    </row>
    <row r="638" spans="1:20" s="94" customFormat="1" ht="12" customHeight="1" x14ac:dyDescent="0.3">
      <c r="A638" s="82"/>
      <c r="B638" s="83"/>
      <c r="C638" s="87"/>
      <c r="D638" s="84"/>
      <c r="E638" s="83"/>
      <c r="F638" s="82"/>
      <c r="G638" s="85"/>
      <c r="H638" s="86" t="e">
        <f>IF(I638="fora",0%,G638/QUÓRUM!$C$6)</f>
        <v>#DIV/0!</v>
      </c>
      <c r="I638" s="87"/>
      <c r="J638" s="88"/>
      <c r="K638" s="88"/>
      <c r="L638" s="89"/>
      <c r="M638" s="89"/>
      <c r="N638" s="90"/>
      <c r="O638" s="87"/>
      <c r="P638" s="87"/>
      <c r="Q638" s="87"/>
      <c r="R638" s="91"/>
      <c r="S638" s="92"/>
      <c r="T638" s="93"/>
    </row>
    <row r="639" spans="1:20" s="94" customFormat="1" ht="12" customHeight="1" x14ac:dyDescent="0.3">
      <c r="A639" s="82"/>
      <c r="B639" s="83"/>
      <c r="C639" s="87"/>
      <c r="D639" s="84"/>
      <c r="E639" s="83"/>
      <c r="F639" s="82"/>
      <c r="G639" s="85"/>
      <c r="H639" s="86" t="e">
        <f>IF(I639="fora",0%,G639/QUÓRUM!$C$6)</f>
        <v>#DIV/0!</v>
      </c>
      <c r="I639" s="87"/>
      <c r="J639" s="88"/>
      <c r="K639" s="88"/>
      <c r="L639" s="89"/>
      <c r="M639" s="89"/>
      <c r="N639" s="90"/>
      <c r="O639" s="87"/>
      <c r="P639" s="87"/>
      <c r="Q639" s="87"/>
      <c r="R639" s="91"/>
      <c r="S639" s="92"/>
      <c r="T639" s="93"/>
    </row>
    <row r="640" spans="1:20" s="94" customFormat="1" ht="12" customHeight="1" x14ac:dyDescent="0.3">
      <c r="A640" s="82"/>
      <c r="B640" s="83"/>
      <c r="C640" s="87"/>
      <c r="D640" s="84"/>
      <c r="E640" s="83"/>
      <c r="F640" s="82"/>
      <c r="G640" s="85"/>
      <c r="H640" s="86" t="e">
        <f>IF(I640="fora",0%,G640/QUÓRUM!$C$6)</f>
        <v>#DIV/0!</v>
      </c>
      <c r="I640" s="87"/>
      <c r="J640" s="88"/>
      <c r="K640" s="88"/>
      <c r="L640" s="89"/>
      <c r="M640" s="89"/>
      <c r="N640" s="90"/>
      <c r="O640" s="87"/>
      <c r="P640" s="87"/>
      <c r="Q640" s="87"/>
      <c r="R640" s="91"/>
      <c r="S640" s="92"/>
      <c r="T640" s="93"/>
    </row>
    <row r="641" spans="1:20" s="94" customFormat="1" ht="12" customHeight="1" x14ac:dyDescent="0.3">
      <c r="A641" s="82"/>
      <c r="B641" s="83"/>
      <c r="C641" s="87"/>
      <c r="D641" s="84"/>
      <c r="E641" s="83"/>
      <c r="F641" s="82"/>
      <c r="G641" s="85"/>
      <c r="H641" s="86" t="e">
        <f>IF(I641="fora",0%,G641/QUÓRUM!$C$6)</f>
        <v>#DIV/0!</v>
      </c>
      <c r="I641" s="87"/>
      <c r="J641" s="88"/>
      <c r="K641" s="88"/>
      <c r="L641" s="89"/>
      <c r="M641" s="89"/>
      <c r="N641" s="90"/>
      <c r="O641" s="87"/>
      <c r="P641" s="87"/>
      <c r="Q641" s="87"/>
      <c r="R641" s="91"/>
      <c r="S641" s="92"/>
      <c r="T641" s="93"/>
    </row>
    <row r="642" spans="1:20" s="94" customFormat="1" ht="12" customHeight="1" x14ac:dyDescent="0.3">
      <c r="A642" s="82"/>
      <c r="B642" s="83"/>
      <c r="C642" s="87"/>
      <c r="D642" s="84"/>
      <c r="E642" s="83"/>
      <c r="F642" s="82"/>
      <c r="G642" s="85"/>
      <c r="H642" s="86" t="e">
        <f>IF(I642="fora",0%,G642/QUÓRUM!$C$6)</f>
        <v>#DIV/0!</v>
      </c>
      <c r="I642" s="87"/>
      <c r="J642" s="88"/>
      <c r="K642" s="88"/>
      <c r="L642" s="89"/>
      <c r="M642" s="89"/>
      <c r="N642" s="90"/>
      <c r="O642" s="87"/>
      <c r="P642" s="87"/>
      <c r="Q642" s="87"/>
      <c r="R642" s="91"/>
      <c r="S642" s="92"/>
      <c r="T642" s="93"/>
    </row>
    <row r="643" spans="1:20" s="94" customFormat="1" ht="12" customHeight="1" x14ac:dyDescent="0.3">
      <c r="A643" s="82"/>
      <c r="B643" s="83"/>
      <c r="C643" s="87"/>
      <c r="D643" s="84"/>
      <c r="E643" s="83"/>
      <c r="F643" s="82"/>
      <c r="G643" s="85"/>
      <c r="H643" s="86" t="e">
        <f>IF(I643="fora",0%,G643/QUÓRUM!$C$6)</f>
        <v>#DIV/0!</v>
      </c>
      <c r="I643" s="87"/>
      <c r="J643" s="88"/>
      <c r="K643" s="88"/>
      <c r="L643" s="89"/>
      <c r="M643" s="89"/>
      <c r="N643" s="90"/>
      <c r="O643" s="87"/>
      <c r="P643" s="87"/>
      <c r="Q643" s="87"/>
      <c r="R643" s="91"/>
      <c r="S643" s="92"/>
      <c r="T643" s="93"/>
    </row>
    <row r="644" spans="1:20" s="94" customFormat="1" ht="12" customHeight="1" x14ac:dyDescent="0.3">
      <c r="A644" s="82"/>
      <c r="B644" s="83"/>
      <c r="C644" s="87"/>
      <c r="D644" s="84"/>
      <c r="E644" s="83"/>
      <c r="F644" s="82"/>
      <c r="G644" s="85"/>
      <c r="H644" s="86" t="e">
        <f>IF(I644="fora",0%,G644/QUÓRUM!$C$6)</f>
        <v>#DIV/0!</v>
      </c>
      <c r="I644" s="87"/>
      <c r="J644" s="88"/>
      <c r="K644" s="88"/>
      <c r="L644" s="89"/>
      <c r="M644" s="89"/>
      <c r="N644" s="90"/>
      <c r="O644" s="87"/>
      <c r="P644" s="87"/>
      <c r="Q644" s="87"/>
      <c r="R644" s="91"/>
      <c r="S644" s="92"/>
      <c r="T644" s="93"/>
    </row>
    <row r="645" spans="1:20" s="94" customFormat="1" ht="12" customHeight="1" x14ac:dyDescent="0.3">
      <c r="A645" s="82"/>
      <c r="B645" s="83"/>
      <c r="C645" s="87"/>
      <c r="D645" s="84"/>
      <c r="E645" s="83"/>
      <c r="F645" s="82"/>
      <c r="G645" s="85"/>
      <c r="H645" s="86" t="e">
        <f>IF(I645="fora",0%,G645/QUÓRUM!$C$6)</f>
        <v>#DIV/0!</v>
      </c>
      <c r="I645" s="87"/>
      <c r="J645" s="88"/>
      <c r="K645" s="88"/>
      <c r="L645" s="89"/>
      <c r="M645" s="89"/>
      <c r="N645" s="90"/>
      <c r="O645" s="87"/>
      <c r="P645" s="87"/>
      <c r="Q645" s="87"/>
      <c r="R645" s="91"/>
      <c r="S645" s="92"/>
      <c r="T645" s="93"/>
    </row>
    <row r="646" spans="1:20" s="94" customFormat="1" ht="12" customHeight="1" x14ac:dyDescent="0.3">
      <c r="A646" s="82"/>
      <c r="B646" s="83"/>
      <c r="C646" s="87"/>
      <c r="D646" s="84"/>
      <c r="E646" s="83"/>
      <c r="F646" s="82"/>
      <c r="G646" s="85"/>
      <c r="H646" s="86" t="e">
        <f>IF(I646="fora",0%,G646/QUÓRUM!$C$6)</f>
        <v>#DIV/0!</v>
      </c>
      <c r="I646" s="87"/>
      <c r="J646" s="88"/>
      <c r="K646" s="88"/>
      <c r="L646" s="89"/>
      <c r="M646" s="89"/>
      <c r="N646" s="90"/>
      <c r="O646" s="87"/>
      <c r="P646" s="87"/>
      <c r="Q646" s="87"/>
      <c r="R646" s="91"/>
      <c r="S646" s="92"/>
      <c r="T646" s="93"/>
    </row>
    <row r="647" spans="1:20" s="94" customFormat="1" ht="12" customHeight="1" x14ac:dyDescent="0.3">
      <c r="A647" s="82"/>
      <c r="B647" s="83"/>
      <c r="C647" s="87"/>
      <c r="D647" s="84"/>
      <c r="E647" s="83"/>
      <c r="F647" s="82"/>
      <c r="G647" s="85"/>
      <c r="H647" s="86" t="e">
        <f>IF(I647="fora",0%,G647/QUÓRUM!$C$6)</f>
        <v>#DIV/0!</v>
      </c>
      <c r="I647" s="87"/>
      <c r="J647" s="88"/>
      <c r="K647" s="88"/>
      <c r="L647" s="89"/>
      <c r="M647" s="89"/>
      <c r="N647" s="90"/>
      <c r="O647" s="87"/>
      <c r="P647" s="87"/>
      <c r="Q647" s="87"/>
      <c r="R647" s="91"/>
      <c r="S647" s="92"/>
      <c r="T647" s="93"/>
    </row>
    <row r="648" spans="1:20" s="94" customFormat="1" ht="12" customHeight="1" x14ac:dyDescent="0.3">
      <c r="A648" s="82"/>
      <c r="B648" s="83"/>
      <c r="C648" s="87"/>
      <c r="D648" s="84"/>
      <c r="E648" s="83"/>
      <c r="F648" s="82"/>
      <c r="G648" s="85"/>
      <c r="H648" s="86" t="e">
        <f>IF(I648="fora",0%,G648/QUÓRUM!$C$6)</f>
        <v>#DIV/0!</v>
      </c>
      <c r="I648" s="87"/>
      <c r="J648" s="88"/>
      <c r="K648" s="88"/>
      <c r="L648" s="89"/>
      <c r="M648" s="89"/>
      <c r="N648" s="90"/>
      <c r="O648" s="87"/>
      <c r="P648" s="87"/>
      <c r="Q648" s="87"/>
      <c r="R648" s="91"/>
      <c r="S648" s="92"/>
      <c r="T648" s="93"/>
    </row>
    <row r="649" spans="1:20" s="94" customFormat="1" ht="12" customHeight="1" x14ac:dyDescent="0.3">
      <c r="A649" s="82"/>
      <c r="B649" s="83"/>
      <c r="C649" s="87"/>
      <c r="D649" s="84"/>
      <c r="E649" s="83"/>
      <c r="F649" s="82"/>
      <c r="G649" s="85"/>
      <c r="H649" s="86" t="e">
        <f>IF(I649="fora",0%,G649/QUÓRUM!$C$6)</f>
        <v>#DIV/0!</v>
      </c>
      <c r="I649" s="87"/>
      <c r="J649" s="88"/>
      <c r="K649" s="88"/>
      <c r="L649" s="89"/>
      <c r="M649" s="89"/>
      <c r="N649" s="90"/>
      <c r="O649" s="87"/>
      <c r="P649" s="87"/>
      <c r="Q649" s="87"/>
      <c r="R649" s="91"/>
      <c r="S649" s="92"/>
      <c r="T649" s="93"/>
    </row>
    <row r="650" spans="1:20" s="94" customFormat="1" ht="12" customHeight="1" x14ac:dyDescent="0.3">
      <c r="A650" s="82"/>
      <c r="B650" s="83"/>
      <c r="C650" s="87"/>
      <c r="D650" s="84"/>
      <c r="E650" s="83"/>
      <c r="F650" s="82"/>
      <c r="G650" s="85"/>
      <c r="H650" s="86" t="e">
        <f>IF(I650="fora",0%,G650/QUÓRUM!$C$6)</f>
        <v>#DIV/0!</v>
      </c>
      <c r="I650" s="87"/>
      <c r="J650" s="88"/>
      <c r="K650" s="88"/>
      <c r="L650" s="89"/>
      <c r="M650" s="89"/>
      <c r="N650" s="90"/>
      <c r="O650" s="87"/>
      <c r="P650" s="87"/>
      <c r="Q650" s="87"/>
      <c r="R650" s="91"/>
      <c r="S650" s="92"/>
      <c r="T650" s="93"/>
    </row>
    <row r="651" spans="1:20" s="94" customFormat="1" ht="12" customHeight="1" x14ac:dyDescent="0.3">
      <c r="A651" s="82"/>
      <c r="B651" s="83"/>
      <c r="C651" s="87"/>
      <c r="D651" s="84"/>
      <c r="E651" s="83"/>
      <c r="F651" s="82"/>
      <c r="G651" s="85"/>
      <c r="H651" s="86" t="e">
        <f>IF(I651="fora",0%,G651/QUÓRUM!$C$6)</f>
        <v>#DIV/0!</v>
      </c>
      <c r="I651" s="87"/>
      <c r="J651" s="88"/>
      <c r="K651" s="88"/>
      <c r="L651" s="89"/>
      <c r="M651" s="89"/>
      <c r="N651" s="90"/>
      <c r="O651" s="87"/>
      <c r="P651" s="87"/>
      <c r="Q651" s="87"/>
      <c r="R651" s="91"/>
      <c r="S651" s="92"/>
      <c r="T651" s="93"/>
    </row>
    <row r="652" spans="1:20" s="94" customFormat="1" ht="12" customHeight="1" x14ac:dyDescent="0.3">
      <c r="A652" s="82"/>
      <c r="B652" s="83"/>
      <c r="C652" s="87"/>
      <c r="D652" s="84"/>
      <c r="E652" s="83"/>
      <c r="F652" s="82"/>
      <c r="G652" s="85"/>
      <c r="H652" s="86" t="e">
        <f>IF(I652="fora",0%,G652/QUÓRUM!$C$6)</f>
        <v>#DIV/0!</v>
      </c>
      <c r="I652" s="87"/>
      <c r="J652" s="88"/>
      <c r="K652" s="88"/>
      <c r="L652" s="89"/>
      <c r="M652" s="89"/>
      <c r="N652" s="90"/>
      <c r="O652" s="87"/>
      <c r="P652" s="87"/>
      <c r="Q652" s="87"/>
      <c r="R652" s="91"/>
      <c r="S652" s="92"/>
      <c r="T652" s="93"/>
    </row>
    <row r="653" spans="1:20" s="94" customFormat="1" ht="12" customHeight="1" x14ac:dyDescent="0.3">
      <c r="A653" s="82"/>
      <c r="B653" s="83"/>
      <c r="C653" s="87"/>
      <c r="D653" s="84"/>
      <c r="E653" s="83"/>
      <c r="F653" s="82"/>
      <c r="G653" s="85"/>
      <c r="H653" s="86" t="e">
        <f>IF(I653="fora",0%,G653/QUÓRUM!$C$6)</f>
        <v>#DIV/0!</v>
      </c>
      <c r="I653" s="87"/>
      <c r="J653" s="88"/>
      <c r="K653" s="88"/>
      <c r="L653" s="89"/>
      <c r="M653" s="89"/>
      <c r="N653" s="90"/>
      <c r="O653" s="87"/>
      <c r="P653" s="87"/>
      <c r="Q653" s="87"/>
      <c r="R653" s="91"/>
      <c r="S653" s="92"/>
      <c r="T653" s="93"/>
    </row>
    <row r="654" spans="1:20" s="94" customFormat="1" ht="12" customHeight="1" x14ac:dyDescent="0.3">
      <c r="A654" s="82"/>
      <c r="B654" s="83"/>
      <c r="C654" s="87"/>
      <c r="D654" s="84"/>
      <c r="E654" s="83"/>
      <c r="F654" s="82"/>
      <c r="G654" s="85"/>
      <c r="H654" s="86" t="e">
        <f>IF(I654="fora",0%,G654/QUÓRUM!$C$6)</f>
        <v>#DIV/0!</v>
      </c>
      <c r="I654" s="87"/>
      <c r="J654" s="88"/>
      <c r="K654" s="88"/>
      <c r="L654" s="89"/>
      <c r="M654" s="89"/>
      <c r="N654" s="90"/>
      <c r="O654" s="87"/>
      <c r="P654" s="87"/>
      <c r="Q654" s="87"/>
      <c r="R654" s="91"/>
      <c r="S654" s="92"/>
      <c r="T654" s="93"/>
    </row>
    <row r="655" spans="1:20" s="94" customFormat="1" ht="12" customHeight="1" x14ac:dyDescent="0.3">
      <c r="A655" s="82"/>
      <c r="B655" s="83"/>
      <c r="C655" s="87"/>
      <c r="D655" s="84"/>
      <c r="E655" s="83"/>
      <c r="F655" s="82"/>
      <c r="G655" s="85"/>
      <c r="H655" s="86" t="e">
        <f>IF(I655="fora",0%,G655/QUÓRUM!$C$6)</f>
        <v>#DIV/0!</v>
      </c>
      <c r="I655" s="87"/>
      <c r="J655" s="88"/>
      <c r="K655" s="88"/>
      <c r="L655" s="89"/>
      <c r="M655" s="89"/>
      <c r="N655" s="90"/>
      <c r="O655" s="87"/>
      <c r="P655" s="87"/>
      <c r="Q655" s="87"/>
      <c r="R655" s="91"/>
      <c r="S655" s="92"/>
      <c r="T655" s="93"/>
    </row>
    <row r="656" spans="1:20" s="94" customFormat="1" ht="12" customHeight="1" x14ac:dyDescent="0.3">
      <c r="A656" s="82"/>
      <c r="B656" s="83"/>
      <c r="C656" s="87"/>
      <c r="D656" s="84"/>
      <c r="E656" s="83"/>
      <c r="F656" s="82"/>
      <c r="G656" s="85"/>
      <c r="H656" s="86" t="e">
        <f>IF(I656="fora",0%,G656/QUÓRUM!$C$6)</f>
        <v>#DIV/0!</v>
      </c>
      <c r="I656" s="87"/>
      <c r="J656" s="88"/>
      <c r="K656" s="88"/>
      <c r="L656" s="89"/>
      <c r="M656" s="89"/>
      <c r="N656" s="90"/>
      <c r="O656" s="87"/>
      <c r="P656" s="87"/>
      <c r="Q656" s="87"/>
      <c r="R656" s="91"/>
      <c r="S656" s="92"/>
      <c r="T656" s="93"/>
    </row>
    <row r="657" spans="1:20" s="94" customFormat="1" ht="12" customHeight="1" x14ac:dyDescent="0.3">
      <c r="A657" s="82"/>
      <c r="B657" s="83"/>
      <c r="C657" s="87"/>
      <c r="D657" s="84"/>
      <c r="E657" s="83"/>
      <c r="F657" s="82"/>
      <c r="G657" s="85"/>
      <c r="H657" s="86" t="e">
        <f>IF(I657="fora",0%,G657/QUÓRUM!$C$6)</f>
        <v>#DIV/0!</v>
      </c>
      <c r="I657" s="87"/>
      <c r="J657" s="88"/>
      <c r="K657" s="88"/>
      <c r="L657" s="89"/>
      <c r="M657" s="89"/>
      <c r="N657" s="90"/>
      <c r="O657" s="87"/>
      <c r="P657" s="87"/>
      <c r="Q657" s="87"/>
      <c r="R657" s="91"/>
      <c r="S657" s="92"/>
      <c r="T657" s="93"/>
    </row>
    <row r="658" spans="1:20" s="94" customFormat="1" ht="12" customHeight="1" x14ac:dyDescent="0.3">
      <c r="A658" s="82"/>
      <c r="B658" s="83"/>
      <c r="C658" s="87"/>
      <c r="D658" s="84"/>
      <c r="E658" s="83"/>
      <c r="F658" s="82"/>
      <c r="G658" s="85"/>
      <c r="H658" s="86" t="e">
        <f>IF(I658="fora",0%,G658/QUÓRUM!$C$6)</f>
        <v>#DIV/0!</v>
      </c>
      <c r="I658" s="87"/>
      <c r="J658" s="88"/>
      <c r="K658" s="88"/>
      <c r="L658" s="89"/>
      <c r="M658" s="89"/>
      <c r="N658" s="90"/>
      <c r="O658" s="87"/>
      <c r="P658" s="87"/>
      <c r="Q658" s="87"/>
      <c r="R658" s="91"/>
      <c r="S658" s="92"/>
      <c r="T658" s="93"/>
    </row>
    <row r="659" spans="1:20" s="94" customFormat="1" ht="12" customHeight="1" x14ac:dyDescent="0.3">
      <c r="A659" s="82"/>
      <c r="B659" s="83"/>
      <c r="C659" s="87"/>
      <c r="D659" s="84"/>
      <c r="E659" s="83"/>
      <c r="F659" s="82"/>
      <c r="G659" s="85"/>
      <c r="H659" s="86" t="e">
        <f>IF(I659="fora",0%,G659/QUÓRUM!$C$6)</f>
        <v>#DIV/0!</v>
      </c>
      <c r="I659" s="87"/>
      <c r="J659" s="88"/>
      <c r="K659" s="88"/>
      <c r="L659" s="89"/>
      <c r="M659" s="89"/>
      <c r="N659" s="90"/>
      <c r="O659" s="87"/>
      <c r="P659" s="87"/>
      <c r="Q659" s="87"/>
      <c r="R659" s="91"/>
      <c r="S659" s="92"/>
      <c r="T659" s="93"/>
    </row>
    <row r="660" spans="1:20" s="94" customFormat="1" ht="12" customHeight="1" x14ac:dyDescent="0.3">
      <c r="A660" s="82"/>
      <c r="B660" s="83"/>
      <c r="C660" s="87"/>
      <c r="D660" s="84"/>
      <c r="E660" s="83"/>
      <c r="F660" s="82"/>
      <c r="G660" s="85"/>
      <c r="H660" s="86" t="e">
        <f>IF(I660="fora",0%,G660/QUÓRUM!$C$6)</f>
        <v>#DIV/0!</v>
      </c>
      <c r="I660" s="87"/>
      <c r="J660" s="88"/>
      <c r="K660" s="88"/>
      <c r="L660" s="89"/>
      <c r="M660" s="89"/>
      <c r="N660" s="90"/>
      <c r="O660" s="87"/>
      <c r="P660" s="87"/>
      <c r="Q660" s="87"/>
      <c r="R660" s="91"/>
      <c r="S660" s="92"/>
      <c r="T660" s="93"/>
    </row>
    <row r="661" spans="1:20" s="94" customFormat="1" ht="12" customHeight="1" x14ac:dyDescent="0.3">
      <c r="A661" s="82"/>
      <c r="B661" s="83"/>
      <c r="C661" s="87"/>
      <c r="D661" s="84"/>
      <c r="E661" s="83"/>
      <c r="F661" s="82"/>
      <c r="G661" s="85"/>
      <c r="H661" s="86" t="e">
        <f>IF(I661="fora",0%,G661/QUÓRUM!$C$6)</f>
        <v>#DIV/0!</v>
      </c>
      <c r="I661" s="87"/>
      <c r="J661" s="88"/>
      <c r="K661" s="88"/>
      <c r="L661" s="89"/>
      <c r="M661" s="89"/>
      <c r="N661" s="90"/>
      <c r="O661" s="87"/>
      <c r="P661" s="87"/>
      <c r="Q661" s="87"/>
      <c r="R661" s="91"/>
      <c r="S661" s="92"/>
      <c r="T661" s="93"/>
    </row>
    <row r="662" spans="1:20" s="94" customFormat="1" ht="12" customHeight="1" x14ac:dyDescent="0.3">
      <c r="A662" s="82"/>
      <c r="B662" s="83"/>
      <c r="C662" s="87"/>
      <c r="D662" s="84"/>
      <c r="E662" s="83"/>
      <c r="F662" s="82"/>
      <c r="G662" s="85"/>
      <c r="H662" s="86" t="e">
        <f>IF(I662="fora",0%,G662/QUÓRUM!$C$6)</f>
        <v>#DIV/0!</v>
      </c>
      <c r="I662" s="87"/>
      <c r="J662" s="88"/>
      <c r="K662" s="88"/>
      <c r="L662" s="89"/>
      <c r="M662" s="89"/>
      <c r="N662" s="90"/>
      <c r="O662" s="87"/>
      <c r="P662" s="87"/>
      <c r="Q662" s="87"/>
      <c r="R662" s="91"/>
      <c r="S662" s="92"/>
      <c r="T662" s="93"/>
    </row>
    <row r="663" spans="1:20" s="94" customFormat="1" ht="12" customHeight="1" x14ac:dyDescent="0.3">
      <c r="A663" s="82"/>
      <c r="B663" s="83"/>
      <c r="C663" s="87"/>
      <c r="D663" s="84"/>
      <c r="E663" s="83"/>
      <c r="F663" s="82"/>
      <c r="G663" s="85"/>
      <c r="H663" s="86" t="e">
        <f>IF(I663="fora",0%,G663/QUÓRUM!$C$6)</f>
        <v>#DIV/0!</v>
      </c>
      <c r="I663" s="87"/>
      <c r="J663" s="88"/>
      <c r="K663" s="88"/>
      <c r="L663" s="89"/>
      <c r="M663" s="89"/>
      <c r="N663" s="90"/>
      <c r="O663" s="87"/>
      <c r="P663" s="87"/>
      <c r="Q663" s="87"/>
      <c r="R663" s="91"/>
      <c r="S663" s="92"/>
      <c r="T663" s="93"/>
    </row>
    <row r="664" spans="1:20" s="94" customFormat="1" ht="12" customHeight="1" x14ac:dyDescent="0.3">
      <c r="A664" s="82"/>
      <c r="B664" s="83"/>
      <c r="C664" s="87"/>
      <c r="D664" s="84"/>
      <c r="E664" s="83"/>
      <c r="F664" s="82"/>
      <c r="G664" s="85"/>
      <c r="H664" s="86" t="e">
        <f>IF(I664="fora",0%,G664/QUÓRUM!$C$6)</f>
        <v>#DIV/0!</v>
      </c>
      <c r="I664" s="87"/>
      <c r="J664" s="88"/>
      <c r="K664" s="88"/>
      <c r="L664" s="89"/>
      <c r="M664" s="89"/>
      <c r="N664" s="90"/>
      <c r="O664" s="87"/>
      <c r="P664" s="87"/>
      <c r="Q664" s="87"/>
      <c r="R664" s="91"/>
      <c r="S664" s="92"/>
      <c r="T664" s="93"/>
    </row>
    <row r="665" spans="1:20" s="94" customFormat="1" ht="12" customHeight="1" x14ac:dyDescent="0.3">
      <c r="A665" s="82"/>
      <c r="B665" s="83"/>
      <c r="C665" s="87"/>
      <c r="D665" s="84"/>
      <c r="E665" s="83"/>
      <c r="F665" s="82"/>
      <c r="G665" s="85"/>
      <c r="H665" s="86" t="e">
        <f>IF(I665="fora",0%,G665/QUÓRUM!$C$6)</f>
        <v>#DIV/0!</v>
      </c>
      <c r="I665" s="87"/>
      <c r="J665" s="88"/>
      <c r="K665" s="88"/>
      <c r="L665" s="89"/>
      <c r="M665" s="89"/>
      <c r="N665" s="90"/>
      <c r="O665" s="87"/>
      <c r="P665" s="87"/>
      <c r="Q665" s="87"/>
      <c r="R665" s="91"/>
      <c r="S665" s="92"/>
      <c r="T665" s="93"/>
    </row>
    <row r="666" spans="1:20" s="94" customFormat="1" ht="12" customHeight="1" x14ac:dyDescent="0.3">
      <c r="A666" s="82"/>
      <c r="B666" s="83"/>
      <c r="C666" s="87"/>
      <c r="D666" s="84"/>
      <c r="E666" s="83"/>
      <c r="F666" s="82"/>
      <c r="G666" s="85"/>
      <c r="H666" s="86" t="e">
        <f>IF(I666="fora",0%,G666/QUÓRUM!$C$6)</f>
        <v>#DIV/0!</v>
      </c>
      <c r="I666" s="87"/>
      <c r="J666" s="88"/>
      <c r="K666" s="88"/>
      <c r="L666" s="89"/>
      <c r="M666" s="89"/>
      <c r="N666" s="90"/>
      <c r="O666" s="87"/>
      <c r="P666" s="87"/>
      <c r="Q666" s="87"/>
      <c r="R666" s="91"/>
      <c r="S666" s="92"/>
      <c r="T666" s="93"/>
    </row>
    <row r="667" spans="1:20" s="94" customFormat="1" ht="12" customHeight="1" x14ac:dyDescent="0.3">
      <c r="A667" s="82"/>
      <c r="B667" s="83"/>
      <c r="C667" s="87"/>
      <c r="D667" s="84"/>
      <c r="E667" s="83"/>
      <c r="F667" s="82"/>
      <c r="G667" s="85"/>
      <c r="H667" s="86" t="e">
        <f>IF(I667="fora",0%,G667/QUÓRUM!$C$6)</f>
        <v>#DIV/0!</v>
      </c>
      <c r="I667" s="87"/>
      <c r="J667" s="88"/>
      <c r="K667" s="88"/>
      <c r="L667" s="89"/>
      <c r="M667" s="89"/>
      <c r="N667" s="90"/>
      <c r="O667" s="87"/>
      <c r="P667" s="87"/>
      <c r="Q667" s="87"/>
      <c r="R667" s="91"/>
      <c r="S667" s="92"/>
      <c r="T667" s="93"/>
    </row>
    <row r="668" spans="1:20" s="94" customFormat="1" ht="12" customHeight="1" x14ac:dyDescent="0.3">
      <c r="A668" s="82"/>
      <c r="B668" s="83"/>
      <c r="C668" s="87"/>
      <c r="D668" s="84"/>
      <c r="E668" s="83"/>
      <c r="F668" s="82"/>
      <c r="G668" s="85"/>
      <c r="H668" s="86" t="e">
        <f>IF(I668="fora",0%,G668/QUÓRUM!$C$6)</f>
        <v>#DIV/0!</v>
      </c>
      <c r="I668" s="87"/>
      <c r="J668" s="88"/>
      <c r="K668" s="88"/>
      <c r="L668" s="89"/>
      <c r="M668" s="89"/>
      <c r="N668" s="90"/>
      <c r="O668" s="87"/>
      <c r="P668" s="87"/>
      <c r="Q668" s="87"/>
      <c r="R668" s="91"/>
      <c r="S668" s="92"/>
      <c r="T668" s="93"/>
    </row>
    <row r="669" spans="1:20" s="94" customFormat="1" ht="12" customHeight="1" x14ac:dyDescent="0.3">
      <c r="A669" s="82"/>
      <c r="B669" s="83"/>
      <c r="C669" s="87"/>
      <c r="D669" s="84"/>
      <c r="E669" s="83"/>
      <c r="F669" s="82"/>
      <c r="G669" s="85"/>
      <c r="H669" s="86" t="e">
        <f>IF(I669="fora",0%,G669/QUÓRUM!$C$6)</f>
        <v>#DIV/0!</v>
      </c>
      <c r="I669" s="87"/>
      <c r="J669" s="88"/>
      <c r="K669" s="88"/>
      <c r="L669" s="89"/>
      <c r="M669" s="89"/>
      <c r="N669" s="90"/>
      <c r="O669" s="87"/>
      <c r="P669" s="87"/>
      <c r="Q669" s="87"/>
      <c r="R669" s="91"/>
      <c r="S669" s="92"/>
      <c r="T669" s="93"/>
    </row>
    <row r="670" spans="1:20" s="94" customFormat="1" ht="12" customHeight="1" x14ac:dyDescent="0.3">
      <c r="A670" s="82"/>
      <c r="B670" s="83"/>
      <c r="C670" s="87"/>
      <c r="D670" s="84"/>
      <c r="E670" s="83"/>
      <c r="F670" s="82"/>
      <c r="G670" s="85"/>
      <c r="H670" s="86" t="e">
        <f>IF(I670="fora",0%,G670/QUÓRUM!$C$6)</f>
        <v>#DIV/0!</v>
      </c>
      <c r="I670" s="87"/>
      <c r="J670" s="88"/>
      <c r="K670" s="88"/>
      <c r="L670" s="89"/>
      <c r="M670" s="89"/>
      <c r="N670" s="90"/>
      <c r="O670" s="87"/>
      <c r="P670" s="87"/>
      <c r="Q670" s="87"/>
      <c r="R670" s="91"/>
      <c r="S670" s="92"/>
      <c r="T670" s="93"/>
    </row>
    <row r="671" spans="1:20" s="94" customFormat="1" ht="12" customHeight="1" x14ac:dyDescent="0.3">
      <c r="A671" s="82"/>
      <c r="B671" s="83"/>
      <c r="C671" s="87"/>
      <c r="D671" s="84"/>
      <c r="E671" s="83"/>
      <c r="F671" s="82"/>
      <c r="G671" s="85"/>
      <c r="H671" s="86" t="e">
        <f>IF(I671="fora",0%,G671/QUÓRUM!$C$6)</f>
        <v>#DIV/0!</v>
      </c>
      <c r="I671" s="87"/>
      <c r="J671" s="88"/>
      <c r="K671" s="88"/>
      <c r="L671" s="89"/>
      <c r="M671" s="89"/>
      <c r="N671" s="90"/>
      <c r="O671" s="87"/>
      <c r="P671" s="87"/>
      <c r="Q671" s="87"/>
      <c r="R671" s="91"/>
      <c r="S671" s="92"/>
      <c r="T671" s="93"/>
    </row>
    <row r="672" spans="1:20" s="94" customFormat="1" ht="12" customHeight="1" x14ac:dyDescent="0.3">
      <c r="A672" s="82"/>
      <c r="B672" s="83"/>
      <c r="C672" s="87"/>
      <c r="D672" s="84"/>
      <c r="E672" s="83"/>
      <c r="F672" s="82"/>
      <c r="G672" s="85"/>
      <c r="H672" s="86" t="e">
        <f>IF(I672="fora",0%,G672/QUÓRUM!$C$6)</f>
        <v>#DIV/0!</v>
      </c>
      <c r="I672" s="87"/>
      <c r="J672" s="88"/>
      <c r="K672" s="88"/>
      <c r="L672" s="89"/>
      <c r="M672" s="89"/>
      <c r="N672" s="90"/>
      <c r="O672" s="87"/>
      <c r="P672" s="87"/>
      <c r="Q672" s="87"/>
      <c r="R672" s="91"/>
      <c r="S672" s="92"/>
      <c r="T672" s="93"/>
    </row>
    <row r="673" spans="1:20" s="94" customFormat="1" ht="12" customHeight="1" x14ac:dyDescent="0.3">
      <c r="A673" s="82"/>
      <c r="B673" s="83"/>
      <c r="C673" s="87"/>
      <c r="D673" s="84"/>
      <c r="E673" s="83"/>
      <c r="F673" s="82"/>
      <c r="G673" s="85"/>
      <c r="H673" s="86" t="e">
        <f>IF(I673="fora",0%,G673/QUÓRUM!$C$6)</f>
        <v>#DIV/0!</v>
      </c>
      <c r="I673" s="87"/>
      <c r="J673" s="88"/>
      <c r="K673" s="88"/>
      <c r="L673" s="89"/>
      <c r="M673" s="89"/>
      <c r="N673" s="90"/>
      <c r="O673" s="87"/>
      <c r="P673" s="87"/>
      <c r="Q673" s="87"/>
      <c r="R673" s="91"/>
      <c r="S673" s="92"/>
      <c r="T673" s="93"/>
    </row>
    <row r="674" spans="1:20" s="94" customFormat="1" ht="12" customHeight="1" x14ac:dyDescent="0.3">
      <c r="A674" s="82"/>
      <c r="B674" s="83"/>
      <c r="C674" s="87"/>
      <c r="D674" s="84"/>
      <c r="E674" s="83"/>
      <c r="F674" s="82"/>
      <c r="G674" s="85"/>
      <c r="H674" s="86" t="e">
        <f>IF(I674="fora",0%,G674/QUÓRUM!$C$6)</f>
        <v>#DIV/0!</v>
      </c>
      <c r="I674" s="87"/>
      <c r="J674" s="88"/>
      <c r="K674" s="88"/>
      <c r="L674" s="89"/>
      <c r="M674" s="89"/>
      <c r="N674" s="90"/>
      <c r="O674" s="87"/>
      <c r="P674" s="87"/>
      <c r="Q674" s="87"/>
      <c r="R674" s="91"/>
      <c r="S674" s="92"/>
      <c r="T674" s="93"/>
    </row>
    <row r="675" spans="1:20" s="94" customFormat="1" ht="12" customHeight="1" x14ac:dyDescent="0.3">
      <c r="A675" s="82"/>
      <c r="B675" s="83"/>
      <c r="C675" s="87"/>
      <c r="D675" s="84"/>
      <c r="E675" s="83"/>
      <c r="F675" s="82"/>
      <c r="G675" s="85"/>
      <c r="H675" s="86" t="e">
        <f>IF(I675="fora",0%,G675/QUÓRUM!$C$6)</f>
        <v>#DIV/0!</v>
      </c>
      <c r="I675" s="87"/>
      <c r="J675" s="88"/>
      <c r="K675" s="88"/>
      <c r="L675" s="89"/>
      <c r="M675" s="89"/>
      <c r="N675" s="90"/>
      <c r="O675" s="87"/>
      <c r="P675" s="87"/>
      <c r="Q675" s="87"/>
      <c r="R675" s="91"/>
      <c r="S675" s="92"/>
      <c r="T675" s="93"/>
    </row>
    <row r="676" spans="1:20" s="94" customFormat="1" ht="12" customHeight="1" x14ac:dyDescent="0.3">
      <c r="A676" s="82"/>
      <c r="B676" s="83"/>
      <c r="C676" s="87"/>
      <c r="D676" s="84"/>
      <c r="E676" s="83"/>
      <c r="F676" s="82"/>
      <c r="G676" s="85"/>
      <c r="H676" s="86" t="e">
        <f>IF(I676="fora",0%,G676/QUÓRUM!$C$6)</f>
        <v>#DIV/0!</v>
      </c>
      <c r="I676" s="87"/>
      <c r="J676" s="88"/>
      <c r="K676" s="88"/>
      <c r="L676" s="89"/>
      <c r="M676" s="89"/>
      <c r="N676" s="90"/>
      <c r="O676" s="87"/>
      <c r="P676" s="87"/>
      <c r="Q676" s="87"/>
      <c r="R676" s="91"/>
      <c r="S676" s="92"/>
      <c r="T676" s="93"/>
    </row>
    <row r="677" spans="1:20" s="94" customFormat="1" ht="12" customHeight="1" x14ac:dyDescent="0.3">
      <c r="A677" s="82"/>
      <c r="B677" s="83"/>
      <c r="C677" s="87"/>
      <c r="D677" s="84"/>
      <c r="E677" s="83"/>
      <c r="F677" s="82"/>
      <c r="G677" s="85"/>
      <c r="H677" s="86" t="e">
        <f>IF(I677="fora",0%,G677/QUÓRUM!$C$6)</f>
        <v>#DIV/0!</v>
      </c>
      <c r="I677" s="87"/>
      <c r="J677" s="88"/>
      <c r="K677" s="88"/>
      <c r="L677" s="89"/>
      <c r="M677" s="89"/>
      <c r="N677" s="90"/>
      <c r="O677" s="87"/>
      <c r="P677" s="87"/>
      <c r="Q677" s="87"/>
      <c r="R677" s="91"/>
      <c r="S677" s="92"/>
      <c r="T677" s="93"/>
    </row>
    <row r="678" spans="1:20" s="94" customFormat="1" ht="12" customHeight="1" x14ac:dyDescent="0.3">
      <c r="A678" s="82"/>
      <c r="B678" s="83"/>
      <c r="C678" s="87"/>
      <c r="D678" s="84"/>
      <c r="E678" s="83"/>
      <c r="F678" s="82"/>
      <c r="G678" s="85"/>
      <c r="H678" s="86" t="e">
        <f>IF(I678="fora",0%,G678/QUÓRUM!$C$6)</f>
        <v>#DIV/0!</v>
      </c>
      <c r="I678" s="87"/>
      <c r="J678" s="88"/>
      <c r="K678" s="88"/>
      <c r="L678" s="89"/>
      <c r="M678" s="89"/>
      <c r="N678" s="90"/>
      <c r="O678" s="87"/>
      <c r="P678" s="87"/>
      <c r="Q678" s="87"/>
      <c r="R678" s="91"/>
      <c r="S678" s="92"/>
      <c r="T678" s="93"/>
    </row>
    <row r="679" spans="1:20" s="94" customFormat="1" ht="12" customHeight="1" x14ac:dyDescent="0.3">
      <c r="A679" s="82"/>
      <c r="B679" s="83"/>
      <c r="C679" s="87"/>
      <c r="D679" s="84"/>
      <c r="E679" s="83"/>
      <c r="F679" s="82"/>
      <c r="G679" s="85"/>
      <c r="H679" s="86" t="e">
        <f>IF(I679="fora",0%,G679/QUÓRUM!$C$6)</f>
        <v>#DIV/0!</v>
      </c>
      <c r="I679" s="87"/>
      <c r="J679" s="88"/>
      <c r="K679" s="88"/>
      <c r="L679" s="89"/>
      <c r="M679" s="89"/>
      <c r="N679" s="90"/>
      <c r="O679" s="87"/>
      <c r="P679" s="87"/>
      <c r="Q679" s="87"/>
      <c r="R679" s="91"/>
      <c r="S679" s="92"/>
      <c r="T679" s="93"/>
    </row>
    <row r="680" spans="1:20" s="94" customFormat="1" ht="12" customHeight="1" x14ac:dyDescent="0.3">
      <c r="A680" s="82"/>
      <c r="B680" s="83"/>
      <c r="C680" s="87"/>
      <c r="D680" s="84"/>
      <c r="E680" s="83"/>
      <c r="F680" s="82"/>
      <c r="G680" s="85"/>
      <c r="H680" s="86" t="e">
        <f>IF(I680="fora",0%,G680/QUÓRUM!$C$6)</f>
        <v>#DIV/0!</v>
      </c>
      <c r="I680" s="87"/>
      <c r="J680" s="88"/>
      <c r="K680" s="88"/>
      <c r="L680" s="89"/>
      <c r="M680" s="89"/>
      <c r="N680" s="90"/>
      <c r="O680" s="87"/>
      <c r="P680" s="87"/>
      <c r="Q680" s="87"/>
      <c r="R680" s="91"/>
      <c r="S680" s="92"/>
      <c r="T680" s="93"/>
    </row>
    <row r="681" spans="1:20" s="94" customFormat="1" ht="12" customHeight="1" x14ac:dyDescent="0.3">
      <c r="A681" s="82"/>
      <c r="B681" s="83"/>
      <c r="C681" s="87"/>
      <c r="D681" s="84"/>
      <c r="E681" s="83"/>
      <c r="F681" s="82"/>
      <c r="G681" s="85"/>
      <c r="H681" s="86" t="e">
        <f>IF(I681="fora",0%,G681/QUÓRUM!$C$6)</f>
        <v>#DIV/0!</v>
      </c>
      <c r="I681" s="87"/>
      <c r="J681" s="88"/>
      <c r="K681" s="88"/>
      <c r="L681" s="89"/>
      <c r="M681" s="89"/>
      <c r="N681" s="90"/>
      <c r="O681" s="87"/>
      <c r="P681" s="87"/>
      <c r="Q681" s="87"/>
      <c r="R681" s="91"/>
      <c r="S681" s="92"/>
      <c r="T681" s="93"/>
    </row>
    <row r="682" spans="1:20" s="94" customFormat="1" ht="12" customHeight="1" x14ac:dyDescent="0.3">
      <c r="A682" s="82"/>
      <c r="B682" s="83"/>
      <c r="C682" s="87"/>
      <c r="D682" s="84"/>
      <c r="E682" s="83"/>
      <c r="F682" s="82"/>
      <c r="G682" s="85"/>
      <c r="H682" s="86" t="e">
        <f>IF(I682="fora",0%,G682/QUÓRUM!$C$6)</f>
        <v>#DIV/0!</v>
      </c>
      <c r="I682" s="87"/>
      <c r="J682" s="88"/>
      <c r="K682" s="88"/>
      <c r="L682" s="89"/>
      <c r="M682" s="89"/>
      <c r="N682" s="90"/>
      <c r="O682" s="87"/>
      <c r="P682" s="87"/>
      <c r="Q682" s="87"/>
      <c r="R682" s="91"/>
      <c r="S682" s="92"/>
      <c r="T682" s="93"/>
    </row>
    <row r="683" spans="1:20" s="94" customFormat="1" ht="12" customHeight="1" x14ac:dyDescent="0.3">
      <c r="A683" s="82"/>
      <c r="B683" s="83"/>
      <c r="C683" s="87"/>
      <c r="D683" s="84"/>
      <c r="E683" s="83"/>
      <c r="F683" s="82"/>
      <c r="G683" s="85"/>
      <c r="H683" s="86" t="e">
        <f>IF(I683="fora",0%,G683/QUÓRUM!$C$6)</f>
        <v>#DIV/0!</v>
      </c>
      <c r="I683" s="87"/>
      <c r="J683" s="88"/>
      <c r="K683" s="88"/>
      <c r="L683" s="89"/>
      <c r="M683" s="89"/>
      <c r="N683" s="90"/>
      <c r="O683" s="87"/>
      <c r="P683" s="87"/>
      <c r="Q683" s="87"/>
      <c r="R683" s="91"/>
      <c r="S683" s="92"/>
      <c r="T683" s="93"/>
    </row>
    <row r="684" spans="1:20" s="94" customFormat="1" ht="12" customHeight="1" x14ac:dyDescent="0.3">
      <c r="A684" s="82"/>
      <c r="B684" s="83"/>
      <c r="C684" s="87"/>
      <c r="D684" s="84"/>
      <c r="E684" s="83"/>
      <c r="F684" s="82"/>
      <c r="G684" s="85"/>
      <c r="H684" s="86" t="e">
        <f>IF(I684="fora",0%,G684/QUÓRUM!$C$6)</f>
        <v>#DIV/0!</v>
      </c>
      <c r="I684" s="87"/>
      <c r="J684" s="88"/>
      <c r="K684" s="88"/>
      <c r="L684" s="89"/>
      <c r="M684" s="89"/>
      <c r="N684" s="90"/>
      <c r="O684" s="87"/>
      <c r="P684" s="87"/>
      <c r="Q684" s="87"/>
      <c r="R684" s="91"/>
      <c r="S684" s="92"/>
      <c r="T684" s="93"/>
    </row>
    <row r="685" spans="1:20" s="94" customFormat="1" ht="12" customHeight="1" x14ac:dyDescent="0.3">
      <c r="A685" s="82"/>
      <c r="B685" s="83"/>
      <c r="C685" s="87"/>
      <c r="D685" s="84"/>
      <c r="E685" s="83"/>
      <c r="F685" s="82"/>
      <c r="G685" s="85"/>
      <c r="H685" s="86" t="e">
        <f>IF(I685="fora",0%,G685/QUÓRUM!$C$6)</f>
        <v>#DIV/0!</v>
      </c>
      <c r="I685" s="87"/>
      <c r="J685" s="88"/>
      <c r="K685" s="88"/>
      <c r="L685" s="89"/>
      <c r="M685" s="89"/>
      <c r="N685" s="90"/>
      <c r="O685" s="87"/>
      <c r="P685" s="87"/>
      <c r="Q685" s="87"/>
      <c r="R685" s="91"/>
      <c r="S685" s="92"/>
      <c r="T685" s="93"/>
    </row>
    <row r="686" spans="1:20" s="94" customFormat="1" ht="12" customHeight="1" x14ac:dyDescent="0.3">
      <c r="A686" s="82"/>
      <c r="B686" s="83"/>
      <c r="C686" s="87"/>
      <c r="D686" s="84"/>
      <c r="E686" s="83"/>
      <c r="F686" s="82"/>
      <c r="G686" s="85"/>
      <c r="H686" s="86" t="e">
        <f>IF(I686="fora",0%,G686/QUÓRUM!$C$6)</f>
        <v>#DIV/0!</v>
      </c>
      <c r="I686" s="87"/>
      <c r="J686" s="88"/>
      <c r="K686" s="88"/>
      <c r="L686" s="89"/>
      <c r="M686" s="89"/>
      <c r="N686" s="90"/>
      <c r="O686" s="87"/>
      <c r="P686" s="87"/>
      <c r="Q686" s="87"/>
      <c r="R686" s="91"/>
      <c r="S686" s="92"/>
      <c r="T686" s="93"/>
    </row>
    <row r="687" spans="1:20" s="94" customFormat="1" ht="12" customHeight="1" x14ac:dyDescent="0.3">
      <c r="A687" s="82"/>
      <c r="B687" s="83"/>
      <c r="C687" s="87"/>
      <c r="D687" s="84"/>
      <c r="E687" s="83"/>
      <c r="F687" s="82"/>
      <c r="G687" s="85"/>
      <c r="H687" s="86" t="e">
        <f>IF(I687="fora",0%,G687/QUÓRUM!$C$6)</f>
        <v>#DIV/0!</v>
      </c>
      <c r="I687" s="87"/>
      <c r="J687" s="88"/>
      <c r="K687" s="88"/>
      <c r="L687" s="89"/>
      <c r="M687" s="89"/>
      <c r="N687" s="90"/>
      <c r="O687" s="87"/>
      <c r="P687" s="87"/>
      <c r="Q687" s="87"/>
      <c r="R687" s="91"/>
      <c r="S687" s="92"/>
      <c r="T687" s="93"/>
    </row>
    <row r="688" spans="1:20" s="94" customFormat="1" ht="12" customHeight="1" x14ac:dyDescent="0.3">
      <c r="A688" s="82"/>
      <c r="B688" s="83"/>
      <c r="C688" s="87"/>
      <c r="D688" s="84"/>
      <c r="E688" s="83"/>
      <c r="F688" s="82"/>
      <c r="G688" s="85"/>
      <c r="H688" s="86" t="e">
        <f>IF(I688="fora",0%,G688/QUÓRUM!$C$6)</f>
        <v>#DIV/0!</v>
      </c>
      <c r="I688" s="87"/>
      <c r="J688" s="88"/>
      <c r="K688" s="88"/>
      <c r="L688" s="89"/>
      <c r="M688" s="89"/>
      <c r="N688" s="90"/>
      <c r="O688" s="87"/>
      <c r="P688" s="87"/>
      <c r="Q688" s="87"/>
      <c r="R688" s="91"/>
      <c r="S688" s="92"/>
      <c r="T688" s="93"/>
    </row>
    <row r="689" spans="1:20" s="94" customFormat="1" ht="12" customHeight="1" x14ac:dyDescent="0.3">
      <c r="A689" s="82"/>
      <c r="B689" s="83"/>
      <c r="C689" s="87"/>
      <c r="D689" s="84"/>
      <c r="E689" s="83"/>
      <c r="F689" s="82"/>
      <c r="G689" s="85"/>
      <c r="H689" s="86" t="e">
        <f>IF(I689="fora",0%,G689/QUÓRUM!$C$6)</f>
        <v>#DIV/0!</v>
      </c>
      <c r="I689" s="87"/>
      <c r="J689" s="88"/>
      <c r="K689" s="88"/>
      <c r="L689" s="89"/>
      <c r="M689" s="89"/>
      <c r="N689" s="90"/>
      <c r="O689" s="87"/>
      <c r="P689" s="87"/>
      <c r="Q689" s="87"/>
      <c r="R689" s="91"/>
      <c r="S689" s="92"/>
      <c r="T689" s="93"/>
    </row>
    <row r="690" spans="1:20" s="94" customFormat="1" ht="12" customHeight="1" x14ac:dyDescent="0.3">
      <c r="A690" s="82"/>
      <c r="B690" s="83"/>
      <c r="C690" s="87"/>
      <c r="D690" s="84"/>
      <c r="E690" s="83"/>
      <c r="F690" s="82"/>
      <c r="G690" s="85"/>
      <c r="H690" s="86" t="e">
        <f>IF(I690="fora",0%,G690/QUÓRUM!$C$6)</f>
        <v>#DIV/0!</v>
      </c>
      <c r="I690" s="87"/>
      <c r="J690" s="88"/>
      <c r="K690" s="88"/>
      <c r="L690" s="89"/>
      <c r="M690" s="89"/>
      <c r="N690" s="90"/>
      <c r="O690" s="87"/>
      <c r="P690" s="87"/>
      <c r="Q690" s="87"/>
      <c r="R690" s="91"/>
      <c r="S690" s="92"/>
      <c r="T690" s="93"/>
    </row>
    <row r="691" spans="1:20" s="94" customFormat="1" ht="12" customHeight="1" x14ac:dyDescent="0.3">
      <c r="A691" s="82"/>
      <c r="B691" s="83"/>
      <c r="C691" s="87"/>
      <c r="D691" s="84"/>
      <c r="E691" s="83"/>
      <c r="F691" s="82"/>
      <c r="G691" s="85"/>
      <c r="H691" s="86" t="e">
        <f>IF(I691="fora",0%,G691/QUÓRUM!$C$6)</f>
        <v>#DIV/0!</v>
      </c>
      <c r="I691" s="87"/>
      <c r="J691" s="88"/>
      <c r="K691" s="88"/>
      <c r="L691" s="89"/>
      <c r="M691" s="89"/>
      <c r="N691" s="90"/>
      <c r="O691" s="87"/>
      <c r="P691" s="87"/>
      <c r="Q691" s="87"/>
      <c r="R691" s="91"/>
      <c r="S691" s="92"/>
      <c r="T691" s="93"/>
    </row>
    <row r="692" spans="1:20" s="94" customFormat="1" ht="12" customHeight="1" x14ac:dyDescent="0.3">
      <c r="A692" s="82"/>
      <c r="B692" s="83"/>
      <c r="C692" s="87"/>
      <c r="D692" s="84"/>
      <c r="E692" s="83"/>
      <c r="F692" s="82"/>
      <c r="G692" s="85"/>
      <c r="H692" s="86" t="e">
        <f>IF(I692="fora",0%,G692/QUÓRUM!$C$6)</f>
        <v>#DIV/0!</v>
      </c>
      <c r="I692" s="87"/>
      <c r="J692" s="88"/>
      <c r="K692" s="88"/>
      <c r="L692" s="89"/>
      <c r="M692" s="89"/>
      <c r="N692" s="90"/>
      <c r="O692" s="87"/>
      <c r="P692" s="87"/>
      <c r="Q692" s="87"/>
      <c r="R692" s="91"/>
      <c r="S692" s="92"/>
      <c r="T692" s="93"/>
    </row>
    <row r="693" spans="1:20" s="94" customFormat="1" ht="12" customHeight="1" x14ac:dyDescent="0.3">
      <c r="A693" s="82"/>
      <c r="B693" s="83"/>
      <c r="C693" s="87"/>
      <c r="D693" s="84"/>
      <c r="E693" s="83"/>
      <c r="F693" s="82"/>
      <c r="G693" s="85"/>
      <c r="H693" s="86" t="e">
        <f>IF(I693="fora",0%,G693/QUÓRUM!$C$6)</f>
        <v>#DIV/0!</v>
      </c>
      <c r="I693" s="87"/>
      <c r="J693" s="88"/>
      <c r="K693" s="88"/>
      <c r="L693" s="89"/>
      <c r="M693" s="89"/>
      <c r="N693" s="90"/>
      <c r="O693" s="87"/>
      <c r="P693" s="87"/>
      <c r="Q693" s="87"/>
      <c r="R693" s="91"/>
      <c r="S693" s="92"/>
      <c r="T693" s="93"/>
    </row>
    <row r="694" spans="1:20" s="94" customFormat="1" ht="12" customHeight="1" x14ac:dyDescent="0.3">
      <c r="A694" s="82"/>
      <c r="B694" s="83"/>
      <c r="C694" s="87"/>
      <c r="D694" s="84"/>
      <c r="E694" s="83"/>
      <c r="F694" s="82"/>
      <c r="G694" s="85"/>
      <c r="H694" s="86" t="e">
        <f>IF(I694="fora",0%,G694/QUÓRUM!$C$6)</f>
        <v>#DIV/0!</v>
      </c>
      <c r="I694" s="87"/>
      <c r="J694" s="88"/>
      <c r="K694" s="88"/>
      <c r="L694" s="89"/>
      <c r="M694" s="89"/>
      <c r="N694" s="90"/>
      <c r="O694" s="87"/>
      <c r="P694" s="87"/>
      <c r="Q694" s="87"/>
      <c r="R694" s="91"/>
      <c r="S694" s="92"/>
      <c r="T694" s="93"/>
    </row>
    <row r="695" spans="1:20" s="94" customFormat="1" ht="12" customHeight="1" x14ac:dyDescent="0.3">
      <c r="A695" s="82"/>
      <c r="B695" s="83"/>
      <c r="C695" s="87"/>
      <c r="D695" s="84"/>
      <c r="E695" s="83"/>
      <c r="F695" s="82"/>
      <c r="G695" s="85"/>
      <c r="H695" s="86" t="e">
        <f>IF(I695="fora",0%,G695/QUÓRUM!$C$6)</f>
        <v>#DIV/0!</v>
      </c>
      <c r="I695" s="87"/>
      <c r="J695" s="88"/>
      <c r="K695" s="88"/>
      <c r="L695" s="89"/>
      <c r="M695" s="89"/>
      <c r="N695" s="90"/>
      <c r="O695" s="87"/>
      <c r="P695" s="87"/>
      <c r="Q695" s="87"/>
      <c r="R695" s="91"/>
      <c r="S695" s="92"/>
      <c r="T695" s="93"/>
    </row>
    <row r="696" spans="1:20" s="94" customFormat="1" ht="12" customHeight="1" x14ac:dyDescent="0.3">
      <c r="A696" s="82"/>
      <c r="B696" s="83"/>
      <c r="C696" s="87"/>
      <c r="D696" s="84"/>
      <c r="E696" s="83"/>
      <c r="F696" s="82"/>
      <c r="G696" s="85"/>
      <c r="H696" s="86" t="e">
        <f>IF(I696="fora",0%,G696/QUÓRUM!$C$6)</f>
        <v>#DIV/0!</v>
      </c>
      <c r="I696" s="87"/>
      <c r="J696" s="88"/>
      <c r="K696" s="88"/>
      <c r="L696" s="89"/>
      <c r="M696" s="89"/>
      <c r="N696" s="90"/>
      <c r="O696" s="87"/>
      <c r="P696" s="87"/>
      <c r="Q696" s="87"/>
      <c r="R696" s="91"/>
      <c r="S696" s="92"/>
      <c r="T696" s="93"/>
    </row>
    <row r="697" spans="1:20" s="94" customFormat="1" ht="12" customHeight="1" x14ac:dyDescent="0.3">
      <c r="A697" s="82"/>
      <c r="B697" s="83"/>
      <c r="C697" s="87"/>
      <c r="D697" s="84"/>
      <c r="E697" s="83"/>
      <c r="F697" s="82"/>
      <c r="G697" s="85"/>
      <c r="H697" s="86" t="e">
        <f>IF(I697="fora",0%,G697/QUÓRUM!$C$6)</f>
        <v>#DIV/0!</v>
      </c>
      <c r="I697" s="87"/>
      <c r="J697" s="88"/>
      <c r="K697" s="88"/>
      <c r="L697" s="89"/>
      <c r="M697" s="89"/>
      <c r="N697" s="90"/>
      <c r="O697" s="87"/>
      <c r="P697" s="87"/>
      <c r="Q697" s="87"/>
      <c r="R697" s="91"/>
      <c r="S697" s="92"/>
      <c r="T697" s="93"/>
    </row>
    <row r="698" spans="1:20" s="94" customFormat="1" ht="12" customHeight="1" x14ac:dyDescent="0.3">
      <c r="A698" s="82"/>
      <c r="B698" s="83"/>
      <c r="C698" s="87"/>
      <c r="D698" s="84"/>
      <c r="E698" s="83"/>
      <c r="F698" s="82"/>
      <c r="G698" s="85"/>
      <c r="H698" s="86" t="e">
        <f>IF(I698="fora",0%,G698/QUÓRUM!$C$6)</f>
        <v>#DIV/0!</v>
      </c>
      <c r="I698" s="87"/>
      <c r="J698" s="88"/>
      <c r="K698" s="88"/>
      <c r="L698" s="89"/>
      <c r="M698" s="89"/>
      <c r="N698" s="90"/>
      <c r="O698" s="87"/>
      <c r="P698" s="87"/>
      <c r="Q698" s="87"/>
      <c r="R698" s="91"/>
      <c r="S698" s="92"/>
      <c r="T698" s="93"/>
    </row>
    <row r="699" spans="1:20" s="94" customFormat="1" ht="12" customHeight="1" x14ac:dyDescent="0.3">
      <c r="A699" s="82"/>
      <c r="B699" s="83"/>
      <c r="C699" s="87"/>
      <c r="D699" s="84"/>
      <c r="E699" s="83"/>
      <c r="F699" s="82"/>
      <c r="G699" s="85"/>
      <c r="H699" s="86" t="e">
        <f>IF(I699="fora",0%,G699/QUÓRUM!$C$6)</f>
        <v>#DIV/0!</v>
      </c>
      <c r="I699" s="87"/>
      <c r="J699" s="88"/>
      <c r="K699" s="88"/>
      <c r="L699" s="89"/>
      <c r="M699" s="89"/>
      <c r="N699" s="90"/>
      <c r="O699" s="87"/>
      <c r="P699" s="87"/>
      <c r="Q699" s="87"/>
      <c r="R699" s="91"/>
      <c r="S699" s="92"/>
      <c r="T699" s="93"/>
    </row>
    <row r="700" spans="1:20" s="94" customFormat="1" ht="12" customHeight="1" x14ac:dyDescent="0.3">
      <c r="A700" s="82"/>
      <c r="B700" s="83"/>
      <c r="C700" s="87"/>
      <c r="D700" s="84"/>
      <c r="E700" s="83"/>
      <c r="F700" s="82"/>
      <c r="G700" s="85"/>
      <c r="H700" s="86" t="e">
        <f>IF(I700="fora",0%,G700/QUÓRUM!$C$6)</f>
        <v>#DIV/0!</v>
      </c>
      <c r="I700" s="87"/>
      <c r="J700" s="88"/>
      <c r="K700" s="88"/>
      <c r="L700" s="89"/>
      <c r="M700" s="89"/>
      <c r="N700" s="90"/>
      <c r="O700" s="87"/>
      <c r="P700" s="87"/>
      <c r="Q700" s="87"/>
      <c r="R700" s="91"/>
      <c r="S700" s="92"/>
      <c r="T700" s="93"/>
    </row>
    <row r="701" spans="1:20" s="94" customFormat="1" ht="12" customHeight="1" x14ac:dyDescent="0.3">
      <c r="A701" s="82"/>
      <c r="B701" s="83"/>
      <c r="C701" s="87"/>
      <c r="D701" s="84"/>
      <c r="E701" s="83"/>
      <c r="F701" s="82"/>
      <c r="G701" s="85"/>
      <c r="H701" s="86" t="e">
        <f>IF(I701="fora",0%,G701/QUÓRUM!$C$6)</f>
        <v>#DIV/0!</v>
      </c>
      <c r="I701" s="87"/>
      <c r="J701" s="88"/>
      <c r="K701" s="88"/>
      <c r="L701" s="89"/>
      <c r="M701" s="89"/>
      <c r="N701" s="90"/>
      <c r="O701" s="87"/>
      <c r="P701" s="87"/>
      <c r="Q701" s="87"/>
      <c r="R701" s="91"/>
      <c r="S701" s="92"/>
      <c r="T701" s="93"/>
    </row>
    <row r="702" spans="1:20" s="94" customFormat="1" ht="12" customHeight="1" x14ac:dyDescent="0.3">
      <c r="A702" s="82"/>
      <c r="B702" s="83"/>
      <c r="C702" s="87"/>
      <c r="D702" s="84"/>
      <c r="E702" s="83"/>
      <c r="F702" s="82"/>
      <c r="G702" s="85"/>
      <c r="H702" s="86" t="e">
        <f>IF(I702="fora",0%,G702/QUÓRUM!$C$6)</f>
        <v>#DIV/0!</v>
      </c>
      <c r="I702" s="87"/>
      <c r="J702" s="88"/>
      <c r="K702" s="88"/>
      <c r="L702" s="89"/>
      <c r="M702" s="89"/>
      <c r="N702" s="90"/>
      <c r="O702" s="87"/>
      <c r="P702" s="87"/>
      <c r="Q702" s="87"/>
      <c r="R702" s="91"/>
      <c r="S702" s="92"/>
      <c r="T702" s="93"/>
    </row>
    <row r="703" spans="1:20" s="94" customFormat="1" ht="12" customHeight="1" x14ac:dyDescent="0.3">
      <c r="A703" s="82"/>
      <c r="B703" s="83"/>
      <c r="C703" s="87"/>
      <c r="D703" s="84"/>
      <c r="E703" s="83"/>
      <c r="F703" s="82"/>
      <c r="G703" s="85"/>
      <c r="H703" s="86" t="e">
        <f>IF(I703="fora",0%,G703/QUÓRUM!$C$6)</f>
        <v>#DIV/0!</v>
      </c>
      <c r="I703" s="87"/>
      <c r="J703" s="88"/>
      <c r="K703" s="88"/>
      <c r="L703" s="89"/>
      <c r="M703" s="89"/>
      <c r="N703" s="90"/>
      <c r="O703" s="87"/>
      <c r="P703" s="87"/>
      <c r="Q703" s="87"/>
      <c r="R703" s="91"/>
      <c r="S703" s="92"/>
      <c r="T703" s="93"/>
    </row>
    <row r="704" spans="1:20" s="94" customFormat="1" ht="12" customHeight="1" x14ac:dyDescent="0.3">
      <c r="A704" s="82"/>
      <c r="B704" s="83"/>
      <c r="C704" s="87"/>
      <c r="D704" s="84"/>
      <c r="E704" s="83"/>
      <c r="F704" s="82"/>
      <c r="G704" s="85"/>
      <c r="H704" s="86" t="e">
        <f>IF(I704="fora",0%,G704/QUÓRUM!$C$6)</f>
        <v>#DIV/0!</v>
      </c>
      <c r="I704" s="87"/>
      <c r="J704" s="88"/>
      <c r="K704" s="88"/>
      <c r="L704" s="89"/>
      <c r="M704" s="89"/>
      <c r="N704" s="90"/>
      <c r="O704" s="87"/>
      <c r="P704" s="87"/>
      <c r="Q704" s="87"/>
      <c r="R704" s="91"/>
      <c r="S704" s="92"/>
      <c r="T704" s="93"/>
    </row>
    <row r="705" spans="1:20" s="94" customFormat="1" ht="12" customHeight="1" x14ac:dyDescent="0.3">
      <c r="A705" s="82"/>
      <c r="B705" s="83"/>
      <c r="C705" s="87"/>
      <c r="D705" s="84"/>
      <c r="E705" s="83"/>
      <c r="F705" s="82"/>
      <c r="G705" s="85"/>
      <c r="H705" s="86" t="e">
        <f>IF(I705="fora",0%,G705/QUÓRUM!$C$6)</f>
        <v>#DIV/0!</v>
      </c>
      <c r="I705" s="87"/>
      <c r="J705" s="88"/>
      <c r="K705" s="88"/>
      <c r="L705" s="89"/>
      <c r="M705" s="89"/>
      <c r="N705" s="90"/>
      <c r="O705" s="87"/>
      <c r="P705" s="87"/>
      <c r="Q705" s="87"/>
      <c r="R705" s="91"/>
      <c r="S705" s="92"/>
      <c r="T705" s="93"/>
    </row>
    <row r="706" spans="1:20" s="94" customFormat="1" ht="12" customHeight="1" x14ac:dyDescent="0.3">
      <c r="A706" s="82"/>
      <c r="B706" s="83"/>
      <c r="C706" s="87"/>
      <c r="D706" s="84"/>
      <c r="E706" s="83"/>
      <c r="F706" s="82"/>
      <c r="G706" s="85"/>
      <c r="H706" s="86" t="e">
        <f>IF(I706="fora",0%,G706/QUÓRUM!$C$6)</f>
        <v>#DIV/0!</v>
      </c>
      <c r="I706" s="87"/>
      <c r="J706" s="88"/>
      <c r="K706" s="88"/>
      <c r="L706" s="89"/>
      <c r="M706" s="89"/>
      <c r="N706" s="90"/>
      <c r="O706" s="87"/>
      <c r="P706" s="87"/>
      <c r="Q706" s="87"/>
      <c r="R706" s="91"/>
      <c r="S706" s="92"/>
      <c r="T706" s="93"/>
    </row>
    <row r="707" spans="1:20" s="94" customFormat="1" ht="12" customHeight="1" x14ac:dyDescent="0.3">
      <c r="A707" s="82"/>
      <c r="B707" s="83"/>
      <c r="C707" s="87"/>
      <c r="D707" s="84"/>
      <c r="E707" s="83"/>
      <c r="F707" s="82"/>
      <c r="G707" s="85"/>
      <c r="H707" s="86" t="e">
        <f>IF(I707="fora",0%,G707/QUÓRUM!$C$6)</f>
        <v>#DIV/0!</v>
      </c>
      <c r="I707" s="87"/>
      <c r="J707" s="88"/>
      <c r="K707" s="88"/>
      <c r="L707" s="89"/>
      <c r="M707" s="89"/>
      <c r="N707" s="90"/>
      <c r="O707" s="87"/>
      <c r="P707" s="87"/>
      <c r="Q707" s="87"/>
      <c r="R707" s="91"/>
      <c r="S707" s="92"/>
      <c r="T707" s="93"/>
    </row>
    <row r="708" spans="1:20" s="94" customFormat="1" ht="12" customHeight="1" x14ac:dyDescent="0.3">
      <c r="A708" s="82"/>
      <c r="B708" s="83"/>
      <c r="C708" s="87"/>
      <c r="D708" s="84"/>
      <c r="E708" s="83"/>
      <c r="F708" s="82"/>
      <c r="G708" s="85"/>
      <c r="H708" s="86" t="e">
        <f>IF(I708="fora",0%,G708/QUÓRUM!$C$6)</f>
        <v>#DIV/0!</v>
      </c>
      <c r="I708" s="87"/>
      <c r="J708" s="88"/>
      <c r="K708" s="88"/>
      <c r="L708" s="89"/>
      <c r="M708" s="89"/>
      <c r="N708" s="90"/>
      <c r="O708" s="87"/>
      <c r="P708" s="87"/>
      <c r="Q708" s="87"/>
      <c r="R708" s="91"/>
      <c r="S708" s="92"/>
      <c r="T708" s="93"/>
    </row>
    <row r="709" spans="1:20" s="94" customFormat="1" ht="12" customHeight="1" x14ac:dyDescent="0.3">
      <c r="A709" s="82"/>
      <c r="B709" s="83"/>
      <c r="C709" s="87"/>
      <c r="D709" s="84"/>
      <c r="E709" s="83"/>
      <c r="F709" s="82"/>
      <c r="G709" s="85"/>
      <c r="H709" s="86" t="e">
        <f>IF(I709="fora",0%,G709/QUÓRUM!$C$6)</f>
        <v>#DIV/0!</v>
      </c>
      <c r="I709" s="87"/>
      <c r="J709" s="88"/>
      <c r="K709" s="88"/>
      <c r="L709" s="89"/>
      <c r="M709" s="89"/>
      <c r="N709" s="90"/>
      <c r="O709" s="87"/>
      <c r="P709" s="87"/>
      <c r="Q709" s="87"/>
      <c r="R709" s="91"/>
      <c r="S709" s="92"/>
      <c r="T709" s="93"/>
    </row>
    <row r="710" spans="1:20" s="94" customFormat="1" ht="12" customHeight="1" x14ac:dyDescent="0.3">
      <c r="A710" s="82"/>
      <c r="B710" s="83"/>
      <c r="C710" s="87"/>
      <c r="D710" s="84"/>
      <c r="E710" s="83"/>
      <c r="F710" s="82"/>
      <c r="G710" s="85"/>
      <c r="H710" s="86" t="e">
        <f>IF(I710="fora",0%,G710/QUÓRUM!$C$6)</f>
        <v>#DIV/0!</v>
      </c>
      <c r="I710" s="87"/>
      <c r="J710" s="88"/>
      <c r="K710" s="88"/>
      <c r="L710" s="89"/>
      <c r="M710" s="89"/>
      <c r="N710" s="90"/>
      <c r="O710" s="87"/>
      <c r="P710" s="87"/>
      <c r="Q710" s="87"/>
      <c r="R710" s="91"/>
      <c r="S710" s="92"/>
      <c r="T710" s="93"/>
    </row>
    <row r="711" spans="1:20" s="94" customFormat="1" ht="12" customHeight="1" x14ac:dyDescent="0.3">
      <c r="A711" s="82"/>
      <c r="B711" s="83"/>
      <c r="C711" s="87"/>
      <c r="D711" s="84"/>
      <c r="E711" s="83"/>
      <c r="F711" s="82"/>
      <c r="G711" s="85"/>
      <c r="H711" s="86" t="e">
        <f>IF(I711="fora",0%,G711/QUÓRUM!$C$6)</f>
        <v>#DIV/0!</v>
      </c>
      <c r="I711" s="87"/>
      <c r="J711" s="88"/>
      <c r="K711" s="88"/>
      <c r="L711" s="89"/>
      <c r="M711" s="89"/>
      <c r="N711" s="90"/>
      <c r="O711" s="87"/>
      <c r="P711" s="87"/>
      <c r="Q711" s="87"/>
      <c r="R711" s="91"/>
      <c r="S711" s="92"/>
      <c r="T711" s="93"/>
    </row>
    <row r="712" spans="1:20" s="94" customFormat="1" ht="12" customHeight="1" x14ac:dyDescent="0.3">
      <c r="A712" s="82"/>
      <c r="B712" s="83"/>
      <c r="C712" s="87"/>
      <c r="D712" s="84"/>
      <c r="E712" s="83"/>
      <c r="F712" s="82"/>
      <c r="G712" s="85"/>
      <c r="H712" s="86" t="e">
        <f>IF(I712="fora",0%,G712/QUÓRUM!$C$6)</f>
        <v>#DIV/0!</v>
      </c>
      <c r="I712" s="87"/>
      <c r="J712" s="88"/>
      <c r="K712" s="88"/>
      <c r="L712" s="89"/>
      <c r="M712" s="89"/>
      <c r="N712" s="90"/>
      <c r="O712" s="87"/>
      <c r="P712" s="87"/>
      <c r="Q712" s="87"/>
      <c r="R712" s="91"/>
      <c r="S712" s="92"/>
      <c r="T712" s="93"/>
    </row>
    <row r="713" spans="1:20" s="94" customFormat="1" ht="12" customHeight="1" x14ac:dyDescent="0.3">
      <c r="A713" s="82"/>
      <c r="B713" s="83"/>
      <c r="C713" s="87"/>
      <c r="D713" s="84"/>
      <c r="E713" s="83"/>
      <c r="F713" s="82"/>
      <c r="G713" s="85"/>
      <c r="H713" s="86" t="e">
        <f>IF(I713="fora",0%,G713/QUÓRUM!$C$6)</f>
        <v>#DIV/0!</v>
      </c>
      <c r="I713" s="87"/>
      <c r="J713" s="88"/>
      <c r="K713" s="88"/>
      <c r="L713" s="89"/>
      <c r="M713" s="89"/>
      <c r="N713" s="90"/>
      <c r="O713" s="87"/>
      <c r="P713" s="87"/>
      <c r="Q713" s="87"/>
      <c r="R713" s="91"/>
      <c r="S713" s="92"/>
      <c r="T713" s="93"/>
    </row>
    <row r="714" spans="1:20" s="94" customFormat="1" ht="12" customHeight="1" x14ac:dyDescent="0.3">
      <c r="A714" s="82"/>
      <c r="B714" s="83"/>
      <c r="C714" s="87"/>
      <c r="D714" s="84"/>
      <c r="E714" s="83"/>
      <c r="F714" s="82"/>
      <c r="G714" s="85"/>
      <c r="H714" s="86" t="e">
        <f>IF(I714="fora",0%,G714/QUÓRUM!$C$6)</f>
        <v>#DIV/0!</v>
      </c>
      <c r="I714" s="87"/>
      <c r="J714" s="88"/>
      <c r="K714" s="88"/>
      <c r="L714" s="89"/>
      <c r="M714" s="89"/>
      <c r="N714" s="90"/>
      <c r="O714" s="87"/>
      <c r="P714" s="87"/>
      <c r="Q714" s="87"/>
      <c r="R714" s="91"/>
      <c r="S714" s="92"/>
      <c r="T714" s="93"/>
    </row>
    <row r="715" spans="1:20" s="94" customFormat="1" ht="12" customHeight="1" x14ac:dyDescent="0.3">
      <c r="A715" s="82"/>
      <c r="B715" s="83"/>
      <c r="C715" s="87"/>
      <c r="D715" s="84"/>
      <c r="E715" s="83"/>
      <c r="F715" s="82"/>
      <c r="G715" s="85"/>
      <c r="H715" s="86" t="e">
        <f>IF(I715="fora",0%,G715/QUÓRUM!$C$6)</f>
        <v>#DIV/0!</v>
      </c>
      <c r="I715" s="87"/>
      <c r="J715" s="88"/>
      <c r="K715" s="88"/>
      <c r="L715" s="89"/>
      <c r="M715" s="89"/>
      <c r="N715" s="90"/>
      <c r="O715" s="87"/>
      <c r="P715" s="87"/>
      <c r="Q715" s="87"/>
      <c r="R715" s="91"/>
      <c r="S715" s="92"/>
      <c r="T715" s="93"/>
    </row>
    <row r="716" spans="1:20" s="94" customFormat="1" ht="12" customHeight="1" x14ac:dyDescent="0.3">
      <c r="A716" s="82"/>
      <c r="B716" s="83"/>
      <c r="C716" s="87"/>
      <c r="D716" s="84"/>
      <c r="E716" s="83"/>
      <c r="F716" s="82"/>
      <c r="G716" s="85"/>
      <c r="H716" s="86" t="e">
        <f>IF(I716="fora",0%,G716/QUÓRUM!$C$6)</f>
        <v>#DIV/0!</v>
      </c>
      <c r="I716" s="87"/>
      <c r="J716" s="88"/>
      <c r="K716" s="88"/>
      <c r="L716" s="89"/>
      <c r="M716" s="89"/>
      <c r="N716" s="90"/>
      <c r="O716" s="87"/>
      <c r="P716" s="87"/>
      <c r="Q716" s="87"/>
      <c r="R716" s="91"/>
      <c r="S716" s="92"/>
      <c r="T716" s="93"/>
    </row>
    <row r="717" spans="1:20" s="94" customFormat="1" ht="12" customHeight="1" x14ac:dyDescent="0.3">
      <c r="A717" s="82"/>
      <c r="B717" s="83"/>
      <c r="C717" s="87"/>
      <c r="D717" s="84"/>
      <c r="E717" s="83"/>
      <c r="F717" s="82"/>
      <c r="G717" s="85"/>
      <c r="H717" s="86" t="e">
        <f>IF(I717="fora",0%,G717/QUÓRUM!$C$6)</f>
        <v>#DIV/0!</v>
      </c>
      <c r="I717" s="87"/>
      <c r="J717" s="88"/>
      <c r="K717" s="88"/>
      <c r="L717" s="89"/>
      <c r="M717" s="89"/>
      <c r="N717" s="90"/>
      <c r="O717" s="87"/>
      <c r="P717" s="87"/>
      <c r="Q717" s="87"/>
      <c r="R717" s="91"/>
      <c r="S717" s="92"/>
      <c r="T717" s="93"/>
    </row>
    <row r="718" spans="1:20" s="94" customFormat="1" ht="12" customHeight="1" x14ac:dyDescent="0.3">
      <c r="A718" s="82"/>
      <c r="B718" s="83"/>
      <c r="C718" s="87"/>
      <c r="D718" s="84"/>
      <c r="E718" s="83"/>
      <c r="F718" s="82"/>
      <c r="G718" s="85"/>
      <c r="H718" s="86" t="e">
        <f>IF(I718="fora",0%,G718/QUÓRUM!$C$6)</f>
        <v>#DIV/0!</v>
      </c>
      <c r="I718" s="87"/>
      <c r="J718" s="88"/>
      <c r="K718" s="88"/>
      <c r="L718" s="89"/>
      <c r="M718" s="89"/>
      <c r="N718" s="90"/>
      <c r="O718" s="87"/>
      <c r="P718" s="87"/>
      <c r="Q718" s="87"/>
      <c r="R718" s="91"/>
      <c r="S718" s="92"/>
      <c r="T718" s="93"/>
    </row>
    <row r="719" spans="1:20" s="94" customFormat="1" ht="12" customHeight="1" x14ac:dyDescent="0.3">
      <c r="A719" s="82"/>
      <c r="B719" s="83"/>
      <c r="C719" s="87"/>
      <c r="D719" s="84"/>
      <c r="E719" s="83"/>
      <c r="F719" s="82"/>
      <c r="G719" s="85"/>
      <c r="H719" s="86" t="e">
        <f>IF(I719="fora",0%,G719/QUÓRUM!$C$6)</f>
        <v>#DIV/0!</v>
      </c>
      <c r="I719" s="87"/>
      <c r="J719" s="88"/>
      <c r="K719" s="88"/>
      <c r="L719" s="89"/>
      <c r="M719" s="89"/>
      <c r="N719" s="90"/>
      <c r="O719" s="87"/>
      <c r="P719" s="87"/>
      <c r="Q719" s="87"/>
      <c r="R719" s="91"/>
      <c r="S719" s="92"/>
      <c r="T719" s="93"/>
    </row>
    <row r="720" spans="1:20" s="94" customFormat="1" ht="12" customHeight="1" x14ac:dyDescent="0.3">
      <c r="A720" s="82"/>
      <c r="B720" s="83"/>
      <c r="C720" s="87"/>
      <c r="D720" s="84"/>
      <c r="E720" s="83"/>
      <c r="F720" s="82"/>
      <c r="G720" s="85"/>
      <c r="H720" s="86" t="e">
        <f>IF(I720="fora",0%,G720/QUÓRUM!$C$6)</f>
        <v>#DIV/0!</v>
      </c>
      <c r="I720" s="87"/>
      <c r="J720" s="88"/>
      <c r="K720" s="88"/>
      <c r="L720" s="89"/>
      <c r="M720" s="89"/>
      <c r="N720" s="90"/>
      <c r="O720" s="87"/>
      <c r="P720" s="87"/>
      <c r="Q720" s="87"/>
      <c r="R720" s="91"/>
      <c r="S720" s="92"/>
      <c r="T720" s="93"/>
    </row>
    <row r="721" spans="1:20" s="94" customFormat="1" ht="12" customHeight="1" x14ac:dyDescent="0.3">
      <c r="A721" s="82"/>
      <c r="B721" s="83"/>
      <c r="C721" s="87"/>
      <c r="D721" s="84"/>
      <c r="E721" s="83"/>
      <c r="F721" s="82"/>
      <c r="G721" s="85"/>
      <c r="H721" s="86" t="e">
        <f>IF(I721="fora",0%,G721/QUÓRUM!$C$6)</f>
        <v>#DIV/0!</v>
      </c>
      <c r="I721" s="87"/>
      <c r="J721" s="88"/>
      <c r="K721" s="88"/>
      <c r="L721" s="89"/>
      <c r="M721" s="89"/>
      <c r="N721" s="90"/>
      <c r="O721" s="87"/>
      <c r="P721" s="87"/>
      <c r="Q721" s="87"/>
      <c r="R721" s="91"/>
      <c r="S721" s="92"/>
      <c r="T721" s="93"/>
    </row>
    <row r="722" spans="1:20" s="94" customFormat="1" ht="12" customHeight="1" x14ac:dyDescent="0.3">
      <c r="A722" s="82"/>
      <c r="B722" s="83"/>
      <c r="C722" s="87"/>
      <c r="D722" s="84"/>
      <c r="E722" s="83"/>
      <c r="F722" s="82"/>
      <c r="G722" s="85"/>
      <c r="H722" s="86" t="e">
        <f>IF(I722="fora",0%,G722/QUÓRUM!$C$6)</f>
        <v>#DIV/0!</v>
      </c>
      <c r="I722" s="87"/>
      <c r="J722" s="88"/>
      <c r="K722" s="88"/>
      <c r="L722" s="89"/>
      <c r="M722" s="89"/>
      <c r="N722" s="90"/>
      <c r="O722" s="87"/>
      <c r="P722" s="87"/>
      <c r="Q722" s="87"/>
      <c r="R722" s="91"/>
      <c r="S722" s="92"/>
      <c r="T722" s="93"/>
    </row>
    <row r="723" spans="1:20" s="94" customFormat="1" ht="12" customHeight="1" x14ac:dyDescent="0.3">
      <c r="A723" s="82"/>
      <c r="B723" s="83"/>
      <c r="C723" s="87"/>
      <c r="D723" s="84"/>
      <c r="E723" s="83"/>
      <c r="F723" s="82"/>
      <c r="G723" s="85"/>
      <c r="H723" s="86" t="e">
        <f>IF(I723="fora",0%,G723/QUÓRUM!$C$6)</f>
        <v>#DIV/0!</v>
      </c>
      <c r="I723" s="87"/>
      <c r="J723" s="88"/>
      <c r="K723" s="88"/>
      <c r="L723" s="89"/>
      <c r="M723" s="89"/>
      <c r="N723" s="90"/>
      <c r="O723" s="87"/>
      <c r="P723" s="87"/>
      <c r="Q723" s="87"/>
      <c r="R723" s="91"/>
      <c r="S723" s="92"/>
      <c r="T723" s="93"/>
    </row>
    <row r="724" spans="1:20" s="94" customFormat="1" ht="12" customHeight="1" x14ac:dyDescent="0.3">
      <c r="A724" s="82"/>
      <c r="B724" s="83"/>
      <c r="C724" s="87"/>
      <c r="D724" s="84"/>
      <c r="E724" s="83"/>
      <c r="F724" s="82"/>
      <c r="G724" s="85"/>
      <c r="H724" s="86" t="e">
        <f>IF(I724="fora",0%,G724/QUÓRUM!$C$6)</f>
        <v>#DIV/0!</v>
      </c>
      <c r="I724" s="87"/>
      <c r="J724" s="88"/>
      <c r="K724" s="88"/>
      <c r="L724" s="89"/>
      <c r="M724" s="89"/>
      <c r="N724" s="90"/>
      <c r="O724" s="87"/>
      <c r="P724" s="87"/>
      <c r="Q724" s="87"/>
      <c r="R724" s="91"/>
      <c r="S724" s="92"/>
      <c r="T724" s="93"/>
    </row>
    <row r="725" spans="1:20" s="94" customFormat="1" ht="12" customHeight="1" x14ac:dyDescent="0.3">
      <c r="A725" s="82"/>
      <c r="B725" s="83"/>
      <c r="C725" s="87"/>
      <c r="D725" s="84"/>
      <c r="E725" s="83"/>
      <c r="F725" s="82"/>
      <c r="G725" s="85"/>
      <c r="H725" s="86" t="e">
        <f>IF(I725="fora",0%,G725/QUÓRUM!$C$6)</f>
        <v>#DIV/0!</v>
      </c>
      <c r="I725" s="87"/>
      <c r="J725" s="88"/>
      <c r="K725" s="88"/>
      <c r="L725" s="89"/>
      <c r="M725" s="89"/>
      <c r="N725" s="90"/>
      <c r="O725" s="87"/>
      <c r="P725" s="87"/>
      <c r="Q725" s="87"/>
      <c r="R725" s="91"/>
      <c r="S725" s="92"/>
      <c r="T725" s="93"/>
    </row>
    <row r="726" spans="1:20" s="94" customFormat="1" ht="12" customHeight="1" x14ac:dyDescent="0.3">
      <c r="A726" s="82"/>
      <c r="B726" s="83"/>
      <c r="C726" s="87"/>
      <c r="D726" s="84"/>
      <c r="E726" s="83"/>
      <c r="F726" s="82"/>
      <c r="G726" s="85"/>
      <c r="H726" s="86" t="e">
        <f>IF(I726="fora",0%,G726/QUÓRUM!$C$6)</f>
        <v>#DIV/0!</v>
      </c>
      <c r="I726" s="87"/>
      <c r="J726" s="88"/>
      <c r="K726" s="88"/>
      <c r="L726" s="89"/>
      <c r="M726" s="89"/>
      <c r="N726" s="90"/>
      <c r="O726" s="87"/>
      <c r="P726" s="87"/>
      <c r="Q726" s="87"/>
      <c r="R726" s="91"/>
      <c r="S726" s="92"/>
      <c r="T726" s="93"/>
    </row>
    <row r="727" spans="1:20" s="94" customFormat="1" ht="12" customHeight="1" x14ac:dyDescent="0.3">
      <c r="A727" s="82"/>
      <c r="B727" s="83"/>
      <c r="C727" s="87"/>
      <c r="D727" s="84"/>
      <c r="E727" s="83"/>
      <c r="F727" s="82"/>
      <c r="G727" s="85"/>
      <c r="H727" s="86" t="e">
        <f>IF(I727="fora",0%,G727/QUÓRUM!$C$6)</f>
        <v>#DIV/0!</v>
      </c>
      <c r="I727" s="87"/>
      <c r="J727" s="88"/>
      <c r="K727" s="88"/>
      <c r="L727" s="89"/>
      <c r="M727" s="89"/>
      <c r="N727" s="90"/>
      <c r="O727" s="87"/>
      <c r="P727" s="87"/>
      <c r="Q727" s="87"/>
      <c r="R727" s="91"/>
      <c r="S727" s="92"/>
      <c r="T727" s="93"/>
    </row>
    <row r="728" spans="1:20" s="94" customFormat="1" ht="12" customHeight="1" x14ac:dyDescent="0.3">
      <c r="A728" s="82"/>
      <c r="B728" s="83"/>
      <c r="C728" s="87"/>
      <c r="D728" s="84"/>
      <c r="E728" s="83"/>
      <c r="F728" s="82"/>
      <c r="G728" s="85"/>
      <c r="H728" s="86" t="e">
        <f>IF(I728="fora",0%,G728/QUÓRUM!$C$6)</f>
        <v>#DIV/0!</v>
      </c>
      <c r="I728" s="87"/>
      <c r="J728" s="88"/>
      <c r="K728" s="88"/>
      <c r="L728" s="89"/>
      <c r="M728" s="89"/>
      <c r="N728" s="90"/>
      <c r="O728" s="87"/>
      <c r="P728" s="87"/>
      <c r="Q728" s="87"/>
      <c r="R728" s="91"/>
      <c r="S728" s="92"/>
      <c r="T728" s="93"/>
    </row>
    <row r="729" spans="1:20" s="94" customFormat="1" ht="12" customHeight="1" x14ac:dyDescent="0.3">
      <c r="A729" s="82"/>
      <c r="B729" s="83"/>
      <c r="C729" s="87"/>
      <c r="D729" s="84"/>
      <c r="E729" s="83"/>
      <c r="F729" s="82"/>
      <c r="G729" s="85"/>
      <c r="H729" s="86" t="e">
        <f>IF(I729="fora",0%,G729/QUÓRUM!$C$6)</f>
        <v>#DIV/0!</v>
      </c>
      <c r="I729" s="87"/>
      <c r="J729" s="88"/>
      <c r="K729" s="88"/>
      <c r="L729" s="89"/>
      <c r="M729" s="89"/>
      <c r="N729" s="90"/>
      <c r="O729" s="87"/>
      <c r="P729" s="87"/>
      <c r="Q729" s="87"/>
      <c r="R729" s="91"/>
      <c r="S729" s="92"/>
      <c r="T729" s="93"/>
    </row>
    <row r="730" spans="1:20" s="94" customFormat="1" ht="12" customHeight="1" x14ac:dyDescent="0.3">
      <c r="A730" s="82"/>
      <c r="B730" s="83"/>
      <c r="C730" s="87"/>
      <c r="D730" s="84"/>
      <c r="E730" s="83"/>
      <c r="F730" s="82"/>
      <c r="G730" s="85"/>
      <c r="H730" s="86" t="e">
        <f>IF(I730="fora",0%,G730/QUÓRUM!$C$6)</f>
        <v>#DIV/0!</v>
      </c>
      <c r="I730" s="87"/>
      <c r="J730" s="88"/>
      <c r="K730" s="88"/>
      <c r="L730" s="89"/>
      <c r="M730" s="89"/>
      <c r="N730" s="90"/>
      <c r="O730" s="87"/>
      <c r="P730" s="87"/>
      <c r="Q730" s="87"/>
      <c r="R730" s="91"/>
      <c r="S730" s="92"/>
      <c r="T730" s="93"/>
    </row>
    <row r="731" spans="1:20" s="94" customFormat="1" ht="12" customHeight="1" x14ac:dyDescent="0.3">
      <c r="A731" s="82"/>
      <c r="B731" s="83"/>
      <c r="C731" s="87"/>
      <c r="D731" s="84"/>
      <c r="E731" s="83"/>
      <c r="F731" s="82"/>
      <c r="G731" s="85"/>
      <c r="H731" s="86" t="e">
        <f>IF(I731="fora",0%,G731/QUÓRUM!$C$6)</f>
        <v>#DIV/0!</v>
      </c>
      <c r="I731" s="87"/>
      <c r="J731" s="88"/>
      <c r="K731" s="88"/>
      <c r="L731" s="89"/>
      <c r="M731" s="89"/>
      <c r="N731" s="90"/>
      <c r="O731" s="87"/>
      <c r="P731" s="87"/>
      <c r="Q731" s="87"/>
      <c r="R731" s="91"/>
      <c r="S731" s="92"/>
      <c r="T731" s="93"/>
    </row>
    <row r="732" spans="1:20" s="94" customFormat="1" ht="12" customHeight="1" x14ac:dyDescent="0.3">
      <c r="A732" s="82"/>
      <c r="B732" s="83"/>
      <c r="C732" s="87"/>
      <c r="D732" s="84"/>
      <c r="E732" s="83"/>
      <c r="F732" s="82"/>
      <c r="G732" s="85"/>
      <c r="H732" s="86" t="e">
        <f>IF(I732="fora",0%,G732/QUÓRUM!$C$6)</f>
        <v>#DIV/0!</v>
      </c>
      <c r="I732" s="87"/>
      <c r="J732" s="88"/>
      <c r="K732" s="88"/>
      <c r="L732" s="89"/>
      <c r="M732" s="89"/>
      <c r="N732" s="90"/>
      <c r="O732" s="87"/>
      <c r="P732" s="87"/>
      <c r="Q732" s="87"/>
      <c r="R732" s="91"/>
      <c r="S732" s="92"/>
      <c r="T732" s="93"/>
    </row>
    <row r="733" spans="1:20" s="94" customFormat="1" x14ac:dyDescent="0.3">
      <c r="A733" s="82"/>
      <c r="B733" s="83"/>
      <c r="C733" s="87"/>
      <c r="D733" s="84"/>
      <c r="E733" s="83"/>
      <c r="F733" s="82"/>
      <c r="G733" s="85"/>
      <c r="H733" s="86" t="e">
        <f>IF(I733="fora",0%,G733/QUÓRUM!$C$6)</f>
        <v>#DIV/0!</v>
      </c>
      <c r="I733" s="87"/>
      <c r="J733" s="88"/>
      <c r="K733" s="88"/>
      <c r="L733" s="89"/>
      <c r="M733" s="89"/>
      <c r="N733" s="90"/>
      <c r="O733" s="87"/>
      <c r="P733" s="87"/>
      <c r="Q733" s="87"/>
      <c r="R733" s="91"/>
      <c r="S733" s="92"/>
      <c r="T733" s="93"/>
    </row>
    <row r="734" spans="1:20" s="94" customFormat="1" x14ac:dyDescent="0.3">
      <c r="A734" s="82"/>
      <c r="B734" s="83"/>
      <c r="C734" s="87"/>
      <c r="D734" s="84"/>
      <c r="E734" s="83"/>
      <c r="F734" s="82"/>
      <c r="G734" s="85"/>
      <c r="H734" s="86" t="e">
        <f>IF(I734="fora",0%,G734/QUÓRUM!$C$6)</f>
        <v>#DIV/0!</v>
      </c>
      <c r="I734" s="87"/>
      <c r="J734" s="88"/>
      <c r="K734" s="88"/>
      <c r="L734" s="89"/>
      <c r="M734" s="89"/>
      <c r="N734" s="90"/>
      <c r="O734" s="87"/>
      <c r="P734" s="87"/>
      <c r="Q734" s="87"/>
      <c r="R734" s="91"/>
      <c r="S734" s="92"/>
      <c r="T734" s="93"/>
    </row>
    <row r="735" spans="1:20" s="94" customFormat="1" x14ac:dyDescent="0.3">
      <c r="A735" s="82"/>
      <c r="B735" s="83"/>
      <c r="C735" s="87"/>
      <c r="D735" s="84"/>
      <c r="E735" s="83"/>
      <c r="F735" s="82"/>
      <c r="G735" s="85"/>
      <c r="H735" s="86" t="e">
        <f>IF(I735="fora",0%,G735/QUÓRUM!$C$6)</f>
        <v>#DIV/0!</v>
      </c>
      <c r="I735" s="87"/>
      <c r="J735" s="88"/>
      <c r="K735" s="88"/>
      <c r="L735" s="89"/>
      <c r="M735" s="89"/>
      <c r="N735" s="90"/>
      <c r="O735" s="87"/>
      <c r="P735" s="87"/>
      <c r="Q735" s="87"/>
      <c r="R735" s="91"/>
      <c r="S735" s="92"/>
      <c r="T735" s="93"/>
    </row>
    <row r="736" spans="1:20" s="94" customFormat="1" x14ac:dyDescent="0.3">
      <c r="A736" s="82"/>
      <c r="B736" s="83"/>
      <c r="C736" s="87"/>
      <c r="D736" s="84"/>
      <c r="E736" s="83"/>
      <c r="F736" s="82"/>
      <c r="G736" s="85"/>
      <c r="H736" s="86" t="e">
        <f>IF(I736="fora",0%,G736/QUÓRUM!$C$6)</f>
        <v>#DIV/0!</v>
      </c>
      <c r="I736" s="87"/>
      <c r="J736" s="88"/>
      <c r="K736" s="88"/>
      <c r="L736" s="89"/>
      <c r="M736" s="89"/>
      <c r="N736" s="90"/>
      <c r="O736" s="87"/>
      <c r="P736" s="87"/>
      <c r="Q736" s="87"/>
      <c r="R736" s="91"/>
      <c r="S736" s="92"/>
      <c r="T736" s="93"/>
    </row>
    <row r="737" spans="1:20" s="94" customFormat="1" x14ac:dyDescent="0.3">
      <c r="A737" s="82"/>
      <c r="B737" s="83"/>
      <c r="C737" s="87"/>
      <c r="D737" s="84"/>
      <c r="E737" s="83"/>
      <c r="F737" s="82"/>
      <c r="G737" s="85"/>
      <c r="H737" s="86" t="e">
        <f>IF(I737="fora",0%,G737/QUÓRUM!$C$6)</f>
        <v>#DIV/0!</v>
      </c>
      <c r="I737" s="87"/>
      <c r="J737" s="88"/>
      <c r="K737" s="88"/>
      <c r="L737" s="89"/>
      <c r="M737" s="89"/>
      <c r="N737" s="90"/>
      <c r="O737" s="87"/>
      <c r="P737" s="87"/>
      <c r="Q737" s="87"/>
      <c r="R737" s="91"/>
      <c r="S737" s="92"/>
      <c r="T737" s="93"/>
    </row>
    <row r="738" spans="1:20" s="94" customFormat="1" ht="12" customHeight="1" x14ac:dyDescent="0.3">
      <c r="A738" s="82"/>
      <c r="B738" s="83"/>
      <c r="C738" s="87"/>
      <c r="D738" s="84"/>
      <c r="E738" s="83"/>
      <c r="F738" s="82"/>
      <c r="G738" s="85"/>
      <c r="H738" s="86" t="e">
        <f>IF(I738="fora",0%,G738/QUÓRUM!$C$6)</f>
        <v>#DIV/0!</v>
      </c>
      <c r="I738" s="87"/>
      <c r="J738" s="88"/>
      <c r="K738" s="88"/>
      <c r="L738" s="89"/>
      <c r="M738" s="89"/>
      <c r="N738" s="90"/>
      <c r="O738" s="87"/>
      <c r="P738" s="87"/>
      <c r="Q738" s="87"/>
      <c r="R738" s="91"/>
      <c r="S738" s="92"/>
      <c r="T738" s="93"/>
    </row>
    <row r="739" spans="1:20" s="94" customFormat="1" ht="12" customHeight="1" x14ac:dyDescent="0.3">
      <c r="A739" s="82"/>
      <c r="B739" s="83"/>
      <c r="C739" s="87"/>
      <c r="D739" s="84"/>
      <c r="E739" s="83"/>
      <c r="F739" s="82"/>
      <c r="G739" s="85"/>
      <c r="H739" s="86" t="e">
        <f>IF(I739="fora",0%,G739/QUÓRUM!$C$6)</f>
        <v>#DIV/0!</v>
      </c>
      <c r="I739" s="87"/>
      <c r="J739" s="88"/>
      <c r="K739" s="88"/>
      <c r="L739" s="89"/>
      <c r="M739" s="89"/>
      <c r="N739" s="90"/>
      <c r="O739" s="87"/>
      <c r="P739" s="87"/>
      <c r="Q739" s="87"/>
      <c r="R739" s="91"/>
      <c r="S739" s="92"/>
      <c r="T739" s="93"/>
    </row>
    <row r="740" spans="1:20" s="94" customFormat="1" ht="12" customHeight="1" x14ac:dyDescent="0.3">
      <c r="A740" s="82"/>
      <c r="B740" s="83"/>
      <c r="C740" s="87"/>
      <c r="D740" s="84"/>
      <c r="E740" s="83"/>
      <c r="F740" s="82"/>
      <c r="G740" s="85"/>
      <c r="H740" s="86" t="e">
        <f>IF(I740="fora",0%,G740/QUÓRUM!$C$6)</f>
        <v>#DIV/0!</v>
      </c>
      <c r="I740" s="87"/>
      <c r="J740" s="88"/>
      <c r="K740" s="88"/>
      <c r="L740" s="89"/>
      <c r="M740" s="89"/>
      <c r="N740" s="90"/>
      <c r="O740" s="87"/>
      <c r="P740" s="87"/>
      <c r="Q740" s="87"/>
      <c r="R740" s="91"/>
      <c r="S740" s="92"/>
      <c r="T740" s="93"/>
    </row>
    <row r="741" spans="1:20" s="94" customFormat="1" ht="12" customHeight="1" x14ac:dyDescent="0.3">
      <c r="A741" s="82"/>
      <c r="B741" s="83"/>
      <c r="C741" s="87"/>
      <c r="D741" s="84"/>
      <c r="E741" s="83"/>
      <c r="F741" s="82"/>
      <c r="G741" s="85"/>
      <c r="H741" s="86" t="e">
        <f>IF(I741="fora",0%,G741/QUÓRUM!$C$6)</f>
        <v>#DIV/0!</v>
      </c>
      <c r="I741" s="87"/>
      <c r="J741" s="88"/>
      <c r="K741" s="88"/>
      <c r="L741" s="89"/>
      <c r="M741" s="89"/>
      <c r="N741" s="90"/>
      <c r="O741" s="87"/>
      <c r="P741" s="87"/>
      <c r="Q741" s="87"/>
      <c r="R741" s="91"/>
      <c r="S741" s="92"/>
      <c r="T741" s="93"/>
    </row>
    <row r="742" spans="1:20" s="94" customFormat="1" ht="12" customHeight="1" x14ac:dyDescent="0.3">
      <c r="A742" s="82"/>
      <c r="B742" s="83"/>
      <c r="C742" s="87"/>
      <c r="D742" s="84"/>
      <c r="E742" s="83"/>
      <c r="F742" s="82"/>
      <c r="G742" s="85"/>
      <c r="H742" s="86" t="e">
        <f>IF(I742="fora",0%,G742/QUÓRUM!$C$6)</f>
        <v>#DIV/0!</v>
      </c>
      <c r="I742" s="87"/>
      <c r="J742" s="88"/>
      <c r="K742" s="88"/>
      <c r="L742" s="89"/>
      <c r="M742" s="89"/>
      <c r="N742" s="90"/>
      <c r="O742" s="87"/>
      <c r="P742" s="87"/>
      <c r="Q742" s="87"/>
      <c r="R742" s="91"/>
      <c r="S742" s="92"/>
      <c r="T742" s="93"/>
    </row>
    <row r="743" spans="1:20" s="94" customFormat="1" ht="12" customHeight="1" x14ac:dyDescent="0.3">
      <c r="A743" s="82"/>
      <c r="B743" s="83"/>
      <c r="C743" s="87"/>
      <c r="D743" s="84"/>
      <c r="E743" s="83"/>
      <c r="F743" s="82"/>
      <c r="G743" s="85"/>
      <c r="H743" s="86" t="e">
        <f>IF(I743="fora",0%,G743/QUÓRUM!$C$6)</f>
        <v>#DIV/0!</v>
      </c>
      <c r="I743" s="87"/>
      <c r="J743" s="88"/>
      <c r="K743" s="88"/>
      <c r="L743" s="89"/>
      <c r="M743" s="89"/>
      <c r="N743" s="90"/>
      <c r="O743" s="87"/>
      <c r="P743" s="87"/>
      <c r="Q743" s="87"/>
      <c r="R743" s="91"/>
      <c r="S743" s="92"/>
      <c r="T743" s="93"/>
    </row>
    <row r="744" spans="1:20" s="94" customFormat="1" ht="12" customHeight="1" x14ac:dyDescent="0.3">
      <c r="A744" s="82"/>
      <c r="B744" s="83"/>
      <c r="C744" s="87"/>
      <c r="D744" s="84"/>
      <c r="E744" s="83"/>
      <c r="F744" s="82"/>
      <c r="G744" s="85"/>
      <c r="H744" s="86" t="e">
        <f>IF(I744="fora",0%,G744/QUÓRUM!$C$6)</f>
        <v>#DIV/0!</v>
      </c>
      <c r="I744" s="87"/>
      <c r="J744" s="88"/>
      <c r="K744" s="88"/>
      <c r="L744" s="89"/>
      <c r="M744" s="89"/>
      <c r="N744" s="90"/>
      <c r="O744" s="87"/>
      <c r="P744" s="87"/>
      <c r="Q744" s="87"/>
      <c r="R744" s="91"/>
      <c r="S744" s="92"/>
      <c r="T744" s="93"/>
    </row>
    <row r="745" spans="1:20" s="94" customFormat="1" ht="12" customHeight="1" x14ac:dyDescent="0.3">
      <c r="A745" s="82"/>
      <c r="B745" s="83"/>
      <c r="C745" s="87"/>
      <c r="D745" s="84"/>
      <c r="E745" s="83"/>
      <c r="F745" s="82"/>
      <c r="G745" s="85"/>
      <c r="H745" s="86" t="e">
        <f>IF(I745="fora",0%,G745/QUÓRUM!$C$6)</f>
        <v>#DIV/0!</v>
      </c>
      <c r="I745" s="87"/>
      <c r="J745" s="88"/>
      <c r="K745" s="88"/>
      <c r="L745" s="89"/>
      <c r="M745" s="89"/>
      <c r="N745" s="90"/>
      <c r="O745" s="87"/>
      <c r="P745" s="87"/>
      <c r="Q745" s="87"/>
      <c r="R745" s="91"/>
      <c r="S745" s="92"/>
      <c r="T745" s="93"/>
    </row>
    <row r="746" spans="1:20" s="94" customFormat="1" ht="12" customHeight="1" x14ac:dyDescent="0.3">
      <c r="A746" s="82"/>
      <c r="B746" s="83"/>
      <c r="C746" s="87"/>
      <c r="D746" s="84"/>
      <c r="E746" s="83"/>
      <c r="F746" s="82"/>
      <c r="G746" s="85"/>
      <c r="H746" s="86" t="e">
        <f>IF(I746="fora",0%,G746/QUÓRUM!$C$6)</f>
        <v>#DIV/0!</v>
      </c>
      <c r="I746" s="87"/>
      <c r="J746" s="88"/>
      <c r="K746" s="88"/>
      <c r="L746" s="89"/>
      <c r="M746" s="89"/>
      <c r="N746" s="90"/>
      <c r="O746" s="87"/>
      <c r="P746" s="87"/>
      <c r="Q746" s="87"/>
      <c r="R746" s="91"/>
      <c r="S746" s="92"/>
      <c r="T746" s="93"/>
    </row>
    <row r="747" spans="1:20" s="94" customFormat="1" x14ac:dyDescent="0.3">
      <c r="A747" s="82"/>
      <c r="B747" s="83"/>
      <c r="C747" s="87"/>
      <c r="D747" s="84"/>
      <c r="E747" s="83"/>
      <c r="F747" s="82"/>
      <c r="G747" s="85"/>
      <c r="H747" s="86" t="e">
        <f>IF(I747="fora",0%,G747/QUÓRUM!$C$6)</f>
        <v>#DIV/0!</v>
      </c>
      <c r="I747" s="87"/>
      <c r="J747" s="88"/>
      <c r="K747" s="88"/>
      <c r="L747" s="89"/>
      <c r="M747" s="89"/>
      <c r="N747" s="90"/>
      <c r="O747" s="87"/>
      <c r="P747" s="87"/>
      <c r="Q747" s="87"/>
      <c r="R747" s="91"/>
      <c r="S747" s="92"/>
      <c r="T747" s="93"/>
    </row>
    <row r="748" spans="1:20" s="94" customFormat="1" x14ac:dyDescent="0.3">
      <c r="A748" s="82"/>
      <c r="B748" s="83"/>
      <c r="C748" s="87"/>
      <c r="D748" s="84"/>
      <c r="E748" s="83"/>
      <c r="F748" s="82"/>
      <c r="G748" s="85"/>
      <c r="H748" s="86" t="e">
        <f>IF(I748="fora",0%,G748/QUÓRUM!$C$6)</f>
        <v>#DIV/0!</v>
      </c>
      <c r="I748" s="87"/>
      <c r="J748" s="88"/>
      <c r="K748" s="88"/>
      <c r="L748" s="89"/>
      <c r="M748" s="89"/>
      <c r="N748" s="90"/>
      <c r="O748" s="87"/>
      <c r="P748" s="87"/>
      <c r="Q748" s="87"/>
      <c r="R748" s="91"/>
      <c r="S748" s="92"/>
      <c r="T748" s="93"/>
    </row>
    <row r="749" spans="1:20" s="94" customFormat="1" x14ac:dyDescent="0.3">
      <c r="A749" s="82"/>
      <c r="B749" s="83"/>
      <c r="C749" s="87"/>
      <c r="D749" s="84"/>
      <c r="E749" s="83"/>
      <c r="F749" s="82"/>
      <c r="G749" s="85"/>
      <c r="H749" s="86" t="e">
        <f>IF(I749="fora",0%,G749/QUÓRUM!$C$6)</f>
        <v>#DIV/0!</v>
      </c>
      <c r="I749" s="87"/>
      <c r="J749" s="88"/>
      <c r="K749" s="88"/>
      <c r="L749" s="89"/>
      <c r="M749" s="89"/>
      <c r="N749" s="90"/>
      <c r="O749" s="87"/>
      <c r="P749" s="87"/>
      <c r="Q749" s="87"/>
      <c r="R749" s="91"/>
      <c r="S749" s="92"/>
      <c r="T749" s="93"/>
    </row>
    <row r="750" spans="1:20" s="94" customFormat="1" x14ac:dyDescent="0.3">
      <c r="A750" s="82"/>
      <c r="B750" s="83"/>
      <c r="C750" s="87"/>
      <c r="D750" s="84"/>
      <c r="E750" s="83"/>
      <c r="F750" s="82"/>
      <c r="G750" s="85"/>
      <c r="H750" s="86" t="e">
        <f>IF(I750="fora",0%,G750/QUÓRUM!$C$6)</f>
        <v>#DIV/0!</v>
      </c>
      <c r="I750" s="87"/>
      <c r="J750" s="88"/>
      <c r="K750" s="88"/>
      <c r="L750" s="89"/>
      <c r="M750" s="89"/>
      <c r="N750" s="90"/>
      <c r="O750" s="87"/>
      <c r="P750" s="87"/>
      <c r="Q750" s="87"/>
      <c r="R750" s="91"/>
      <c r="S750" s="92"/>
      <c r="T750" s="93"/>
    </row>
    <row r="751" spans="1:20" s="94" customFormat="1" x14ac:dyDescent="0.3">
      <c r="A751" s="82"/>
      <c r="B751" s="83"/>
      <c r="C751" s="87"/>
      <c r="D751" s="84"/>
      <c r="E751" s="83"/>
      <c r="F751" s="82"/>
      <c r="G751" s="85"/>
      <c r="H751" s="86" t="e">
        <f>IF(I751="fora",0%,G751/QUÓRUM!$C$6)</f>
        <v>#DIV/0!</v>
      </c>
      <c r="I751" s="87"/>
      <c r="J751" s="88"/>
      <c r="K751" s="88"/>
      <c r="L751" s="89"/>
      <c r="M751" s="89"/>
      <c r="N751" s="90"/>
      <c r="O751" s="87"/>
      <c r="P751" s="87"/>
      <c r="Q751" s="87"/>
      <c r="R751" s="91"/>
      <c r="S751" s="92"/>
      <c r="T751" s="93"/>
    </row>
    <row r="752" spans="1:20" s="94" customFormat="1" x14ac:dyDescent="0.3">
      <c r="A752" s="82"/>
      <c r="B752" s="83"/>
      <c r="C752" s="87"/>
      <c r="D752" s="84"/>
      <c r="E752" s="83"/>
      <c r="F752" s="82"/>
      <c r="G752" s="85"/>
      <c r="H752" s="86" t="e">
        <f>IF(I752="fora",0%,G752/QUÓRUM!$C$6)</f>
        <v>#DIV/0!</v>
      </c>
      <c r="I752" s="87"/>
      <c r="J752" s="88"/>
      <c r="K752" s="88"/>
      <c r="L752" s="89"/>
      <c r="M752" s="89"/>
      <c r="N752" s="90"/>
      <c r="O752" s="87"/>
      <c r="P752" s="87"/>
      <c r="Q752" s="87"/>
      <c r="R752" s="91"/>
      <c r="S752" s="92"/>
      <c r="T752" s="93"/>
    </row>
    <row r="753" spans="1:20" s="94" customFormat="1" x14ac:dyDescent="0.3">
      <c r="A753" s="82"/>
      <c r="B753" s="83"/>
      <c r="C753" s="87"/>
      <c r="D753" s="84"/>
      <c r="E753" s="83"/>
      <c r="F753" s="82"/>
      <c r="G753" s="85"/>
      <c r="H753" s="86" t="e">
        <f>IF(I753="fora",0%,G753/QUÓRUM!$C$6)</f>
        <v>#DIV/0!</v>
      </c>
      <c r="I753" s="87"/>
      <c r="J753" s="88"/>
      <c r="K753" s="88"/>
      <c r="L753" s="89"/>
      <c r="M753" s="89"/>
      <c r="N753" s="90"/>
      <c r="O753" s="87"/>
      <c r="P753" s="87"/>
      <c r="Q753" s="87"/>
      <c r="R753" s="91"/>
      <c r="S753" s="92"/>
      <c r="T753" s="93"/>
    </row>
    <row r="754" spans="1:20" s="94" customFormat="1" x14ac:dyDescent="0.3">
      <c r="A754" s="82"/>
      <c r="B754" s="83"/>
      <c r="C754" s="87"/>
      <c r="D754" s="84"/>
      <c r="E754" s="83"/>
      <c r="F754" s="82"/>
      <c r="G754" s="85"/>
      <c r="H754" s="86" t="e">
        <f>IF(I754="fora",0%,G754/QUÓRUM!$C$6)</f>
        <v>#DIV/0!</v>
      </c>
      <c r="I754" s="87"/>
      <c r="J754" s="88"/>
      <c r="K754" s="88"/>
      <c r="L754" s="89"/>
      <c r="M754" s="89"/>
      <c r="N754" s="90"/>
      <c r="O754" s="87"/>
      <c r="P754" s="87"/>
      <c r="Q754" s="87"/>
      <c r="R754" s="91"/>
      <c r="S754" s="92"/>
      <c r="T754" s="93"/>
    </row>
    <row r="755" spans="1:20" s="94" customFormat="1" x14ac:dyDescent="0.3">
      <c r="A755" s="82"/>
      <c r="B755" s="83"/>
      <c r="C755" s="87"/>
      <c r="D755" s="84"/>
      <c r="E755" s="83"/>
      <c r="F755" s="82"/>
      <c r="G755" s="85"/>
      <c r="H755" s="86" t="e">
        <f>IF(I755="fora",0%,G755/QUÓRUM!$C$6)</f>
        <v>#DIV/0!</v>
      </c>
      <c r="I755" s="87"/>
      <c r="J755" s="88"/>
      <c r="K755" s="88"/>
      <c r="L755" s="89"/>
      <c r="M755" s="89"/>
      <c r="N755" s="90"/>
      <c r="O755" s="87"/>
      <c r="P755" s="87"/>
      <c r="Q755" s="87"/>
      <c r="R755" s="91"/>
      <c r="S755" s="92"/>
      <c r="T755" s="93"/>
    </row>
    <row r="756" spans="1:20" s="94" customFormat="1" x14ac:dyDescent="0.3">
      <c r="A756" s="82"/>
      <c r="B756" s="83"/>
      <c r="C756" s="87"/>
      <c r="D756" s="84"/>
      <c r="E756" s="83"/>
      <c r="F756" s="82"/>
      <c r="G756" s="85"/>
      <c r="H756" s="86" t="e">
        <f>IF(I756="fora",0%,G756/QUÓRUM!$C$6)</f>
        <v>#DIV/0!</v>
      </c>
      <c r="I756" s="87"/>
      <c r="J756" s="88"/>
      <c r="K756" s="88"/>
      <c r="L756" s="89"/>
      <c r="M756" s="89"/>
      <c r="N756" s="90"/>
      <c r="O756" s="87"/>
      <c r="P756" s="87"/>
      <c r="Q756" s="87"/>
      <c r="R756" s="91"/>
      <c r="S756" s="92"/>
      <c r="T756" s="93"/>
    </row>
    <row r="757" spans="1:20" s="94" customFormat="1" x14ac:dyDescent="0.3">
      <c r="A757" s="82"/>
      <c r="B757" s="83"/>
      <c r="C757" s="87"/>
      <c r="D757" s="84"/>
      <c r="E757" s="83"/>
      <c r="F757" s="82"/>
      <c r="G757" s="85"/>
      <c r="H757" s="86" t="e">
        <f>IF(I757="fora",0%,G757/QUÓRUM!$C$6)</f>
        <v>#DIV/0!</v>
      </c>
      <c r="I757" s="87"/>
      <c r="J757" s="88"/>
      <c r="K757" s="88"/>
      <c r="L757" s="89"/>
      <c r="M757" s="89"/>
      <c r="N757" s="90"/>
      <c r="O757" s="87"/>
      <c r="P757" s="87"/>
      <c r="Q757" s="87"/>
      <c r="R757" s="91"/>
      <c r="S757" s="92"/>
      <c r="T757" s="93"/>
    </row>
    <row r="758" spans="1:20" s="94" customFormat="1" x14ac:dyDescent="0.3">
      <c r="A758" s="82"/>
      <c r="B758" s="83"/>
      <c r="C758" s="87"/>
      <c r="D758" s="84"/>
      <c r="E758" s="83"/>
      <c r="F758" s="82"/>
      <c r="G758" s="85"/>
      <c r="H758" s="86" t="e">
        <f>IF(I758="fora",0%,G758/QUÓRUM!$C$6)</f>
        <v>#DIV/0!</v>
      </c>
      <c r="I758" s="87"/>
      <c r="J758" s="88"/>
      <c r="K758" s="88"/>
      <c r="L758" s="89"/>
      <c r="M758" s="89"/>
      <c r="N758" s="90"/>
      <c r="O758" s="87"/>
      <c r="P758" s="87"/>
      <c r="Q758" s="87"/>
      <c r="R758" s="91"/>
      <c r="S758" s="92"/>
      <c r="T758" s="93"/>
    </row>
    <row r="759" spans="1:20" s="94" customFormat="1" x14ac:dyDescent="0.3">
      <c r="A759" s="82"/>
      <c r="B759" s="83"/>
      <c r="C759" s="87"/>
      <c r="D759" s="84"/>
      <c r="E759" s="83"/>
      <c r="F759" s="82"/>
      <c r="G759" s="85"/>
      <c r="H759" s="86" t="e">
        <f>IF(I759="fora",0%,G759/QUÓRUM!$C$6)</f>
        <v>#DIV/0!</v>
      </c>
      <c r="I759" s="87"/>
      <c r="J759" s="88"/>
      <c r="K759" s="88"/>
      <c r="L759" s="89"/>
      <c r="M759" s="89"/>
      <c r="N759" s="90"/>
      <c r="O759" s="87"/>
      <c r="P759" s="87"/>
      <c r="Q759" s="87"/>
      <c r="R759" s="91"/>
      <c r="S759" s="92"/>
      <c r="T759" s="93"/>
    </row>
    <row r="760" spans="1:20" s="94" customFormat="1" ht="12" customHeight="1" x14ac:dyDescent="0.3">
      <c r="A760" s="82"/>
      <c r="B760" s="83"/>
      <c r="C760" s="87"/>
      <c r="D760" s="84"/>
      <c r="E760" s="83"/>
      <c r="F760" s="82"/>
      <c r="G760" s="85"/>
      <c r="H760" s="86" t="e">
        <f>IF(I760="fora",0%,G760/QUÓRUM!$C$6)</f>
        <v>#DIV/0!</v>
      </c>
      <c r="I760" s="87"/>
      <c r="J760" s="88"/>
      <c r="K760" s="88"/>
      <c r="L760" s="89"/>
      <c r="M760" s="89"/>
      <c r="N760" s="90"/>
      <c r="O760" s="87"/>
      <c r="P760" s="87"/>
      <c r="Q760" s="87"/>
      <c r="R760" s="91"/>
      <c r="S760" s="92"/>
      <c r="T760" s="93"/>
    </row>
    <row r="761" spans="1:20" s="94" customFormat="1" ht="12" customHeight="1" x14ac:dyDescent="0.3">
      <c r="A761" s="82"/>
      <c r="B761" s="83"/>
      <c r="C761" s="87"/>
      <c r="D761" s="84"/>
      <c r="E761" s="83"/>
      <c r="F761" s="82"/>
      <c r="G761" s="85"/>
      <c r="H761" s="86" t="e">
        <f>IF(I761="fora",0%,G761/QUÓRUM!$C$6)</f>
        <v>#DIV/0!</v>
      </c>
      <c r="I761" s="87"/>
      <c r="J761" s="88"/>
      <c r="K761" s="88"/>
      <c r="L761" s="89"/>
      <c r="M761" s="89"/>
      <c r="N761" s="90"/>
      <c r="O761" s="87"/>
      <c r="P761" s="87"/>
      <c r="Q761" s="87"/>
      <c r="R761" s="91"/>
      <c r="S761" s="92"/>
      <c r="T761" s="93"/>
    </row>
    <row r="762" spans="1:20" s="94" customFormat="1" ht="12" customHeight="1" x14ac:dyDescent="0.3">
      <c r="A762" s="82"/>
      <c r="B762" s="83"/>
      <c r="C762" s="87"/>
      <c r="D762" s="84"/>
      <c r="E762" s="83"/>
      <c r="F762" s="82"/>
      <c r="G762" s="85"/>
      <c r="H762" s="86" t="e">
        <f>IF(I762="fora",0%,G762/QUÓRUM!$C$6)</f>
        <v>#DIV/0!</v>
      </c>
      <c r="I762" s="87"/>
      <c r="J762" s="88"/>
      <c r="K762" s="88"/>
      <c r="L762" s="89"/>
      <c r="M762" s="89"/>
      <c r="N762" s="90"/>
      <c r="O762" s="87"/>
      <c r="P762" s="87"/>
      <c r="Q762" s="87"/>
      <c r="R762" s="91"/>
      <c r="S762" s="92"/>
      <c r="T762" s="93"/>
    </row>
    <row r="763" spans="1:20" s="94" customFormat="1" ht="12" customHeight="1" x14ac:dyDescent="0.3">
      <c r="A763" s="82"/>
      <c r="B763" s="83"/>
      <c r="C763" s="87"/>
      <c r="D763" s="84"/>
      <c r="E763" s="83"/>
      <c r="F763" s="82"/>
      <c r="G763" s="85"/>
      <c r="H763" s="86" t="e">
        <f>IF(I763="fora",0%,G763/QUÓRUM!$C$6)</f>
        <v>#DIV/0!</v>
      </c>
      <c r="I763" s="87"/>
      <c r="J763" s="88"/>
      <c r="K763" s="88"/>
      <c r="L763" s="89"/>
      <c r="M763" s="89"/>
      <c r="N763" s="90"/>
      <c r="O763" s="87"/>
      <c r="P763" s="87"/>
      <c r="Q763" s="87"/>
      <c r="R763" s="91"/>
      <c r="S763" s="92"/>
      <c r="T763" s="93"/>
    </row>
    <row r="764" spans="1:20" s="94" customFormat="1" ht="12" customHeight="1" x14ac:dyDescent="0.3">
      <c r="A764" s="82"/>
      <c r="B764" s="83"/>
      <c r="C764" s="87"/>
      <c r="D764" s="84"/>
      <c r="E764" s="83"/>
      <c r="F764" s="82"/>
      <c r="G764" s="85"/>
      <c r="H764" s="86" t="e">
        <f>IF(I764="fora",0%,G764/QUÓRUM!$C$6)</f>
        <v>#DIV/0!</v>
      </c>
      <c r="I764" s="87"/>
      <c r="J764" s="88"/>
      <c r="K764" s="88"/>
      <c r="L764" s="89"/>
      <c r="M764" s="89"/>
      <c r="N764" s="90"/>
      <c r="O764" s="87"/>
      <c r="P764" s="87"/>
      <c r="Q764" s="87"/>
      <c r="R764" s="91"/>
      <c r="S764" s="92"/>
      <c r="T764" s="93"/>
    </row>
    <row r="765" spans="1:20" s="94" customFormat="1" ht="12" customHeight="1" x14ac:dyDescent="0.3">
      <c r="A765" s="82"/>
      <c r="B765" s="83"/>
      <c r="C765" s="87"/>
      <c r="D765" s="84"/>
      <c r="E765" s="83"/>
      <c r="F765" s="82"/>
      <c r="G765" s="85"/>
      <c r="H765" s="86" t="e">
        <f>IF(I765="fora",0%,G765/QUÓRUM!$C$6)</f>
        <v>#DIV/0!</v>
      </c>
      <c r="I765" s="87"/>
      <c r="J765" s="88"/>
      <c r="K765" s="88"/>
      <c r="L765" s="89"/>
      <c r="M765" s="89"/>
      <c r="N765" s="90"/>
      <c r="O765" s="87"/>
      <c r="P765" s="87"/>
      <c r="Q765" s="87"/>
      <c r="R765" s="91"/>
      <c r="S765" s="92"/>
      <c r="T765" s="93"/>
    </row>
    <row r="766" spans="1:20" s="94" customFormat="1" ht="12" customHeight="1" x14ac:dyDescent="0.3">
      <c r="A766" s="82"/>
      <c r="B766" s="83"/>
      <c r="C766" s="87"/>
      <c r="D766" s="84"/>
      <c r="E766" s="83"/>
      <c r="F766" s="82"/>
      <c r="G766" s="85"/>
      <c r="H766" s="86" t="e">
        <f>IF(I766="fora",0%,G766/QUÓRUM!$C$6)</f>
        <v>#DIV/0!</v>
      </c>
      <c r="I766" s="87"/>
      <c r="J766" s="88"/>
      <c r="K766" s="88"/>
      <c r="L766" s="89"/>
      <c r="M766" s="89"/>
      <c r="N766" s="90"/>
      <c r="O766" s="87"/>
      <c r="P766" s="87"/>
      <c r="Q766" s="87"/>
      <c r="R766" s="91"/>
      <c r="S766" s="92"/>
      <c r="T766" s="93"/>
    </row>
    <row r="767" spans="1:20" s="94" customFormat="1" ht="12" customHeight="1" x14ac:dyDescent="0.3">
      <c r="A767" s="82"/>
      <c r="B767" s="83"/>
      <c r="C767" s="87"/>
      <c r="D767" s="84"/>
      <c r="E767" s="83"/>
      <c r="F767" s="82"/>
      <c r="G767" s="85"/>
      <c r="H767" s="86" t="e">
        <f>IF(I767="fora",0%,G767/QUÓRUM!$C$6)</f>
        <v>#DIV/0!</v>
      </c>
      <c r="I767" s="87"/>
      <c r="J767" s="88"/>
      <c r="K767" s="88"/>
      <c r="L767" s="89"/>
      <c r="M767" s="89"/>
      <c r="N767" s="90"/>
      <c r="O767" s="87"/>
      <c r="P767" s="87"/>
      <c r="Q767" s="87"/>
      <c r="R767" s="91"/>
      <c r="S767" s="92"/>
      <c r="T767" s="93"/>
    </row>
    <row r="768" spans="1:20" s="94" customFormat="1" ht="12" customHeight="1" x14ac:dyDescent="0.3">
      <c r="A768" s="82"/>
      <c r="B768" s="83"/>
      <c r="C768" s="87"/>
      <c r="D768" s="84"/>
      <c r="E768" s="83"/>
      <c r="F768" s="82"/>
      <c r="G768" s="85"/>
      <c r="H768" s="86" t="e">
        <f>IF(I768="fora",0%,G768/QUÓRUM!$C$6)</f>
        <v>#DIV/0!</v>
      </c>
      <c r="I768" s="87"/>
      <c r="J768" s="88"/>
      <c r="K768" s="88"/>
      <c r="L768" s="89"/>
      <c r="M768" s="89"/>
      <c r="N768" s="90"/>
      <c r="O768" s="87"/>
      <c r="P768" s="87"/>
      <c r="Q768" s="87"/>
      <c r="R768" s="91"/>
      <c r="S768" s="92"/>
      <c r="T768" s="93"/>
    </row>
    <row r="769" spans="1:20" s="94" customFormat="1" ht="12" customHeight="1" x14ac:dyDescent="0.3">
      <c r="A769" s="82"/>
      <c r="B769" s="83"/>
      <c r="C769" s="87"/>
      <c r="D769" s="84"/>
      <c r="E769" s="83"/>
      <c r="F769" s="82"/>
      <c r="G769" s="85"/>
      <c r="H769" s="86" t="e">
        <f>IF(I769="fora",0%,G769/QUÓRUM!$C$6)</f>
        <v>#DIV/0!</v>
      </c>
      <c r="I769" s="87"/>
      <c r="J769" s="88"/>
      <c r="K769" s="88"/>
      <c r="L769" s="89"/>
      <c r="M769" s="89"/>
      <c r="N769" s="90"/>
      <c r="O769" s="87"/>
      <c r="P769" s="87"/>
      <c r="Q769" s="87"/>
      <c r="R769" s="91"/>
      <c r="S769" s="92"/>
      <c r="T769" s="93"/>
    </row>
    <row r="770" spans="1:20" s="94" customFormat="1" ht="12" customHeight="1" x14ac:dyDescent="0.3">
      <c r="A770" s="82"/>
      <c r="B770" s="83"/>
      <c r="C770" s="87"/>
      <c r="D770" s="84"/>
      <c r="E770" s="83"/>
      <c r="F770" s="82"/>
      <c r="G770" s="85"/>
      <c r="H770" s="86" t="e">
        <f>IF(I770="fora",0%,G770/QUÓRUM!$C$6)</f>
        <v>#DIV/0!</v>
      </c>
      <c r="I770" s="87"/>
      <c r="J770" s="88"/>
      <c r="K770" s="88"/>
      <c r="L770" s="89"/>
      <c r="M770" s="89"/>
      <c r="N770" s="90"/>
      <c r="O770" s="87"/>
      <c r="P770" s="87"/>
      <c r="Q770" s="87"/>
      <c r="R770" s="91"/>
      <c r="S770" s="92"/>
      <c r="T770" s="93"/>
    </row>
    <row r="771" spans="1:20" s="94" customFormat="1" ht="12" customHeight="1" x14ac:dyDescent="0.3">
      <c r="A771" s="82"/>
      <c r="B771" s="83"/>
      <c r="C771" s="87"/>
      <c r="D771" s="84"/>
      <c r="E771" s="83"/>
      <c r="F771" s="82"/>
      <c r="G771" s="85"/>
      <c r="H771" s="86" t="e">
        <f>IF(I771="fora",0%,G771/QUÓRUM!$C$6)</f>
        <v>#DIV/0!</v>
      </c>
      <c r="I771" s="87"/>
      <c r="J771" s="88"/>
      <c r="K771" s="88"/>
      <c r="L771" s="89"/>
      <c r="M771" s="89"/>
      <c r="N771" s="90"/>
      <c r="O771" s="87"/>
      <c r="P771" s="87"/>
      <c r="Q771" s="87"/>
      <c r="R771" s="91"/>
      <c r="S771" s="92"/>
      <c r="T771" s="93"/>
    </row>
    <row r="772" spans="1:20" s="94" customFormat="1" ht="12" customHeight="1" x14ac:dyDescent="0.3">
      <c r="A772" s="82"/>
      <c r="B772" s="83"/>
      <c r="C772" s="87"/>
      <c r="D772" s="84"/>
      <c r="E772" s="83"/>
      <c r="F772" s="82"/>
      <c r="G772" s="85"/>
      <c r="H772" s="86" t="e">
        <f>IF(I772="fora",0%,G772/QUÓRUM!$C$6)</f>
        <v>#DIV/0!</v>
      </c>
      <c r="I772" s="87"/>
      <c r="J772" s="88"/>
      <c r="K772" s="88"/>
      <c r="L772" s="89"/>
      <c r="M772" s="89"/>
      <c r="N772" s="90"/>
      <c r="O772" s="87"/>
      <c r="P772" s="87"/>
      <c r="Q772" s="87"/>
      <c r="R772" s="91"/>
      <c r="S772" s="92"/>
      <c r="T772" s="93"/>
    </row>
    <row r="773" spans="1:20" s="94" customFormat="1" ht="12" customHeight="1" x14ac:dyDescent="0.3">
      <c r="A773" s="82"/>
      <c r="B773" s="83"/>
      <c r="C773" s="87"/>
      <c r="D773" s="84"/>
      <c r="E773" s="83"/>
      <c r="F773" s="82"/>
      <c r="G773" s="85"/>
      <c r="H773" s="86" t="e">
        <f>IF(I773="fora",0%,G773/QUÓRUM!$C$6)</f>
        <v>#DIV/0!</v>
      </c>
      <c r="I773" s="87"/>
      <c r="J773" s="88"/>
      <c r="K773" s="88"/>
      <c r="L773" s="89"/>
      <c r="M773" s="89"/>
      <c r="N773" s="90"/>
      <c r="O773" s="87"/>
      <c r="P773" s="87"/>
      <c r="Q773" s="87"/>
      <c r="R773" s="91"/>
      <c r="S773" s="92"/>
      <c r="T773" s="93"/>
    </row>
    <row r="774" spans="1:20" s="94" customFormat="1" ht="12" customHeight="1" x14ac:dyDescent="0.3">
      <c r="A774" s="82"/>
      <c r="B774" s="83"/>
      <c r="C774" s="87"/>
      <c r="D774" s="84"/>
      <c r="E774" s="83"/>
      <c r="F774" s="82"/>
      <c r="G774" s="85"/>
      <c r="H774" s="86" t="e">
        <f>IF(I774="fora",0%,G774/QUÓRUM!$C$6)</f>
        <v>#DIV/0!</v>
      </c>
      <c r="I774" s="87"/>
      <c r="J774" s="88"/>
      <c r="K774" s="88"/>
      <c r="L774" s="89"/>
      <c r="M774" s="89"/>
      <c r="N774" s="90"/>
      <c r="O774" s="87"/>
      <c r="P774" s="87"/>
      <c r="Q774" s="87"/>
      <c r="R774" s="91"/>
      <c r="S774" s="92"/>
      <c r="T774" s="93"/>
    </row>
    <row r="775" spans="1:20" s="94" customFormat="1" ht="12" customHeight="1" x14ac:dyDescent="0.3">
      <c r="A775" s="82"/>
      <c r="B775" s="83"/>
      <c r="C775" s="87"/>
      <c r="D775" s="84"/>
      <c r="E775" s="83"/>
      <c r="F775" s="82"/>
      <c r="G775" s="85"/>
      <c r="H775" s="86" t="e">
        <f>IF(I775="fora",0%,G775/QUÓRUM!$C$6)</f>
        <v>#DIV/0!</v>
      </c>
      <c r="I775" s="87"/>
      <c r="J775" s="88"/>
      <c r="K775" s="88"/>
      <c r="L775" s="89"/>
      <c r="M775" s="89"/>
      <c r="N775" s="90"/>
      <c r="O775" s="87"/>
      <c r="P775" s="87"/>
      <c r="Q775" s="87"/>
      <c r="R775" s="91"/>
      <c r="S775" s="92"/>
      <c r="T775" s="93"/>
    </row>
    <row r="776" spans="1:20" s="94" customFormat="1" ht="12" customHeight="1" x14ac:dyDescent="0.3">
      <c r="A776" s="82"/>
      <c r="B776" s="83"/>
      <c r="C776" s="87"/>
      <c r="D776" s="84"/>
      <c r="E776" s="83"/>
      <c r="F776" s="82"/>
      <c r="G776" s="85"/>
      <c r="H776" s="86" t="e">
        <f>IF(I776="fora",0%,G776/QUÓRUM!$C$6)</f>
        <v>#DIV/0!</v>
      </c>
      <c r="I776" s="87"/>
      <c r="J776" s="88"/>
      <c r="K776" s="88"/>
      <c r="L776" s="89"/>
      <c r="M776" s="89"/>
      <c r="N776" s="90"/>
      <c r="O776" s="87"/>
      <c r="P776" s="87"/>
      <c r="Q776" s="87"/>
      <c r="R776" s="91"/>
      <c r="S776" s="92"/>
      <c r="T776" s="93"/>
    </row>
    <row r="777" spans="1:20" s="94" customFormat="1" ht="12" customHeight="1" x14ac:dyDescent="0.3">
      <c r="A777" s="82"/>
      <c r="B777" s="83"/>
      <c r="C777" s="87"/>
      <c r="D777" s="84"/>
      <c r="E777" s="83"/>
      <c r="F777" s="82"/>
      <c r="G777" s="85"/>
      <c r="H777" s="86" t="e">
        <f>IF(I777="fora",0%,G777/QUÓRUM!$C$6)</f>
        <v>#DIV/0!</v>
      </c>
      <c r="I777" s="87"/>
      <c r="J777" s="88"/>
      <c r="K777" s="88"/>
      <c r="L777" s="89"/>
      <c r="M777" s="89"/>
      <c r="N777" s="90"/>
      <c r="O777" s="87"/>
      <c r="P777" s="87"/>
      <c r="Q777" s="87"/>
      <c r="R777" s="91"/>
      <c r="S777" s="92"/>
      <c r="T777" s="93"/>
    </row>
    <row r="778" spans="1:20" s="94" customFormat="1" ht="12" customHeight="1" x14ac:dyDescent="0.3">
      <c r="A778" s="82"/>
      <c r="B778" s="83"/>
      <c r="C778" s="87"/>
      <c r="D778" s="84"/>
      <c r="E778" s="83"/>
      <c r="F778" s="82"/>
      <c r="G778" s="85"/>
      <c r="H778" s="86" t="e">
        <f>IF(I778="fora",0%,G778/QUÓRUM!$C$6)</f>
        <v>#DIV/0!</v>
      </c>
      <c r="I778" s="87"/>
      <c r="J778" s="88"/>
      <c r="K778" s="88"/>
      <c r="L778" s="89"/>
      <c r="M778" s="89"/>
      <c r="N778" s="90"/>
      <c r="O778" s="87"/>
      <c r="P778" s="87"/>
      <c r="Q778" s="87"/>
      <c r="R778" s="91"/>
      <c r="S778" s="92"/>
      <c r="T778" s="93"/>
    </row>
    <row r="779" spans="1:20" s="94" customFormat="1" ht="12" customHeight="1" x14ac:dyDescent="0.3">
      <c r="A779" s="82"/>
      <c r="B779" s="83"/>
      <c r="C779" s="87"/>
      <c r="D779" s="84"/>
      <c r="E779" s="83"/>
      <c r="F779" s="82"/>
      <c r="G779" s="85"/>
      <c r="H779" s="86" t="e">
        <f>IF(I779="fora",0%,G779/QUÓRUM!$C$6)</f>
        <v>#DIV/0!</v>
      </c>
      <c r="I779" s="87"/>
      <c r="J779" s="88"/>
      <c r="K779" s="88"/>
      <c r="L779" s="89"/>
      <c r="M779" s="89"/>
      <c r="N779" s="90"/>
      <c r="O779" s="87"/>
      <c r="P779" s="87"/>
      <c r="Q779" s="87"/>
      <c r="R779" s="91"/>
      <c r="S779" s="92"/>
      <c r="T779" s="93"/>
    </row>
    <row r="780" spans="1:20" s="94" customFormat="1" ht="12" customHeight="1" x14ac:dyDescent="0.3">
      <c r="A780" s="82"/>
      <c r="B780" s="83"/>
      <c r="C780" s="87"/>
      <c r="D780" s="84"/>
      <c r="E780" s="83"/>
      <c r="F780" s="82"/>
      <c r="G780" s="85"/>
      <c r="H780" s="86" t="e">
        <f>IF(I780="fora",0%,G780/QUÓRUM!$C$6)</f>
        <v>#DIV/0!</v>
      </c>
      <c r="I780" s="87"/>
      <c r="J780" s="88"/>
      <c r="K780" s="88"/>
      <c r="L780" s="89"/>
      <c r="M780" s="89"/>
      <c r="N780" s="90"/>
      <c r="O780" s="87"/>
      <c r="P780" s="87"/>
      <c r="Q780" s="87"/>
      <c r="R780" s="91"/>
      <c r="S780" s="92"/>
      <c r="T780" s="93"/>
    </row>
    <row r="781" spans="1:20" s="94" customFormat="1" ht="12" customHeight="1" x14ac:dyDescent="0.3">
      <c r="A781" s="82"/>
      <c r="B781" s="83"/>
      <c r="C781" s="87"/>
      <c r="D781" s="84"/>
      <c r="E781" s="83"/>
      <c r="F781" s="82"/>
      <c r="G781" s="85"/>
      <c r="H781" s="86" t="e">
        <f>IF(I781="fora",0%,G781/QUÓRUM!$C$6)</f>
        <v>#DIV/0!</v>
      </c>
      <c r="I781" s="87"/>
      <c r="J781" s="88"/>
      <c r="K781" s="88"/>
      <c r="L781" s="89"/>
      <c r="M781" s="89"/>
      <c r="N781" s="90"/>
      <c r="O781" s="87"/>
      <c r="P781" s="87"/>
      <c r="Q781" s="87"/>
      <c r="R781" s="91"/>
      <c r="S781" s="92"/>
      <c r="T781" s="93"/>
    </row>
    <row r="782" spans="1:20" s="94" customFormat="1" ht="12" customHeight="1" x14ac:dyDescent="0.3">
      <c r="A782" s="82"/>
      <c r="B782" s="83"/>
      <c r="C782" s="87"/>
      <c r="D782" s="84"/>
      <c r="E782" s="83"/>
      <c r="F782" s="82"/>
      <c r="G782" s="85"/>
      <c r="H782" s="86" t="e">
        <f>IF(I782="fora",0%,G782/QUÓRUM!$C$6)</f>
        <v>#DIV/0!</v>
      </c>
      <c r="I782" s="87"/>
      <c r="J782" s="88"/>
      <c r="K782" s="88"/>
      <c r="L782" s="89"/>
      <c r="M782" s="89"/>
      <c r="N782" s="90"/>
      <c r="O782" s="87"/>
      <c r="P782" s="87"/>
      <c r="Q782" s="87"/>
      <c r="R782" s="91"/>
      <c r="S782" s="92"/>
      <c r="T782" s="93"/>
    </row>
    <row r="783" spans="1:20" s="94" customFormat="1" ht="12" customHeight="1" x14ac:dyDescent="0.3">
      <c r="A783" s="82"/>
      <c r="B783" s="83"/>
      <c r="C783" s="87"/>
      <c r="D783" s="84"/>
      <c r="E783" s="83"/>
      <c r="F783" s="82"/>
      <c r="G783" s="85"/>
      <c r="H783" s="86" t="e">
        <f>IF(I783="fora",0%,G783/QUÓRUM!$C$6)</f>
        <v>#DIV/0!</v>
      </c>
      <c r="I783" s="87"/>
      <c r="J783" s="88"/>
      <c r="K783" s="88"/>
      <c r="L783" s="89"/>
      <c r="M783" s="89"/>
      <c r="N783" s="90"/>
      <c r="O783" s="87"/>
      <c r="P783" s="87"/>
      <c r="Q783" s="87"/>
      <c r="R783" s="91"/>
      <c r="S783" s="92"/>
      <c r="T783" s="93"/>
    </row>
    <row r="784" spans="1:20" s="94" customFormat="1" ht="12" customHeight="1" x14ac:dyDescent="0.3">
      <c r="A784" s="82"/>
      <c r="B784" s="83"/>
      <c r="C784" s="87"/>
      <c r="D784" s="84"/>
      <c r="E784" s="83"/>
      <c r="F784" s="82"/>
      <c r="G784" s="85"/>
      <c r="H784" s="86" t="e">
        <f>IF(I784="fora",0%,G784/QUÓRUM!$C$6)</f>
        <v>#DIV/0!</v>
      </c>
      <c r="I784" s="87"/>
      <c r="J784" s="88"/>
      <c r="K784" s="88"/>
      <c r="L784" s="89"/>
      <c r="M784" s="89"/>
      <c r="N784" s="90"/>
      <c r="O784" s="87"/>
      <c r="P784" s="87"/>
      <c r="Q784" s="87"/>
      <c r="R784" s="91"/>
      <c r="S784" s="92"/>
      <c r="T784" s="93"/>
    </row>
    <row r="785" spans="1:20" s="94" customFormat="1" ht="12" customHeight="1" x14ac:dyDescent="0.3">
      <c r="A785" s="82"/>
      <c r="B785" s="83"/>
      <c r="C785" s="87"/>
      <c r="D785" s="84"/>
      <c r="E785" s="83"/>
      <c r="F785" s="82"/>
      <c r="G785" s="85"/>
      <c r="H785" s="86" t="e">
        <f>IF(I785="fora",0%,G785/QUÓRUM!$C$6)</f>
        <v>#DIV/0!</v>
      </c>
      <c r="I785" s="87"/>
      <c r="J785" s="88"/>
      <c r="K785" s="88"/>
      <c r="L785" s="89"/>
      <c r="M785" s="89"/>
      <c r="N785" s="90"/>
      <c r="O785" s="87"/>
      <c r="P785" s="87"/>
      <c r="Q785" s="87"/>
      <c r="R785" s="91"/>
      <c r="S785" s="92"/>
      <c r="T785" s="93"/>
    </row>
    <row r="786" spans="1:20" s="94" customFormat="1" ht="12" customHeight="1" x14ac:dyDescent="0.3">
      <c r="A786" s="82"/>
      <c r="B786" s="83"/>
      <c r="C786" s="87"/>
      <c r="D786" s="84"/>
      <c r="E786" s="83"/>
      <c r="F786" s="82"/>
      <c r="G786" s="85"/>
      <c r="H786" s="86" t="e">
        <f>IF(I786="fora",0%,G786/QUÓRUM!$C$6)</f>
        <v>#DIV/0!</v>
      </c>
      <c r="I786" s="87"/>
      <c r="J786" s="88"/>
      <c r="K786" s="88"/>
      <c r="L786" s="89"/>
      <c r="M786" s="89"/>
      <c r="N786" s="90"/>
      <c r="O786" s="87"/>
      <c r="P786" s="87"/>
      <c r="Q786" s="87"/>
      <c r="R786" s="91"/>
      <c r="S786" s="92"/>
      <c r="T786" s="93"/>
    </row>
    <row r="787" spans="1:20" s="94" customFormat="1" ht="12" customHeight="1" x14ac:dyDescent="0.3">
      <c r="A787" s="82"/>
      <c r="B787" s="83"/>
      <c r="C787" s="87"/>
      <c r="D787" s="84"/>
      <c r="E787" s="83"/>
      <c r="F787" s="82"/>
      <c r="G787" s="85"/>
      <c r="H787" s="86" t="e">
        <f>IF(I787="fora",0%,G787/QUÓRUM!$C$6)</f>
        <v>#DIV/0!</v>
      </c>
      <c r="I787" s="87"/>
      <c r="J787" s="88"/>
      <c r="K787" s="88"/>
      <c r="L787" s="89"/>
      <c r="M787" s="89"/>
      <c r="N787" s="90"/>
      <c r="O787" s="87"/>
      <c r="P787" s="87"/>
      <c r="Q787" s="87"/>
      <c r="R787" s="91"/>
      <c r="S787" s="92"/>
      <c r="T787" s="93"/>
    </row>
    <row r="788" spans="1:20" s="94" customFormat="1" ht="12" customHeight="1" x14ac:dyDescent="0.3">
      <c r="A788" s="82"/>
      <c r="B788" s="83"/>
      <c r="C788" s="87"/>
      <c r="D788" s="84"/>
      <c r="E788" s="83"/>
      <c r="F788" s="82"/>
      <c r="G788" s="85"/>
      <c r="H788" s="86" t="e">
        <f>IF(I788="fora",0%,G788/QUÓRUM!$C$6)</f>
        <v>#DIV/0!</v>
      </c>
      <c r="I788" s="87"/>
      <c r="J788" s="88"/>
      <c r="K788" s="88"/>
      <c r="L788" s="89"/>
      <c r="M788" s="89"/>
      <c r="N788" s="90"/>
      <c r="O788" s="87"/>
      <c r="P788" s="87"/>
      <c r="Q788" s="87"/>
      <c r="R788" s="91"/>
      <c r="S788" s="92"/>
      <c r="T788" s="93"/>
    </row>
    <row r="789" spans="1:20" s="94" customFormat="1" ht="12" customHeight="1" x14ac:dyDescent="0.3">
      <c r="A789" s="82"/>
      <c r="B789" s="83"/>
      <c r="C789" s="87"/>
      <c r="D789" s="84"/>
      <c r="E789" s="83"/>
      <c r="F789" s="82"/>
      <c r="G789" s="85"/>
      <c r="H789" s="86" t="e">
        <f>IF(I789="fora",0%,G789/QUÓRUM!$C$6)</f>
        <v>#DIV/0!</v>
      </c>
      <c r="I789" s="87"/>
      <c r="J789" s="88"/>
      <c r="K789" s="88"/>
      <c r="L789" s="89"/>
      <c r="M789" s="89"/>
      <c r="N789" s="90"/>
      <c r="O789" s="87"/>
      <c r="P789" s="87"/>
      <c r="Q789" s="87"/>
      <c r="R789" s="91"/>
      <c r="S789" s="92"/>
      <c r="T789" s="93"/>
    </row>
    <row r="790" spans="1:20" s="94" customFormat="1" ht="12" customHeight="1" x14ac:dyDescent="0.3">
      <c r="A790" s="82"/>
      <c r="B790" s="83"/>
      <c r="C790" s="87"/>
      <c r="D790" s="84"/>
      <c r="E790" s="83"/>
      <c r="F790" s="82"/>
      <c r="G790" s="85"/>
      <c r="H790" s="86" t="e">
        <f>IF(I790="fora",0%,G790/QUÓRUM!$C$6)</f>
        <v>#DIV/0!</v>
      </c>
      <c r="I790" s="87"/>
      <c r="J790" s="88"/>
      <c r="K790" s="88"/>
      <c r="L790" s="89"/>
      <c r="M790" s="89"/>
      <c r="N790" s="90"/>
      <c r="O790" s="87"/>
      <c r="P790" s="87"/>
      <c r="Q790" s="87"/>
      <c r="R790" s="91"/>
      <c r="S790" s="92"/>
      <c r="T790" s="93"/>
    </row>
    <row r="791" spans="1:20" s="94" customFormat="1" ht="12" customHeight="1" x14ac:dyDescent="0.3">
      <c r="A791" s="82"/>
      <c r="B791" s="83"/>
      <c r="C791" s="87"/>
      <c r="D791" s="84"/>
      <c r="E791" s="83"/>
      <c r="F791" s="82"/>
      <c r="G791" s="85"/>
      <c r="H791" s="86" t="e">
        <f>IF(I791="fora",0%,G791/QUÓRUM!$C$6)</f>
        <v>#DIV/0!</v>
      </c>
      <c r="I791" s="87"/>
      <c r="J791" s="88"/>
      <c r="K791" s="88"/>
      <c r="L791" s="89"/>
      <c r="M791" s="89"/>
      <c r="N791" s="90"/>
      <c r="O791" s="87"/>
      <c r="P791" s="87"/>
      <c r="Q791" s="87"/>
      <c r="R791" s="91"/>
      <c r="S791" s="92"/>
      <c r="T791" s="93"/>
    </row>
    <row r="792" spans="1:20" s="94" customFormat="1" ht="12" customHeight="1" x14ac:dyDescent="0.3">
      <c r="A792" s="82"/>
      <c r="B792" s="83"/>
      <c r="C792" s="87"/>
      <c r="D792" s="84"/>
      <c r="E792" s="83"/>
      <c r="F792" s="82"/>
      <c r="G792" s="85"/>
      <c r="H792" s="86" t="e">
        <f>IF(I792="fora",0%,G792/QUÓRUM!$C$6)</f>
        <v>#DIV/0!</v>
      </c>
      <c r="I792" s="87"/>
      <c r="J792" s="88"/>
      <c r="K792" s="88"/>
      <c r="L792" s="89"/>
      <c r="M792" s="89"/>
      <c r="N792" s="90"/>
      <c r="O792" s="87"/>
      <c r="P792" s="87"/>
      <c r="Q792" s="87"/>
      <c r="R792" s="91"/>
      <c r="S792" s="92"/>
      <c r="T792" s="93"/>
    </row>
    <row r="793" spans="1:20" s="94" customFormat="1" ht="12" customHeight="1" x14ac:dyDescent="0.3">
      <c r="A793" s="82"/>
      <c r="B793" s="83"/>
      <c r="C793" s="87"/>
      <c r="D793" s="84"/>
      <c r="E793" s="83"/>
      <c r="F793" s="82"/>
      <c r="G793" s="85"/>
      <c r="H793" s="86" t="e">
        <f>IF(I793="fora",0%,G793/QUÓRUM!$C$6)</f>
        <v>#DIV/0!</v>
      </c>
      <c r="I793" s="87"/>
      <c r="J793" s="88"/>
      <c r="K793" s="88"/>
      <c r="L793" s="89"/>
      <c r="M793" s="89"/>
      <c r="N793" s="90"/>
      <c r="O793" s="87"/>
      <c r="P793" s="87"/>
      <c r="Q793" s="87"/>
      <c r="R793" s="91"/>
      <c r="S793" s="92"/>
      <c r="T793" s="93"/>
    </row>
    <row r="794" spans="1:20" s="94" customFormat="1" ht="12" customHeight="1" x14ac:dyDescent="0.3">
      <c r="A794" s="82"/>
      <c r="B794" s="83"/>
      <c r="C794" s="87"/>
      <c r="D794" s="84"/>
      <c r="E794" s="83"/>
      <c r="F794" s="82"/>
      <c r="G794" s="85"/>
      <c r="H794" s="86" t="e">
        <f>IF(I794="fora",0%,G794/QUÓRUM!$C$6)</f>
        <v>#DIV/0!</v>
      </c>
      <c r="I794" s="87"/>
      <c r="J794" s="88"/>
      <c r="K794" s="88"/>
      <c r="L794" s="89"/>
      <c r="M794" s="89"/>
      <c r="N794" s="90"/>
      <c r="O794" s="87"/>
      <c r="P794" s="87"/>
      <c r="Q794" s="87"/>
      <c r="R794" s="91"/>
      <c r="S794" s="92"/>
      <c r="T794" s="93"/>
    </row>
    <row r="795" spans="1:20" s="94" customFormat="1" ht="12" customHeight="1" x14ac:dyDescent="0.3">
      <c r="A795" s="82"/>
      <c r="B795" s="83"/>
      <c r="C795" s="87"/>
      <c r="D795" s="84"/>
      <c r="E795" s="83"/>
      <c r="F795" s="82"/>
      <c r="G795" s="85"/>
      <c r="H795" s="86" t="e">
        <f>IF(I795="fora",0%,G795/QUÓRUM!$C$6)</f>
        <v>#DIV/0!</v>
      </c>
      <c r="I795" s="87"/>
      <c r="J795" s="88"/>
      <c r="K795" s="88"/>
      <c r="L795" s="89"/>
      <c r="M795" s="89"/>
      <c r="N795" s="90"/>
      <c r="O795" s="87"/>
      <c r="P795" s="87"/>
      <c r="Q795" s="87"/>
      <c r="R795" s="91"/>
      <c r="S795" s="92"/>
      <c r="T795" s="93"/>
    </row>
    <row r="796" spans="1:20" s="94" customFormat="1" ht="12" customHeight="1" x14ac:dyDescent="0.3">
      <c r="A796" s="82"/>
      <c r="B796" s="83"/>
      <c r="C796" s="87"/>
      <c r="D796" s="84"/>
      <c r="E796" s="83"/>
      <c r="F796" s="82"/>
      <c r="G796" s="85"/>
      <c r="H796" s="86" t="e">
        <f>IF(I796="fora",0%,G796/QUÓRUM!$C$6)</f>
        <v>#DIV/0!</v>
      </c>
      <c r="I796" s="87"/>
      <c r="J796" s="88"/>
      <c r="K796" s="88"/>
      <c r="L796" s="89"/>
      <c r="M796" s="89"/>
      <c r="N796" s="90"/>
      <c r="O796" s="87"/>
      <c r="P796" s="87"/>
      <c r="Q796" s="87"/>
      <c r="R796" s="91"/>
      <c r="S796" s="92"/>
      <c r="T796" s="93"/>
    </row>
    <row r="797" spans="1:20" s="94" customFormat="1" ht="12" customHeight="1" x14ac:dyDescent="0.3">
      <c r="A797" s="82"/>
      <c r="B797" s="83"/>
      <c r="C797" s="87"/>
      <c r="D797" s="84"/>
      <c r="E797" s="83"/>
      <c r="F797" s="82"/>
      <c r="G797" s="85"/>
      <c r="H797" s="86" t="e">
        <f>IF(I797="fora",0%,G797/QUÓRUM!$C$6)</f>
        <v>#DIV/0!</v>
      </c>
      <c r="I797" s="87"/>
      <c r="J797" s="88"/>
      <c r="K797" s="88"/>
      <c r="L797" s="89"/>
      <c r="M797" s="89"/>
      <c r="N797" s="90"/>
      <c r="O797" s="87"/>
      <c r="P797" s="87"/>
      <c r="Q797" s="87"/>
      <c r="R797" s="91"/>
      <c r="S797" s="92"/>
      <c r="T797" s="93"/>
    </row>
    <row r="798" spans="1:20" s="94" customFormat="1" ht="12" customHeight="1" x14ac:dyDescent="0.3">
      <c r="A798" s="82"/>
      <c r="B798" s="83"/>
      <c r="C798" s="87"/>
      <c r="D798" s="84"/>
      <c r="E798" s="83"/>
      <c r="F798" s="82"/>
      <c r="G798" s="85"/>
      <c r="H798" s="86" t="e">
        <f>IF(I798="fora",0%,G798/QUÓRUM!$C$6)</f>
        <v>#DIV/0!</v>
      </c>
      <c r="I798" s="87"/>
      <c r="J798" s="88"/>
      <c r="K798" s="88"/>
      <c r="L798" s="89"/>
      <c r="M798" s="89"/>
      <c r="N798" s="90"/>
      <c r="O798" s="87"/>
      <c r="P798" s="87"/>
      <c r="Q798" s="87"/>
      <c r="R798" s="91"/>
      <c r="S798" s="92"/>
      <c r="T798" s="93"/>
    </row>
    <row r="799" spans="1:20" s="94" customFormat="1" ht="12" customHeight="1" x14ac:dyDescent="0.3">
      <c r="A799" s="82"/>
      <c r="B799" s="83"/>
      <c r="C799" s="87"/>
      <c r="D799" s="84"/>
      <c r="E799" s="83"/>
      <c r="F799" s="82"/>
      <c r="G799" s="85"/>
      <c r="H799" s="86" t="e">
        <f>IF(I799="fora",0%,G799/QUÓRUM!$C$6)</f>
        <v>#DIV/0!</v>
      </c>
      <c r="I799" s="87"/>
      <c r="J799" s="88"/>
      <c r="K799" s="88"/>
      <c r="L799" s="89"/>
      <c r="M799" s="89"/>
      <c r="N799" s="90"/>
      <c r="O799" s="87"/>
      <c r="P799" s="87"/>
      <c r="Q799" s="87"/>
      <c r="R799" s="91"/>
      <c r="S799" s="92"/>
      <c r="T799" s="93"/>
    </row>
    <row r="800" spans="1:20" s="94" customFormat="1" ht="12" customHeight="1" x14ac:dyDescent="0.3">
      <c r="A800" s="82"/>
      <c r="B800" s="83"/>
      <c r="C800" s="87"/>
      <c r="D800" s="84"/>
      <c r="E800" s="83"/>
      <c r="F800" s="82"/>
      <c r="G800" s="85"/>
      <c r="H800" s="86" t="e">
        <f>IF(I800="fora",0%,G800/QUÓRUM!$C$6)</f>
        <v>#DIV/0!</v>
      </c>
      <c r="I800" s="87"/>
      <c r="J800" s="88"/>
      <c r="K800" s="88"/>
      <c r="L800" s="89"/>
      <c r="M800" s="89"/>
      <c r="N800" s="90"/>
      <c r="O800" s="87"/>
      <c r="P800" s="87"/>
      <c r="Q800" s="87"/>
      <c r="R800" s="91"/>
      <c r="S800" s="92"/>
      <c r="T800" s="93"/>
    </row>
    <row r="801" spans="1:20" s="94" customFormat="1" ht="12" customHeight="1" x14ac:dyDescent="0.3">
      <c r="A801" s="82"/>
      <c r="B801" s="83"/>
      <c r="C801" s="87"/>
      <c r="D801" s="84"/>
      <c r="E801" s="83"/>
      <c r="F801" s="82"/>
      <c r="G801" s="85"/>
      <c r="H801" s="86" t="e">
        <f>IF(I801="fora",0%,G801/QUÓRUM!$C$6)</f>
        <v>#DIV/0!</v>
      </c>
      <c r="I801" s="87"/>
      <c r="J801" s="88"/>
      <c r="K801" s="88"/>
      <c r="L801" s="89"/>
      <c r="M801" s="89"/>
      <c r="N801" s="90"/>
      <c r="O801" s="87"/>
      <c r="P801" s="87"/>
      <c r="Q801" s="87"/>
      <c r="R801" s="91"/>
      <c r="S801" s="92"/>
      <c r="T801" s="93"/>
    </row>
    <row r="802" spans="1:20" s="94" customFormat="1" x14ac:dyDescent="0.3">
      <c r="A802" s="82"/>
      <c r="B802" s="83"/>
      <c r="C802" s="87"/>
      <c r="D802" s="84"/>
      <c r="E802" s="83"/>
      <c r="F802" s="82"/>
      <c r="G802" s="85"/>
      <c r="H802" s="86" t="e">
        <f>IF(I802="fora",0%,G802/QUÓRUM!$C$6)</f>
        <v>#DIV/0!</v>
      </c>
      <c r="I802" s="87"/>
      <c r="J802" s="88"/>
      <c r="K802" s="88"/>
      <c r="L802" s="89"/>
      <c r="M802" s="89"/>
      <c r="N802" s="90"/>
      <c r="O802" s="87"/>
      <c r="P802" s="87"/>
      <c r="Q802" s="87"/>
      <c r="R802" s="91"/>
      <c r="S802" s="92"/>
      <c r="T802" s="93"/>
    </row>
    <row r="803" spans="1:20" s="94" customFormat="1" x14ac:dyDescent="0.3">
      <c r="A803" s="82"/>
      <c r="B803" s="83"/>
      <c r="C803" s="87"/>
      <c r="D803" s="84"/>
      <c r="E803" s="83"/>
      <c r="F803" s="82"/>
      <c r="G803" s="85"/>
      <c r="H803" s="86" t="e">
        <f>IF(I803="fora",0%,G803/QUÓRUM!$C$6)</f>
        <v>#DIV/0!</v>
      </c>
      <c r="I803" s="87"/>
      <c r="J803" s="88"/>
      <c r="K803" s="88"/>
      <c r="L803" s="89"/>
      <c r="M803" s="89"/>
      <c r="N803" s="90"/>
      <c r="O803" s="87"/>
      <c r="P803" s="87"/>
      <c r="Q803" s="87"/>
      <c r="R803" s="91"/>
      <c r="S803" s="92"/>
      <c r="T803" s="93"/>
    </row>
    <row r="804" spans="1:20" s="94" customFormat="1" x14ac:dyDescent="0.3">
      <c r="A804" s="82"/>
      <c r="B804" s="83"/>
      <c r="C804" s="87"/>
      <c r="D804" s="84"/>
      <c r="E804" s="83"/>
      <c r="F804" s="82"/>
      <c r="G804" s="85"/>
      <c r="H804" s="86" t="e">
        <f>IF(I804="fora",0%,G804/QUÓRUM!$C$6)</f>
        <v>#DIV/0!</v>
      </c>
      <c r="I804" s="87"/>
      <c r="J804" s="88"/>
      <c r="K804" s="88"/>
      <c r="L804" s="89"/>
      <c r="M804" s="89"/>
      <c r="N804" s="90"/>
      <c r="O804" s="87"/>
      <c r="P804" s="87"/>
      <c r="Q804" s="87"/>
      <c r="R804" s="91"/>
      <c r="S804" s="92"/>
      <c r="T804" s="93"/>
    </row>
    <row r="805" spans="1:20" s="94" customFormat="1" x14ac:dyDescent="0.3">
      <c r="A805" s="82"/>
      <c r="B805" s="83"/>
      <c r="C805" s="87"/>
      <c r="D805" s="84"/>
      <c r="E805" s="83"/>
      <c r="F805" s="82"/>
      <c r="G805" s="85"/>
      <c r="H805" s="86" t="e">
        <f>IF(I805="fora",0%,G805/QUÓRUM!$C$6)</f>
        <v>#DIV/0!</v>
      </c>
      <c r="I805" s="87"/>
      <c r="J805" s="88"/>
      <c r="K805" s="88"/>
      <c r="L805" s="89"/>
      <c r="M805" s="89"/>
      <c r="N805" s="90"/>
      <c r="O805" s="87"/>
      <c r="P805" s="87"/>
      <c r="Q805" s="87"/>
      <c r="R805" s="91"/>
      <c r="S805" s="92"/>
      <c r="T805" s="93"/>
    </row>
    <row r="806" spans="1:20" s="94" customFormat="1" x14ac:dyDescent="0.3">
      <c r="A806" s="82"/>
      <c r="B806" s="83"/>
      <c r="C806" s="87"/>
      <c r="D806" s="84"/>
      <c r="E806" s="83"/>
      <c r="F806" s="82"/>
      <c r="G806" s="85"/>
      <c r="H806" s="86" t="e">
        <f>IF(I806="fora",0%,G806/QUÓRUM!$C$6)</f>
        <v>#DIV/0!</v>
      </c>
      <c r="I806" s="87"/>
      <c r="J806" s="88"/>
      <c r="K806" s="88"/>
      <c r="L806" s="89"/>
      <c r="M806" s="89"/>
      <c r="N806" s="90"/>
      <c r="O806" s="87"/>
      <c r="P806" s="87"/>
      <c r="Q806" s="87"/>
      <c r="R806" s="91"/>
      <c r="S806" s="92"/>
      <c r="T806" s="93"/>
    </row>
    <row r="807" spans="1:20" s="94" customFormat="1" x14ac:dyDescent="0.3">
      <c r="A807" s="82"/>
      <c r="B807" s="83"/>
      <c r="C807" s="87"/>
      <c r="D807" s="84"/>
      <c r="E807" s="83"/>
      <c r="F807" s="82"/>
      <c r="G807" s="85"/>
      <c r="H807" s="86" t="e">
        <f>IF(I807="fora",0%,G807/QUÓRUM!$C$6)</f>
        <v>#DIV/0!</v>
      </c>
      <c r="I807" s="87"/>
      <c r="J807" s="88"/>
      <c r="K807" s="88"/>
      <c r="L807" s="89"/>
      <c r="M807" s="89"/>
      <c r="N807" s="90"/>
      <c r="O807" s="87"/>
      <c r="P807" s="87"/>
      <c r="Q807" s="87"/>
      <c r="R807" s="91"/>
      <c r="S807" s="92"/>
      <c r="T807" s="93"/>
    </row>
    <row r="808" spans="1:20" s="94" customFormat="1" x14ac:dyDescent="0.3">
      <c r="A808" s="82"/>
      <c r="B808" s="83"/>
      <c r="C808" s="87"/>
      <c r="D808" s="84"/>
      <c r="E808" s="83"/>
      <c r="F808" s="82"/>
      <c r="G808" s="85"/>
      <c r="H808" s="86" t="e">
        <f>IF(I808="fora",0%,G808/QUÓRUM!$C$6)</f>
        <v>#DIV/0!</v>
      </c>
      <c r="I808" s="87"/>
      <c r="J808" s="88"/>
      <c r="K808" s="88"/>
      <c r="L808" s="89"/>
      <c r="M808" s="89"/>
      <c r="N808" s="90"/>
      <c r="O808" s="87"/>
      <c r="P808" s="87"/>
      <c r="Q808" s="87"/>
      <c r="R808" s="91"/>
      <c r="S808" s="92"/>
      <c r="T808" s="93"/>
    </row>
    <row r="809" spans="1:20" s="94" customFormat="1" x14ac:dyDescent="0.3">
      <c r="A809" s="82"/>
      <c r="B809" s="83"/>
      <c r="C809" s="87"/>
      <c r="D809" s="84"/>
      <c r="E809" s="83"/>
      <c r="F809" s="82"/>
      <c r="G809" s="85"/>
      <c r="H809" s="86" t="e">
        <f>IF(I809="fora",0%,G809/QUÓRUM!$C$6)</f>
        <v>#DIV/0!</v>
      </c>
      <c r="I809" s="87"/>
      <c r="J809" s="88"/>
      <c r="K809" s="88"/>
      <c r="L809" s="89"/>
      <c r="M809" s="89"/>
      <c r="N809" s="90"/>
      <c r="O809" s="87"/>
      <c r="P809" s="87"/>
      <c r="Q809" s="87"/>
      <c r="R809" s="91"/>
      <c r="S809" s="92"/>
      <c r="T809" s="93"/>
    </row>
    <row r="810" spans="1:20" s="94" customFormat="1" x14ac:dyDescent="0.3">
      <c r="A810" s="82"/>
      <c r="B810" s="83"/>
      <c r="C810" s="87"/>
      <c r="D810" s="84"/>
      <c r="E810" s="83"/>
      <c r="F810" s="82"/>
      <c r="G810" s="85"/>
      <c r="H810" s="86" t="e">
        <f>IF(I810="fora",0%,G810/QUÓRUM!$C$6)</f>
        <v>#DIV/0!</v>
      </c>
      <c r="I810" s="87"/>
      <c r="J810" s="88"/>
      <c r="K810" s="88"/>
      <c r="L810" s="89"/>
      <c r="M810" s="89"/>
      <c r="N810" s="90"/>
      <c r="O810" s="87"/>
      <c r="P810" s="87"/>
      <c r="Q810" s="87"/>
      <c r="R810" s="91"/>
      <c r="S810" s="92"/>
      <c r="T810" s="93"/>
    </row>
    <row r="811" spans="1:20" s="94" customFormat="1" x14ac:dyDescent="0.3">
      <c r="A811" s="82"/>
      <c r="B811" s="83"/>
      <c r="C811" s="87"/>
      <c r="D811" s="84"/>
      <c r="E811" s="83"/>
      <c r="F811" s="82"/>
      <c r="G811" s="85"/>
      <c r="H811" s="86" t="e">
        <f>IF(I811="fora",0%,G811/QUÓRUM!$C$6)</f>
        <v>#DIV/0!</v>
      </c>
      <c r="I811" s="87"/>
      <c r="J811" s="88"/>
      <c r="K811" s="88"/>
      <c r="L811" s="89"/>
      <c r="M811" s="89"/>
      <c r="N811" s="90"/>
      <c r="O811" s="87"/>
      <c r="P811" s="87"/>
      <c r="Q811" s="87"/>
      <c r="R811" s="91"/>
      <c r="S811" s="92"/>
      <c r="T811" s="93"/>
    </row>
    <row r="812" spans="1:20" s="94" customFormat="1" x14ac:dyDescent="0.3">
      <c r="A812" s="82"/>
      <c r="B812" s="83"/>
      <c r="C812" s="87"/>
      <c r="D812" s="84"/>
      <c r="E812" s="83"/>
      <c r="F812" s="82"/>
      <c r="G812" s="85"/>
      <c r="H812" s="86" t="e">
        <f>IF(I812="fora",0%,G812/QUÓRUM!$C$6)</f>
        <v>#DIV/0!</v>
      </c>
      <c r="I812" s="87"/>
      <c r="J812" s="88"/>
      <c r="K812" s="88"/>
      <c r="L812" s="89"/>
      <c r="M812" s="89"/>
      <c r="N812" s="90"/>
      <c r="O812" s="87"/>
      <c r="P812" s="87"/>
      <c r="Q812" s="87"/>
      <c r="R812" s="91"/>
      <c r="S812" s="92"/>
      <c r="T812" s="93"/>
    </row>
    <row r="813" spans="1:20" s="94" customFormat="1" x14ac:dyDescent="0.3">
      <c r="A813" s="82"/>
      <c r="B813" s="83"/>
      <c r="C813" s="87"/>
      <c r="D813" s="84"/>
      <c r="E813" s="83"/>
      <c r="F813" s="82"/>
      <c r="G813" s="85"/>
      <c r="H813" s="86" t="e">
        <f>IF(I813="fora",0%,G813/QUÓRUM!$C$6)</f>
        <v>#DIV/0!</v>
      </c>
      <c r="I813" s="87"/>
      <c r="J813" s="88"/>
      <c r="K813" s="88"/>
      <c r="L813" s="89"/>
      <c r="M813" s="89"/>
      <c r="N813" s="90"/>
      <c r="O813" s="87"/>
      <c r="P813" s="87"/>
      <c r="Q813" s="87"/>
      <c r="R813" s="91"/>
      <c r="S813" s="92"/>
      <c r="T813" s="93"/>
    </row>
    <row r="814" spans="1:20" s="94" customFormat="1" x14ac:dyDescent="0.3">
      <c r="A814" s="82"/>
      <c r="B814" s="83"/>
      <c r="C814" s="87"/>
      <c r="D814" s="84"/>
      <c r="E814" s="83"/>
      <c r="F814" s="82"/>
      <c r="G814" s="85"/>
      <c r="H814" s="86" t="e">
        <f>IF(I814="fora",0%,G814/QUÓRUM!$C$6)</f>
        <v>#DIV/0!</v>
      </c>
      <c r="I814" s="87"/>
      <c r="J814" s="88"/>
      <c r="K814" s="88"/>
      <c r="L814" s="89"/>
      <c r="M814" s="89"/>
      <c r="N814" s="90"/>
      <c r="O814" s="87"/>
      <c r="P814" s="87"/>
      <c r="Q814" s="87"/>
      <c r="R814" s="91"/>
      <c r="S814" s="92"/>
      <c r="T814" s="93"/>
    </row>
    <row r="815" spans="1:20" s="94" customFormat="1" x14ac:dyDescent="0.3">
      <c r="A815" s="82"/>
      <c r="B815" s="83"/>
      <c r="C815" s="87"/>
      <c r="D815" s="84"/>
      <c r="E815" s="83"/>
      <c r="F815" s="82"/>
      <c r="G815" s="85"/>
      <c r="H815" s="86" t="e">
        <f>IF(I815="fora",0%,G815/QUÓRUM!$C$6)</f>
        <v>#DIV/0!</v>
      </c>
      <c r="I815" s="87"/>
      <c r="J815" s="88"/>
      <c r="K815" s="88"/>
      <c r="L815" s="89"/>
      <c r="M815" s="89"/>
      <c r="N815" s="90"/>
      <c r="O815" s="87"/>
      <c r="P815" s="87"/>
      <c r="Q815" s="87"/>
      <c r="R815" s="91"/>
      <c r="S815" s="92"/>
      <c r="T815" s="93"/>
    </row>
    <row r="816" spans="1:20" s="94" customFormat="1" ht="12" customHeight="1" x14ac:dyDescent="0.3">
      <c r="A816" s="82"/>
      <c r="B816" s="83"/>
      <c r="C816" s="87"/>
      <c r="D816" s="84"/>
      <c r="E816" s="83"/>
      <c r="F816" s="82"/>
      <c r="G816" s="85"/>
      <c r="H816" s="86" t="e">
        <f>IF(I816="fora",0%,G816/QUÓRUM!$C$6)</f>
        <v>#DIV/0!</v>
      </c>
      <c r="I816" s="87"/>
      <c r="J816" s="88"/>
      <c r="K816" s="88"/>
      <c r="L816" s="89"/>
      <c r="M816" s="89"/>
      <c r="N816" s="90"/>
      <c r="O816" s="87"/>
      <c r="P816" s="87"/>
      <c r="Q816" s="87"/>
      <c r="R816" s="91"/>
      <c r="S816" s="92"/>
      <c r="T816" s="93"/>
    </row>
    <row r="817" spans="1:20" s="94" customFormat="1" ht="12" customHeight="1" x14ac:dyDescent="0.3">
      <c r="A817" s="82"/>
      <c r="B817" s="83"/>
      <c r="C817" s="87"/>
      <c r="D817" s="84"/>
      <c r="E817" s="83"/>
      <c r="F817" s="82"/>
      <c r="G817" s="85"/>
      <c r="H817" s="86" t="e">
        <f>IF(I817="fora",0%,G817/QUÓRUM!$C$6)</f>
        <v>#DIV/0!</v>
      </c>
      <c r="I817" s="87"/>
      <c r="J817" s="88"/>
      <c r="K817" s="88"/>
      <c r="L817" s="89"/>
      <c r="M817" s="89"/>
      <c r="N817" s="90"/>
      <c r="O817" s="87"/>
      <c r="P817" s="87"/>
      <c r="Q817" s="87"/>
      <c r="R817" s="91"/>
      <c r="S817" s="92"/>
      <c r="T817" s="93"/>
    </row>
    <row r="818" spans="1:20" s="94" customFormat="1" ht="12" customHeight="1" x14ac:dyDescent="0.3">
      <c r="A818" s="82"/>
      <c r="B818" s="83"/>
      <c r="C818" s="87"/>
      <c r="D818" s="84"/>
      <c r="E818" s="83"/>
      <c r="F818" s="82"/>
      <c r="G818" s="85"/>
      <c r="H818" s="86" t="e">
        <f>IF(I818="fora",0%,G818/QUÓRUM!$C$6)</f>
        <v>#DIV/0!</v>
      </c>
      <c r="I818" s="87"/>
      <c r="J818" s="88"/>
      <c r="K818" s="88"/>
      <c r="L818" s="89"/>
      <c r="M818" s="89"/>
      <c r="N818" s="90"/>
      <c r="O818" s="87"/>
      <c r="P818" s="87"/>
      <c r="Q818" s="87"/>
      <c r="R818" s="91"/>
      <c r="S818" s="92"/>
      <c r="T818" s="93"/>
    </row>
    <row r="819" spans="1:20" s="94" customFormat="1" ht="12" customHeight="1" x14ac:dyDescent="0.3">
      <c r="A819" s="82"/>
      <c r="B819" s="83"/>
      <c r="C819" s="87"/>
      <c r="D819" s="84"/>
      <c r="E819" s="83"/>
      <c r="F819" s="82"/>
      <c r="G819" s="85"/>
      <c r="H819" s="86" t="e">
        <f>IF(I819="fora",0%,G819/QUÓRUM!$C$6)</f>
        <v>#DIV/0!</v>
      </c>
      <c r="I819" s="87"/>
      <c r="J819" s="88"/>
      <c r="K819" s="88"/>
      <c r="L819" s="89"/>
      <c r="M819" s="89"/>
      <c r="N819" s="90"/>
      <c r="O819" s="87"/>
      <c r="P819" s="87"/>
      <c r="Q819" s="87"/>
      <c r="R819" s="91"/>
      <c r="S819" s="92"/>
      <c r="T819" s="93"/>
    </row>
    <row r="820" spans="1:20" s="94" customFormat="1" ht="12" customHeight="1" x14ac:dyDescent="0.3">
      <c r="A820" s="82"/>
      <c r="B820" s="83"/>
      <c r="C820" s="87"/>
      <c r="D820" s="84"/>
      <c r="E820" s="83"/>
      <c r="F820" s="82"/>
      <c r="G820" s="85"/>
      <c r="H820" s="86" t="e">
        <f>IF(I820="fora",0%,G820/QUÓRUM!$C$6)</f>
        <v>#DIV/0!</v>
      </c>
      <c r="I820" s="87"/>
      <c r="J820" s="88"/>
      <c r="K820" s="88"/>
      <c r="L820" s="89"/>
      <c r="M820" s="89"/>
      <c r="N820" s="90"/>
      <c r="O820" s="87"/>
      <c r="P820" s="87"/>
      <c r="Q820" s="87"/>
      <c r="R820" s="91"/>
      <c r="S820" s="92"/>
      <c r="T820" s="93"/>
    </row>
    <row r="821" spans="1:20" s="94" customFormat="1" ht="12" customHeight="1" x14ac:dyDescent="0.3">
      <c r="A821" s="82"/>
      <c r="B821" s="83"/>
      <c r="C821" s="87"/>
      <c r="D821" s="84"/>
      <c r="E821" s="83"/>
      <c r="F821" s="82"/>
      <c r="G821" s="85"/>
      <c r="H821" s="86" t="e">
        <f>IF(I821="fora",0%,G821/QUÓRUM!$C$6)</f>
        <v>#DIV/0!</v>
      </c>
      <c r="I821" s="87"/>
      <c r="J821" s="88"/>
      <c r="K821" s="88"/>
      <c r="L821" s="89"/>
      <c r="M821" s="89"/>
      <c r="N821" s="90"/>
      <c r="O821" s="87"/>
      <c r="P821" s="87"/>
      <c r="Q821" s="87"/>
      <c r="R821" s="91"/>
      <c r="S821" s="92"/>
      <c r="T821" s="93"/>
    </row>
    <row r="822" spans="1:20" s="94" customFormat="1" ht="12" customHeight="1" x14ac:dyDescent="0.3">
      <c r="A822" s="82"/>
      <c r="B822" s="83"/>
      <c r="C822" s="87"/>
      <c r="D822" s="84"/>
      <c r="E822" s="83"/>
      <c r="F822" s="82"/>
      <c r="G822" s="85"/>
      <c r="H822" s="86" t="e">
        <f>IF(I822="fora",0%,G822/QUÓRUM!$C$6)</f>
        <v>#DIV/0!</v>
      </c>
      <c r="I822" s="87"/>
      <c r="J822" s="88"/>
      <c r="K822" s="88"/>
      <c r="L822" s="89"/>
      <c r="M822" s="89"/>
      <c r="N822" s="90"/>
      <c r="O822" s="87"/>
      <c r="P822" s="87"/>
      <c r="Q822" s="87"/>
      <c r="R822" s="91"/>
      <c r="S822" s="92"/>
      <c r="T822" s="93"/>
    </row>
    <row r="823" spans="1:20" s="94" customFormat="1" ht="12" customHeight="1" x14ac:dyDescent="0.3">
      <c r="A823" s="82"/>
      <c r="B823" s="83"/>
      <c r="C823" s="87"/>
      <c r="D823" s="84"/>
      <c r="E823" s="83"/>
      <c r="F823" s="82"/>
      <c r="G823" s="85"/>
      <c r="H823" s="86" t="e">
        <f>IF(I823="fora",0%,G823/QUÓRUM!$C$6)</f>
        <v>#DIV/0!</v>
      </c>
      <c r="I823" s="87"/>
      <c r="J823" s="88"/>
      <c r="K823" s="88"/>
      <c r="L823" s="89"/>
      <c r="M823" s="89"/>
      <c r="N823" s="90"/>
      <c r="O823" s="87"/>
      <c r="P823" s="87"/>
      <c r="Q823" s="87"/>
      <c r="R823" s="91"/>
      <c r="S823" s="92"/>
      <c r="T823" s="93"/>
    </row>
    <row r="824" spans="1:20" s="94" customFormat="1" x14ac:dyDescent="0.3">
      <c r="A824" s="82"/>
      <c r="B824" s="83"/>
      <c r="C824" s="87"/>
      <c r="D824" s="84"/>
      <c r="E824" s="83"/>
      <c r="F824" s="82"/>
      <c r="G824" s="95"/>
      <c r="H824" s="86" t="e">
        <f>IF(I824="fora",0%,G824/QUÓRUM!$C$6)</f>
        <v>#DIV/0!</v>
      </c>
      <c r="I824" s="87"/>
      <c r="J824" s="88"/>
      <c r="K824" s="88"/>
      <c r="L824" s="89"/>
      <c r="M824" s="89"/>
      <c r="N824" s="90"/>
      <c r="O824" s="87"/>
      <c r="P824" s="87"/>
      <c r="Q824" s="87"/>
      <c r="R824" s="91"/>
      <c r="S824" s="92"/>
      <c r="T824" s="93"/>
    </row>
    <row r="825" spans="1:20" s="94" customFormat="1" x14ac:dyDescent="0.3">
      <c r="A825" s="82"/>
      <c r="B825" s="83"/>
      <c r="C825" s="87"/>
      <c r="D825" s="84"/>
      <c r="E825" s="83"/>
      <c r="F825" s="82"/>
      <c r="G825" s="85"/>
      <c r="H825" s="86" t="e">
        <f>IF(I825="fora",0%,G825/QUÓRUM!$C$6)</f>
        <v>#DIV/0!</v>
      </c>
      <c r="I825" s="87"/>
      <c r="J825" s="88"/>
      <c r="K825" s="88"/>
      <c r="L825" s="89"/>
      <c r="M825" s="89"/>
      <c r="N825" s="90"/>
      <c r="O825" s="87"/>
      <c r="P825" s="87"/>
      <c r="Q825" s="87"/>
      <c r="R825" s="91"/>
      <c r="S825" s="92"/>
      <c r="T825" s="93"/>
    </row>
    <row r="826" spans="1:20" s="94" customFormat="1" x14ac:dyDescent="0.3">
      <c r="A826" s="82"/>
      <c r="B826" s="83"/>
      <c r="C826" s="87"/>
      <c r="D826" s="84"/>
      <c r="E826" s="83"/>
      <c r="F826" s="82"/>
      <c r="G826" s="85"/>
      <c r="H826" s="86" t="e">
        <f>IF(I826="fora",0%,G826/QUÓRUM!$C$6)</f>
        <v>#DIV/0!</v>
      </c>
      <c r="I826" s="87"/>
      <c r="J826" s="88"/>
      <c r="K826" s="88"/>
      <c r="L826" s="89"/>
      <c r="M826" s="89"/>
      <c r="N826" s="90"/>
      <c r="O826" s="87"/>
      <c r="P826" s="87"/>
      <c r="Q826" s="87"/>
      <c r="R826" s="91"/>
      <c r="S826" s="92"/>
      <c r="T826" s="93"/>
    </row>
    <row r="827" spans="1:20" s="94" customFormat="1" x14ac:dyDescent="0.3">
      <c r="A827" s="82"/>
      <c r="B827" s="83"/>
      <c r="C827" s="87"/>
      <c r="D827" s="84"/>
      <c r="E827" s="83"/>
      <c r="F827" s="82"/>
      <c r="G827" s="85"/>
      <c r="H827" s="86" t="e">
        <f>IF(I827="fora",0%,G827/QUÓRUM!$C$6)</f>
        <v>#DIV/0!</v>
      </c>
      <c r="I827" s="87"/>
      <c r="J827" s="88"/>
      <c r="K827" s="88"/>
      <c r="L827" s="89"/>
      <c r="M827" s="89"/>
      <c r="N827" s="90"/>
      <c r="O827" s="87"/>
      <c r="P827" s="87"/>
      <c r="Q827" s="87"/>
      <c r="R827" s="91"/>
      <c r="S827" s="92"/>
      <c r="T827" s="93"/>
    </row>
    <row r="828" spans="1:20" s="94" customFormat="1" x14ac:dyDescent="0.3">
      <c r="A828" s="82"/>
      <c r="B828" s="83"/>
      <c r="C828" s="87"/>
      <c r="D828" s="84"/>
      <c r="E828" s="83"/>
      <c r="F828" s="82"/>
      <c r="G828" s="85"/>
      <c r="H828" s="86" t="e">
        <f>IF(I828="fora",0%,G828/QUÓRUM!$C$6)</f>
        <v>#DIV/0!</v>
      </c>
      <c r="I828" s="87"/>
      <c r="J828" s="88"/>
      <c r="K828" s="88"/>
      <c r="L828" s="89"/>
      <c r="M828" s="89"/>
      <c r="N828" s="90"/>
      <c r="O828" s="87"/>
      <c r="P828" s="87"/>
      <c r="Q828" s="87"/>
      <c r="R828" s="91"/>
      <c r="S828" s="92"/>
      <c r="T828" s="93"/>
    </row>
    <row r="829" spans="1:20" s="94" customFormat="1" x14ac:dyDescent="0.3">
      <c r="A829" s="82"/>
      <c r="B829" s="83"/>
      <c r="C829" s="87"/>
      <c r="D829" s="84"/>
      <c r="E829" s="83"/>
      <c r="F829" s="82"/>
      <c r="G829" s="85"/>
      <c r="H829" s="86" t="e">
        <f>IF(I829="fora",0%,G829/QUÓRUM!$C$6)</f>
        <v>#DIV/0!</v>
      </c>
      <c r="I829" s="87"/>
      <c r="J829" s="88"/>
      <c r="K829" s="88"/>
      <c r="L829" s="89"/>
      <c r="M829" s="89"/>
      <c r="N829" s="90"/>
      <c r="O829" s="87"/>
      <c r="P829" s="87"/>
      <c r="Q829" s="87"/>
      <c r="R829" s="91"/>
      <c r="S829" s="92"/>
      <c r="T829" s="93"/>
    </row>
    <row r="830" spans="1:20" s="94" customFormat="1" x14ac:dyDescent="0.3">
      <c r="A830" s="82"/>
      <c r="B830" s="83"/>
      <c r="C830" s="87"/>
      <c r="D830" s="84"/>
      <c r="E830" s="83"/>
      <c r="F830" s="82"/>
      <c r="G830" s="85"/>
      <c r="H830" s="86" t="e">
        <f>IF(I830="fora",0%,G830/QUÓRUM!$C$6)</f>
        <v>#DIV/0!</v>
      </c>
      <c r="I830" s="87"/>
      <c r="J830" s="88"/>
      <c r="K830" s="88"/>
      <c r="L830" s="89"/>
      <c r="M830" s="89"/>
      <c r="N830" s="90"/>
      <c r="O830" s="87"/>
      <c r="P830" s="87"/>
      <c r="Q830" s="87"/>
      <c r="R830" s="91"/>
      <c r="S830" s="92"/>
      <c r="T830" s="93"/>
    </row>
    <row r="831" spans="1:20" s="94" customFormat="1" x14ac:dyDescent="0.3">
      <c r="A831" s="82"/>
      <c r="B831" s="83"/>
      <c r="C831" s="87"/>
      <c r="D831" s="84"/>
      <c r="E831" s="83"/>
      <c r="F831" s="82"/>
      <c r="G831" s="85"/>
      <c r="H831" s="86" t="e">
        <f>IF(I831="fora",0%,G831/QUÓRUM!$C$6)</f>
        <v>#DIV/0!</v>
      </c>
      <c r="I831" s="87"/>
      <c r="J831" s="88"/>
      <c r="K831" s="88"/>
      <c r="L831" s="89"/>
      <c r="M831" s="89"/>
      <c r="N831" s="90"/>
      <c r="O831" s="87"/>
      <c r="P831" s="87"/>
      <c r="Q831" s="87"/>
      <c r="R831" s="91"/>
      <c r="S831" s="92"/>
      <c r="T831" s="93"/>
    </row>
    <row r="832" spans="1:20" s="94" customFormat="1" x14ac:dyDescent="0.3">
      <c r="A832" s="82"/>
      <c r="B832" s="83"/>
      <c r="C832" s="87"/>
      <c r="D832" s="84"/>
      <c r="E832" s="83"/>
      <c r="F832" s="82"/>
      <c r="G832" s="85"/>
      <c r="H832" s="86" t="e">
        <f>IF(I832="fora",0%,G832/QUÓRUM!$C$6)</f>
        <v>#DIV/0!</v>
      </c>
      <c r="I832" s="87"/>
      <c r="J832" s="88"/>
      <c r="K832" s="88"/>
      <c r="L832" s="89"/>
      <c r="M832" s="89"/>
      <c r="N832" s="90"/>
      <c r="O832" s="87"/>
      <c r="P832" s="87"/>
      <c r="Q832" s="87"/>
      <c r="R832" s="91"/>
      <c r="S832" s="92"/>
      <c r="T832" s="93"/>
    </row>
    <row r="833" spans="1:20" s="94" customFormat="1" x14ac:dyDescent="0.3">
      <c r="A833" s="82"/>
      <c r="B833" s="83"/>
      <c r="C833" s="87"/>
      <c r="D833" s="84"/>
      <c r="E833" s="83"/>
      <c r="F833" s="82"/>
      <c r="G833" s="85"/>
      <c r="H833" s="86" t="e">
        <f>IF(I833="fora",0%,G833/QUÓRUM!$C$6)</f>
        <v>#DIV/0!</v>
      </c>
      <c r="I833" s="87"/>
      <c r="J833" s="88"/>
      <c r="K833" s="88"/>
      <c r="L833" s="89"/>
      <c r="M833" s="89"/>
      <c r="N833" s="90"/>
      <c r="O833" s="87"/>
      <c r="P833" s="87"/>
      <c r="Q833" s="87"/>
      <c r="R833" s="91"/>
      <c r="S833" s="92"/>
      <c r="T833" s="93"/>
    </row>
    <row r="834" spans="1:20" s="94" customFormat="1" x14ac:dyDescent="0.3">
      <c r="A834" s="82"/>
      <c r="B834" s="83"/>
      <c r="C834" s="87"/>
      <c r="D834" s="84"/>
      <c r="E834" s="83"/>
      <c r="F834" s="82"/>
      <c r="G834" s="85"/>
      <c r="H834" s="86" t="e">
        <f>IF(I834="fora",0%,G834/QUÓRUM!$C$6)</f>
        <v>#DIV/0!</v>
      </c>
      <c r="I834" s="87"/>
      <c r="J834" s="88"/>
      <c r="K834" s="88"/>
      <c r="L834" s="89"/>
      <c r="M834" s="89"/>
      <c r="N834" s="90"/>
      <c r="O834" s="87"/>
      <c r="P834" s="87"/>
      <c r="Q834" s="87"/>
      <c r="R834" s="91"/>
      <c r="S834" s="92"/>
      <c r="T834" s="93"/>
    </row>
    <row r="835" spans="1:20" s="94" customFormat="1" x14ac:dyDescent="0.3">
      <c r="A835" s="82"/>
      <c r="B835" s="83"/>
      <c r="C835" s="87"/>
      <c r="D835" s="84"/>
      <c r="E835" s="83"/>
      <c r="F835" s="82"/>
      <c r="G835" s="85"/>
      <c r="H835" s="86" t="e">
        <f>IF(I835="fora",0%,G835/QUÓRUM!$C$6)</f>
        <v>#DIV/0!</v>
      </c>
      <c r="I835" s="87"/>
      <c r="J835" s="88"/>
      <c r="K835" s="88"/>
      <c r="L835" s="89"/>
      <c r="M835" s="89"/>
      <c r="N835" s="90"/>
      <c r="O835" s="87"/>
      <c r="P835" s="87"/>
      <c r="Q835" s="87"/>
      <c r="R835" s="91"/>
      <c r="S835" s="92"/>
      <c r="T835" s="93"/>
    </row>
    <row r="836" spans="1:20" s="94" customFormat="1" x14ac:dyDescent="0.3">
      <c r="A836" s="82"/>
      <c r="B836" s="83"/>
      <c r="C836" s="87"/>
      <c r="D836" s="84"/>
      <c r="E836" s="83"/>
      <c r="F836" s="82"/>
      <c r="G836" s="85"/>
      <c r="H836" s="86" t="e">
        <f>IF(I836="fora",0%,G836/QUÓRUM!$C$6)</f>
        <v>#DIV/0!</v>
      </c>
      <c r="I836" s="87"/>
      <c r="J836" s="88"/>
      <c r="K836" s="88"/>
      <c r="L836" s="89"/>
      <c r="M836" s="89"/>
      <c r="N836" s="90"/>
      <c r="O836" s="87"/>
      <c r="P836" s="87"/>
      <c r="Q836" s="87"/>
      <c r="R836" s="91"/>
      <c r="S836" s="92"/>
      <c r="T836" s="93"/>
    </row>
    <row r="837" spans="1:20" s="94" customFormat="1" x14ac:dyDescent="0.3">
      <c r="A837" s="82"/>
      <c r="B837" s="83"/>
      <c r="C837" s="87"/>
      <c r="D837" s="84"/>
      <c r="E837" s="83"/>
      <c r="F837" s="82"/>
      <c r="G837" s="85"/>
      <c r="H837" s="86" t="e">
        <f>IF(I837="fora",0%,G837/QUÓRUM!$C$6)</f>
        <v>#DIV/0!</v>
      </c>
      <c r="I837" s="87"/>
      <c r="J837" s="88"/>
      <c r="K837" s="88"/>
      <c r="L837" s="89"/>
      <c r="M837" s="89"/>
      <c r="N837" s="90"/>
      <c r="O837" s="87"/>
      <c r="P837" s="87"/>
      <c r="Q837" s="87"/>
      <c r="R837" s="91"/>
      <c r="S837" s="92"/>
      <c r="T837" s="93"/>
    </row>
    <row r="838" spans="1:20" s="94" customFormat="1" x14ac:dyDescent="0.3">
      <c r="A838" s="82"/>
      <c r="B838" s="83"/>
      <c r="C838" s="87"/>
      <c r="D838" s="84"/>
      <c r="E838" s="83"/>
      <c r="F838" s="82"/>
      <c r="G838" s="85"/>
      <c r="H838" s="86" t="e">
        <f>IF(I838="fora",0%,G838/QUÓRUM!$C$6)</f>
        <v>#DIV/0!</v>
      </c>
      <c r="I838" s="87"/>
      <c r="J838" s="88"/>
      <c r="K838" s="88"/>
      <c r="L838" s="89"/>
      <c r="M838" s="89"/>
      <c r="N838" s="90"/>
      <c r="O838" s="87"/>
      <c r="P838" s="87"/>
      <c r="Q838" s="87"/>
      <c r="R838" s="91"/>
      <c r="S838" s="92"/>
      <c r="T838" s="93"/>
    </row>
    <row r="839" spans="1:20" s="94" customFormat="1" x14ac:dyDescent="0.3">
      <c r="A839" s="82"/>
      <c r="B839" s="83"/>
      <c r="C839" s="87"/>
      <c r="D839" s="84"/>
      <c r="E839" s="83"/>
      <c r="F839" s="82"/>
      <c r="G839" s="85"/>
      <c r="H839" s="86" t="e">
        <f>IF(I839="fora",0%,G839/QUÓRUM!$C$6)</f>
        <v>#DIV/0!</v>
      </c>
      <c r="I839" s="87"/>
      <c r="J839" s="88"/>
      <c r="K839" s="88"/>
      <c r="L839" s="89"/>
      <c r="M839" s="89"/>
      <c r="N839" s="90"/>
      <c r="O839" s="87"/>
      <c r="P839" s="87"/>
      <c r="Q839" s="87"/>
      <c r="R839" s="91"/>
      <c r="S839" s="92"/>
      <c r="T839" s="93"/>
    </row>
    <row r="840" spans="1:20" s="94" customFormat="1" x14ac:dyDescent="0.3">
      <c r="A840" s="82"/>
      <c r="B840" s="83"/>
      <c r="C840" s="87"/>
      <c r="D840" s="84"/>
      <c r="E840" s="83"/>
      <c r="F840" s="82"/>
      <c r="G840" s="85"/>
      <c r="H840" s="86" t="e">
        <f>IF(I840="fora",0%,G840/QUÓRUM!$C$6)</f>
        <v>#DIV/0!</v>
      </c>
      <c r="I840" s="87"/>
      <c r="J840" s="88"/>
      <c r="K840" s="88"/>
      <c r="L840" s="89"/>
      <c r="M840" s="89"/>
      <c r="N840" s="90"/>
      <c r="O840" s="87"/>
      <c r="P840" s="87"/>
      <c r="Q840" s="87"/>
      <c r="R840" s="91"/>
      <c r="S840" s="92"/>
      <c r="T840" s="93"/>
    </row>
    <row r="841" spans="1:20" s="94" customFormat="1" x14ac:dyDescent="0.3">
      <c r="A841" s="82"/>
      <c r="B841" s="83"/>
      <c r="C841" s="87"/>
      <c r="D841" s="84"/>
      <c r="E841" s="83"/>
      <c r="F841" s="82"/>
      <c r="G841" s="85"/>
      <c r="H841" s="86" t="e">
        <f>IF(I841="fora",0%,G841/QUÓRUM!$C$6)</f>
        <v>#DIV/0!</v>
      </c>
      <c r="I841" s="87"/>
      <c r="J841" s="88"/>
      <c r="K841" s="88"/>
      <c r="L841" s="89"/>
      <c r="M841" s="89"/>
      <c r="N841" s="90"/>
      <c r="O841" s="87"/>
      <c r="P841" s="87"/>
      <c r="Q841" s="87"/>
      <c r="R841" s="91"/>
      <c r="S841" s="92"/>
      <c r="T841" s="93"/>
    </row>
    <row r="842" spans="1:20" s="94" customFormat="1" x14ac:dyDescent="0.3">
      <c r="A842" s="82"/>
      <c r="B842" s="83"/>
      <c r="C842" s="87"/>
      <c r="D842" s="84"/>
      <c r="E842" s="83"/>
      <c r="F842" s="82"/>
      <c r="G842" s="85"/>
      <c r="H842" s="86" t="e">
        <f>IF(I842="fora",0%,G842/QUÓRUM!$C$6)</f>
        <v>#DIV/0!</v>
      </c>
      <c r="I842" s="87"/>
      <c r="J842" s="88"/>
      <c r="K842" s="88"/>
      <c r="L842" s="89"/>
      <c r="M842" s="89"/>
      <c r="N842" s="90"/>
      <c r="O842" s="87"/>
      <c r="P842" s="87"/>
      <c r="Q842" s="87"/>
      <c r="R842" s="91"/>
      <c r="S842" s="92"/>
      <c r="T842" s="93"/>
    </row>
    <row r="843" spans="1:20" s="94" customFormat="1" x14ac:dyDescent="0.3">
      <c r="A843" s="82"/>
      <c r="B843" s="83"/>
      <c r="C843" s="87"/>
      <c r="D843" s="84"/>
      <c r="E843" s="83"/>
      <c r="F843" s="82"/>
      <c r="G843" s="85"/>
      <c r="H843" s="86" t="e">
        <f>IF(I843="fora",0%,G843/QUÓRUM!$C$6)</f>
        <v>#DIV/0!</v>
      </c>
      <c r="I843" s="87"/>
      <c r="J843" s="88"/>
      <c r="K843" s="88"/>
      <c r="L843" s="89"/>
      <c r="M843" s="89"/>
      <c r="N843" s="90"/>
      <c r="O843" s="87"/>
      <c r="P843" s="87"/>
      <c r="Q843" s="87"/>
      <c r="R843" s="91"/>
      <c r="S843" s="92"/>
      <c r="T843" s="93"/>
    </row>
    <row r="844" spans="1:20" s="94" customFormat="1" x14ac:dyDescent="0.3">
      <c r="A844" s="82"/>
      <c r="B844" s="83"/>
      <c r="C844" s="87"/>
      <c r="D844" s="84"/>
      <c r="E844" s="83"/>
      <c r="F844" s="82"/>
      <c r="G844" s="85"/>
      <c r="H844" s="86" t="e">
        <f>IF(I844="fora",0%,G844/QUÓRUM!$C$6)</f>
        <v>#DIV/0!</v>
      </c>
      <c r="I844" s="87"/>
      <c r="J844" s="88"/>
      <c r="K844" s="88"/>
      <c r="L844" s="89"/>
      <c r="M844" s="89"/>
      <c r="N844" s="90"/>
      <c r="O844" s="87"/>
      <c r="P844" s="87"/>
      <c r="Q844" s="87"/>
      <c r="R844" s="91"/>
      <c r="S844" s="92"/>
      <c r="T844" s="93"/>
    </row>
    <row r="845" spans="1:20" s="94" customFormat="1" x14ac:dyDescent="0.3">
      <c r="A845" s="82"/>
      <c r="B845" s="83"/>
      <c r="C845" s="87"/>
      <c r="D845" s="84"/>
      <c r="E845" s="83"/>
      <c r="F845" s="82"/>
      <c r="G845" s="85"/>
      <c r="H845" s="86" t="e">
        <f>IF(I845="fora",0%,G845/QUÓRUM!$C$6)</f>
        <v>#DIV/0!</v>
      </c>
      <c r="I845" s="87"/>
      <c r="J845" s="88"/>
      <c r="K845" s="88"/>
      <c r="L845" s="89"/>
      <c r="M845" s="89"/>
      <c r="N845" s="90"/>
      <c r="O845" s="87"/>
      <c r="P845" s="87"/>
      <c r="Q845" s="87"/>
      <c r="R845" s="91"/>
      <c r="S845" s="92"/>
      <c r="T845" s="93"/>
    </row>
    <row r="846" spans="1:20" s="94" customFormat="1" x14ac:dyDescent="0.3">
      <c r="A846" s="82"/>
      <c r="B846" s="83"/>
      <c r="C846" s="87"/>
      <c r="D846" s="84"/>
      <c r="E846" s="83"/>
      <c r="F846" s="82"/>
      <c r="G846" s="85"/>
      <c r="H846" s="86" t="e">
        <f>IF(I846="fora",0%,G846/QUÓRUM!$C$6)</f>
        <v>#DIV/0!</v>
      </c>
      <c r="I846" s="87"/>
      <c r="J846" s="88"/>
      <c r="K846" s="88"/>
      <c r="L846" s="89"/>
      <c r="M846" s="89"/>
      <c r="N846" s="90"/>
      <c r="O846" s="87"/>
      <c r="P846" s="87"/>
      <c r="Q846" s="87"/>
      <c r="R846" s="91"/>
      <c r="S846" s="92"/>
      <c r="T846" s="93"/>
    </row>
    <row r="847" spans="1:20" s="94" customFormat="1" x14ac:dyDescent="0.3">
      <c r="A847" s="82"/>
      <c r="B847" s="83"/>
      <c r="C847" s="87"/>
      <c r="D847" s="84"/>
      <c r="E847" s="83"/>
      <c r="F847" s="82"/>
      <c r="G847" s="85"/>
      <c r="H847" s="86" t="e">
        <f>IF(I847="fora",0%,G847/QUÓRUM!$C$6)</f>
        <v>#DIV/0!</v>
      </c>
      <c r="I847" s="87"/>
      <c r="J847" s="88"/>
      <c r="K847" s="88"/>
      <c r="L847" s="89"/>
      <c r="M847" s="89"/>
      <c r="N847" s="90"/>
      <c r="O847" s="87"/>
      <c r="P847" s="87"/>
      <c r="Q847" s="87"/>
      <c r="R847" s="91"/>
      <c r="S847" s="92"/>
      <c r="T847" s="93"/>
    </row>
    <row r="848" spans="1:20" s="94" customFormat="1" x14ac:dyDescent="0.3">
      <c r="A848" s="82"/>
      <c r="B848" s="83"/>
      <c r="C848" s="87"/>
      <c r="D848" s="84"/>
      <c r="E848" s="83"/>
      <c r="F848" s="82"/>
      <c r="G848" s="85"/>
      <c r="H848" s="86" t="e">
        <f>IF(I848="fora",0%,G848/QUÓRUM!$C$6)</f>
        <v>#DIV/0!</v>
      </c>
      <c r="I848" s="87"/>
      <c r="J848" s="88"/>
      <c r="K848" s="88"/>
      <c r="L848" s="89"/>
      <c r="M848" s="89"/>
      <c r="N848" s="90"/>
      <c r="O848" s="87"/>
      <c r="P848" s="87"/>
      <c r="Q848" s="87"/>
      <c r="R848" s="91"/>
      <c r="S848" s="92"/>
      <c r="T848" s="93"/>
    </row>
    <row r="849" spans="1:20" s="94" customFormat="1" ht="12" customHeight="1" x14ac:dyDescent="0.3">
      <c r="A849" s="82"/>
      <c r="B849" s="83"/>
      <c r="C849" s="87"/>
      <c r="D849" s="84"/>
      <c r="E849" s="83"/>
      <c r="F849" s="82"/>
      <c r="G849" s="85"/>
      <c r="H849" s="86" t="e">
        <f>IF(I849="fora",0%,G849/QUÓRUM!$C$6)</f>
        <v>#DIV/0!</v>
      </c>
      <c r="I849" s="87"/>
      <c r="J849" s="88"/>
      <c r="K849" s="88"/>
      <c r="L849" s="89"/>
      <c r="M849" s="89"/>
      <c r="N849" s="90"/>
      <c r="O849" s="87"/>
      <c r="P849" s="87"/>
      <c r="Q849" s="87"/>
      <c r="R849" s="91"/>
      <c r="S849" s="92"/>
      <c r="T849" s="93"/>
    </row>
    <row r="850" spans="1:20" s="94" customFormat="1" ht="12" customHeight="1" x14ac:dyDescent="0.3">
      <c r="A850" s="82"/>
      <c r="B850" s="83"/>
      <c r="C850" s="87"/>
      <c r="D850" s="84"/>
      <c r="E850" s="83"/>
      <c r="F850" s="82"/>
      <c r="G850" s="85"/>
      <c r="H850" s="86" t="e">
        <f>IF(I850="fora",0%,G850/QUÓRUM!$C$6)</f>
        <v>#DIV/0!</v>
      </c>
      <c r="I850" s="87"/>
      <c r="J850" s="88"/>
      <c r="K850" s="88"/>
      <c r="L850" s="89"/>
      <c r="M850" s="89"/>
      <c r="N850" s="90"/>
      <c r="O850" s="87"/>
      <c r="P850" s="87"/>
      <c r="Q850" s="87"/>
      <c r="R850" s="91"/>
      <c r="S850" s="92"/>
      <c r="T850" s="93"/>
    </row>
    <row r="851" spans="1:20" s="94" customFormat="1" ht="12" customHeight="1" x14ac:dyDescent="0.3">
      <c r="A851" s="82"/>
      <c r="B851" s="83"/>
      <c r="C851" s="87"/>
      <c r="D851" s="84"/>
      <c r="E851" s="83"/>
      <c r="F851" s="82"/>
      <c r="G851" s="85"/>
      <c r="H851" s="86" t="e">
        <f>IF(I851="fora",0%,G851/QUÓRUM!$C$6)</f>
        <v>#DIV/0!</v>
      </c>
      <c r="I851" s="87"/>
      <c r="J851" s="88"/>
      <c r="K851" s="88"/>
      <c r="L851" s="89"/>
      <c r="M851" s="89"/>
      <c r="N851" s="90"/>
      <c r="O851" s="87"/>
      <c r="P851" s="87"/>
      <c r="Q851" s="87"/>
      <c r="R851" s="91"/>
      <c r="S851" s="92"/>
      <c r="T851" s="93"/>
    </row>
    <row r="852" spans="1:20" s="94" customFormat="1" ht="12" customHeight="1" x14ac:dyDescent="0.3">
      <c r="A852" s="82"/>
      <c r="B852" s="83"/>
      <c r="C852" s="87"/>
      <c r="D852" s="84"/>
      <c r="E852" s="83"/>
      <c r="F852" s="82"/>
      <c r="G852" s="85"/>
      <c r="H852" s="86" t="e">
        <f>IF(I852="fora",0%,G852/QUÓRUM!$C$6)</f>
        <v>#DIV/0!</v>
      </c>
      <c r="I852" s="87"/>
      <c r="J852" s="88"/>
      <c r="K852" s="88"/>
      <c r="L852" s="89"/>
      <c r="M852" s="89"/>
      <c r="N852" s="90"/>
      <c r="O852" s="87"/>
      <c r="P852" s="87"/>
      <c r="Q852" s="87"/>
      <c r="R852" s="91"/>
      <c r="S852" s="92"/>
      <c r="T852" s="93"/>
    </row>
    <row r="853" spans="1:20" s="94" customFormat="1" ht="12" customHeight="1" x14ac:dyDescent="0.3">
      <c r="A853" s="82"/>
      <c r="B853" s="83"/>
      <c r="C853" s="87"/>
      <c r="D853" s="84"/>
      <c r="E853" s="83"/>
      <c r="F853" s="82"/>
      <c r="G853" s="85"/>
      <c r="H853" s="86" t="e">
        <f>IF(I853="fora",0%,G853/QUÓRUM!$C$6)</f>
        <v>#DIV/0!</v>
      </c>
      <c r="I853" s="87"/>
      <c r="J853" s="88"/>
      <c r="K853" s="88"/>
      <c r="L853" s="89"/>
      <c r="M853" s="89"/>
      <c r="N853" s="90"/>
      <c r="O853" s="87"/>
      <c r="P853" s="87"/>
      <c r="Q853" s="87"/>
      <c r="R853" s="91"/>
      <c r="S853" s="92"/>
      <c r="T853" s="93"/>
    </row>
    <row r="854" spans="1:20" s="94" customFormat="1" ht="12" customHeight="1" x14ac:dyDescent="0.3">
      <c r="A854" s="82"/>
      <c r="B854" s="83"/>
      <c r="C854" s="87"/>
      <c r="D854" s="84"/>
      <c r="E854" s="83"/>
      <c r="F854" s="82"/>
      <c r="G854" s="85"/>
      <c r="H854" s="86" t="e">
        <f>IF(I854="fora",0%,G854/QUÓRUM!$C$6)</f>
        <v>#DIV/0!</v>
      </c>
      <c r="I854" s="87"/>
      <c r="J854" s="88"/>
      <c r="K854" s="88"/>
      <c r="L854" s="89"/>
      <c r="M854" s="89"/>
      <c r="N854" s="90"/>
      <c r="O854" s="87"/>
      <c r="P854" s="87"/>
      <c r="Q854" s="87"/>
      <c r="R854" s="91"/>
      <c r="S854" s="92"/>
      <c r="T854" s="93"/>
    </row>
    <row r="855" spans="1:20" s="94" customFormat="1" ht="12" customHeight="1" x14ac:dyDescent="0.3">
      <c r="A855" s="82"/>
      <c r="B855" s="83"/>
      <c r="C855" s="87"/>
      <c r="D855" s="84"/>
      <c r="E855" s="83"/>
      <c r="F855" s="82"/>
      <c r="G855" s="85"/>
      <c r="H855" s="86" t="e">
        <f>IF(I855="fora",0%,G855/QUÓRUM!$C$6)</f>
        <v>#DIV/0!</v>
      </c>
      <c r="I855" s="87"/>
      <c r="J855" s="88"/>
      <c r="K855" s="88"/>
      <c r="L855" s="89"/>
      <c r="M855" s="89"/>
      <c r="N855" s="90"/>
      <c r="O855" s="87"/>
      <c r="P855" s="87"/>
      <c r="Q855" s="87"/>
      <c r="R855" s="91"/>
      <c r="S855" s="92"/>
      <c r="T855" s="93"/>
    </row>
    <row r="856" spans="1:20" s="94" customFormat="1" ht="12" customHeight="1" x14ac:dyDescent="0.3">
      <c r="A856" s="82"/>
      <c r="B856" s="83"/>
      <c r="C856" s="87"/>
      <c r="D856" s="84"/>
      <c r="E856" s="83"/>
      <c r="F856" s="82"/>
      <c r="G856" s="85"/>
      <c r="H856" s="86" t="e">
        <f>IF(I856="fora",0%,G856/QUÓRUM!$C$6)</f>
        <v>#DIV/0!</v>
      </c>
      <c r="I856" s="87"/>
      <c r="J856" s="88"/>
      <c r="K856" s="88"/>
      <c r="L856" s="89"/>
      <c r="M856" s="89"/>
      <c r="N856" s="90"/>
      <c r="O856" s="87"/>
      <c r="P856" s="87"/>
      <c r="Q856" s="87"/>
      <c r="R856" s="91"/>
      <c r="S856" s="92"/>
      <c r="T856" s="93"/>
    </row>
    <row r="857" spans="1:20" s="94" customFormat="1" ht="12" customHeight="1" x14ac:dyDescent="0.3">
      <c r="A857" s="82"/>
      <c r="B857" s="83"/>
      <c r="C857" s="87"/>
      <c r="D857" s="84"/>
      <c r="E857" s="83"/>
      <c r="F857" s="82"/>
      <c r="G857" s="85"/>
      <c r="H857" s="86" t="e">
        <f>IF(I857="fora",0%,G857/QUÓRUM!$C$6)</f>
        <v>#DIV/0!</v>
      </c>
      <c r="I857" s="87"/>
      <c r="J857" s="88"/>
      <c r="K857" s="88"/>
      <c r="L857" s="89"/>
      <c r="M857" s="89"/>
      <c r="N857" s="90"/>
      <c r="O857" s="87"/>
      <c r="P857" s="87"/>
      <c r="Q857" s="87"/>
      <c r="R857" s="91"/>
      <c r="S857" s="92"/>
      <c r="T857" s="93"/>
    </row>
    <row r="858" spans="1:20" s="94" customFormat="1" ht="12" customHeight="1" x14ac:dyDescent="0.3">
      <c r="A858" s="82"/>
      <c r="B858" s="83"/>
      <c r="C858" s="87"/>
      <c r="D858" s="84"/>
      <c r="E858" s="83"/>
      <c r="F858" s="82"/>
      <c r="G858" s="85"/>
      <c r="H858" s="86" t="e">
        <f>IF(I858="fora",0%,G858/QUÓRUM!$C$6)</f>
        <v>#DIV/0!</v>
      </c>
      <c r="I858" s="87"/>
      <c r="J858" s="88"/>
      <c r="K858" s="88"/>
      <c r="L858" s="89"/>
      <c r="M858" s="89"/>
      <c r="N858" s="90"/>
      <c r="O858" s="87"/>
      <c r="P858" s="87"/>
      <c r="Q858" s="87"/>
      <c r="R858" s="91"/>
      <c r="S858" s="92"/>
      <c r="T858" s="93"/>
    </row>
    <row r="859" spans="1:20" s="94" customFormat="1" ht="12" customHeight="1" x14ac:dyDescent="0.3">
      <c r="A859" s="82"/>
      <c r="B859" s="83"/>
      <c r="C859" s="87"/>
      <c r="D859" s="84"/>
      <c r="E859" s="83"/>
      <c r="F859" s="82"/>
      <c r="G859" s="85"/>
      <c r="H859" s="86" t="e">
        <f>IF(I859="fora",0%,G859/QUÓRUM!$C$6)</f>
        <v>#DIV/0!</v>
      </c>
      <c r="I859" s="87"/>
      <c r="J859" s="88"/>
      <c r="K859" s="88"/>
      <c r="L859" s="89"/>
      <c r="M859" s="89"/>
      <c r="N859" s="90"/>
      <c r="O859" s="87"/>
      <c r="P859" s="87"/>
      <c r="Q859" s="87"/>
      <c r="R859" s="91"/>
      <c r="S859" s="92"/>
      <c r="T859" s="93"/>
    </row>
    <row r="860" spans="1:20" s="94" customFormat="1" ht="12" customHeight="1" x14ac:dyDescent="0.3">
      <c r="A860" s="82"/>
      <c r="B860" s="83"/>
      <c r="C860" s="87"/>
      <c r="D860" s="84"/>
      <c r="E860" s="83"/>
      <c r="F860" s="82"/>
      <c r="G860" s="85"/>
      <c r="H860" s="86" t="e">
        <f>IF(I860="fora",0%,G860/QUÓRUM!$C$6)</f>
        <v>#DIV/0!</v>
      </c>
      <c r="I860" s="87"/>
      <c r="J860" s="88"/>
      <c r="K860" s="88"/>
      <c r="L860" s="89"/>
      <c r="M860" s="89"/>
      <c r="N860" s="90"/>
      <c r="O860" s="87"/>
      <c r="P860" s="87"/>
      <c r="Q860" s="87"/>
      <c r="R860" s="91"/>
      <c r="S860" s="92"/>
      <c r="T860" s="93"/>
    </row>
    <row r="861" spans="1:20" s="94" customFormat="1" ht="12" customHeight="1" x14ac:dyDescent="0.3">
      <c r="A861" s="82"/>
      <c r="B861" s="83"/>
      <c r="C861" s="87"/>
      <c r="D861" s="84"/>
      <c r="E861" s="83"/>
      <c r="F861" s="82"/>
      <c r="G861" s="85"/>
      <c r="H861" s="86" t="e">
        <f>IF(I861="fora",0%,G861/QUÓRUM!$C$6)</f>
        <v>#DIV/0!</v>
      </c>
      <c r="I861" s="87"/>
      <c r="J861" s="88"/>
      <c r="K861" s="88"/>
      <c r="L861" s="89"/>
      <c r="M861" s="89"/>
      <c r="N861" s="90"/>
      <c r="O861" s="87"/>
      <c r="P861" s="87"/>
      <c r="Q861" s="87"/>
      <c r="R861" s="91"/>
      <c r="S861" s="92"/>
      <c r="T861" s="93"/>
    </row>
    <row r="862" spans="1:20" s="94" customFormat="1" x14ac:dyDescent="0.3">
      <c r="A862" s="82"/>
      <c r="B862" s="83"/>
      <c r="C862" s="87"/>
      <c r="D862" s="84"/>
      <c r="E862" s="83"/>
      <c r="F862" s="82"/>
      <c r="G862" s="85"/>
      <c r="H862" s="86" t="e">
        <f>IF(I862="fora",0%,G862/QUÓRUM!$C$6)</f>
        <v>#DIV/0!</v>
      </c>
      <c r="I862" s="87"/>
      <c r="J862" s="88"/>
      <c r="K862" s="88"/>
      <c r="L862" s="89"/>
      <c r="M862" s="89"/>
      <c r="N862" s="90"/>
      <c r="O862" s="87"/>
      <c r="P862" s="87"/>
      <c r="Q862" s="87"/>
      <c r="R862" s="91"/>
      <c r="S862" s="92"/>
      <c r="T862" s="93"/>
    </row>
    <row r="863" spans="1:20" s="94" customFormat="1" x14ac:dyDescent="0.3">
      <c r="A863" s="82"/>
      <c r="B863" s="83"/>
      <c r="C863" s="87"/>
      <c r="D863" s="84"/>
      <c r="E863" s="83"/>
      <c r="F863" s="82"/>
      <c r="G863" s="85"/>
      <c r="H863" s="86" t="e">
        <f>IF(I863="fora",0%,G863/QUÓRUM!$C$6)</f>
        <v>#DIV/0!</v>
      </c>
      <c r="I863" s="87"/>
      <c r="J863" s="88"/>
      <c r="K863" s="88"/>
      <c r="L863" s="89"/>
      <c r="M863" s="89"/>
      <c r="N863" s="90"/>
      <c r="O863" s="87"/>
      <c r="P863" s="87"/>
      <c r="Q863" s="87"/>
      <c r="R863" s="91"/>
      <c r="S863" s="92"/>
      <c r="T863" s="93"/>
    </row>
    <row r="864" spans="1:20" s="94" customFormat="1" x14ac:dyDescent="0.3">
      <c r="A864" s="82"/>
      <c r="B864" s="83"/>
      <c r="C864" s="87"/>
      <c r="D864" s="84"/>
      <c r="E864" s="83"/>
      <c r="F864" s="82"/>
      <c r="G864" s="85"/>
      <c r="H864" s="86" t="e">
        <f>IF(I864="fora",0%,G864/QUÓRUM!$C$6)</f>
        <v>#DIV/0!</v>
      </c>
      <c r="I864" s="87"/>
      <c r="J864" s="88"/>
      <c r="K864" s="88"/>
      <c r="L864" s="89"/>
      <c r="M864" s="89"/>
      <c r="N864" s="90"/>
      <c r="O864" s="87"/>
      <c r="P864" s="87"/>
      <c r="Q864" s="87"/>
      <c r="R864" s="91"/>
      <c r="S864" s="92"/>
      <c r="T864" s="93"/>
    </row>
    <row r="865" spans="1:20" s="94" customFormat="1" x14ac:dyDescent="0.3">
      <c r="A865" s="82"/>
      <c r="B865" s="83"/>
      <c r="C865" s="87"/>
      <c r="D865" s="84"/>
      <c r="E865" s="83"/>
      <c r="F865" s="82"/>
      <c r="G865" s="85"/>
      <c r="H865" s="86" t="e">
        <f>IF(I865="fora",0%,G865/QUÓRUM!$C$6)</f>
        <v>#DIV/0!</v>
      </c>
      <c r="I865" s="87"/>
      <c r="J865" s="88"/>
      <c r="K865" s="88"/>
      <c r="L865" s="89"/>
      <c r="M865" s="89"/>
      <c r="N865" s="90"/>
      <c r="O865" s="87"/>
      <c r="P865" s="87"/>
      <c r="Q865" s="87"/>
      <c r="R865" s="91"/>
      <c r="S865" s="92"/>
      <c r="T865" s="93"/>
    </row>
    <row r="866" spans="1:20" s="94" customFormat="1" x14ac:dyDescent="0.3">
      <c r="A866" s="82"/>
      <c r="B866" s="83"/>
      <c r="C866" s="87"/>
      <c r="D866" s="84"/>
      <c r="E866" s="83"/>
      <c r="F866" s="82"/>
      <c r="G866" s="85"/>
      <c r="H866" s="86" t="e">
        <f>IF(I866="fora",0%,G866/QUÓRUM!$C$6)</f>
        <v>#DIV/0!</v>
      </c>
      <c r="I866" s="87"/>
      <c r="J866" s="88"/>
      <c r="K866" s="88"/>
      <c r="L866" s="89"/>
      <c r="M866" s="89"/>
      <c r="N866" s="90"/>
      <c r="O866" s="87"/>
      <c r="P866" s="87"/>
      <c r="Q866" s="87"/>
      <c r="R866" s="91"/>
      <c r="S866" s="92"/>
      <c r="T866" s="93"/>
    </row>
    <row r="867" spans="1:20" s="94" customFormat="1" x14ac:dyDescent="0.3">
      <c r="A867" s="82"/>
      <c r="B867" s="83"/>
      <c r="C867" s="87"/>
      <c r="D867" s="84"/>
      <c r="E867" s="83"/>
      <c r="F867" s="82"/>
      <c r="G867" s="85"/>
      <c r="H867" s="86" t="e">
        <f>IF(I867="fora",0%,G867/QUÓRUM!$C$6)</f>
        <v>#DIV/0!</v>
      </c>
      <c r="I867" s="87"/>
      <c r="J867" s="88"/>
      <c r="K867" s="88"/>
      <c r="L867" s="89"/>
      <c r="M867" s="89"/>
      <c r="N867" s="90"/>
      <c r="O867" s="87"/>
      <c r="P867" s="87"/>
      <c r="Q867" s="87"/>
      <c r="R867" s="91"/>
      <c r="S867" s="92"/>
      <c r="T867" s="93"/>
    </row>
    <row r="868" spans="1:20" s="94" customFormat="1" x14ac:dyDescent="0.3">
      <c r="A868" s="82"/>
      <c r="B868" s="83"/>
      <c r="C868" s="87"/>
      <c r="D868" s="84"/>
      <c r="E868" s="83"/>
      <c r="F868" s="82"/>
      <c r="G868" s="85"/>
      <c r="H868" s="86" t="e">
        <f>IF(I868="fora",0%,G868/QUÓRUM!$C$6)</f>
        <v>#DIV/0!</v>
      </c>
      <c r="I868" s="87"/>
      <c r="J868" s="88"/>
      <c r="K868" s="88"/>
      <c r="L868" s="89"/>
      <c r="M868" s="89"/>
      <c r="N868" s="90"/>
      <c r="O868" s="87"/>
      <c r="P868" s="87"/>
      <c r="Q868" s="87"/>
      <c r="R868" s="91"/>
      <c r="S868" s="92"/>
      <c r="T868" s="93"/>
    </row>
    <row r="869" spans="1:20" s="94" customFormat="1" x14ac:dyDescent="0.3">
      <c r="A869" s="82"/>
      <c r="B869" s="83"/>
      <c r="C869" s="87"/>
      <c r="D869" s="84"/>
      <c r="E869" s="83"/>
      <c r="F869" s="82"/>
      <c r="G869" s="85"/>
      <c r="H869" s="86" t="e">
        <f>IF(I869="fora",0%,G869/QUÓRUM!$C$6)</f>
        <v>#DIV/0!</v>
      </c>
      <c r="I869" s="87"/>
      <c r="J869" s="88"/>
      <c r="K869" s="88"/>
      <c r="L869" s="89"/>
      <c r="M869" s="89"/>
      <c r="N869" s="90"/>
      <c r="O869" s="87"/>
      <c r="P869" s="87"/>
      <c r="Q869" s="87"/>
      <c r="R869" s="91"/>
      <c r="S869" s="92"/>
      <c r="T869" s="93"/>
    </row>
    <row r="870" spans="1:20" s="94" customFormat="1" x14ac:dyDescent="0.3">
      <c r="A870" s="82"/>
      <c r="B870" s="83"/>
      <c r="C870" s="87"/>
      <c r="D870" s="84"/>
      <c r="E870" s="83"/>
      <c r="F870" s="82"/>
      <c r="G870" s="85"/>
      <c r="H870" s="86" t="e">
        <f>IF(I870="fora",0%,G870/QUÓRUM!$C$6)</f>
        <v>#DIV/0!</v>
      </c>
      <c r="I870" s="87"/>
      <c r="J870" s="88"/>
      <c r="K870" s="88"/>
      <c r="L870" s="89"/>
      <c r="M870" s="89"/>
      <c r="N870" s="90"/>
      <c r="O870" s="87"/>
      <c r="P870" s="87"/>
      <c r="Q870" s="87"/>
      <c r="R870" s="91"/>
      <c r="S870" s="92"/>
      <c r="T870" s="93"/>
    </row>
    <row r="871" spans="1:20" s="94" customFormat="1" x14ac:dyDescent="0.3">
      <c r="A871" s="82"/>
      <c r="B871" s="83"/>
      <c r="C871" s="87"/>
      <c r="D871" s="84"/>
      <c r="E871" s="83"/>
      <c r="F871" s="82"/>
      <c r="G871" s="85"/>
      <c r="H871" s="86" t="e">
        <f>IF(I871="fora",0%,G871/QUÓRUM!$C$6)</f>
        <v>#DIV/0!</v>
      </c>
      <c r="I871" s="87"/>
      <c r="J871" s="88"/>
      <c r="K871" s="88"/>
      <c r="L871" s="89"/>
      <c r="M871" s="89"/>
      <c r="N871" s="90"/>
      <c r="O871" s="87"/>
      <c r="P871" s="87"/>
      <c r="Q871" s="87"/>
      <c r="R871" s="91"/>
      <c r="S871" s="92"/>
      <c r="T871" s="93"/>
    </row>
    <row r="872" spans="1:20" s="94" customFormat="1" x14ac:dyDescent="0.3">
      <c r="A872" s="82"/>
      <c r="B872" s="83"/>
      <c r="C872" s="87"/>
      <c r="D872" s="84"/>
      <c r="E872" s="83"/>
      <c r="F872" s="82"/>
      <c r="G872" s="85"/>
      <c r="H872" s="86" t="e">
        <f>IF(I872="fora",0%,G872/QUÓRUM!$C$6)</f>
        <v>#DIV/0!</v>
      </c>
      <c r="I872" s="87"/>
      <c r="J872" s="88"/>
      <c r="K872" s="88"/>
      <c r="L872" s="89"/>
      <c r="M872" s="89"/>
      <c r="N872" s="90"/>
      <c r="O872" s="87"/>
      <c r="P872" s="87"/>
      <c r="Q872" s="87"/>
      <c r="R872" s="91"/>
      <c r="S872" s="92"/>
      <c r="T872" s="93"/>
    </row>
    <row r="873" spans="1:20" s="94" customFormat="1" x14ac:dyDescent="0.3">
      <c r="A873" s="82"/>
      <c r="B873" s="83"/>
      <c r="C873" s="87"/>
      <c r="D873" s="84"/>
      <c r="E873" s="83"/>
      <c r="F873" s="82"/>
      <c r="G873" s="85"/>
      <c r="H873" s="86" t="e">
        <f>IF(I873="fora",0%,G873/QUÓRUM!$C$6)</f>
        <v>#DIV/0!</v>
      </c>
      <c r="I873" s="87"/>
      <c r="J873" s="88"/>
      <c r="K873" s="88"/>
      <c r="L873" s="89"/>
      <c r="M873" s="89"/>
      <c r="N873" s="90"/>
      <c r="O873" s="87"/>
      <c r="P873" s="87"/>
      <c r="Q873" s="87"/>
      <c r="R873" s="91"/>
      <c r="S873" s="92"/>
      <c r="T873" s="93"/>
    </row>
    <row r="874" spans="1:20" s="94" customFormat="1" x14ac:dyDescent="0.3">
      <c r="A874" s="82"/>
      <c r="B874" s="83"/>
      <c r="C874" s="87"/>
      <c r="D874" s="84"/>
      <c r="E874" s="83"/>
      <c r="F874" s="82"/>
      <c r="G874" s="85"/>
      <c r="H874" s="86" t="e">
        <f>IF(I874="fora",0%,G874/QUÓRUM!$C$6)</f>
        <v>#DIV/0!</v>
      </c>
      <c r="I874" s="87"/>
      <c r="J874" s="88"/>
      <c r="K874" s="88"/>
      <c r="L874" s="89"/>
      <c r="M874" s="89"/>
      <c r="N874" s="90"/>
      <c r="O874" s="87"/>
      <c r="P874" s="87"/>
      <c r="Q874" s="87"/>
      <c r="R874" s="91"/>
      <c r="S874" s="92"/>
      <c r="T874" s="93"/>
    </row>
    <row r="875" spans="1:20" s="94" customFormat="1" x14ac:dyDescent="0.3">
      <c r="A875" s="82"/>
      <c r="B875" s="83"/>
      <c r="C875" s="87"/>
      <c r="D875" s="84"/>
      <c r="E875" s="83"/>
      <c r="F875" s="82"/>
      <c r="G875" s="85"/>
      <c r="H875" s="86" t="e">
        <f>IF(I875="fora",0%,G875/QUÓRUM!$C$6)</f>
        <v>#DIV/0!</v>
      </c>
      <c r="I875" s="87"/>
      <c r="J875" s="88"/>
      <c r="K875" s="88"/>
      <c r="L875" s="89"/>
      <c r="M875" s="89"/>
      <c r="N875" s="90"/>
      <c r="O875" s="87"/>
      <c r="P875" s="87"/>
      <c r="Q875" s="87"/>
      <c r="R875" s="91"/>
      <c r="S875" s="92"/>
      <c r="T875" s="93"/>
    </row>
    <row r="876" spans="1:20" s="94" customFormat="1" x14ac:dyDescent="0.3">
      <c r="A876" s="82"/>
      <c r="B876" s="83"/>
      <c r="C876" s="87"/>
      <c r="D876" s="84"/>
      <c r="E876" s="83"/>
      <c r="F876" s="82"/>
      <c r="G876" s="85"/>
      <c r="H876" s="86" t="e">
        <f>IF(I876="fora",0%,G876/QUÓRUM!$C$6)</f>
        <v>#DIV/0!</v>
      </c>
      <c r="I876" s="87"/>
      <c r="J876" s="88"/>
      <c r="K876" s="88"/>
      <c r="L876" s="89"/>
      <c r="M876" s="89"/>
      <c r="N876" s="90"/>
      <c r="O876" s="87"/>
      <c r="P876" s="87"/>
      <c r="Q876" s="87"/>
      <c r="R876" s="91"/>
      <c r="S876" s="92"/>
      <c r="T876" s="93"/>
    </row>
    <row r="877" spans="1:20" s="94" customFormat="1" x14ac:dyDescent="0.3">
      <c r="A877" s="82"/>
      <c r="B877" s="83"/>
      <c r="C877" s="87"/>
      <c r="D877" s="84"/>
      <c r="E877" s="83"/>
      <c r="F877" s="82"/>
      <c r="G877" s="85"/>
      <c r="H877" s="86" t="e">
        <f>IF(I877="fora",0%,G877/QUÓRUM!$C$6)</f>
        <v>#DIV/0!</v>
      </c>
      <c r="I877" s="87"/>
      <c r="J877" s="88"/>
      <c r="K877" s="88"/>
      <c r="L877" s="89"/>
      <c r="M877" s="89"/>
      <c r="N877" s="90"/>
      <c r="O877" s="87"/>
      <c r="P877" s="87"/>
      <c r="Q877" s="87"/>
      <c r="R877" s="91"/>
      <c r="S877" s="92"/>
      <c r="T877" s="93"/>
    </row>
    <row r="878" spans="1:20" s="94" customFormat="1" x14ac:dyDescent="0.3">
      <c r="A878" s="82"/>
      <c r="B878" s="83"/>
      <c r="C878" s="87"/>
      <c r="D878" s="84"/>
      <c r="E878" s="83"/>
      <c r="F878" s="82"/>
      <c r="G878" s="85"/>
      <c r="H878" s="86" t="e">
        <f>IF(I878="fora",0%,G878/QUÓRUM!$C$6)</f>
        <v>#DIV/0!</v>
      </c>
      <c r="I878" s="87"/>
      <c r="J878" s="88"/>
      <c r="K878" s="88"/>
      <c r="L878" s="89"/>
      <c r="M878" s="89"/>
      <c r="N878" s="90"/>
      <c r="O878" s="87"/>
      <c r="P878" s="87"/>
      <c r="Q878" s="87"/>
      <c r="R878" s="91"/>
      <c r="S878" s="92"/>
      <c r="T878" s="93"/>
    </row>
    <row r="879" spans="1:20" s="94" customFormat="1" x14ac:dyDescent="0.3">
      <c r="A879" s="82"/>
      <c r="B879" s="83"/>
      <c r="C879" s="87"/>
      <c r="D879" s="84"/>
      <c r="E879" s="83"/>
      <c r="F879" s="82"/>
      <c r="G879" s="85"/>
      <c r="H879" s="86" t="e">
        <f>IF(I879="fora",0%,G879/QUÓRUM!$C$6)</f>
        <v>#DIV/0!</v>
      </c>
      <c r="I879" s="87"/>
      <c r="J879" s="88"/>
      <c r="K879" s="88"/>
      <c r="L879" s="89"/>
      <c r="M879" s="89"/>
      <c r="N879" s="90"/>
      <c r="O879" s="87"/>
      <c r="P879" s="87"/>
      <c r="Q879" s="87"/>
      <c r="R879" s="91"/>
      <c r="S879" s="92"/>
      <c r="T879" s="93"/>
    </row>
    <row r="880" spans="1:20" s="94" customFormat="1" x14ac:dyDescent="0.3">
      <c r="A880" s="82"/>
      <c r="B880" s="83"/>
      <c r="C880" s="87"/>
      <c r="D880" s="84"/>
      <c r="E880" s="83"/>
      <c r="F880" s="82"/>
      <c r="G880" s="85"/>
      <c r="H880" s="86" t="e">
        <f>IF(I880="fora",0%,G880/QUÓRUM!$C$6)</f>
        <v>#DIV/0!</v>
      </c>
      <c r="I880" s="87"/>
      <c r="J880" s="88"/>
      <c r="K880" s="88"/>
      <c r="L880" s="89"/>
      <c r="M880" s="89"/>
      <c r="N880" s="90"/>
      <c r="O880" s="87"/>
      <c r="P880" s="87"/>
      <c r="Q880" s="87"/>
      <c r="R880" s="91"/>
      <c r="S880" s="92"/>
      <c r="T880" s="93"/>
    </row>
    <row r="881" spans="1:20" s="94" customFormat="1" x14ac:dyDescent="0.3">
      <c r="A881" s="82"/>
      <c r="B881" s="83"/>
      <c r="C881" s="87"/>
      <c r="D881" s="84"/>
      <c r="E881" s="83"/>
      <c r="F881" s="82"/>
      <c r="G881" s="85"/>
      <c r="H881" s="86" t="e">
        <f>IF(I881="fora",0%,G881/QUÓRUM!$C$6)</f>
        <v>#DIV/0!</v>
      </c>
      <c r="I881" s="87"/>
      <c r="J881" s="88"/>
      <c r="K881" s="88"/>
      <c r="L881" s="89"/>
      <c r="M881" s="89"/>
      <c r="N881" s="90"/>
      <c r="O881" s="87"/>
      <c r="P881" s="87"/>
      <c r="Q881" s="87"/>
      <c r="R881" s="91"/>
      <c r="S881" s="92"/>
      <c r="T881" s="93"/>
    </row>
    <row r="882" spans="1:20" s="94" customFormat="1" x14ac:dyDescent="0.3">
      <c r="A882" s="82"/>
      <c r="B882" s="83"/>
      <c r="C882" s="87"/>
      <c r="D882" s="84"/>
      <c r="E882" s="83"/>
      <c r="F882" s="82"/>
      <c r="G882" s="85"/>
      <c r="H882" s="86" t="e">
        <f>IF(I882="fora",0%,G882/QUÓRUM!$C$6)</f>
        <v>#DIV/0!</v>
      </c>
      <c r="I882" s="87"/>
      <c r="J882" s="88"/>
      <c r="K882" s="88"/>
      <c r="L882" s="89"/>
      <c r="M882" s="89"/>
      <c r="N882" s="90"/>
      <c r="O882" s="87"/>
      <c r="P882" s="87"/>
      <c r="Q882" s="87"/>
      <c r="R882" s="91"/>
      <c r="S882" s="92"/>
      <c r="T882" s="93"/>
    </row>
    <row r="883" spans="1:20" s="94" customFormat="1" x14ac:dyDescent="0.3">
      <c r="A883" s="82"/>
      <c r="B883" s="83"/>
      <c r="C883" s="87"/>
      <c r="D883" s="84"/>
      <c r="E883" s="83"/>
      <c r="F883" s="82"/>
      <c r="G883" s="85"/>
      <c r="H883" s="86" t="e">
        <f>IF(I883="fora",0%,G883/QUÓRUM!$C$6)</f>
        <v>#DIV/0!</v>
      </c>
      <c r="I883" s="87"/>
      <c r="J883" s="88"/>
      <c r="K883" s="88"/>
      <c r="L883" s="89"/>
      <c r="M883" s="89"/>
      <c r="N883" s="90"/>
      <c r="O883" s="87"/>
      <c r="P883" s="87"/>
      <c r="Q883" s="87"/>
      <c r="R883" s="91"/>
      <c r="S883" s="92"/>
      <c r="T883" s="93"/>
    </row>
    <row r="884" spans="1:20" s="94" customFormat="1" x14ac:dyDescent="0.3">
      <c r="A884" s="82"/>
      <c r="B884" s="83"/>
      <c r="C884" s="87"/>
      <c r="D884" s="84"/>
      <c r="E884" s="83"/>
      <c r="F884" s="82"/>
      <c r="G884" s="85"/>
      <c r="H884" s="86" t="e">
        <f>IF(I884="fora",0%,G884/QUÓRUM!$C$6)</f>
        <v>#DIV/0!</v>
      </c>
      <c r="I884" s="87"/>
      <c r="J884" s="88"/>
      <c r="K884" s="88"/>
      <c r="L884" s="89"/>
      <c r="M884" s="89"/>
      <c r="N884" s="90"/>
      <c r="O884" s="87"/>
      <c r="P884" s="87"/>
      <c r="Q884" s="87"/>
      <c r="R884" s="91"/>
      <c r="S884" s="92"/>
      <c r="T884" s="93"/>
    </row>
    <row r="885" spans="1:20" s="94" customFormat="1" x14ac:dyDescent="0.3">
      <c r="A885" s="82"/>
      <c r="B885" s="83"/>
      <c r="C885" s="87"/>
      <c r="D885" s="84"/>
      <c r="E885" s="83"/>
      <c r="F885" s="82"/>
      <c r="G885" s="85"/>
      <c r="H885" s="86" t="e">
        <f>IF(I885="fora",0%,G885/QUÓRUM!$C$6)</f>
        <v>#DIV/0!</v>
      </c>
      <c r="I885" s="87"/>
      <c r="J885" s="88"/>
      <c r="K885" s="88"/>
      <c r="L885" s="89"/>
      <c r="M885" s="89"/>
      <c r="N885" s="90"/>
      <c r="O885" s="87"/>
      <c r="P885" s="87"/>
      <c r="Q885" s="87"/>
      <c r="R885" s="91"/>
      <c r="S885" s="92"/>
      <c r="T885" s="93"/>
    </row>
    <row r="886" spans="1:20" s="94" customFormat="1" x14ac:dyDescent="0.3">
      <c r="A886" s="82"/>
      <c r="B886" s="83"/>
      <c r="C886" s="87"/>
      <c r="D886" s="84"/>
      <c r="E886" s="83"/>
      <c r="F886" s="82"/>
      <c r="G886" s="85"/>
      <c r="H886" s="86" t="e">
        <f>IF(I886="fora",0%,G886/QUÓRUM!$C$6)</f>
        <v>#DIV/0!</v>
      </c>
      <c r="I886" s="87"/>
      <c r="J886" s="88"/>
      <c r="K886" s="88"/>
      <c r="L886" s="89"/>
      <c r="M886" s="89"/>
      <c r="N886" s="90"/>
      <c r="O886" s="87"/>
      <c r="P886" s="87"/>
      <c r="Q886" s="87"/>
      <c r="R886" s="91"/>
      <c r="S886" s="92"/>
      <c r="T886" s="93"/>
    </row>
    <row r="887" spans="1:20" s="94" customFormat="1" x14ac:dyDescent="0.3">
      <c r="A887" s="82"/>
      <c r="B887" s="83"/>
      <c r="C887" s="87"/>
      <c r="D887" s="84"/>
      <c r="E887" s="83"/>
      <c r="F887" s="82"/>
      <c r="G887" s="85"/>
      <c r="H887" s="86" t="e">
        <f>IF(I887="fora",0%,G887/QUÓRUM!$C$6)</f>
        <v>#DIV/0!</v>
      </c>
      <c r="I887" s="87"/>
      <c r="J887" s="88"/>
      <c r="K887" s="88"/>
      <c r="L887" s="89"/>
      <c r="M887" s="89"/>
      <c r="N887" s="90"/>
      <c r="O887" s="87"/>
      <c r="P887" s="87"/>
      <c r="Q887" s="87"/>
      <c r="R887" s="91"/>
      <c r="S887" s="92"/>
      <c r="T887" s="93"/>
    </row>
    <row r="888" spans="1:20" s="94" customFormat="1" x14ac:dyDescent="0.3">
      <c r="A888" s="82"/>
      <c r="B888" s="83"/>
      <c r="C888" s="87"/>
      <c r="D888" s="84"/>
      <c r="E888" s="83"/>
      <c r="F888" s="82"/>
      <c r="G888" s="85"/>
      <c r="H888" s="86" t="e">
        <f>IF(I888="fora",0%,G888/QUÓRUM!$C$6)</f>
        <v>#DIV/0!</v>
      </c>
      <c r="I888" s="87"/>
      <c r="J888" s="88"/>
      <c r="K888" s="88"/>
      <c r="L888" s="89"/>
      <c r="M888" s="89"/>
      <c r="N888" s="90"/>
      <c r="O888" s="87"/>
      <c r="P888" s="87"/>
      <c r="Q888" s="87"/>
      <c r="R888" s="91"/>
      <c r="S888" s="92"/>
      <c r="T888" s="93"/>
    </row>
    <row r="889" spans="1:20" s="94" customFormat="1" x14ac:dyDescent="0.3">
      <c r="A889" s="82"/>
      <c r="B889" s="83"/>
      <c r="C889" s="87"/>
      <c r="D889" s="84"/>
      <c r="E889" s="83"/>
      <c r="F889" s="82"/>
      <c r="G889" s="85"/>
      <c r="H889" s="86" t="e">
        <f>IF(I889="fora",0%,G889/QUÓRUM!$C$6)</f>
        <v>#DIV/0!</v>
      </c>
      <c r="I889" s="87"/>
      <c r="J889" s="88"/>
      <c r="K889" s="88"/>
      <c r="L889" s="89"/>
      <c r="M889" s="89"/>
      <c r="N889" s="90"/>
      <c r="O889" s="87"/>
      <c r="P889" s="87"/>
      <c r="Q889" s="87"/>
      <c r="R889" s="91"/>
      <c r="S889" s="92"/>
      <c r="T889" s="93"/>
    </row>
    <row r="890" spans="1:20" s="94" customFormat="1" x14ac:dyDescent="0.3">
      <c r="A890" s="82"/>
      <c r="B890" s="83"/>
      <c r="C890" s="87"/>
      <c r="D890" s="84"/>
      <c r="E890" s="83"/>
      <c r="F890" s="82"/>
      <c r="G890" s="85"/>
      <c r="H890" s="86" t="e">
        <f>IF(I890="fora",0%,G890/QUÓRUM!$C$6)</f>
        <v>#DIV/0!</v>
      </c>
      <c r="I890" s="87"/>
      <c r="J890" s="88"/>
      <c r="K890" s="88"/>
      <c r="L890" s="89"/>
      <c r="M890" s="89"/>
      <c r="N890" s="90"/>
      <c r="O890" s="87"/>
      <c r="P890" s="87"/>
      <c r="Q890" s="87"/>
      <c r="R890" s="91"/>
      <c r="S890" s="92"/>
      <c r="T890" s="93"/>
    </row>
    <row r="891" spans="1:20" s="94" customFormat="1" x14ac:dyDescent="0.3">
      <c r="A891" s="82"/>
      <c r="B891" s="83"/>
      <c r="C891" s="87"/>
      <c r="D891" s="84"/>
      <c r="E891" s="83"/>
      <c r="F891" s="82"/>
      <c r="G891" s="85"/>
      <c r="H891" s="86" t="e">
        <f>IF(I891="fora",0%,G891/QUÓRUM!$C$6)</f>
        <v>#DIV/0!</v>
      </c>
      <c r="I891" s="87"/>
      <c r="J891" s="88"/>
      <c r="K891" s="88"/>
      <c r="L891" s="89"/>
      <c r="M891" s="89"/>
      <c r="N891" s="90"/>
      <c r="O891" s="87"/>
      <c r="P891" s="87"/>
      <c r="Q891" s="87"/>
      <c r="R891" s="91"/>
      <c r="S891" s="92"/>
      <c r="T891" s="93"/>
    </row>
    <row r="892" spans="1:20" s="94" customFormat="1" x14ac:dyDescent="0.3">
      <c r="A892" s="82"/>
      <c r="B892" s="83"/>
      <c r="C892" s="87"/>
      <c r="D892" s="84"/>
      <c r="E892" s="83"/>
      <c r="F892" s="82"/>
      <c r="G892" s="85"/>
      <c r="H892" s="86" t="e">
        <f>IF(I892="fora",0%,G892/QUÓRUM!$C$6)</f>
        <v>#DIV/0!</v>
      </c>
      <c r="I892" s="87"/>
      <c r="J892" s="88"/>
      <c r="K892" s="88"/>
      <c r="L892" s="89"/>
      <c r="M892" s="89"/>
      <c r="N892" s="90"/>
      <c r="O892" s="87"/>
      <c r="P892" s="87"/>
      <c r="Q892" s="87"/>
      <c r="R892" s="91"/>
      <c r="S892" s="92"/>
      <c r="T892" s="93"/>
    </row>
    <row r="893" spans="1:20" s="94" customFormat="1" x14ac:dyDescent="0.3">
      <c r="A893" s="82"/>
      <c r="B893" s="83"/>
      <c r="C893" s="87"/>
      <c r="D893" s="84"/>
      <c r="E893" s="83"/>
      <c r="F893" s="82"/>
      <c r="G893" s="85"/>
      <c r="H893" s="86" t="e">
        <f>IF(I893="fora",0%,G893/QUÓRUM!$C$6)</f>
        <v>#DIV/0!</v>
      </c>
      <c r="I893" s="87"/>
      <c r="J893" s="88"/>
      <c r="K893" s="88"/>
      <c r="L893" s="89"/>
      <c r="M893" s="89"/>
      <c r="N893" s="90"/>
      <c r="O893" s="87"/>
      <c r="P893" s="87"/>
      <c r="Q893" s="87"/>
      <c r="R893" s="91"/>
      <c r="S893" s="92"/>
      <c r="T893" s="93"/>
    </row>
    <row r="894" spans="1:20" s="94" customFormat="1" x14ac:dyDescent="0.3">
      <c r="A894" s="82"/>
      <c r="B894" s="83"/>
      <c r="C894" s="87"/>
      <c r="D894" s="84"/>
      <c r="E894" s="83"/>
      <c r="F894" s="82"/>
      <c r="G894" s="85"/>
      <c r="H894" s="86" t="e">
        <f>IF(I894="fora",0%,G894/QUÓRUM!$C$6)</f>
        <v>#DIV/0!</v>
      </c>
      <c r="I894" s="87"/>
      <c r="J894" s="88"/>
      <c r="K894" s="88"/>
      <c r="L894" s="89"/>
      <c r="M894" s="89"/>
      <c r="N894" s="90"/>
      <c r="O894" s="87"/>
      <c r="P894" s="87"/>
      <c r="Q894" s="87"/>
      <c r="R894" s="91"/>
      <c r="S894" s="92"/>
      <c r="T894" s="93"/>
    </row>
    <row r="895" spans="1:20" s="94" customFormat="1" x14ac:dyDescent="0.3">
      <c r="A895" s="82"/>
      <c r="B895" s="83"/>
      <c r="C895" s="87"/>
      <c r="D895" s="84"/>
      <c r="E895" s="83"/>
      <c r="F895" s="82"/>
      <c r="G895" s="85"/>
      <c r="H895" s="86" t="e">
        <f>IF(I895="fora",0%,G895/QUÓRUM!$C$6)</f>
        <v>#DIV/0!</v>
      </c>
      <c r="I895" s="87"/>
      <c r="J895" s="88"/>
      <c r="K895" s="88"/>
      <c r="L895" s="89"/>
      <c r="M895" s="89"/>
      <c r="N895" s="90"/>
      <c r="O895" s="87"/>
      <c r="P895" s="87"/>
      <c r="Q895" s="87"/>
      <c r="R895" s="91"/>
      <c r="S895" s="92"/>
      <c r="T895" s="93"/>
    </row>
    <row r="896" spans="1:20" s="94" customFormat="1" x14ac:dyDescent="0.3">
      <c r="A896" s="82"/>
      <c r="B896" s="83"/>
      <c r="C896" s="87"/>
      <c r="D896" s="84"/>
      <c r="E896" s="83"/>
      <c r="F896" s="82"/>
      <c r="G896" s="95"/>
      <c r="H896" s="86" t="e">
        <f>IF(I896="fora",0%,G896/QUÓRUM!$C$6)</f>
        <v>#DIV/0!</v>
      </c>
      <c r="I896" s="87"/>
      <c r="J896" s="88"/>
      <c r="K896" s="88"/>
      <c r="L896" s="89"/>
      <c r="M896" s="89"/>
      <c r="N896" s="90"/>
      <c r="O896" s="87"/>
      <c r="P896" s="87"/>
      <c r="Q896" s="87"/>
      <c r="R896" s="91"/>
      <c r="S896" s="92"/>
      <c r="T896" s="93"/>
    </row>
    <row r="897" spans="1:20" s="94" customFormat="1" x14ac:dyDescent="0.3">
      <c r="A897" s="82"/>
      <c r="B897" s="83"/>
      <c r="C897" s="87"/>
      <c r="D897" s="84"/>
      <c r="E897" s="83"/>
      <c r="F897" s="82"/>
      <c r="G897" s="85"/>
      <c r="H897" s="86" t="e">
        <f>IF(I897="fora",0%,G897/QUÓRUM!$C$6)</f>
        <v>#DIV/0!</v>
      </c>
      <c r="I897" s="87"/>
      <c r="J897" s="88"/>
      <c r="K897" s="88"/>
      <c r="L897" s="89"/>
      <c r="M897" s="89"/>
      <c r="N897" s="90"/>
      <c r="O897" s="87"/>
      <c r="P897" s="87"/>
      <c r="Q897" s="87"/>
      <c r="R897" s="91"/>
      <c r="S897" s="92"/>
      <c r="T897" s="93"/>
    </row>
    <row r="898" spans="1:20" s="94" customFormat="1" x14ac:dyDescent="0.3">
      <c r="A898" s="82"/>
      <c r="B898" s="83"/>
      <c r="C898" s="87"/>
      <c r="D898" s="84"/>
      <c r="E898" s="83"/>
      <c r="F898" s="82"/>
      <c r="G898" s="85"/>
      <c r="H898" s="86" t="e">
        <f>IF(I898="fora",0%,G898/QUÓRUM!$C$6)</f>
        <v>#DIV/0!</v>
      </c>
      <c r="I898" s="87"/>
      <c r="J898" s="88"/>
      <c r="K898" s="88"/>
      <c r="L898" s="89"/>
      <c r="M898" s="89"/>
      <c r="N898" s="90"/>
      <c r="O898" s="87"/>
      <c r="P898" s="87"/>
      <c r="Q898" s="87"/>
      <c r="R898" s="91"/>
      <c r="S898" s="92"/>
      <c r="T898" s="93"/>
    </row>
    <row r="899" spans="1:20" s="94" customFormat="1" x14ac:dyDescent="0.3">
      <c r="A899" s="82"/>
      <c r="B899" s="83"/>
      <c r="C899" s="87"/>
      <c r="D899" s="84"/>
      <c r="E899" s="83"/>
      <c r="F899" s="82"/>
      <c r="G899" s="85"/>
      <c r="H899" s="86" t="e">
        <f>IF(I899="fora",0%,G899/QUÓRUM!$C$6)</f>
        <v>#DIV/0!</v>
      </c>
      <c r="I899" s="87"/>
      <c r="J899" s="88"/>
      <c r="K899" s="88"/>
      <c r="L899" s="89"/>
      <c r="M899" s="89"/>
      <c r="N899" s="90"/>
      <c r="O899" s="87"/>
      <c r="P899" s="87"/>
      <c r="Q899" s="87"/>
      <c r="R899" s="91"/>
      <c r="S899" s="92"/>
      <c r="T899" s="93"/>
    </row>
    <row r="900" spans="1:20" s="94" customFormat="1" x14ac:dyDescent="0.3">
      <c r="A900" s="82"/>
      <c r="B900" s="83"/>
      <c r="C900" s="87"/>
      <c r="D900" s="84"/>
      <c r="E900" s="83"/>
      <c r="F900" s="82"/>
      <c r="G900" s="85"/>
      <c r="H900" s="86" t="e">
        <f>IF(I900="fora",0%,G900/QUÓRUM!$C$6)</f>
        <v>#DIV/0!</v>
      </c>
      <c r="I900" s="87"/>
      <c r="J900" s="88"/>
      <c r="K900" s="88"/>
      <c r="L900" s="89"/>
      <c r="M900" s="89"/>
      <c r="N900" s="90"/>
      <c r="O900" s="87"/>
      <c r="P900" s="87"/>
      <c r="Q900" s="87"/>
      <c r="R900" s="91"/>
      <c r="S900" s="92"/>
      <c r="T900" s="93"/>
    </row>
    <row r="901" spans="1:20" s="94" customFormat="1" x14ac:dyDescent="0.3">
      <c r="A901" s="82"/>
      <c r="B901" s="83"/>
      <c r="C901" s="87"/>
      <c r="D901" s="84"/>
      <c r="E901" s="83"/>
      <c r="F901" s="82"/>
      <c r="G901" s="85"/>
      <c r="H901" s="86" t="e">
        <f>IF(I901="fora",0%,G901/QUÓRUM!$C$6)</f>
        <v>#DIV/0!</v>
      </c>
      <c r="I901" s="87"/>
      <c r="J901" s="88"/>
      <c r="K901" s="88"/>
      <c r="L901" s="89"/>
      <c r="M901" s="89"/>
      <c r="N901" s="90"/>
      <c r="O901" s="87"/>
      <c r="P901" s="87"/>
      <c r="Q901" s="87"/>
      <c r="R901" s="91"/>
      <c r="S901" s="92"/>
      <c r="T901" s="93"/>
    </row>
    <row r="902" spans="1:20" s="94" customFormat="1" x14ac:dyDescent="0.3">
      <c r="A902" s="82"/>
      <c r="B902" s="83"/>
      <c r="C902" s="87"/>
      <c r="D902" s="84"/>
      <c r="E902" s="83"/>
      <c r="F902" s="82"/>
      <c r="G902" s="85"/>
      <c r="H902" s="86" t="e">
        <f>IF(I902="fora",0%,G902/QUÓRUM!$C$6)</f>
        <v>#DIV/0!</v>
      </c>
      <c r="I902" s="87"/>
      <c r="J902" s="88"/>
      <c r="K902" s="88"/>
      <c r="L902" s="89"/>
      <c r="M902" s="89"/>
      <c r="N902" s="90"/>
      <c r="O902" s="87"/>
      <c r="P902" s="87"/>
      <c r="Q902" s="87"/>
      <c r="R902" s="91"/>
      <c r="S902" s="92"/>
      <c r="T902" s="93"/>
    </row>
    <row r="903" spans="1:20" s="94" customFormat="1" x14ac:dyDescent="0.3">
      <c r="A903" s="82"/>
      <c r="B903" s="83"/>
      <c r="C903" s="87"/>
      <c r="D903" s="84"/>
      <c r="E903" s="83"/>
      <c r="F903" s="82"/>
      <c r="G903" s="85"/>
      <c r="H903" s="86" t="e">
        <f>IF(I903="fora",0%,G903/QUÓRUM!$C$6)</f>
        <v>#DIV/0!</v>
      </c>
      <c r="I903" s="87"/>
      <c r="J903" s="88"/>
      <c r="K903" s="88"/>
      <c r="L903" s="89"/>
      <c r="M903" s="89"/>
      <c r="N903" s="90"/>
      <c r="O903" s="87"/>
      <c r="P903" s="87"/>
      <c r="Q903" s="87"/>
      <c r="R903" s="91"/>
      <c r="S903" s="92"/>
      <c r="T903" s="93"/>
    </row>
    <row r="904" spans="1:20" s="94" customFormat="1" x14ac:dyDescent="0.3">
      <c r="A904" s="82"/>
      <c r="B904" s="83"/>
      <c r="C904" s="87"/>
      <c r="D904" s="84"/>
      <c r="E904" s="83"/>
      <c r="F904" s="82"/>
      <c r="G904" s="85"/>
      <c r="H904" s="86" t="e">
        <f>IF(I904="fora",0%,G904/QUÓRUM!$C$6)</f>
        <v>#DIV/0!</v>
      </c>
      <c r="I904" s="87"/>
      <c r="J904" s="88"/>
      <c r="K904" s="88"/>
      <c r="L904" s="89"/>
      <c r="M904" s="89"/>
      <c r="N904" s="90"/>
      <c r="O904" s="87"/>
      <c r="P904" s="87"/>
      <c r="Q904" s="87"/>
      <c r="R904" s="91"/>
      <c r="S904" s="92"/>
      <c r="T904" s="93"/>
    </row>
    <row r="905" spans="1:20" s="94" customFormat="1" x14ac:dyDescent="0.3">
      <c r="A905" s="82"/>
      <c r="B905" s="83"/>
      <c r="C905" s="87"/>
      <c r="D905" s="84"/>
      <c r="E905" s="83"/>
      <c r="F905" s="82"/>
      <c r="G905" s="85"/>
      <c r="H905" s="86" t="e">
        <f>IF(I905="fora",0%,G905/QUÓRUM!$C$6)</f>
        <v>#DIV/0!</v>
      </c>
      <c r="I905" s="87"/>
      <c r="J905" s="88"/>
      <c r="K905" s="88"/>
      <c r="L905" s="89"/>
      <c r="M905" s="89"/>
      <c r="N905" s="90"/>
      <c r="O905" s="87"/>
      <c r="P905" s="87"/>
      <c r="Q905" s="87"/>
      <c r="R905" s="91"/>
      <c r="S905" s="92"/>
      <c r="T905" s="93"/>
    </row>
    <row r="906" spans="1:20" s="94" customFormat="1" x14ac:dyDescent="0.3">
      <c r="A906" s="82"/>
      <c r="B906" s="83"/>
      <c r="C906" s="87"/>
      <c r="D906" s="84"/>
      <c r="E906" s="83"/>
      <c r="F906" s="82"/>
      <c r="G906" s="85"/>
      <c r="H906" s="86" t="e">
        <f>IF(I906="fora",0%,G906/QUÓRUM!$C$6)</f>
        <v>#DIV/0!</v>
      </c>
      <c r="I906" s="87"/>
      <c r="J906" s="88"/>
      <c r="K906" s="88"/>
      <c r="L906" s="89"/>
      <c r="M906" s="89"/>
      <c r="N906" s="90"/>
      <c r="O906" s="87"/>
      <c r="P906" s="87"/>
      <c r="Q906" s="87"/>
      <c r="R906" s="91"/>
      <c r="S906" s="92"/>
      <c r="T906" s="93"/>
    </row>
    <row r="907" spans="1:20" s="94" customFormat="1" x14ac:dyDescent="0.3">
      <c r="A907" s="82"/>
      <c r="B907" s="83"/>
      <c r="C907" s="87"/>
      <c r="D907" s="84"/>
      <c r="E907" s="83"/>
      <c r="F907" s="82"/>
      <c r="G907" s="85"/>
      <c r="H907" s="86" t="e">
        <f>IF(I907="fora",0%,G907/QUÓRUM!$C$6)</f>
        <v>#DIV/0!</v>
      </c>
      <c r="I907" s="87"/>
      <c r="J907" s="88"/>
      <c r="K907" s="88"/>
      <c r="L907" s="89"/>
      <c r="M907" s="89"/>
      <c r="N907" s="90"/>
      <c r="O907" s="87"/>
      <c r="P907" s="87"/>
      <c r="Q907" s="87"/>
      <c r="R907" s="91"/>
      <c r="S907" s="92"/>
      <c r="T907" s="93"/>
    </row>
    <row r="908" spans="1:20" s="94" customFormat="1" x14ac:dyDescent="0.3">
      <c r="A908" s="82"/>
      <c r="B908" s="83"/>
      <c r="C908" s="87"/>
      <c r="D908" s="84"/>
      <c r="E908" s="83"/>
      <c r="F908" s="82"/>
      <c r="G908" s="85"/>
      <c r="H908" s="86" t="e">
        <f>IF(I908="fora",0%,G908/QUÓRUM!$C$6)</f>
        <v>#DIV/0!</v>
      </c>
      <c r="I908" s="87"/>
      <c r="J908" s="88"/>
      <c r="K908" s="88"/>
      <c r="L908" s="89"/>
      <c r="M908" s="89"/>
      <c r="N908" s="90"/>
      <c r="O908" s="87"/>
      <c r="P908" s="87"/>
      <c r="Q908" s="87"/>
      <c r="R908" s="91"/>
      <c r="S908" s="92"/>
      <c r="T908" s="93"/>
    </row>
    <row r="909" spans="1:20" s="94" customFormat="1" x14ac:dyDescent="0.3">
      <c r="A909" s="82"/>
      <c r="B909" s="83"/>
      <c r="C909" s="87"/>
      <c r="D909" s="84"/>
      <c r="E909" s="83"/>
      <c r="F909" s="82"/>
      <c r="G909" s="85"/>
      <c r="H909" s="86" t="e">
        <f>IF(I909="fora",0%,G909/QUÓRUM!$C$6)</f>
        <v>#DIV/0!</v>
      </c>
      <c r="I909" s="87"/>
      <c r="J909" s="88"/>
      <c r="K909" s="88"/>
      <c r="L909" s="89"/>
      <c r="M909" s="89"/>
      <c r="N909" s="90"/>
      <c r="O909" s="87"/>
      <c r="P909" s="87"/>
      <c r="Q909" s="87"/>
      <c r="R909" s="91"/>
      <c r="S909" s="92"/>
      <c r="T909" s="93"/>
    </row>
    <row r="910" spans="1:20" s="94" customFormat="1" x14ac:dyDescent="0.3">
      <c r="A910" s="82"/>
      <c r="B910" s="83"/>
      <c r="C910" s="87"/>
      <c r="D910" s="84"/>
      <c r="E910" s="83"/>
      <c r="F910" s="82"/>
      <c r="G910" s="85"/>
      <c r="H910" s="86" t="e">
        <f>IF(I910="fora",0%,G910/QUÓRUM!$C$6)</f>
        <v>#DIV/0!</v>
      </c>
      <c r="I910" s="87"/>
      <c r="J910" s="88"/>
      <c r="K910" s="88"/>
      <c r="L910" s="89"/>
      <c r="M910" s="89"/>
      <c r="N910" s="90"/>
      <c r="O910" s="87"/>
      <c r="P910" s="87"/>
      <c r="Q910" s="87"/>
      <c r="R910" s="91"/>
      <c r="S910" s="92"/>
      <c r="T910" s="93"/>
    </row>
    <row r="911" spans="1:20" s="94" customFormat="1" x14ac:dyDescent="0.3">
      <c r="A911" s="82"/>
      <c r="B911" s="83"/>
      <c r="C911" s="87"/>
      <c r="D911" s="84"/>
      <c r="E911" s="83"/>
      <c r="F911" s="82"/>
      <c r="G911" s="85"/>
      <c r="H911" s="86" t="e">
        <f>IF(I911="fora",0%,G911/QUÓRUM!$C$6)</f>
        <v>#DIV/0!</v>
      </c>
      <c r="I911" s="87"/>
      <c r="J911" s="88"/>
      <c r="K911" s="88"/>
      <c r="L911" s="89"/>
      <c r="M911" s="89"/>
      <c r="N911" s="90"/>
      <c r="O911" s="87"/>
      <c r="P911" s="87"/>
      <c r="Q911" s="87"/>
      <c r="R911" s="91"/>
      <c r="S911" s="92"/>
      <c r="T911" s="93"/>
    </row>
    <row r="912" spans="1:20" s="94" customFormat="1" x14ac:dyDescent="0.3">
      <c r="A912" s="82"/>
      <c r="B912" s="83"/>
      <c r="C912" s="87"/>
      <c r="D912" s="84"/>
      <c r="E912" s="83"/>
      <c r="F912" s="82"/>
      <c r="G912" s="85"/>
      <c r="H912" s="86" t="e">
        <f>IF(I912="fora",0%,G912/QUÓRUM!$C$6)</f>
        <v>#DIV/0!</v>
      </c>
      <c r="I912" s="87"/>
      <c r="J912" s="88"/>
      <c r="K912" s="88"/>
      <c r="L912" s="89"/>
      <c r="M912" s="89"/>
      <c r="N912" s="90"/>
      <c r="O912" s="87"/>
      <c r="P912" s="87"/>
      <c r="Q912" s="87"/>
      <c r="R912" s="91"/>
      <c r="S912" s="92"/>
      <c r="T912" s="93"/>
    </row>
    <row r="913" spans="1:20" s="94" customFormat="1" x14ac:dyDescent="0.3">
      <c r="A913" s="82"/>
      <c r="B913" s="83"/>
      <c r="C913" s="87"/>
      <c r="D913" s="84"/>
      <c r="E913" s="83"/>
      <c r="F913" s="82"/>
      <c r="G913" s="85"/>
      <c r="H913" s="86" t="e">
        <f>IF(I913="fora",0%,G913/QUÓRUM!$C$6)</f>
        <v>#DIV/0!</v>
      </c>
      <c r="I913" s="87"/>
      <c r="J913" s="88"/>
      <c r="K913" s="88"/>
      <c r="L913" s="89"/>
      <c r="M913" s="89"/>
      <c r="N913" s="90"/>
      <c r="O913" s="87"/>
      <c r="P913" s="87"/>
      <c r="Q913" s="87"/>
      <c r="R913" s="91"/>
      <c r="S913" s="92"/>
      <c r="T913" s="93"/>
    </row>
    <row r="914" spans="1:20" s="94" customFormat="1" x14ac:dyDescent="0.3">
      <c r="A914" s="82"/>
      <c r="B914" s="83"/>
      <c r="C914" s="87"/>
      <c r="D914" s="84"/>
      <c r="E914" s="83"/>
      <c r="F914" s="82"/>
      <c r="G914" s="85"/>
      <c r="H914" s="86" t="e">
        <f>IF(I914="fora",0%,G914/QUÓRUM!$C$6)</f>
        <v>#DIV/0!</v>
      </c>
      <c r="I914" s="87"/>
      <c r="J914" s="88"/>
      <c r="K914" s="88"/>
      <c r="L914" s="89"/>
      <c r="M914" s="89"/>
      <c r="N914" s="90"/>
      <c r="O914" s="87"/>
      <c r="P914" s="87"/>
      <c r="Q914" s="87"/>
      <c r="R914" s="91"/>
      <c r="S914" s="92"/>
      <c r="T914" s="93"/>
    </row>
    <row r="915" spans="1:20" s="94" customFormat="1" x14ac:dyDescent="0.3">
      <c r="A915" s="82"/>
      <c r="B915" s="83"/>
      <c r="C915" s="87"/>
      <c r="D915" s="84"/>
      <c r="E915" s="83"/>
      <c r="F915" s="82"/>
      <c r="G915" s="85"/>
      <c r="H915" s="86" t="e">
        <f>IF(I915="fora",0%,G915/QUÓRUM!$C$6)</f>
        <v>#DIV/0!</v>
      </c>
      <c r="I915" s="87"/>
      <c r="J915" s="88"/>
      <c r="K915" s="88"/>
      <c r="L915" s="89"/>
      <c r="M915" s="89"/>
      <c r="N915" s="90"/>
      <c r="O915" s="87"/>
      <c r="P915" s="87"/>
      <c r="Q915" s="87"/>
      <c r="R915" s="91"/>
      <c r="S915" s="92"/>
      <c r="T915" s="93"/>
    </row>
    <row r="916" spans="1:20" s="94" customFormat="1" x14ac:dyDescent="0.3">
      <c r="A916" s="82"/>
      <c r="B916" s="83"/>
      <c r="C916" s="87"/>
      <c r="D916" s="84"/>
      <c r="E916" s="83"/>
      <c r="F916" s="82"/>
      <c r="G916" s="85"/>
      <c r="H916" s="86" t="e">
        <f>IF(I916="fora",0%,G916/QUÓRUM!$C$6)</f>
        <v>#DIV/0!</v>
      </c>
      <c r="I916" s="87"/>
      <c r="J916" s="88"/>
      <c r="K916" s="88"/>
      <c r="L916" s="89"/>
      <c r="M916" s="89"/>
      <c r="N916" s="90"/>
      <c r="O916" s="87"/>
      <c r="P916" s="87"/>
      <c r="Q916" s="87"/>
      <c r="R916" s="91"/>
      <c r="S916" s="92"/>
      <c r="T916" s="93"/>
    </row>
    <row r="917" spans="1:20" s="94" customFormat="1" x14ac:dyDescent="0.3">
      <c r="A917" s="82"/>
      <c r="B917" s="83"/>
      <c r="C917" s="87"/>
      <c r="D917" s="84"/>
      <c r="E917" s="83"/>
      <c r="F917" s="82"/>
      <c r="G917" s="85"/>
      <c r="H917" s="86" t="e">
        <f>IF(I917="fora",0%,G917/QUÓRUM!$C$6)</f>
        <v>#DIV/0!</v>
      </c>
      <c r="I917" s="87"/>
      <c r="J917" s="88"/>
      <c r="K917" s="88"/>
      <c r="L917" s="89"/>
      <c r="M917" s="89"/>
      <c r="N917" s="90"/>
      <c r="O917" s="87"/>
      <c r="P917" s="87"/>
      <c r="Q917" s="87"/>
      <c r="R917" s="91"/>
      <c r="S917" s="92"/>
      <c r="T917" s="93"/>
    </row>
    <row r="918" spans="1:20" s="94" customFormat="1" x14ac:dyDescent="0.3">
      <c r="A918" s="82"/>
      <c r="B918" s="83"/>
      <c r="C918" s="87"/>
      <c r="D918" s="84"/>
      <c r="E918" s="83"/>
      <c r="F918" s="82"/>
      <c r="G918" s="85"/>
      <c r="H918" s="86" t="e">
        <f>IF(I918="fora",0%,G918/QUÓRUM!$C$6)</f>
        <v>#DIV/0!</v>
      </c>
      <c r="I918" s="87"/>
      <c r="J918" s="88"/>
      <c r="K918" s="88"/>
      <c r="L918" s="89"/>
      <c r="M918" s="89"/>
      <c r="N918" s="90"/>
      <c r="O918" s="87"/>
      <c r="P918" s="87"/>
      <c r="Q918" s="87"/>
      <c r="R918" s="91"/>
      <c r="S918" s="92"/>
      <c r="T918" s="93"/>
    </row>
    <row r="919" spans="1:20" s="94" customFormat="1" x14ac:dyDescent="0.3">
      <c r="A919" s="82"/>
      <c r="B919" s="83"/>
      <c r="C919" s="87"/>
      <c r="D919" s="84"/>
      <c r="E919" s="83"/>
      <c r="F919" s="82"/>
      <c r="G919" s="85"/>
      <c r="H919" s="86" t="e">
        <f>IF(I919="fora",0%,G919/QUÓRUM!$C$6)</f>
        <v>#DIV/0!</v>
      </c>
      <c r="I919" s="87"/>
      <c r="J919" s="88"/>
      <c r="K919" s="88"/>
      <c r="L919" s="89"/>
      <c r="M919" s="89"/>
      <c r="N919" s="90"/>
      <c r="O919" s="87"/>
      <c r="P919" s="87"/>
      <c r="Q919" s="87"/>
      <c r="R919" s="91"/>
      <c r="S919" s="92"/>
      <c r="T919" s="93"/>
    </row>
    <row r="920" spans="1:20" s="94" customFormat="1" x14ac:dyDescent="0.3">
      <c r="A920" s="82"/>
      <c r="B920" s="83"/>
      <c r="C920" s="87"/>
      <c r="D920" s="84"/>
      <c r="E920" s="83"/>
      <c r="F920" s="82"/>
      <c r="G920" s="85"/>
      <c r="H920" s="86" t="e">
        <f>IF(I920="fora",0%,G920/QUÓRUM!$C$6)</f>
        <v>#DIV/0!</v>
      </c>
      <c r="I920" s="87"/>
      <c r="J920" s="88"/>
      <c r="K920" s="88"/>
      <c r="L920" s="89"/>
      <c r="M920" s="89"/>
      <c r="N920" s="90"/>
      <c r="O920" s="87"/>
      <c r="P920" s="87"/>
      <c r="Q920" s="87"/>
      <c r="R920" s="91"/>
      <c r="S920" s="92"/>
      <c r="T920" s="93"/>
    </row>
    <row r="921" spans="1:20" s="94" customFormat="1" x14ac:dyDescent="0.3">
      <c r="A921" s="82"/>
      <c r="B921" s="83"/>
      <c r="C921" s="87"/>
      <c r="D921" s="84"/>
      <c r="E921" s="83"/>
      <c r="F921" s="82"/>
      <c r="G921" s="85"/>
      <c r="H921" s="86" t="e">
        <f>IF(I921="fora",0%,G921/QUÓRUM!$C$6)</f>
        <v>#DIV/0!</v>
      </c>
      <c r="I921" s="87"/>
      <c r="J921" s="88"/>
      <c r="K921" s="88"/>
      <c r="L921" s="89"/>
      <c r="M921" s="89"/>
      <c r="N921" s="90"/>
      <c r="O921" s="87"/>
      <c r="P921" s="87"/>
      <c r="Q921" s="87"/>
      <c r="R921" s="91"/>
      <c r="S921" s="92"/>
      <c r="T921" s="93"/>
    </row>
    <row r="922" spans="1:20" s="94" customFormat="1" x14ac:dyDescent="0.3">
      <c r="A922" s="82"/>
      <c r="B922" s="83"/>
      <c r="C922" s="87"/>
      <c r="D922" s="84"/>
      <c r="E922" s="83"/>
      <c r="F922" s="82"/>
      <c r="G922" s="85"/>
      <c r="H922" s="86" t="e">
        <f>IF(I922="fora",0%,G922/QUÓRUM!$C$6)</f>
        <v>#DIV/0!</v>
      </c>
      <c r="I922" s="87"/>
      <c r="J922" s="88"/>
      <c r="K922" s="88"/>
      <c r="L922" s="89"/>
      <c r="M922" s="89"/>
      <c r="N922" s="90"/>
      <c r="O922" s="87"/>
      <c r="P922" s="87"/>
      <c r="Q922" s="87"/>
      <c r="R922" s="91"/>
      <c r="S922" s="92"/>
      <c r="T922" s="93"/>
    </row>
    <row r="923" spans="1:20" s="94" customFormat="1" x14ac:dyDescent="0.3">
      <c r="A923" s="82"/>
      <c r="B923" s="83"/>
      <c r="C923" s="87"/>
      <c r="D923" s="84"/>
      <c r="E923" s="83"/>
      <c r="F923" s="82"/>
      <c r="G923" s="85"/>
      <c r="H923" s="86" t="e">
        <f>IF(I923="fora",0%,G923/QUÓRUM!$C$6)</f>
        <v>#DIV/0!</v>
      </c>
      <c r="I923" s="87"/>
      <c r="J923" s="88"/>
      <c r="K923" s="88"/>
      <c r="L923" s="89"/>
      <c r="M923" s="89"/>
      <c r="N923" s="90"/>
      <c r="O923" s="87"/>
      <c r="P923" s="87"/>
      <c r="Q923" s="87"/>
      <c r="R923" s="91"/>
      <c r="S923" s="92"/>
      <c r="T923" s="93"/>
    </row>
    <row r="924" spans="1:20" s="94" customFormat="1" x14ac:dyDescent="0.3">
      <c r="A924" s="82"/>
      <c r="B924" s="83"/>
      <c r="C924" s="87"/>
      <c r="D924" s="84"/>
      <c r="E924" s="83"/>
      <c r="F924" s="82"/>
      <c r="G924" s="85"/>
      <c r="H924" s="86" t="e">
        <f>IF(I924="fora",0%,G924/QUÓRUM!$C$6)</f>
        <v>#DIV/0!</v>
      </c>
      <c r="I924" s="87"/>
      <c r="J924" s="88"/>
      <c r="K924" s="88"/>
      <c r="L924" s="89"/>
      <c r="M924" s="89"/>
      <c r="N924" s="90"/>
      <c r="O924" s="87"/>
      <c r="P924" s="87"/>
      <c r="Q924" s="87"/>
      <c r="R924" s="91"/>
      <c r="S924" s="92"/>
      <c r="T924" s="93"/>
    </row>
    <row r="925" spans="1:20" s="94" customFormat="1" ht="12" customHeight="1" x14ac:dyDescent="0.3">
      <c r="A925" s="82"/>
      <c r="B925" s="83"/>
      <c r="C925" s="87"/>
      <c r="D925" s="84"/>
      <c r="E925" s="83"/>
      <c r="F925" s="82"/>
      <c r="G925" s="85"/>
      <c r="H925" s="86" t="e">
        <f>IF(I925="fora",0%,G925/QUÓRUM!$C$6)</f>
        <v>#DIV/0!</v>
      </c>
      <c r="I925" s="87"/>
      <c r="J925" s="88"/>
      <c r="K925" s="88"/>
      <c r="L925" s="89"/>
      <c r="M925" s="89"/>
      <c r="N925" s="90"/>
      <c r="O925" s="87"/>
      <c r="P925" s="87"/>
      <c r="Q925" s="87"/>
      <c r="R925" s="91"/>
      <c r="S925" s="92"/>
      <c r="T925" s="93"/>
    </row>
    <row r="926" spans="1:20" s="94" customFormat="1" ht="12" customHeight="1" x14ac:dyDescent="0.3">
      <c r="A926" s="82"/>
      <c r="B926" s="83"/>
      <c r="C926" s="87"/>
      <c r="D926" s="84"/>
      <c r="E926" s="83"/>
      <c r="F926" s="82"/>
      <c r="G926" s="85"/>
      <c r="H926" s="86" t="e">
        <f>IF(I926="fora",0%,G926/QUÓRUM!$C$6)</f>
        <v>#DIV/0!</v>
      </c>
      <c r="I926" s="87"/>
      <c r="J926" s="88"/>
      <c r="K926" s="88"/>
      <c r="L926" s="89"/>
      <c r="M926" s="89"/>
      <c r="N926" s="90"/>
      <c r="O926" s="87"/>
      <c r="P926" s="87"/>
      <c r="Q926" s="87"/>
      <c r="R926" s="91"/>
      <c r="S926" s="92"/>
      <c r="T926" s="93"/>
    </row>
    <row r="927" spans="1:20" s="94" customFormat="1" ht="12" customHeight="1" x14ac:dyDescent="0.3">
      <c r="A927" s="82"/>
      <c r="B927" s="83"/>
      <c r="C927" s="87"/>
      <c r="D927" s="84"/>
      <c r="E927" s="83"/>
      <c r="F927" s="82"/>
      <c r="G927" s="85"/>
      <c r="H927" s="86" t="e">
        <f>IF(I927="fora",0%,G927/QUÓRUM!$C$6)</f>
        <v>#DIV/0!</v>
      </c>
      <c r="I927" s="87"/>
      <c r="J927" s="88"/>
      <c r="K927" s="88"/>
      <c r="L927" s="89"/>
      <c r="M927" s="89"/>
      <c r="N927" s="90"/>
      <c r="O927" s="87"/>
      <c r="P927" s="87"/>
      <c r="Q927" s="87"/>
      <c r="R927" s="91"/>
      <c r="S927" s="92"/>
      <c r="T927" s="93"/>
    </row>
    <row r="928" spans="1:20" s="94" customFormat="1" ht="12" customHeight="1" x14ac:dyDescent="0.3">
      <c r="A928" s="82"/>
      <c r="B928" s="83"/>
      <c r="C928" s="87"/>
      <c r="D928" s="84"/>
      <c r="E928" s="83"/>
      <c r="F928" s="82"/>
      <c r="G928" s="85"/>
      <c r="H928" s="86" t="e">
        <f>IF(I928="fora",0%,G928/QUÓRUM!$C$6)</f>
        <v>#DIV/0!</v>
      </c>
      <c r="I928" s="87"/>
      <c r="J928" s="88"/>
      <c r="K928" s="88"/>
      <c r="L928" s="89"/>
      <c r="M928" s="89"/>
      <c r="N928" s="90"/>
      <c r="O928" s="87"/>
      <c r="P928" s="87"/>
      <c r="Q928" s="87"/>
      <c r="R928" s="91"/>
      <c r="S928" s="92"/>
      <c r="T928" s="93"/>
    </row>
    <row r="929" spans="1:20" s="94" customFormat="1" ht="12" customHeight="1" x14ac:dyDescent="0.3">
      <c r="A929" s="82"/>
      <c r="B929" s="83"/>
      <c r="C929" s="87"/>
      <c r="D929" s="84"/>
      <c r="E929" s="83"/>
      <c r="F929" s="82"/>
      <c r="G929" s="85"/>
      <c r="H929" s="86" t="e">
        <f>IF(I929="fora",0%,G929/QUÓRUM!$C$6)</f>
        <v>#DIV/0!</v>
      </c>
      <c r="I929" s="87"/>
      <c r="J929" s="88"/>
      <c r="K929" s="88"/>
      <c r="L929" s="89"/>
      <c r="M929" s="89"/>
      <c r="N929" s="90"/>
      <c r="O929" s="87"/>
      <c r="P929" s="87"/>
      <c r="Q929" s="87"/>
      <c r="R929" s="91"/>
      <c r="S929" s="92"/>
      <c r="T929" s="93"/>
    </row>
    <row r="930" spans="1:20" s="94" customFormat="1" ht="12" customHeight="1" x14ac:dyDescent="0.3">
      <c r="A930" s="82"/>
      <c r="B930" s="83"/>
      <c r="C930" s="87"/>
      <c r="D930" s="84"/>
      <c r="E930" s="83"/>
      <c r="F930" s="82"/>
      <c r="G930" s="85"/>
      <c r="H930" s="86" t="e">
        <f>IF(I930="fora",0%,G930/QUÓRUM!$C$6)</f>
        <v>#DIV/0!</v>
      </c>
      <c r="I930" s="87"/>
      <c r="J930" s="88"/>
      <c r="K930" s="88"/>
      <c r="L930" s="89"/>
      <c r="M930" s="89"/>
      <c r="N930" s="90"/>
      <c r="O930" s="87"/>
      <c r="P930" s="87"/>
      <c r="Q930" s="87"/>
      <c r="R930" s="91"/>
      <c r="S930" s="92"/>
      <c r="T930" s="93"/>
    </row>
    <row r="931" spans="1:20" s="94" customFormat="1" ht="12" customHeight="1" x14ac:dyDescent="0.3">
      <c r="A931" s="82"/>
      <c r="B931" s="83"/>
      <c r="C931" s="87"/>
      <c r="D931" s="84"/>
      <c r="E931" s="83"/>
      <c r="F931" s="82"/>
      <c r="G931" s="85"/>
      <c r="H931" s="86" t="e">
        <f>IF(I931="fora",0%,G931/QUÓRUM!$C$6)</f>
        <v>#DIV/0!</v>
      </c>
      <c r="I931" s="87"/>
      <c r="J931" s="88"/>
      <c r="K931" s="88"/>
      <c r="L931" s="89"/>
      <c r="M931" s="89"/>
      <c r="N931" s="90"/>
      <c r="O931" s="87"/>
      <c r="P931" s="87"/>
      <c r="Q931" s="87"/>
      <c r="R931" s="91"/>
      <c r="S931" s="92"/>
      <c r="T931" s="93"/>
    </row>
    <row r="932" spans="1:20" s="94" customFormat="1" ht="12" customHeight="1" x14ac:dyDescent="0.3">
      <c r="A932" s="82"/>
      <c r="B932" s="83"/>
      <c r="C932" s="87"/>
      <c r="D932" s="84"/>
      <c r="E932" s="83"/>
      <c r="F932" s="82"/>
      <c r="G932" s="85"/>
      <c r="H932" s="86" t="e">
        <f>IF(I932="fora",0%,G932/QUÓRUM!$C$6)</f>
        <v>#DIV/0!</v>
      </c>
      <c r="I932" s="87"/>
      <c r="J932" s="88"/>
      <c r="K932" s="88"/>
      <c r="L932" s="89"/>
      <c r="M932" s="89"/>
      <c r="N932" s="90"/>
      <c r="O932" s="87"/>
      <c r="P932" s="87"/>
      <c r="Q932" s="87"/>
      <c r="R932" s="91"/>
      <c r="S932" s="92"/>
      <c r="T932" s="93"/>
    </row>
    <row r="933" spans="1:20" s="94" customFormat="1" ht="12" customHeight="1" x14ac:dyDescent="0.3">
      <c r="A933" s="82"/>
      <c r="B933" s="83"/>
      <c r="C933" s="87"/>
      <c r="D933" s="84"/>
      <c r="E933" s="83"/>
      <c r="F933" s="82"/>
      <c r="G933" s="85"/>
      <c r="H933" s="86" t="e">
        <f>IF(I933="fora",0%,G933/QUÓRUM!$C$6)</f>
        <v>#DIV/0!</v>
      </c>
      <c r="I933" s="87"/>
      <c r="J933" s="88"/>
      <c r="K933" s="88"/>
      <c r="L933" s="89"/>
      <c r="M933" s="89"/>
      <c r="N933" s="90"/>
      <c r="O933" s="87"/>
      <c r="P933" s="87"/>
      <c r="Q933" s="87"/>
      <c r="R933" s="91"/>
      <c r="S933" s="92"/>
      <c r="T933" s="93"/>
    </row>
    <row r="934" spans="1:20" s="94" customFormat="1" ht="12" customHeight="1" x14ac:dyDescent="0.3">
      <c r="A934" s="82"/>
      <c r="B934" s="83"/>
      <c r="C934" s="87"/>
      <c r="D934" s="84"/>
      <c r="E934" s="83"/>
      <c r="F934" s="82"/>
      <c r="G934" s="85"/>
      <c r="H934" s="86" t="e">
        <f>IF(I934="fora",0%,G934/QUÓRUM!$C$6)</f>
        <v>#DIV/0!</v>
      </c>
      <c r="I934" s="87"/>
      <c r="J934" s="88"/>
      <c r="K934" s="88"/>
      <c r="L934" s="89"/>
      <c r="M934" s="89"/>
      <c r="N934" s="90"/>
      <c r="O934" s="87"/>
      <c r="P934" s="87"/>
      <c r="Q934" s="87"/>
      <c r="R934" s="91"/>
      <c r="S934" s="92"/>
      <c r="T934" s="93"/>
    </row>
    <row r="935" spans="1:20" s="94" customFormat="1" ht="12" customHeight="1" x14ac:dyDescent="0.3">
      <c r="A935" s="82"/>
      <c r="B935" s="83"/>
      <c r="C935" s="87"/>
      <c r="D935" s="84"/>
      <c r="E935" s="83"/>
      <c r="F935" s="82"/>
      <c r="G935" s="85"/>
      <c r="H935" s="86" t="e">
        <f>IF(I935="fora",0%,G935/QUÓRUM!$C$6)</f>
        <v>#DIV/0!</v>
      </c>
      <c r="I935" s="87"/>
      <c r="J935" s="88"/>
      <c r="K935" s="88"/>
      <c r="L935" s="89"/>
      <c r="M935" s="89"/>
      <c r="N935" s="90"/>
      <c r="O935" s="87"/>
      <c r="P935" s="87"/>
      <c r="Q935" s="87"/>
      <c r="R935" s="91"/>
      <c r="S935" s="92"/>
      <c r="T935" s="93"/>
    </row>
    <row r="936" spans="1:20" s="94" customFormat="1" ht="12" customHeight="1" x14ac:dyDescent="0.3">
      <c r="A936" s="82"/>
      <c r="B936" s="83"/>
      <c r="C936" s="87"/>
      <c r="D936" s="84"/>
      <c r="E936" s="83"/>
      <c r="F936" s="82"/>
      <c r="G936" s="85"/>
      <c r="H936" s="86" t="e">
        <f>IF(I936="fora",0%,G936/QUÓRUM!$C$6)</f>
        <v>#DIV/0!</v>
      </c>
      <c r="I936" s="87"/>
      <c r="J936" s="88"/>
      <c r="K936" s="88"/>
      <c r="L936" s="89"/>
      <c r="M936" s="89"/>
      <c r="N936" s="90"/>
      <c r="O936" s="87"/>
      <c r="P936" s="87"/>
      <c r="Q936" s="87"/>
      <c r="R936" s="91"/>
      <c r="S936" s="92"/>
      <c r="T936" s="93"/>
    </row>
    <row r="937" spans="1:20" s="94" customFormat="1" ht="12" customHeight="1" x14ac:dyDescent="0.3">
      <c r="A937" s="82"/>
      <c r="B937" s="83"/>
      <c r="C937" s="87"/>
      <c r="D937" s="84"/>
      <c r="E937" s="83"/>
      <c r="F937" s="82"/>
      <c r="G937" s="85"/>
      <c r="H937" s="86" t="e">
        <f>IF(I937="fora",0%,G937/QUÓRUM!$C$6)</f>
        <v>#DIV/0!</v>
      </c>
      <c r="I937" s="87"/>
      <c r="J937" s="88"/>
      <c r="K937" s="88"/>
      <c r="L937" s="89"/>
      <c r="M937" s="89"/>
      <c r="N937" s="90"/>
      <c r="O937" s="87"/>
      <c r="P937" s="87"/>
      <c r="Q937" s="87"/>
      <c r="R937" s="91"/>
      <c r="S937" s="92"/>
      <c r="T937" s="93"/>
    </row>
    <row r="938" spans="1:20" s="94" customFormat="1" ht="12" customHeight="1" x14ac:dyDescent="0.3">
      <c r="A938" s="82"/>
      <c r="B938" s="83"/>
      <c r="C938" s="87"/>
      <c r="D938" s="84"/>
      <c r="E938" s="83"/>
      <c r="F938" s="82"/>
      <c r="G938" s="85"/>
      <c r="H938" s="86" t="e">
        <f>IF(I938="fora",0%,G938/QUÓRUM!$C$6)</f>
        <v>#DIV/0!</v>
      </c>
      <c r="I938" s="87"/>
      <c r="J938" s="88"/>
      <c r="K938" s="88"/>
      <c r="L938" s="89"/>
      <c r="M938" s="89"/>
      <c r="N938" s="90"/>
      <c r="O938" s="87"/>
      <c r="P938" s="87"/>
      <c r="Q938" s="87"/>
      <c r="R938" s="91"/>
      <c r="S938" s="92"/>
      <c r="T938" s="93"/>
    </row>
    <row r="939" spans="1:20" s="94" customFormat="1" ht="12" customHeight="1" x14ac:dyDescent="0.3">
      <c r="A939" s="82"/>
      <c r="B939" s="83"/>
      <c r="C939" s="87"/>
      <c r="D939" s="84"/>
      <c r="E939" s="83"/>
      <c r="F939" s="82"/>
      <c r="G939" s="85"/>
      <c r="H939" s="86" t="e">
        <f>IF(I939="fora",0%,G939/QUÓRUM!$C$6)</f>
        <v>#DIV/0!</v>
      </c>
      <c r="I939" s="87"/>
      <c r="J939" s="88"/>
      <c r="K939" s="88"/>
      <c r="L939" s="89"/>
      <c r="M939" s="89"/>
      <c r="N939" s="90"/>
      <c r="O939" s="87"/>
      <c r="P939" s="87"/>
      <c r="Q939" s="87"/>
      <c r="R939" s="91"/>
      <c r="S939" s="92"/>
      <c r="T939" s="93"/>
    </row>
    <row r="940" spans="1:20" s="94" customFormat="1" ht="12" customHeight="1" x14ac:dyDescent="0.3">
      <c r="A940" s="82"/>
      <c r="B940" s="83"/>
      <c r="C940" s="87"/>
      <c r="D940" s="84"/>
      <c r="E940" s="83"/>
      <c r="F940" s="82"/>
      <c r="G940" s="85"/>
      <c r="H940" s="86" t="e">
        <f>IF(I940="fora",0%,G940/QUÓRUM!$C$6)</f>
        <v>#DIV/0!</v>
      </c>
      <c r="I940" s="87"/>
      <c r="J940" s="88"/>
      <c r="K940" s="88"/>
      <c r="L940" s="89"/>
      <c r="M940" s="89"/>
      <c r="N940" s="90"/>
      <c r="O940" s="87"/>
      <c r="P940" s="87"/>
      <c r="Q940" s="87"/>
      <c r="R940" s="91"/>
      <c r="S940" s="92"/>
      <c r="T940" s="93"/>
    </row>
    <row r="941" spans="1:20" s="94" customFormat="1" ht="12" customHeight="1" x14ac:dyDescent="0.3">
      <c r="A941" s="82"/>
      <c r="B941" s="83"/>
      <c r="C941" s="87"/>
      <c r="D941" s="84"/>
      <c r="E941" s="83"/>
      <c r="F941" s="82"/>
      <c r="G941" s="85"/>
      <c r="H941" s="86" t="e">
        <f>IF(I941="fora",0%,G941/QUÓRUM!$C$6)</f>
        <v>#DIV/0!</v>
      </c>
      <c r="I941" s="87"/>
      <c r="J941" s="88"/>
      <c r="K941" s="88"/>
      <c r="L941" s="89"/>
      <c r="M941" s="89"/>
      <c r="N941" s="90"/>
      <c r="O941" s="87"/>
      <c r="P941" s="87"/>
      <c r="Q941" s="87"/>
      <c r="R941" s="91"/>
      <c r="S941" s="92"/>
      <c r="T941" s="93"/>
    </row>
    <row r="942" spans="1:20" s="94" customFormat="1" ht="12" customHeight="1" x14ac:dyDescent="0.3">
      <c r="A942" s="82"/>
      <c r="B942" s="83"/>
      <c r="C942" s="87"/>
      <c r="D942" s="84"/>
      <c r="E942" s="83"/>
      <c r="F942" s="82"/>
      <c r="G942" s="85"/>
      <c r="H942" s="86" t="e">
        <f>IF(I942="fora",0%,G942/QUÓRUM!$C$6)</f>
        <v>#DIV/0!</v>
      </c>
      <c r="I942" s="87"/>
      <c r="J942" s="88"/>
      <c r="K942" s="88"/>
      <c r="L942" s="89"/>
      <c r="M942" s="89"/>
      <c r="N942" s="90"/>
      <c r="O942" s="87"/>
      <c r="P942" s="87"/>
      <c r="Q942" s="87"/>
      <c r="R942" s="91"/>
      <c r="S942" s="92"/>
      <c r="T942" s="93"/>
    </row>
    <row r="943" spans="1:20" s="94" customFormat="1" ht="12" customHeight="1" x14ac:dyDescent="0.3">
      <c r="A943" s="82"/>
      <c r="B943" s="83"/>
      <c r="C943" s="87"/>
      <c r="D943" s="84"/>
      <c r="E943" s="83"/>
      <c r="F943" s="82"/>
      <c r="G943" s="85"/>
      <c r="H943" s="86" t="e">
        <f>IF(I943="fora",0%,G943/QUÓRUM!$C$6)</f>
        <v>#DIV/0!</v>
      </c>
      <c r="I943" s="87"/>
      <c r="J943" s="88"/>
      <c r="K943" s="88"/>
      <c r="L943" s="89"/>
      <c r="M943" s="89"/>
      <c r="N943" s="90"/>
      <c r="O943" s="87"/>
      <c r="P943" s="87"/>
      <c r="Q943" s="87"/>
      <c r="R943" s="91"/>
      <c r="S943" s="92"/>
      <c r="T943" s="93"/>
    </row>
    <row r="944" spans="1:20" s="94" customFormat="1" ht="12" customHeight="1" x14ac:dyDescent="0.3">
      <c r="A944" s="82"/>
      <c r="B944" s="83"/>
      <c r="C944" s="87"/>
      <c r="D944" s="84"/>
      <c r="E944" s="83"/>
      <c r="F944" s="82"/>
      <c r="G944" s="85"/>
      <c r="H944" s="86" t="e">
        <f>IF(I944="fora",0%,G944/QUÓRUM!$C$6)</f>
        <v>#DIV/0!</v>
      </c>
      <c r="I944" s="87"/>
      <c r="J944" s="88"/>
      <c r="K944" s="88"/>
      <c r="L944" s="89"/>
      <c r="M944" s="89"/>
      <c r="N944" s="90"/>
      <c r="O944" s="87"/>
      <c r="P944" s="87"/>
      <c r="Q944" s="87"/>
      <c r="R944" s="91"/>
      <c r="S944" s="92"/>
      <c r="T944" s="93"/>
    </row>
    <row r="945" spans="1:20" s="94" customFormat="1" ht="12" customHeight="1" x14ac:dyDescent="0.3">
      <c r="A945" s="82"/>
      <c r="B945" s="83"/>
      <c r="C945" s="87"/>
      <c r="D945" s="84"/>
      <c r="E945" s="83"/>
      <c r="F945" s="82"/>
      <c r="G945" s="85"/>
      <c r="H945" s="86" t="e">
        <f>IF(I945="fora",0%,G945/QUÓRUM!$C$6)</f>
        <v>#DIV/0!</v>
      </c>
      <c r="I945" s="87"/>
      <c r="J945" s="88"/>
      <c r="K945" s="88"/>
      <c r="L945" s="89"/>
      <c r="M945" s="89"/>
      <c r="N945" s="90"/>
      <c r="O945" s="87"/>
      <c r="P945" s="87"/>
      <c r="Q945" s="87"/>
      <c r="R945" s="91"/>
      <c r="S945" s="92"/>
      <c r="T945" s="93"/>
    </row>
    <row r="946" spans="1:20" s="94" customFormat="1" ht="12" customHeight="1" x14ac:dyDescent="0.3">
      <c r="A946" s="82"/>
      <c r="B946" s="83"/>
      <c r="C946" s="87"/>
      <c r="D946" s="84"/>
      <c r="E946" s="83"/>
      <c r="F946" s="82"/>
      <c r="G946" s="85"/>
      <c r="H946" s="86" t="e">
        <f>IF(I946="fora",0%,G946/QUÓRUM!$C$6)</f>
        <v>#DIV/0!</v>
      </c>
      <c r="I946" s="87"/>
      <c r="J946" s="88"/>
      <c r="K946" s="88"/>
      <c r="L946" s="89"/>
      <c r="M946" s="89"/>
      <c r="N946" s="90"/>
      <c r="O946" s="87"/>
      <c r="P946" s="87"/>
      <c r="Q946" s="87"/>
      <c r="R946" s="91"/>
      <c r="S946" s="92"/>
      <c r="T946" s="93"/>
    </row>
    <row r="947" spans="1:20" s="94" customFormat="1" ht="12" customHeight="1" x14ac:dyDescent="0.3">
      <c r="A947" s="82"/>
      <c r="B947" s="83"/>
      <c r="C947" s="87"/>
      <c r="D947" s="84"/>
      <c r="E947" s="83"/>
      <c r="F947" s="82"/>
      <c r="G947" s="85"/>
      <c r="H947" s="86" t="e">
        <f>IF(I947="fora",0%,G947/QUÓRUM!$C$6)</f>
        <v>#DIV/0!</v>
      </c>
      <c r="I947" s="87"/>
      <c r="J947" s="88"/>
      <c r="K947" s="88"/>
      <c r="L947" s="89"/>
      <c r="M947" s="89"/>
      <c r="N947" s="90"/>
      <c r="O947" s="87"/>
      <c r="P947" s="87"/>
      <c r="Q947" s="87"/>
      <c r="R947" s="91"/>
      <c r="S947" s="92"/>
      <c r="T947" s="93"/>
    </row>
    <row r="948" spans="1:20" s="94" customFormat="1" ht="12" customHeight="1" x14ac:dyDescent="0.3">
      <c r="A948" s="82"/>
      <c r="B948" s="83"/>
      <c r="C948" s="87"/>
      <c r="D948" s="84"/>
      <c r="E948" s="83"/>
      <c r="F948" s="82"/>
      <c r="G948" s="85"/>
      <c r="H948" s="86" t="e">
        <f>IF(I948="fora",0%,G948/QUÓRUM!$C$6)</f>
        <v>#DIV/0!</v>
      </c>
      <c r="I948" s="87"/>
      <c r="J948" s="88"/>
      <c r="K948" s="88"/>
      <c r="L948" s="89"/>
      <c r="M948" s="89"/>
      <c r="N948" s="90"/>
      <c r="O948" s="87"/>
      <c r="P948" s="87"/>
      <c r="Q948" s="87"/>
      <c r="R948" s="91"/>
      <c r="S948" s="92"/>
      <c r="T948" s="93"/>
    </row>
    <row r="949" spans="1:20" s="94" customFormat="1" ht="12" customHeight="1" x14ac:dyDescent="0.3">
      <c r="A949" s="82"/>
      <c r="B949" s="83"/>
      <c r="C949" s="87"/>
      <c r="D949" s="84"/>
      <c r="E949" s="83"/>
      <c r="F949" s="82"/>
      <c r="G949" s="85"/>
      <c r="H949" s="86" t="e">
        <f>IF(I949="fora",0%,G949/QUÓRUM!$C$6)</f>
        <v>#DIV/0!</v>
      </c>
      <c r="I949" s="87"/>
      <c r="J949" s="88"/>
      <c r="K949" s="88"/>
      <c r="L949" s="89"/>
      <c r="M949" s="89"/>
      <c r="N949" s="90"/>
      <c r="O949" s="87"/>
      <c r="P949" s="87"/>
      <c r="Q949" s="87"/>
      <c r="R949" s="91"/>
      <c r="S949" s="92"/>
      <c r="T949" s="93"/>
    </row>
    <row r="950" spans="1:20" s="94" customFormat="1" ht="12" customHeight="1" x14ac:dyDescent="0.3">
      <c r="A950" s="82"/>
      <c r="B950" s="83"/>
      <c r="C950" s="87"/>
      <c r="D950" s="84"/>
      <c r="E950" s="83"/>
      <c r="F950" s="82"/>
      <c r="G950" s="85"/>
      <c r="H950" s="86" t="e">
        <f>IF(I950="fora",0%,G950/QUÓRUM!$C$6)</f>
        <v>#DIV/0!</v>
      </c>
      <c r="I950" s="87"/>
      <c r="J950" s="88"/>
      <c r="K950" s="88"/>
      <c r="L950" s="89"/>
      <c r="M950" s="89"/>
      <c r="N950" s="90"/>
      <c r="O950" s="87"/>
      <c r="P950" s="87"/>
      <c r="Q950" s="87"/>
      <c r="R950" s="91"/>
      <c r="S950" s="92"/>
      <c r="T950" s="93"/>
    </row>
    <row r="951" spans="1:20" s="94" customFormat="1" x14ac:dyDescent="0.3">
      <c r="A951" s="82"/>
      <c r="B951" s="83"/>
      <c r="C951" s="87"/>
      <c r="D951" s="84"/>
      <c r="E951" s="83"/>
      <c r="F951" s="82"/>
      <c r="G951" s="85"/>
      <c r="H951" s="86" t="e">
        <f>IF(I951="fora",0%,G951/QUÓRUM!$C$6)</f>
        <v>#DIV/0!</v>
      </c>
      <c r="I951" s="87"/>
      <c r="J951" s="88"/>
      <c r="K951" s="88"/>
      <c r="L951" s="89"/>
      <c r="M951" s="89"/>
      <c r="N951" s="90"/>
      <c r="O951" s="87"/>
      <c r="P951" s="87"/>
      <c r="Q951" s="87"/>
      <c r="R951" s="91"/>
      <c r="S951" s="92"/>
      <c r="T951" s="93"/>
    </row>
    <row r="952" spans="1:20" s="94" customFormat="1" x14ac:dyDescent="0.3">
      <c r="A952" s="82"/>
      <c r="B952" s="83"/>
      <c r="C952" s="87"/>
      <c r="D952" s="84"/>
      <c r="E952" s="83"/>
      <c r="F952" s="82"/>
      <c r="G952" s="85"/>
      <c r="H952" s="86" t="e">
        <f>IF(I952="fora",0%,G952/QUÓRUM!$C$6)</f>
        <v>#DIV/0!</v>
      </c>
      <c r="I952" s="87"/>
      <c r="J952" s="88"/>
      <c r="K952" s="88"/>
      <c r="L952" s="89"/>
      <c r="M952" s="89"/>
      <c r="N952" s="90"/>
      <c r="O952" s="87"/>
      <c r="P952" s="87"/>
      <c r="Q952" s="87"/>
      <c r="R952" s="91"/>
      <c r="S952" s="92"/>
      <c r="T952" s="93"/>
    </row>
    <row r="953" spans="1:20" s="94" customFormat="1" x14ac:dyDescent="0.3">
      <c r="A953" s="82"/>
      <c r="B953" s="83"/>
      <c r="C953" s="87"/>
      <c r="D953" s="84"/>
      <c r="E953" s="83"/>
      <c r="F953" s="82"/>
      <c r="G953" s="85"/>
      <c r="H953" s="86" t="e">
        <f>IF(I953="fora",0%,G953/QUÓRUM!$C$6)</f>
        <v>#DIV/0!</v>
      </c>
      <c r="I953" s="87"/>
      <c r="J953" s="88"/>
      <c r="K953" s="88"/>
      <c r="L953" s="89"/>
      <c r="M953" s="89"/>
      <c r="N953" s="90"/>
      <c r="O953" s="87"/>
      <c r="P953" s="87"/>
      <c r="Q953" s="87"/>
      <c r="R953" s="91"/>
      <c r="S953" s="92"/>
      <c r="T953" s="93"/>
    </row>
    <row r="954" spans="1:20" s="94" customFormat="1" x14ac:dyDescent="0.3">
      <c r="A954" s="82"/>
      <c r="B954" s="83"/>
      <c r="C954" s="87"/>
      <c r="D954" s="84"/>
      <c r="E954" s="83"/>
      <c r="F954" s="82"/>
      <c r="G954" s="85"/>
      <c r="H954" s="86" t="e">
        <f>IF(I954="fora",0%,G954/QUÓRUM!$C$6)</f>
        <v>#DIV/0!</v>
      </c>
      <c r="I954" s="87"/>
      <c r="J954" s="88"/>
      <c r="K954" s="88"/>
      <c r="L954" s="89"/>
      <c r="M954" s="89"/>
      <c r="N954" s="90"/>
      <c r="O954" s="87"/>
      <c r="P954" s="87"/>
      <c r="Q954" s="87"/>
      <c r="R954" s="91"/>
      <c r="S954" s="92"/>
      <c r="T954" s="93"/>
    </row>
    <row r="955" spans="1:20" s="94" customFormat="1" x14ac:dyDescent="0.3">
      <c r="A955" s="82"/>
      <c r="B955" s="83"/>
      <c r="C955" s="87"/>
      <c r="D955" s="84"/>
      <c r="E955" s="83"/>
      <c r="F955" s="82"/>
      <c r="G955" s="85"/>
      <c r="H955" s="86" t="e">
        <f>IF(I955="fora",0%,G955/QUÓRUM!$C$6)</f>
        <v>#DIV/0!</v>
      </c>
      <c r="I955" s="87"/>
      <c r="J955" s="88"/>
      <c r="K955" s="88"/>
      <c r="L955" s="89"/>
      <c r="M955" s="89"/>
      <c r="N955" s="90"/>
      <c r="O955" s="87"/>
      <c r="P955" s="87"/>
      <c r="Q955" s="87"/>
      <c r="R955" s="91"/>
      <c r="S955" s="92"/>
      <c r="T955" s="93"/>
    </row>
    <row r="956" spans="1:20" s="94" customFormat="1" x14ac:dyDescent="0.3">
      <c r="A956" s="82"/>
      <c r="B956" s="83"/>
      <c r="C956" s="87"/>
      <c r="D956" s="84"/>
      <c r="E956" s="83"/>
      <c r="F956" s="82"/>
      <c r="G956" s="85"/>
      <c r="H956" s="86" t="e">
        <f>IF(I956="fora",0%,G956/QUÓRUM!$C$6)</f>
        <v>#DIV/0!</v>
      </c>
      <c r="I956" s="87"/>
      <c r="J956" s="88"/>
      <c r="K956" s="88"/>
      <c r="L956" s="89"/>
      <c r="M956" s="89"/>
      <c r="N956" s="90"/>
      <c r="O956" s="87"/>
      <c r="P956" s="87"/>
      <c r="Q956" s="87"/>
      <c r="R956" s="91"/>
      <c r="S956" s="92"/>
      <c r="T956" s="93"/>
    </row>
    <row r="957" spans="1:20" s="94" customFormat="1" x14ac:dyDescent="0.3">
      <c r="A957" s="82"/>
      <c r="B957" s="83"/>
      <c r="C957" s="87"/>
      <c r="D957" s="84"/>
      <c r="E957" s="83"/>
      <c r="F957" s="82"/>
      <c r="G957" s="85"/>
      <c r="H957" s="86" t="e">
        <f>IF(I957="fora",0%,G957/QUÓRUM!$C$6)</f>
        <v>#DIV/0!</v>
      </c>
      <c r="I957" s="87"/>
      <c r="J957" s="88"/>
      <c r="K957" s="88"/>
      <c r="L957" s="89"/>
      <c r="M957" s="89"/>
      <c r="N957" s="90"/>
      <c r="O957" s="87"/>
      <c r="P957" s="87"/>
      <c r="Q957" s="87"/>
      <c r="R957" s="91"/>
      <c r="S957" s="92"/>
      <c r="T957" s="93"/>
    </row>
    <row r="958" spans="1:20" s="94" customFormat="1" x14ac:dyDescent="0.3">
      <c r="A958" s="82"/>
      <c r="B958" s="83"/>
      <c r="C958" s="87"/>
      <c r="D958" s="84"/>
      <c r="E958" s="83"/>
      <c r="F958" s="82"/>
      <c r="G958" s="85"/>
      <c r="H958" s="86" t="e">
        <f>IF(I958="fora",0%,G958/QUÓRUM!$C$6)</f>
        <v>#DIV/0!</v>
      </c>
      <c r="I958" s="87"/>
      <c r="J958" s="88"/>
      <c r="K958" s="88"/>
      <c r="L958" s="89"/>
      <c r="M958" s="89"/>
      <c r="N958" s="90"/>
      <c r="O958" s="87"/>
      <c r="P958" s="87"/>
      <c r="Q958" s="87"/>
      <c r="R958" s="91"/>
      <c r="S958" s="92"/>
      <c r="T958" s="93"/>
    </row>
    <row r="959" spans="1:20" s="94" customFormat="1" x14ac:dyDescent="0.3">
      <c r="A959" s="82"/>
      <c r="B959" s="83"/>
      <c r="C959" s="87"/>
      <c r="D959" s="84"/>
      <c r="E959" s="83"/>
      <c r="F959" s="82"/>
      <c r="G959" s="85"/>
      <c r="H959" s="86" t="e">
        <f>IF(I959="fora",0%,G959/QUÓRUM!$C$6)</f>
        <v>#DIV/0!</v>
      </c>
      <c r="I959" s="87"/>
      <c r="J959" s="88"/>
      <c r="K959" s="88"/>
      <c r="L959" s="89"/>
      <c r="M959" s="89"/>
      <c r="N959" s="90"/>
      <c r="O959" s="87"/>
      <c r="P959" s="87"/>
      <c r="Q959" s="87"/>
      <c r="R959" s="91"/>
      <c r="S959" s="92"/>
      <c r="T959" s="93"/>
    </row>
    <row r="960" spans="1:20" s="94" customFormat="1" x14ac:dyDescent="0.3">
      <c r="A960" s="82"/>
      <c r="B960" s="83"/>
      <c r="C960" s="87"/>
      <c r="D960" s="84"/>
      <c r="E960" s="83"/>
      <c r="F960" s="82"/>
      <c r="G960" s="85"/>
      <c r="H960" s="86" t="e">
        <f>IF(I960="fora",0%,G960/QUÓRUM!$C$6)</f>
        <v>#DIV/0!</v>
      </c>
      <c r="I960" s="87"/>
      <c r="J960" s="88"/>
      <c r="K960" s="88"/>
      <c r="L960" s="89"/>
      <c r="M960" s="89"/>
      <c r="N960" s="90"/>
      <c r="O960" s="87"/>
      <c r="P960" s="87"/>
      <c r="Q960" s="87"/>
      <c r="R960" s="91"/>
      <c r="S960" s="92"/>
      <c r="T960" s="93"/>
    </row>
    <row r="961" spans="1:20" s="94" customFormat="1" x14ac:dyDescent="0.3">
      <c r="A961" s="82"/>
      <c r="B961" s="83"/>
      <c r="C961" s="87"/>
      <c r="D961" s="84"/>
      <c r="E961" s="83"/>
      <c r="F961" s="82"/>
      <c r="G961" s="85"/>
      <c r="H961" s="86" t="e">
        <f>IF(I961="fora",0%,G961/QUÓRUM!$C$6)</f>
        <v>#DIV/0!</v>
      </c>
      <c r="I961" s="87"/>
      <c r="J961" s="88"/>
      <c r="K961" s="88"/>
      <c r="L961" s="89"/>
      <c r="M961" s="89"/>
      <c r="N961" s="90"/>
      <c r="O961" s="87"/>
      <c r="P961" s="87"/>
      <c r="Q961" s="87"/>
      <c r="R961" s="91"/>
      <c r="S961" s="92"/>
      <c r="T961" s="93"/>
    </row>
    <row r="962" spans="1:20" s="94" customFormat="1" x14ac:dyDescent="0.3">
      <c r="A962" s="82"/>
      <c r="B962" s="83"/>
      <c r="C962" s="87"/>
      <c r="D962" s="84"/>
      <c r="E962" s="83"/>
      <c r="F962" s="82"/>
      <c r="G962" s="85"/>
      <c r="H962" s="86" t="e">
        <f>IF(I962="fora",0%,G962/QUÓRUM!$C$6)</f>
        <v>#DIV/0!</v>
      </c>
      <c r="I962" s="87"/>
      <c r="J962" s="88"/>
      <c r="K962" s="88"/>
      <c r="L962" s="89"/>
      <c r="M962" s="89"/>
      <c r="N962" s="90"/>
      <c r="O962" s="87"/>
      <c r="P962" s="87"/>
      <c r="Q962" s="87"/>
      <c r="R962" s="91"/>
      <c r="S962" s="92"/>
      <c r="T962" s="93"/>
    </row>
    <row r="963" spans="1:20" s="94" customFormat="1" x14ac:dyDescent="0.3">
      <c r="A963" s="82"/>
      <c r="B963" s="83"/>
      <c r="C963" s="87"/>
      <c r="D963" s="84"/>
      <c r="E963" s="83"/>
      <c r="F963" s="82"/>
      <c r="G963" s="85"/>
      <c r="H963" s="86" t="e">
        <f>IF(I963="fora",0%,G963/QUÓRUM!$C$6)</f>
        <v>#DIV/0!</v>
      </c>
      <c r="I963" s="87"/>
      <c r="J963" s="88"/>
      <c r="K963" s="88"/>
      <c r="L963" s="89"/>
      <c r="M963" s="89"/>
      <c r="N963" s="90"/>
      <c r="O963" s="87"/>
      <c r="P963" s="87"/>
      <c r="Q963" s="87"/>
      <c r="R963" s="91"/>
      <c r="S963" s="92"/>
      <c r="T963" s="93"/>
    </row>
    <row r="964" spans="1:20" s="94" customFormat="1" x14ac:dyDescent="0.3">
      <c r="A964" s="82"/>
      <c r="B964" s="83"/>
      <c r="C964" s="87"/>
      <c r="D964" s="84"/>
      <c r="E964" s="83"/>
      <c r="F964" s="82"/>
      <c r="G964" s="85"/>
      <c r="H964" s="86" t="e">
        <f>IF(I964="fora",0%,G964/QUÓRUM!$C$6)</f>
        <v>#DIV/0!</v>
      </c>
      <c r="I964" s="87"/>
      <c r="J964" s="88"/>
      <c r="K964" s="88"/>
      <c r="L964" s="89"/>
      <c r="M964" s="89"/>
      <c r="N964" s="90"/>
      <c r="O964" s="87"/>
      <c r="P964" s="87"/>
      <c r="Q964" s="87"/>
      <c r="R964" s="91"/>
      <c r="S964" s="92"/>
      <c r="T964" s="93"/>
    </row>
    <row r="965" spans="1:20" s="94" customFormat="1" x14ac:dyDescent="0.3">
      <c r="A965" s="82"/>
      <c r="B965" s="83"/>
      <c r="C965" s="87"/>
      <c r="D965" s="84"/>
      <c r="E965" s="83"/>
      <c r="F965" s="82"/>
      <c r="G965" s="95"/>
      <c r="H965" s="86" t="e">
        <f>IF(I965="fora",0%,G965/QUÓRUM!$C$6)</f>
        <v>#DIV/0!</v>
      </c>
      <c r="I965" s="87"/>
      <c r="J965" s="88"/>
      <c r="K965" s="88"/>
      <c r="L965" s="89"/>
      <c r="M965" s="89"/>
      <c r="N965" s="90"/>
      <c r="O965" s="87"/>
      <c r="P965" s="87"/>
      <c r="Q965" s="87"/>
      <c r="R965" s="91"/>
      <c r="S965" s="92"/>
      <c r="T965" s="93"/>
    </row>
    <row r="966" spans="1:20" s="94" customFormat="1" x14ac:dyDescent="0.3">
      <c r="A966" s="82"/>
      <c r="B966" s="83"/>
      <c r="C966" s="87"/>
      <c r="D966" s="84"/>
      <c r="E966" s="83"/>
      <c r="F966" s="82"/>
      <c r="G966" s="85"/>
      <c r="H966" s="86" t="e">
        <f>IF(I966="fora",0%,G966/QUÓRUM!$C$6)</f>
        <v>#DIV/0!</v>
      </c>
      <c r="I966" s="87"/>
      <c r="J966" s="88"/>
      <c r="K966" s="88"/>
      <c r="L966" s="89"/>
      <c r="M966" s="89"/>
      <c r="N966" s="90"/>
      <c r="O966" s="87"/>
      <c r="P966" s="87"/>
      <c r="Q966" s="87"/>
      <c r="R966" s="91"/>
      <c r="S966" s="92"/>
      <c r="T966" s="93"/>
    </row>
    <row r="967" spans="1:20" s="94" customFormat="1" x14ac:dyDescent="0.3">
      <c r="A967" s="82"/>
      <c r="B967" s="83"/>
      <c r="C967" s="87"/>
      <c r="D967" s="84"/>
      <c r="E967" s="83"/>
      <c r="F967" s="82"/>
      <c r="G967" s="85"/>
      <c r="H967" s="86" t="e">
        <f>IF(I967="fora",0%,G967/QUÓRUM!$C$6)</f>
        <v>#DIV/0!</v>
      </c>
      <c r="I967" s="87"/>
      <c r="J967" s="88"/>
      <c r="K967" s="88"/>
      <c r="L967" s="89"/>
      <c r="M967" s="89"/>
      <c r="N967" s="90"/>
      <c r="O967" s="87"/>
      <c r="P967" s="87"/>
      <c r="Q967" s="87"/>
      <c r="R967" s="91"/>
      <c r="S967" s="92"/>
      <c r="T967" s="93"/>
    </row>
    <row r="968" spans="1:20" s="94" customFormat="1" x14ac:dyDescent="0.3">
      <c r="A968" s="82"/>
      <c r="B968" s="83"/>
      <c r="C968" s="87"/>
      <c r="D968" s="84"/>
      <c r="E968" s="83"/>
      <c r="F968" s="82"/>
      <c r="G968" s="85"/>
      <c r="H968" s="86" t="e">
        <f>IF(I968="fora",0%,G968/QUÓRUM!$C$6)</f>
        <v>#DIV/0!</v>
      </c>
      <c r="I968" s="87"/>
      <c r="J968" s="88"/>
      <c r="K968" s="88"/>
      <c r="L968" s="89"/>
      <c r="M968" s="89"/>
      <c r="N968" s="90"/>
      <c r="O968" s="87"/>
      <c r="P968" s="87"/>
      <c r="Q968" s="87"/>
      <c r="R968" s="91"/>
      <c r="S968" s="92"/>
      <c r="T968" s="93"/>
    </row>
    <row r="969" spans="1:20" s="94" customFormat="1" x14ac:dyDescent="0.3">
      <c r="A969" s="82"/>
      <c r="B969" s="83"/>
      <c r="C969" s="87"/>
      <c r="D969" s="84"/>
      <c r="E969" s="83"/>
      <c r="F969" s="82"/>
      <c r="G969" s="85"/>
      <c r="H969" s="86" t="e">
        <f>IF(I969="fora",0%,G969/QUÓRUM!$C$6)</f>
        <v>#DIV/0!</v>
      </c>
      <c r="I969" s="87"/>
      <c r="J969" s="88"/>
      <c r="K969" s="88"/>
      <c r="L969" s="89"/>
      <c r="M969" s="89"/>
      <c r="N969" s="90"/>
      <c r="O969" s="87"/>
      <c r="P969" s="87"/>
      <c r="Q969" s="87"/>
      <c r="R969" s="91"/>
      <c r="S969" s="92"/>
      <c r="T969" s="93"/>
    </row>
    <row r="970" spans="1:20" s="94" customFormat="1" x14ac:dyDescent="0.3">
      <c r="A970" s="82"/>
      <c r="B970" s="83"/>
      <c r="C970" s="87"/>
      <c r="D970" s="84"/>
      <c r="E970" s="83"/>
      <c r="F970" s="82"/>
      <c r="G970" s="85"/>
      <c r="H970" s="86" t="e">
        <f>IF(I970="fora",0%,G970/QUÓRUM!$C$6)</f>
        <v>#DIV/0!</v>
      </c>
      <c r="I970" s="87"/>
      <c r="J970" s="88"/>
      <c r="K970" s="88"/>
      <c r="L970" s="89"/>
      <c r="M970" s="89"/>
      <c r="N970" s="90"/>
      <c r="O970" s="87"/>
      <c r="P970" s="87"/>
      <c r="Q970" s="87"/>
      <c r="R970" s="91"/>
      <c r="S970" s="92"/>
      <c r="T970" s="93"/>
    </row>
    <row r="971" spans="1:20" s="94" customFormat="1" x14ac:dyDescent="0.3">
      <c r="A971" s="82"/>
      <c r="B971" s="83"/>
      <c r="C971" s="87"/>
      <c r="D971" s="84"/>
      <c r="E971" s="83"/>
      <c r="F971" s="82"/>
      <c r="G971" s="85"/>
      <c r="H971" s="86" t="e">
        <f>IF(I971="fora",0%,G971/QUÓRUM!$C$6)</f>
        <v>#DIV/0!</v>
      </c>
      <c r="I971" s="87"/>
      <c r="J971" s="88"/>
      <c r="K971" s="88"/>
      <c r="L971" s="89"/>
      <c r="M971" s="89"/>
      <c r="N971" s="90"/>
      <c r="O971" s="87"/>
      <c r="P971" s="87"/>
      <c r="Q971" s="87"/>
      <c r="R971" s="91"/>
      <c r="S971" s="92"/>
      <c r="T971" s="93"/>
    </row>
    <row r="972" spans="1:20" s="94" customFormat="1" x14ac:dyDescent="0.3">
      <c r="A972" s="82"/>
      <c r="B972" s="83"/>
      <c r="C972" s="87"/>
      <c r="D972" s="84"/>
      <c r="E972" s="83"/>
      <c r="F972" s="82"/>
      <c r="G972" s="85"/>
      <c r="H972" s="86" t="e">
        <f>IF(I972="fora",0%,G972/QUÓRUM!$C$6)</f>
        <v>#DIV/0!</v>
      </c>
      <c r="I972" s="87"/>
      <c r="J972" s="88"/>
      <c r="K972" s="88"/>
      <c r="L972" s="89"/>
      <c r="M972" s="89"/>
      <c r="N972" s="90"/>
      <c r="O972" s="87"/>
      <c r="P972" s="87"/>
      <c r="Q972" s="87"/>
      <c r="R972" s="91"/>
      <c r="S972" s="92"/>
      <c r="T972" s="93"/>
    </row>
    <row r="973" spans="1:20" s="94" customFormat="1" x14ac:dyDescent="0.3">
      <c r="A973" s="82"/>
      <c r="B973" s="83"/>
      <c r="C973" s="87"/>
      <c r="D973" s="84"/>
      <c r="E973" s="83"/>
      <c r="F973" s="82"/>
      <c r="G973" s="85"/>
      <c r="H973" s="86" t="e">
        <f>IF(I973="fora",0%,G973/QUÓRUM!$C$6)</f>
        <v>#DIV/0!</v>
      </c>
      <c r="I973" s="87"/>
      <c r="J973" s="88"/>
      <c r="K973" s="88"/>
      <c r="L973" s="89"/>
      <c r="M973" s="89"/>
      <c r="N973" s="90"/>
      <c r="O973" s="87"/>
      <c r="P973" s="87"/>
      <c r="Q973" s="87"/>
      <c r="R973" s="91"/>
      <c r="S973" s="92"/>
      <c r="T973" s="93"/>
    </row>
    <row r="974" spans="1:20" s="94" customFormat="1" x14ac:dyDescent="0.3">
      <c r="A974" s="82"/>
      <c r="B974" s="83"/>
      <c r="C974" s="87"/>
      <c r="D974" s="84"/>
      <c r="E974" s="83"/>
      <c r="F974" s="82"/>
      <c r="G974" s="85"/>
      <c r="H974" s="86" t="e">
        <f>IF(I974="fora",0%,G974/QUÓRUM!$C$6)</f>
        <v>#DIV/0!</v>
      </c>
      <c r="I974" s="87"/>
      <c r="J974" s="88"/>
      <c r="K974" s="88"/>
      <c r="L974" s="89"/>
      <c r="M974" s="89"/>
      <c r="N974" s="90"/>
      <c r="O974" s="87"/>
      <c r="P974" s="87"/>
      <c r="Q974" s="87"/>
      <c r="R974" s="91"/>
      <c r="S974" s="92"/>
      <c r="T974" s="93"/>
    </row>
    <row r="975" spans="1:20" s="94" customFormat="1" x14ac:dyDescent="0.3">
      <c r="A975" s="82"/>
      <c r="B975" s="83"/>
      <c r="C975" s="87"/>
      <c r="D975" s="84"/>
      <c r="E975" s="83"/>
      <c r="F975" s="82"/>
      <c r="G975" s="85"/>
      <c r="H975" s="86" t="e">
        <f>IF(I975="fora",0%,G975/QUÓRUM!$C$6)</f>
        <v>#DIV/0!</v>
      </c>
      <c r="I975" s="87"/>
      <c r="J975" s="88"/>
      <c r="K975" s="88"/>
      <c r="L975" s="89"/>
      <c r="M975" s="89"/>
      <c r="N975" s="90"/>
      <c r="O975" s="87"/>
      <c r="P975" s="87"/>
      <c r="Q975" s="87"/>
      <c r="R975" s="91"/>
      <c r="S975" s="92"/>
      <c r="T975" s="93"/>
    </row>
    <row r="976" spans="1:20" s="94" customFormat="1" x14ac:dyDescent="0.3">
      <c r="A976" s="82"/>
      <c r="B976" s="83"/>
      <c r="C976" s="87"/>
      <c r="D976" s="84"/>
      <c r="E976" s="83"/>
      <c r="F976" s="82"/>
      <c r="G976" s="85"/>
      <c r="H976" s="86" t="e">
        <f>IF(I976="fora",0%,G976/QUÓRUM!$C$6)</f>
        <v>#DIV/0!</v>
      </c>
      <c r="I976" s="87"/>
      <c r="J976" s="88"/>
      <c r="K976" s="88"/>
      <c r="L976" s="89"/>
      <c r="M976" s="89"/>
      <c r="N976" s="90"/>
      <c r="O976" s="87"/>
      <c r="P976" s="87"/>
      <c r="Q976" s="87"/>
      <c r="R976" s="91"/>
      <c r="S976" s="92"/>
      <c r="T976" s="93"/>
    </row>
    <row r="977" spans="1:20" s="94" customFormat="1" x14ac:dyDescent="0.3">
      <c r="A977" s="82"/>
      <c r="B977" s="83"/>
      <c r="C977" s="87"/>
      <c r="D977" s="84"/>
      <c r="E977" s="83"/>
      <c r="F977" s="82"/>
      <c r="G977" s="85"/>
      <c r="H977" s="86" t="e">
        <f>IF(I977="fora",0%,G977/QUÓRUM!$C$6)</f>
        <v>#DIV/0!</v>
      </c>
      <c r="I977" s="87"/>
      <c r="J977" s="88"/>
      <c r="K977" s="88"/>
      <c r="L977" s="89"/>
      <c r="M977" s="89"/>
      <c r="N977" s="90"/>
      <c r="O977" s="87"/>
      <c r="P977" s="87"/>
      <c r="Q977" s="87"/>
      <c r="R977" s="91"/>
      <c r="S977" s="92"/>
      <c r="T977" s="93"/>
    </row>
    <row r="978" spans="1:20" s="94" customFormat="1" x14ac:dyDescent="0.3">
      <c r="A978" s="82"/>
      <c r="B978" s="83"/>
      <c r="C978" s="87"/>
      <c r="D978" s="84"/>
      <c r="E978" s="83"/>
      <c r="F978" s="82"/>
      <c r="G978" s="85"/>
      <c r="H978" s="86" t="e">
        <f>IF(I978="fora",0%,G978/QUÓRUM!$C$6)</f>
        <v>#DIV/0!</v>
      </c>
      <c r="I978" s="87"/>
      <c r="J978" s="88"/>
      <c r="K978" s="88"/>
      <c r="L978" s="89"/>
      <c r="M978" s="89"/>
      <c r="N978" s="90"/>
      <c r="O978" s="87"/>
      <c r="P978" s="87"/>
      <c r="Q978" s="87"/>
      <c r="R978" s="91"/>
      <c r="S978" s="92"/>
      <c r="T978" s="93"/>
    </row>
    <row r="979" spans="1:20" s="94" customFormat="1" x14ac:dyDescent="0.3">
      <c r="A979" s="82"/>
      <c r="B979" s="83"/>
      <c r="C979" s="87"/>
      <c r="D979" s="84"/>
      <c r="E979" s="83"/>
      <c r="F979" s="82"/>
      <c r="G979" s="85"/>
      <c r="H979" s="86" t="e">
        <f>IF(I979="fora",0%,G979/QUÓRUM!$C$6)</f>
        <v>#DIV/0!</v>
      </c>
      <c r="I979" s="87"/>
      <c r="J979" s="88"/>
      <c r="K979" s="88"/>
      <c r="L979" s="89"/>
      <c r="M979" s="89"/>
      <c r="N979" s="90"/>
      <c r="O979" s="87"/>
      <c r="P979" s="87"/>
      <c r="Q979" s="87"/>
      <c r="R979" s="91"/>
      <c r="S979" s="92"/>
      <c r="T979" s="93"/>
    </row>
    <row r="980" spans="1:20" s="94" customFormat="1" x14ac:dyDescent="0.3">
      <c r="A980" s="82"/>
      <c r="B980" s="83"/>
      <c r="C980" s="87"/>
      <c r="D980" s="84"/>
      <c r="E980" s="83"/>
      <c r="F980" s="82"/>
      <c r="G980" s="85"/>
      <c r="H980" s="86" t="e">
        <f>IF(I980="fora",0%,G980/QUÓRUM!$C$6)</f>
        <v>#DIV/0!</v>
      </c>
      <c r="I980" s="87"/>
      <c r="J980" s="88"/>
      <c r="K980" s="88"/>
      <c r="L980" s="89"/>
      <c r="M980" s="89"/>
      <c r="N980" s="90"/>
      <c r="O980" s="87"/>
      <c r="P980" s="87"/>
      <c r="Q980" s="87"/>
      <c r="R980" s="91"/>
      <c r="S980" s="92"/>
      <c r="T980" s="93"/>
    </row>
    <row r="981" spans="1:20" s="94" customFormat="1" x14ac:dyDescent="0.3">
      <c r="A981" s="82"/>
      <c r="B981" s="83"/>
      <c r="C981" s="87"/>
      <c r="D981" s="84"/>
      <c r="E981" s="83"/>
      <c r="F981" s="82"/>
      <c r="G981" s="85"/>
      <c r="H981" s="86" t="e">
        <f>IF(I981="fora",0%,G981/QUÓRUM!$C$6)</f>
        <v>#DIV/0!</v>
      </c>
      <c r="I981" s="87"/>
      <c r="J981" s="88"/>
      <c r="K981" s="88"/>
      <c r="L981" s="89"/>
      <c r="M981" s="89"/>
      <c r="N981" s="90"/>
      <c r="O981" s="87"/>
      <c r="P981" s="87"/>
      <c r="Q981" s="87"/>
      <c r="R981" s="91"/>
      <c r="S981" s="92"/>
      <c r="T981" s="93"/>
    </row>
    <row r="982" spans="1:20" s="94" customFormat="1" x14ac:dyDescent="0.3">
      <c r="A982" s="82"/>
      <c r="B982" s="83"/>
      <c r="C982" s="87"/>
      <c r="D982" s="84"/>
      <c r="E982" s="83"/>
      <c r="F982" s="82"/>
      <c r="G982" s="85"/>
      <c r="H982" s="86" t="e">
        <f>IF(I982="fora",0%,G982/QUÓRUM!$C$6)</f>
        <v>#DIV/0!</v>
      </c>
      <c r="I982" s="87"/>
      <c r="J982" s="88"/>
      <c r="K982" s="88"/>
      <c r="L982" s="89"/>
      <c r="M982" s="89"/>
      <c r="N982" s="90"/>
      <c r="O982" s="87"/>
      <c r="P982" s="87"/>
      <c r="Q982" s="87"/>
      <c r="R982" s="91"/>
      <c r="S982" s="92"/>
      <c r="T982" s="93"/>
    </row>
    <row r="983" spans="1:20" s="94" customFormat="1" x14ac:dyDescent="0.3">
      <c r="A983" s="82"/>
      <c r="B983" s="83"/>
      <c r="C983" s="87"/>
      <c r="D983" s="84"/>
      <c r="E983" s="83"/>
      <c r="F983" s="82"/>
      <c r="G983" s="85"/>
      <c r="H983" s="86" t="e">
        <f>IF(I983="fora",0%,G983/QUÓRUM!$C$6)</f>
        <v>#DIV/0!</v>
      </c>
      <c r="I983" s="87"/>
      <c r="J983" s="88"/>
      <c r="K983" s="88"/>
      <c r="L983" s="89"/>
      <c r="M983" s="89"/>
      <c r="N983" s="90"/>
      <c r="O983" s="87"/>
      <c r="P983" s="87"/>
      <c r="Q983" s="87"/>
      <c r="R983" s="91"/>
      <c r="S983" s="92"/>
      <c r="T983" s="93"/>
    </row>
    <row r="984" spans="1:20" s="94" customFormat="1" x14ac:dyDescent="0.3">
      <c r="A984" s="82"/>
      <c r="B984" s="83"/>
      <c r="C984" s="87"/>
      <c r="D984" s="84"/>
      <c r="E984" s="83"/>
      <c r="F984" s="82"/>
      <c r="G984" s="85"/>
      <c r="H984" s="86" t="e">
        <f>IF(I984="fora",0%,G984/QUÓRUM!$C$6)</f>
        <v>#DIV/0!</v>
      </c>
      <c r="I984" s="87"/>
      <c r="J984" s="88"/>
      <c r="K984" s="88"/>
      <c r="L984" s="89"/>
      <c r="M984" s="89"/>
      <c r="N984" s="90"/>
      <c r="O984" s="87"/>
      <c r="P984" s="87"/>
      <c r="Q984" s="87"/>
      <c r="R984" s="91"/>
      <c r="S984" s="92"/>
      <c r="T984" s="93"/>
    </row>
    <row r="985" spans="1:20" s="94" customFormat="1" x14ac:dyDescent="0.3">
      <c r="A985" s="82"/>
      <c r="B985" s="83"/>
      <c r="C985" s="87"/>
      <c r="D985" s="84"/>
      <c r="E985" s="83"/>
      <c r="F985" s="82"/>
      <c r="G985" s="85"/>
      <c r="H985" s="86" t="e">
        <f>IF(I985="fora",0%,G985/QUÓRUM!$C$6)</f>
        <v>#DIV/0!</v>
      </c>
      <c r="I985" s="87"/>
      <c r="J985" s="88"/>
      <c r="K985" s="88"/>
      <c r="L985" s="89"/>
      <c r="M985" s="89"/>
      <c r="N985" s="90"/>
      <c r="O985" s="87"/>
      <c r="P985" s="87"/>
      <c r="Q985" s="87"/>
      <c r="R985" s="91"/>
      <c r="S985" s="92"/>
      <c r="T985" s="93"/>
    </row>
    <row r="986" spans="1:20" s="94" customFormat="1" x14ac:dyDescent="0.3">
      <c r="A986" s="82"/>
      <c r="B986" s="83"/>
      <c r="C986" s="87"/>
      <c r="D986" s="84"/>
      <c r="E986" s="83"/>
      <c r="F986" s="82"/>
      <c r="G986" s="85"/>
      <c r="H986" s="86" t="e">
        <f>IF(I986="fora",0%,G986/QUÓRUM!$C$6)</f>
        <v>#DIV/0!</v>
      </c>
      <c r="I986" s="87"/>
      <c r="J986" s="88"/>
      <c r="K986" s="88"/>
      <c r="L986" s="89"/>
      <c r="M986" s="89"/>
      <c r="N986" s="90"/>
      <c r="O986" s="87"/>
      <c r="P986" s="87"/>
      <c r="Q986" s="87"/>
      <c r="R986" s="91"/>
      <c r="S986" s="92"/>
      <c r="T986" s="93"/>
    </row>
    <row r="987" spans="1:20" s="94" customFormat="1" x14ac:dyDescent="0.3">
      <c r="A987" s="82"/>
      <c r="B987" s="83"/>
      <c r="C987" s="87"/>
      <c r="D987" s="84"/>
      <c r="E987" s="83"/>
      <c r="F987" s="82"/>
      <c r="G987" s="85"/>
      <c r="H987" s="86" t="e">
        <f>IF(I987="fora",0%,G987/QUÓRUM!$C$6)</f>
        <v>#DIV/0!</v>
      </c>
      <c r="I987" s="87"/>
      <c r="J987" s="88"/>
      <c r="K987" s="88"/>
      <c r="L987" s="89"/>
      <c r="M987" s="89"/>
      <c r="N987" s="90"/>
      <c r="O987" s="87"/>
      <c r="P987" s="87"/>
      <c r="Q987" s="87"/>
      <c r="R987" s="91"/>
      <c r="S987" s="92"/>
      <c r="T987" s="93"/>
    </row>
    <row r="988" spans="1:20" s="94" customFormat="1" x14ac:dyDescent="0.3">
      <c r="A988" s="82"/>
      <c r="B988" s="83"/>
      <c r="C988" s="87"/>
      <c r="D988" s="84"/>
      <c r="E988" s="83"/>
      <c r="F988" s="82"/>
      <c r="G988" s="85"/>
      <c r="H988" s="86" t="e">
        <f>IF(I988="fora",0%,G988/QUÓRUM!$C$6)</f>
        <v>#DIV/0!</v>
      </c>
      <c r="I988" s="87"/>
      <c r="J988" s="88"/>
      <c r="K988" s="88"/>
      <c r="L988" s="89"/>
      <c r="M988" s="89"/>
      <c r="N988" s="90"/>
      <c r="O988" s="87"/>
      <c r="P988" s="87"/>
      <c r="Q988" s="87"/>
      <c r="R988" s="91"/>
      <c r="S988" s="92"/>
      <c r="T988" s="93"/>
    </row>
    <row r="989" spans="1:20" s="94" customFormat="1" x14ac:dyDescent="0.3">
      <c r="A989" s="82"/>
      <c r="B989" s="83"/>
      <c r="C989" s="87"/>
      <c r="D989" s="84"/>
      <c r="E989" s="83"/>
      <c r="F989" s="82"/>
      <c r="G989" s="85"/>
      <c r="H989" s="86" t="e">
        <f>IF(I989="fora",0%,G989/QUÓRUM!$C$6)</f>
        <v>#DIV/0!</v>
      </c>
      <c r="I989" s="87"/>
      <c r="J989" s="88"/>
      <c r="K989" s="88"/>
      <c r="L989" s="89"/>
      <c r="M989" s="89"/>
      <c r="N989" s="90"/>
      <c r="O989" s="87"/>
      <c r="P989" s="87"/>
      <c r="Q989" s="87"/>
      <c r="R989" s="91"/>
      <c r="S989" s="92"/>
      <c r="T989" s="93"/>
    </row>
    <row r="990" spans="1:20" s="94" customFormat="1" x14ac:dyDescent="0.3">
      <c r="A990" s="82"/>
      <c r="B990" s="83"/>
      <c r="C990" s="87"/>
      <c r="D990" s="84"/>
      <c r="E990" s="83"/>
      <c r="F990" s="82"/>
      <c r="G990" s="85"/>
      <c r="H990" s="86" t="e">
        <f>IF(I990="fora",0%,G990/QUÓRUM!$C$6)</f>
        <v>#DIV/0!</v>
      </c>
      <c r="I990" s="87"/>
      <c r="J990" s="88"/>
      <c r="K990" s="88"/>
      <c r="L990" s="89"/>
      <c r="M990" s="89"/>
      <c r="N990" s="90"/>
      <c r="O990" s="87"/>
      <c r="P990" s="87"/>
      <c r="Q990" s="87"/>
      <c r="R990" s="91"/>
      <c r="S990" s="92"/>
      <c r="T990" s="93"/>
    </row>
    <row r="991" spans="1:20" s="94" customFormat="1" x14ac:dyDescent="0.3">
      <c r="A991" s="82"/>
      <c r="B991" s="83"/>
      <c r="C991" s="87"/>
      <c r="D991" s="84"/>
      <c r="E991" s="83"/>
      <c r="F991" s="82"/>
      <c r="G991" s="85"/>
      <c r="H991" s="86" t="e">
        <f>IF(I991="fora",0%,G991/QUÓRUM!$C$6)</f>
        <v>#DIV/0!</v>
      </c>
      <c r="I991" s="87"/>
      <c r="J991" s="88"/>
      <c r="K991" s="88"/>
      <c r="L991" s="89"/>
      <c r="M991" s="89"/>
      <c r="N991" s="90"/>
      <c r="O991" s="87"/>
      <c r="P991" s="87"/>
      <c r="Q991" s="87"/>
      <c r="R991" s="91"/>
      <c r="S991" s="92"/>
      <c r="T991" s="93"/>
    </row>
    <row r="992" spans="1:20" s="94" customFormat="1" x14ac:dyDescent="0.3">
      <c r="A992" s="82"/>
      <c r="B992" s="83"/>
      <c r="C992" s="87"/>
      <c r="D992" s="84"/>
      <c r="E992" s="83"/>
      <c r="F992" s="82"/>
      <c r="G992" s="85"/>
      <c r="H992" s="86" t="e">
        <f>IF(I992="fora",0%,G992/QUÓRUM!$C$6)</f>
        <v>#DIV/0!</v>
      </c>
      <c r="I992" s="87"/>
      <c r="J992" s="88"/>
      <c r="K992" s="88"/>
      <c r="L992" s="89"/>
      <c r="M992" s="89"/>
      <c r="N992" s="90"/>
      <c r="O992" s="87"/>
      <c r="P992" s="87"/>
      <c r="Q992" s="87"/>
      <c r="R992" s="91"/>
      <c r="S992" s="92"/>
      <c r="T992" s="93"/>
    </row>
    <row r="993" spans="1:20" s="94" customFormat="1" x14ac:dyDescent="0.3">
      <c r="A993" s="82"/>
      <c r="B993" s="83"/>
      <c r="C993" s="87"/>
      <c r="D993" s="84"/>
      <c r="E993" s="83"/>
      <c r="F993" s="82"/>
      <c r="G993" s="85"/>
      <c r="H993" s="86" t="e">
        <f>IF(I993="fora",0%,G993/QUÓRUM!$C$6)</f>
        <v>#DIV/0!</v>
      </c>
      <c r="I993" s="87"/>
      <c r="J993" s="88"/>
      <c r="K993" s="88"/>
      <c r="L993" s="89"/>
      <c r="M993" s="89"/>
      <c r="N993" s="90"/>
      <c r="O993" s="87"/>
      <c r="P993" s="87"/>
      <c r="Q993" s="87"/>
      <c r="R993" s="91"/>
      <c r="S993" s="92"/>
      <c r="T993" s="93"/>
    </row>
    <row r="994" spans="1:20" s="94" customFormat="1" x14ac:dyDescent="0.3">
      <c r="A994" s="82"/>
      <c r="B994" s="83"/>
      <c r="C994" s="87"/>
      <c r="D994" s="84"/>
      <c r="E994" s="83"/>
      <c r="F994" s="82"/>
      <c r="G994" s="85"/>
      <c r="H994" s="86" t="e">
        <f>IF(I994="fora",0%,G994/QUÓRUM!$C$6)</f>
        <v>#DIV/0!</v>
      </c>
      <c r="I994" s="87"/>
      <c r="J994" s="88"/>
      <c r="K994" s="88"/>
      <c r="L994" s="89"/>
      <c r="M994" s="89"/>
      <c r="N994" s="90"/>
      <c r="O994" s="87"/>
      <c r="P994" s="87"/>
      <c r="Q994" s="87"/>
      <c r="R994" s="91"/>
      <c r="S994" s="92"/>
      <c r="T994" s="93"/>
    </row>
    <row r="995" spans="1:20" s="94" customFormat="1" x14ac:dyDescent="0.3">
      <c r="A995" s="82"/>
      <c r="B995" s="83"/>
      <c r="C995" s="87"/>
      <c r="D995" s="84"/>
      <c r="E995" s="83"/>
      <c r="F995" s="82"/>
      <c r="G995" s="85"/>
      <c r="H995" s="86" t="e">
        <f>IF(I995="fora",0%,G995/QUÓRUM!$C$6)</f>
        <v>#DIV/0!</v>
      </c>
      <c r="I995" s="87"/>
      <c r="J995" s="88"/>
      <c r="K995" s="88"/>
      <c r="L995" s="89"/>
      <c r="M995" s="89"/>
      <c r="N995" s="90"/>
      <c r="O995" s="87"/>
      <c r="P995" s="87"/>
      <c r="Q995" s="87"/>
      <c r="R995" s="91"/>
      <c r="S995" s="92"/>
      <c r="T995" s="93"/>
    </row>
    <row r="996" spans="1:20" s="94" customFormat="1" x14ac:dyDescent="0.3">
      <c r="A996" s="82"/>
      <c r="B996" s="83"/>
      <c r="C996" s="87"/>
      <c r="D996" s="84"/>
      <c r="E996" s="83"/>
      <c r="F996" s="82"/>
      <c r="G996" s="85"/>
      <c r="H996" s="86" t="e">
        <f>IF(I996="fora",0%,G996/QUÓRUM!$C$6)</f>
        <v>#DIV/0!</v>
      </c>
      <c r="I996" s="87"/>
      <c r="J996" s="88"/>
      <c r="K996" s="88"/>
      <c r="L996" s="89"/>
      <c r="M996" s="89"/>
      <c r="N996" s="90"/>
      <c r="O996" s="87"/>
      <c r="P996" s="87"/>
      <c r="Q996" s="87"/>
      <c r="R996" s="91"/>
      <c r="S996" s="92"/>
      <c r="T996" s="93"/>
    </row>
    <row r="997" spans="1:20" s="94" customFormat="1" x14ac:dyDescent="0.3">
      <c r="A997" s="82"/>
      <c r="B997" s="83"/>
      <c r="C997" s="87"/>
      <c r="D997" s="84"/>
      <c r="E997" s="83"/>
      <c r="F997" s="82"/>
      <c r="G997" s="85"/>
      <c r="H997" s="86" t="e">
        <f>IF(I997="fora",0%,G997/QUÓRUM!$C$6)</f>
        <v>#DIV/0!</v>
      </c>
      <c r="I997" s="87"/>
      <c r="J997" s="88"/>
      <c r="K997" s="88"/>
      <c r="L997" s="89"/>
      <c r="M997" s="89"/>
      <c r="N997" s="90"/>
      <c r="O997" s="87"/>
      <c r="P997" s="87"/>
      <c r="Q997" s="87"/>
      <c r="R997" s="91"/>
      <c r="S997" s="92"/>
      <c r="T997" s="93"/>
    </row>
    <row r="998" spans="1:20" s="94" customFormat="1" x14ac:dyDescent="0.3">
      <c r="A998" s="82"/>
      <c r="B998" s="83"/>
      <c r="C998" s="87"/>
      <c r="D998" s="84"/>
      <c r="E998" s="83"/>
      <c r="F998" s="82"/>
      <c r="G998" s="85"/>
      <c r="H998" s="86" t="e">
        <f>IF(I998="fora",0%,G998/QUÓRUM!$C$6)</f>
        <v>#DIV/0!</v>
      </c>
      <c r="I998" s="87"/>
      <c r="J998" s="88"/>
      <c r="K998" s="88"/>
      <c r="L998" s="89"/>
      <c r="M998" s="89"/>
      <c r="N998" s="90"/>
      <c r="O998" s="87"/>
      <c r="P998" s="87"/>
      <c r="Q998" s="87"/>
      <c r="R998" s="91"/>
      <c r="S998" s="92"/>
      <c r="T998" s="93"/>
    </row>
    <row r="999" spans="1:20" s="94" customFormat="1" x14ac:dyDescent="0.3">
      <c r="A999" s="82"/>
      <c r="B999" s="83"/>
      <c r="C999" s="87"/>
      <c r="D999" s="84"/>
      <c r="E999" s="83"/>
      <c r="F999" s="82"/>
      <c r="G999" s="85"/>
      <c r="H999" s="86" t="e">
        <f>IF(I999="fora",0%,G999/QUÓRUM!$C$6)</f>
        <v>#DIV/0!</v>
      </c>
      <c r="I999" s="87"/>
      <c r="J999" s="88"/>
      <c r="K999" s="88"/>
      <c r="L999" s="89"/>
      <c r="M999" s="89"/>
      <c r="N999" s="90"/>
      <c r="O999" s="87"/>
      <c r="P999" s="87"/>
      <c r="Q999" s="87"/>
      <c r="R999" s="91"/>
      <c r="S999" s="92"/>
      <c r="T999" s="93"/>
    </row>
    <row r="1000" spans="1:20" s="94" customFormat="1" x14ac:dyDescent="0.3">
      <c r="A1000" s="82"/>
      <c r="B1000" s="83"/>
      <c r="C1000" s="87"/>
      <c r="D1000" s="84"/>
      <c r="E1000" s="83"/>
      <c r="F1000" s="82"/>
      <c r="G1000" s="85"/>
      <c r="H1000" s="86" t="e">
        <f>IF(I1000="fora",0%,G1000/QUÓRUM!$C$6)</f>
        <v>#DIV/0!</v>
      </c>
      <c r="I1000" s="87"/>
      <c r="J1000" s="88"/>
      <c r="K1000" s="88"/>
      <c r="L1000" s="89"/>
      <c r="M1000" s="89"/>
      <c r="N1000" s="90"/>
      <c r="O1000" s="87"/>
      <c r="P1000" s="87"/>
      <c r="Q1000" s="87"/>
      <c r="R1000" s="91"/>
      <c r="S1000" s="92"/>
      <c r="T1000" s="93"/>
    </row>
    <row r="1001" spans="1:20" s="94" customFormat="1" x14ac:dyDescent="0.3">
      <c r="A1001" s="82"/>
      <c r="B1001" s="83"/>
      <c r="C1001" s="87"/>
      <c r="D1001" s="84"/>
      <c r="E1001" s="83"/>
      <c r="F1001" s="82"/>
      <c r="G1001" s="85"/>
      <c r="H1001" s="86" t="e">
        <f>IF(I1001="fora",0%,G1001/QUÓRUM!$C$6)</f>
        <v>#DIV/0!</v>
      </c>
      <c r="I1001" s="87"/>
      <c r="J1001" s="88"/>
      <c r="K1001" s="88"/>
      <c r="L1001" s="89"/>
      <c r="M1001" s="89"/>
      <c r="N1001" s="90"/>
      <c r="O1001" s="87"/>
      <c r="P1001" s="87"/>
      <c r="Q1001" s="87"/>
      <c r="R1001" s="91"/>
      <c r="S1001" s="92"/>
      <c r="T1001" s="93"/>
    </row>
    <row r="1002" spans="1:20" s="94" customFormat="1" x14ac:dyDescent="0.3">
      <c r="A1002" s="82"/>
      <c r="B1002" s="83"/>
      <c r="C1002" s="87"/>
      <c r="D1002" s="84"/>
      <c r="E1002" s="83"/>
      <c r="F1002" s="82"/>
      <c r="G1002" s="85"/>
      <c r="H1002" s="86" t="e">
        <f>IF(I1002="fora",0%,G1002/QUÓRUM!$C$6)</f>
        <v>#DIV/0!</v>
      </c>
      <c r="I1002" s="87"/>
      <c r="J1002" s="88"/>
      <c r="K1002" s="88"/>
      <c r="L1002" s="89"/>
      <c r="M1002" s="89"/>
      <c r="N1002" s="90"/>
      <c r="O1002" s="87"/>
      <c r="P1002" s="87"/>
      <c r="Q1002" s="87"/>
      <c r="R1002" s="91"/>
      <c r="S1002" s="92"/>
      <c r="T1002" s="93"/>
    </row>
    <row r="1003" spans="1:20" s="94" customFormat="1" x14ac:dyDescent="0.3">
      <c r="A1003" s="82"/>
      <c r="B1003" s="83"/>
      <c r="C1003" s="87"/>
      <c r="D1003" s="84"/>
      <c r="E1003" s="83"/>
      <c r="F1003" s="82"/>
      <c r="G1003" s="85"/>
      <c r="H1003" s="86" t="e">
        <f>IF(I1003="fora",0%,G1003/QUÓRUM!$C$6)</f>
        <v>#DIV/0!</v>
      </c>
      <c r="I1003" s="87"/>
      <c r="J1003" s="88"/>
      <c r="K1003" s="88"/>
      <c r="L1003" s="89"/>
      <c r="M1003" s="89"/>
      <c r="N1003" s="90"/>
      <c r="O1003" s="87"/>
      <c r="P1003" s="87"/>
      <c r="Q1003" s="87"/>
      <c r="R1003" s="91"/>
      <c r="S1003" s="92"/>
      <c r="T1003" s="93"/>
    </row>
    <row r="1004" spans="1:20" s="94" customFormat="1" x14ac:dyDescent="0.3">
      <c r="A1004" s="82"/>
      <c r="B1004" s="83"/>
      <c r="C1004" s="87"/>
      <c r="D1004" s="84"/>
      <c r="E1004" s="83"/>
      <c r="F1004" s="82"/>
      <c r="G1004" s="85"/>
      <c r="H1004" s="86" t="e">
        <f>IF(I1004="fora",0%,G1004/QUÓRUM!$C$6)</f>
        <v>#DIV/0!</v>
      </c>
      <c r="I1004" s="87"/>
      <c r="J1004" s="88"/>
      <c r="K1004" s="88"/>
      <c r="L1004" s="89"/>
      <c r="M1004" s="89"/>
      <c r="N1004" s="90"/>
      <c r="O1004" s="87"/>
      <c r="P1004" s="87"/>
      <c r="Q1004" s="87"/>
      <c r="R1004" s="91"/>
      <c r="S1004" s="92"/>
      <c r="T1004" s="93"/>
    </row>
    <row r="1005" spans="1:20" s="94" customFormat="1" x14ac:dyDescent="0.3">
      <c r="A1005" s="82"/>
      <c r="B1005" s="83"/>
      <c r="C1005" s="87"/>
      <c r="D1005" s="84"/>
      <c r="E1005" s="83"/>
      <c r="F1005" s="82"/>
      <c r="G1005" s="85"/>
      <c r="H1005" s="86" t="e">
        <f>IF(I1005="fora",0%,G1005/QUÓRUM!$C$6)</f>
        <v>#DIV/0!</v>
      </c>
      <c r="I1005" s="87"/>
      <c r="J1005" s="88"/>
      <c r="K1005" s="88"/>
      <c r="L1005" s="89"/>
      <c r="M1005" s="89"/>
      <c r="N1005" s="90"/>
      <c r="O1005" s="87"/>
      <c r="P1005" s="87"/>
      <c r="Q1005" s="87"/>
      <c r="R1005" s="91"/>
      <c r="S1005" s="92"/>
      <c r="T1005" s="93"/>
    </row>
    <row r="1006" spans="1:20" s="94" customFormat="1" x14ac:dyDescent="0.3">
      <c r="A1006" s="82"/>
      <c r="B1006" s="83"/>
      <c r="C1006" s="87"/>
      <c r="D1006" s="84"/>
      <c r="E1006" s="83"/>
      <c r="F1006" s="82"/>
      <c r="G1006" s="85"/>
      <c r="H1006" s="86" t="e">
        <f>IF(I1006="fora",0%,G1006/QUÓRUM!$C$6)</f>
        <v>#DIV/0!</v>
      </c>
      <c r="I1006" s="87"/>
      <c r="J1006" s="88"/>
      <c r="K1006" s="88"/>
      <c r="L1006" s="89"/>
      <c r="M1006" s="89"/>
      <c r="N1006" s="90"/>
      <c r="O1006" s="87"/>
      <c r="P1006" s="87"/>
      <c r="Q1006" s="87"/>
      <c r="R1006" s="91"/>
      <c r="S1006" s="92"/>
      <c r="T1006" s="93"/>
    </row>
    <row r="1007" spans="1:20" s="94" customFormat="1" x14ac:dyDescent="0.3">
      <c r="A1007" s="82"/>
      <c r="B1007" s="83"/>
      <c r="C1007" s="87"/>
      <c r="D1007" s="84"/>
      <c r="E1007" s="83"/>
      <c r="F1007" s="82"/>
      <c r="G1007" s="85"/>
      <c r="H1007" s="86" t="e">
        <f>IF(I1007="fora",0%,G1007/QUÓRUM!$C$6)</f>
        <v>#DIV/0!</v>
      </c>
      <c r="I1007" s="87"/>
      <c r="J1007" s="88"/>
      <c r="K1007" s="88"/>
      <c r="L1007" s="89"/>
      <c r="M1007" s="89"/>
      <c r="N1007" s="90"/>
      <c r="O1007" s="87"/>
      <c r="P1007" s="87"/>
      <c r="Q1007" s="87"/>
      <c r="R1007" s="91"/>
      <c r="S1007" s="92"/>
      <c r="T1007" s="93"/>
    </row>
    <row r="1008" spans="1:20" s="94" customFormat="1" x14ac:dyDescent="0.3">
      <c r="A1008" s="82"/>
      <c r="B1008" s="83"/>
      <c r="C1008" s="87"/>
      <c r="D1008" s="84"/>
      <c r="E1008" s="83"/>
      <c r="F1008" s="82"/>
      <c r="G1008" s="85"/>
      <c r="H1008" s="86" t="e">
        <f>IF(I1008="fora",0%,G1008/QUÓRUM!$C$6)</f>
        <v>#DIV/0!</v>
      </c>
      <c r="I1008" s="87"/>
      <c r="J1008" s="88"/>
      <c r="K1008" s="88"/>
      <c r="L1008" s="89"/>
      <c r="M1008" s="89"/>
      <c r="N1008" s="90"/>
      <c r="O1008" s="87"/>
      <c r="P1008" s="87"/>
      <c r="Q1008" s="87"/>
      <c r="R1008" s="91"/>
      <c r="S1008" s="92"/>
      <c r="T1008" s="93"/>
    </row>
    <row r="1009" spans="1:20" s="94" customFormat="1" x14ac:dyDescent="0.3">
      <c r="A1009" s="82"/>
      <c r="B1009" s="83"/>
      <c r="C1009" s="87"/>
      <c r="D1009" s="84"/>
      <c r="E1009" s="83"/>
      <c r="F1009" s="82"/>
      <c r="G1009" s="85"/>
      <c r="H1009" s="86" t="e">
        <f>IF(I1009="fora",0%,G1009/QUÓRUM!$C$6)</f>
        <v>#DIV/0!</v>
      </c>
      <c r="I1009" s="87"/>
      <c r="J1009" s="88"/>
      <c r="K1009" s="88"/>
      <c r="L1009" s="89"/>
      <c r="M1009" s="89"/>
      <c r="N1009" s="90"/>
      <c r="O1009" s="87"/>
      <c r="P1009" s="87"/>
      <c r="Q1009" s="87"/>
      <c r="R1009" s="91"/>
      <c r="S1009" s="92"/>
      <c r="T1009" s="93"/>
    </row>
    <row r="1010" spans="1:20" s="94" customFormat="1" x14ac:dyDescent="0.3">
      <c r="A1010" s="82"/>
      <c r="B1010" s="83"/>
      <c r="C1010" s="87"/>
      <c r="D1010" s="84"/>
      <c r="E1010" s="83"/>
      <c r="F1010" s="82"/>
      <c r="G1010" s="85"/>
      <c r="H1010" s="86" t="e">
        <f>IF(I1010="fora",0%,G1010/QUÓRUM!$C$6)</f>
        <v>#DIV/0!</v>
      </c>
      <c r="I1010" s="87"/>
      <c r="J1010" s="88"/>
      <c r="K1010" s="88"/>
      <c r="L1010" s="89"/>
      <c r="M1010" s="89"/>
      <c r="N1010" s="90"/>
      <c r="O1010" s="87"/>
      <c r="P1010" s="87"/>
      <c r="Q1010" s="87"/>
      <c r="R1010" s="91"/>
      <c r="S1010" s="92"/>
      <c r="T1010" s="93"/>
    </row>
    <row r="1011" spans="1:20" s="94" customFormat="1" x14ac:dyDescent="0.3">
      <c r="A1011" s="82"/>
      <c r="B1011" s="83"/>
      <c r="C1011" s="87"/>
      <c r="D1011" s="84"/>
      <c r="E1011" s="83"/>
      <c r="F1011" s="82"/>
      <c r="G1011" s="85"/>
      <c r="H1011" s="86" t="e">
        <f>IF(I1011="fora",0%,G1011/QUÓRUM!$C$6)</f>
        <v>#DIV/0!</v>
      </c>
      <c r="I1011" s="87"/>
      <c r="J1011" s="88"/>
      <c r="K1011" s="88"/>
      <c r="L1011" s="89"/>
      <c r="M1011" s="89"/>
      <c r="N1011" s="90"/>
      <c r="O1011" s="87"/>
      <c r="P1011" s="87"/>
      <c r="Q1011" s="87"/>
      <c r="R1011" s="91"/>
      <c r="S1011" s="92"/>
      <c r="T1011" s="93"/>
    </row>
    <row r="1012" spans="1:20" s="94" customFormat="1" x14ac:dyDescent="0.3">
      <c r="A1012" s="82"/>
      <c r="B1012" s="83"/>
      <c r="C1012" s="87"/>
      <c r="D1012" s="84"/>
      <c r="E1012" s="83"/>
      <c r="F1012" s="82"/>
      <c r="G1012" s="85"/>
      <c r="H1012" s="86" t="e">
        <f>IF(I1012="fora",0%,G1012/QUÓRUM!$C$6)</f>
        <v>#DIV/0!</v>
      </c>
      <c r="I1012" s="87"/>
      <c r="J1012" s="88"/>
      <c r="K1012" s="88"/>
      <c r="L1012" s="89"/>
      <c r="M1012" s="89"/>
      <c r="N1012" s="90"/>
      <c r="O1012" s="87"/>
      <c r="P1012" s="87"/>
      <c r="Q1012" s="87"/>
      <c r="R1012" s="91"/>
      <c r="S1012" s="92"/>
      <c r="T1012" s="93"/>
    </row>
    <row r="1013" spans="1:20" s="94" customFormat="1" x14ac:dyDescent="0.3">
      <c r="A1013" s="82"/>
      <c r="B1013" s="83"/>
      <c r="C1013" s="87"/>
      <c r="D1013" s="84"/>
      <c r="E1013" s="83"/>
      <c r="F1013" s="82"/>
      <c r="G1013" s="85"/>
      <c r="H1013" s="86" t="e">
        <f>IF(I1013="fora",0%,G1013/QUÓRUM!$C$6)</f>
        <v>#DIV/0!</v>
      </c>
      <c r="I1013" s="87"/>
      <c r="J1013" s="88"/>
      <c r="K1013" s="88"/>
      <c r="L1013" s="89"/>
      <c r="M1013" s="89"/>
      <c r="N1013" s="90"/>
      <c r="O1013" s="87"/>
      <c r="P1013" s="87"/>
      <c r="Q1013" s="87"/>
      <c r="R1013" s="91"/>
      <c r="S1013" s="92"/>
      <c r="T1013" s="93"/>
    </row>
    <row r="1014" spans="1:20" s="94" customFormat="1" x14ac:dyDescent="0.3">
      <c r="A1014" s="82"/>
      <c r="B1014" s="83"/>
      <c r="C1014" s="87"/>
      <c r="D1014" s="84"/>
      <c r="E1014" s="83"/>
      <c r="F1014" s="82"/>
      <c r="G1014" s="85"/>
      <c r="H1014" s="86" t="e">
        <f>IF(I1014="fora",0%,G1014/QUÓRUM!$C$6)</f>
        <v>#DIV/0!</v>
      </c>
      <c r="I1014" s="87"/>
      <c r="J1014" s="88"/>
      <c r="K1014" s="88"/>
      <c r="L1014" s="89"/>
      <c r="M1014" s="89"/>
      <c r="N1014" s="90"/>
      <c r="O1014" s="87"/>
      <c r="P1014" s="87"/>
      <c r="Q1014" s="87"/>
      <c r="R1014" s="91"/>
      <c r="S1014" s="92"/>
      <c r="T1014" s="93"/>
    </row>
    <row r="1015" spans="1:20" s="94" customFormat="1" x14ac:dyDescent="0.3">
      <c r="A1015" s="82"/>
      <c r="B1015" s="83"/>
      <c r="C1015" s="87"/>
      <c r="D1015" s="84"/>
      <c r="E1015" s="83"/>
      <c r="F1015" s="82"/>
      <c r="G1015" s="85"/>
      <c r="H1015" s="86" t="e">
        <f>IF(I1015="fora",0%,G1015/QUÓRUM!$C$6)</f>
        <v>#DIV/0!</v>
      </c>
      <c r="I1015" s="87"/>
      <c r="J1015" s="88"/>
      <c r="K1015" s="88"/>
      <c r="L1015" s="89"/>
      <c r="M1015" s="89"/>
      <c r="N1015" s="90"/>
      <c r="O1015" s="87"/>
      <c r="P1015" s="87"/>
      <c r="Q1015" s="87"/>
      <c r="R1015" s="91"/>
      <c r="S1015" s="92"/>
      <c r="T1015" s="93"/>
    </row>
    <row r="1016" spans="1:20" s="94" customFormat="1" x14ac:dyDescent="0.3">
      <c r="A1016" s="82"/>
      <c r="B1016" s="83"/>
      <c r="C1016" s="87"/>
      <c r="D1016" s="84"/>
      <c r="E1016" s="83"/>
      <c r="F1016" s="82"/>
      <c r="G1016" s="85"/>
      <c r="H1016" s="86" t="e">
        <f>IF(I1016="fora",0%,G1016/QUÓRUM!$C$6)</f>
        <v>#DIV/0!</v>
      </c>
      <c r="I1016" s="87"/>
      <c r="J1016" s="88"/>
      <c r="K1016" s="88"/>
      <c r="L1016" s="89"/>
      <c r="M1016" s="89"/>
      <c r="N1016" s="90"/>
      <c r="O1016" s="87"/>
      <c r="P1016" s="87"/>
      <c r="Q1016" s="87"/>
      <c r="R1016" s="91"/>
      <c r="S1016" s="92"/>
      <c r="T1016" s="93"/>
    </row>
    <row r="1017" spans="1:20" s="94" customFormat="1" x14ac:dyDescent="0.3">
      <c r="A1017" s="82"/>
      <c r="B1017" s="83"/>
      <c r="C1017" s="87"/>
      <c r="D1017" s="84"/>
      <c r="E1017" s="83"/>
      <c r="F1017" s="82"/>
      <c r="G1017" s="85"/>
      <c r="H1017" s="86" t="e">
        <f>IF(I1017="fora",0%,G1017/QUÓRUM!$C$6)</f>
        <v>#DIV/0!</v>
      </c>
      <c r="I1017" s="87"/>
      <c r="J1017" s="88"/>
      <c r="K1017" s="88"/>
      <c r="L1017" s="89"/>
      <c r="M1017" s="89"/>
      <c r="N1017" s="90"/>
      <c r="O1017" s="87"/>
      <c r="P1017" s="87"/>
      <c r="Q1017" s="87"/>
      <c r="R1017" s="91"/>
      <c r="S1017" s="92"/>
      <c r="T1017" s="93"/>
    </row>
    <row r="1018" spans="1:20" s="94" customFormat="1" x14ac:dyDescent="0.3">
      <c r="A1018" s="82"/>
      <c r="B1018" s="83"/>
      <c r="C1018" s="87"/>
      <c r="D1018" s="84"/>
      <c r="E1018" s="83"/>
      <c r="F1018" s="82"/>
      <c r="G1018" s="85"/>
      <c r="H1018" s="86" t="e">
        <f>IF(I1018="fora",0%,G1018/QUÓRUM!$C$6)</f>
        <v>#DIV/0!</v>
      </c>
      <c r="I1018" s="87"/>
      <c r="J1018" s="88"/>
      <c r="K1018" s="88"/>
      <c r="L1018" s="89"/>
      <c r="M1018" s="89"/>
      <c r="N1018" s="90"/>
      <c r="O1018" s="87"/>
      <c r="P1018" s="87"/>
      <c r="Q1018" s="87"/>
      <c r="R1018" s="91"/>
      <c r="S1018" s="92"/>
      <c r="T1018" s="93"/>
    </row>
    <row r="1019" spans="1:20" s="94" customFormat="1" x14ac:dyDescent="0.3">
      <c r="A1019" s="82"/>
      <c r="B1019" s="83"/>
      <c r="C1019" s="87"/>
      <c r="D1019" s="84"/>
      <c r="E1019" s="83"/>
      <c r="F1019" s="82"/>
      <c r="G1019" s="85"/>
      <c r="H1019" s="86" t="e">
        <f>IF(I1019="fora",0%,G1019/QUÓRUM!$C$6)</f>
        <v>#DIV/0!</v>
      </c>
      <c r="I1019" s="87"/>
      <c r="J1019" s="88"/>
      <c r="K1019" s="88"/>
      <c r="L1019" s="89"/>
      <c r="M1019" s="89"/>
      <c r="N1019" s="90"/>
      <c r="O1019" s="87"/>
      <c r="P1019" s="87"/>
      <c r="Q1019" s="87"/>
      <c r="R1019" s="91"/>
      <c r="S1019" s="92"/>
      <c r="T1019" s="93"/>
    </row>
    <row r="1020" spans="1:20" s="94" customFormat="1" x14ac:dyDescent="0.3">
      <c r="A1020" s="82"/>
      <c r="B1020" s="83"/>
      <c r="C1020" s="87"/>
      <c r="D1020" s="84"/>
      <c r="E1020" s="83"/>
      <c r="F1020" s="82"/>
      <c r="G1020" s="85"/>
      <c r="H1020" s="86" t="e">
        <f>IF(I1020="fora",0%,G1020/QUÓRUM!$C$6)</f>
        <v>#DIV/0!</v>
      </c>
      <c r="I1020" s="87"/>
      <c r="J1020" s="88"/>
      <c r="K1020" s="88"/>
      <c r="L1020" s="89"/>
      <c r="M1020" s="89"/>
      <c r="N1020" s="90"/>
      <c r="O1020" s="87"/>
      <c r="P1020" s="87"/>
      <c r="Q1020" s="87"/>
      <c r="R1020" s="91"/>
      <c r="S1020" s="92"/>
      <c r="T1020" s="93"/>
    </row>
    <row r="1021" spans="1:20" s="94" customFormat="1" x14ac:dyDescent="0.3">
      <c r="A1021" s="82"/>
      <c r="B1021" s="83"/>
      <c r="C1021" s="87"/>
      <c r="D1021" s="84"/>
      <c r="E1021" s="83"/>
      <c r="F1021" s="82"/>
      <c r="G1021" s="85"/>
      <c r="H1021" s="86" t="e">
        <f>IF(I1021="fora",0%,G1021/QUÓRUM!$C$6)</f>
        <v>#DIV/0!</v>
      </c>
      <c r="I1021" s="87"/>
      <c r="J1021" s="88"/>
      <c r="K1021" s="88"/>
      <c r="L1021" s="89"/>
      <c r="M1021" s="89"/>
      <c r="N1021" s="90"/>
      <c r="O1021" s="87"/>
      <c r="P1021" s="87"/>
      <c r="Q1021" s="87"/>
      <c r="R1021" s="91"/>
      <c r="S1021" s="92"/>
      <c r="T1021" s="93"/>
    </row>
    <row r="1022" spans="1:20" s="94" customFormat="1" x14ac:dyDescent="0.3">
      <c r="A1022" s="82"/>
      <c r="B1022" s="83"/>
      <c r="C1022" s="87"/>
      <c r="D1022" s="84"/>
      <c r="E1022" s="83"/>
      <c r="F1022" s="82"/>
      <c r="G1022" s="85"/>
      <c r="H1022" s="86" t="e">
        <f>IF(I1022="fora",0%,G1022/QUÓRUM!$C$6)</f>
        <v>#DIV/0!</v>
      </c>
      <c r="I1022" s="87"/>
      <c r="J1022" s="88"/>
      <c r="K1022" s="88"/>
      <c r="L1022" s="89"/>
      <c r="M1022" s="89"/>
      <c r="N1022" s="90"/>
      <c r="O1022" s="87"/>
      <c r="P1022" s="87"/>
      <c r="Q1022" s="87"/>
      <c r="R1022" s="91"/>
      <c r="S1022" s="92"/>
      <c r="T1022" s="93"/>
    </row>
    <row r="1023" spans="1:20" s="94" customFormat="1" x14ac:dyDescent="0.3">
      <c r="A1023" s="82"/>
      <c r="B1023" s="83"/>
      <c r="C1023" s="87"/>
      <c r="D1023" s="84"/>
      <c r="E1023" s="83"/>
      <c r="F1023" s="82"/>
      <c r="G1023" s="85"/>
      <c r="H1023" s="86" t="e">
        <f>IF(I1023="fora",0%,G1023/QUÓRUM!$C$6)</f>
        <v>#DIV/0!</v>
      </c>
      <c r="I1023" s="87"/>
      <c r="J1023" s="88"/>
      <c r="K1023" s="88"/>
      <c r="L1023" s="89"/>
      <c r="M1023" s="89"/>
      <c r="N1023" s="90"/>
      <c r="O1023" s="87"/>
      <c r="P1023" s="87"/>
      <c r="Q1023" s="87"/>
      <c r="R1023" s="91"/>
      <c r="S1023" s="92"/>
      <c r="T1023" s="93"/>
    </row>
    <row r="1024" spans="1:20" s="94" customFormat="1" x14ac:dyDescent="0.3">
      <c r="A1024" s="82"/>
      <c r="B1024" s="83"/>
      <c r="C1024" s="87"/>
      <c r="D1024" s="84"/>
      <c r="E1024" s="83"/>
      <c r="F1024" s="82"/>
      <c r="G1024" s="85"/>
      <c r="H1024" s="86" t="e">
        <f>IF(I1024="fora",0%,G1024/QUÓRUM!$C$6)</f>
        <v>#DIV/0!</v>
      </c>
      <c r="I1024" s="87"/>
      <c r="J1024" s="88"/>
      <c r="K1024" s="88"/>
      <c r="L1024" s="89"/>
      <c r="M1024" s="89"/>
      <c r="N1024" s="90"/>
      <c r="O1024" s="87"/>
      <c r="P1024" s="87"/>
      <c r="Q1024" s="87"/>
      <c r="R1024" s="91"/>
      <c r="S1024" s="92"/>
      <c r="T1024" s="93"/>
    </row>
    <row r="1025" spans="1:20" s="94" customFormat="1" x14ac:dyDescent="0.3">
      <c r="A1025" s="82"/>
      <c r="B1025" s="83"/>
      <c r="C1025" s="87"/>
      <c r="D1025" s="84"/>
      <c r="E1025" s="83"/>
      <c r="F1025" s="82"/>
      <c r="G1025" s="85"/>
      <c r="H1025" s="86" t="e">
        <f>IF(I1025="fora",0%,G1025/QUÓRUM!$C$6)</f>
        <v>#DIV/0!</v>
      </c>
      <c r="I1025" s="87"/>
      <c r="J1025" s="88"/>
      <c r="K1025" s="88"/>
      <c r="L1025" s="89"/>
      <c r="M1025" s="89"/>
      <c r="N1025" s="90"/>
      <c r="O1025" s="87"/>
      <c r="P1025" s="87"/>
      <c r="Q1025" s="87"/>
      <c r="R1025" s="91"/>
      <c r="S1025" s="92"/>
      <c r="T1025" s="93"/>
    </row>
    <row r="1026" spans="1:20" s="94" customFormat="1" x14ac:dyDescent="0.3">
      <c r="A1026" s="82"/>
      <c r="B1026" s="83"/>
      <c r="C1026" s="87"/>
      <c r="D1026" s="84"/>
      <c r="E1026" s="83"/>
      <c r="F1026" s="82"/>
      <c r="G1026" s="85"/>
      <c r="H1026" s="86" t="e">
        <f>IF(I1026="fora",0%,G1026/QUÓRUM!$C$6)</f>
        <v>#DIV/0!</v>
      </c>
      <c r="I1026" s="87"/>
      <c r="J1026" s="88"/>
      <c r="K1026" s="88"/>
      <c r="L1026" s="89"/>
      <c r="M1026" s="89"/>
      <c r="N1026" s="90"/>
      <c r="O1026" s="87"/>
      <c r="P1026" s="87"/>
      <c r="Q1026" s="87"/>
      <c r="R1026" s="91"/>
      <c r="S1026" s="92"/>
      <c r="T1026" s="93"/>
    </row>
    <row r="1027" spans="1:20" s="94" customFormat="1" x14ac:dyDescent="0.3">
      <c r="A1027" s="82"/>
      <c r="B1027" s="83"/>
      <c r="C1027" s="87"/>
      <c r="D1027" s="84"/>
      <c r="E1027" s="83"/>
      <c r="F1027" s="82"/>
      <c r="G1027" s="85"/>
      <c r="H1027" s="86" t="e">
        <f>IF(I1027="fora",0%,G1027/QUÓRUM!$C$6)</f>
        <v>#DIV/0!</v>
      </c>
      <c r="I1027" s="87"/>
      <c r="J1027" s="88"/>
      <c r="K1027" s="88"/>
      <c r="L1027" s="89"/>
      <c r="M1027" s="89"/>
      <c r="N1027" s="90"/>
      <c r="O1027" s="87"/>
      <c r="P1027" s="87"/>
      <c r="Q1027" s="87"/>
      <c r="R1027" s="91"/>
      <c r="S1027" s="92"/>
      <c r="T1027" s="93"/>
    </row>
    <row r="1028" spans="1:20" s="94" customFormat="1" x14ac:dyDescent="0.3">
      <c r="A1028" s="82"/>
      <c r="B1028" s="83"/>
      <c r="C1028" s="87"/>
      <c r="D1028" s="84"/>
      <c r="E1028" s="83"/>
      <c r="F1028" s="82"/>
      <c r="G1028" s="85"/>
      <c r="H1028" s="86" t="e">
        <f>IF(I1028="fora",0%,G1028/QUÓRUM!$C$6)</f>
        <v>#DIV/0!</v>
      </c>
      <c r="I1028" s="87"/>
      <c r="J1028" s="88"/>
      <c r="K1028" s="88"/>
      <c r="L1028" s="89"/>
      <c r="M1028" s="89"/>
      <c r="N1028" s="90"/>
      <c r="O1028" s="87"/>
      <c r="P1028" s="87"/>
      <c r="Q1028" s="87"/>
      <c r="R1028" s="91"/>
      <c r="S1028" s="92"/>
      <c r="T1028" s="93"/>
    </row>
    <row r="1029" spans="1:20" s="94" customFormat="1" x14ac:dyDescent="0.3">
      <c r="A1029" s="82"/>
      <c r="B1029" s="83"/>
      <c r="C1029" s="87"/>
      <c r="D1029" s="84"/>
      <c r="E1029" s="83"/>
      <c r="F1029" s="82"/>
      <c r="G1029" s="85"/>
      <c r="H1029" s="86" t="e">
        <f>IF(I1029="fora",0%,G1029/QUÓRUM!$C$6)</f>
        <v>#DIV/0!</v>
      </c>
      <c r="I1029" s="87"/>
      <c r="J1029" s="88"/>
      <c r="K1029" s="88"/>
      <c r="L1029" s="89"/>
      <c r="M1029" s="89"/>
      <c r="N1029" s="90"/>
      <c r="O1029" s="87"/>
      <c r="P1029" s="87"/>
      <c r="Q1029" s="87"/>
      <c r="R1029" s="91"/>
      <c r="S1029" s="92"/>
      <c r="T1029" s="93"/>
    </row>
    <row r="1030" spans="1:20" s="94" customFormat="1" x14ac:dyDescent="0.3">
      <c r="A1030" s="82"/>
      <c r="B1030" s="83"/>
      <c r="C1030" s="87"/>
      <c r="D1030" s="84"/>
      <c r="E1030" s="83"/>
      <c r="F1030" s="82"/>
      <c r="G1030" s="85"/>
      <c r="H1030" s="86" t="e">
        <f>IF(I1030="fora",0%,G1030/QUÓRUM!$C$6)</f>
        <v>#DIV/0!</v>
      </c>
      <c r="I1030" s="87"/>
      <c r="J1030" s="88"/>
      <c r="K1030" s="88"/>
      <c r="L1030" s="89"/>
      <c r="M1030" s="89"/>
      <c r="N1030" s="90"/>
      <c r="O1030" s="87"/>
      <c r="P1030" s="87"/>
      <c r="Q1030" s="87"/>
      <c r="R1030" s="91"/>
      <c r="S1030" s="92"/>
      <c r="T1030" s="93"/>
    </row>
    <row r="1031" spans="1:20" s="94" customFormat="1" x14ac:dyDescent="0.3">
      <c r="A1031" s="82"/>
      <c r="B1031" s="83"/>
      <c r="C1031" s="87"/>
      <c r="D1031" s="84"/>
      <c r="E1031" s="83"/>
      <c r="F1031" s="82"/>
      <c r="G1031" s="85"/>
      <c r="H1031" s="86" t="e">
        <f>IF(I1031="fora",0%,G1031/QUÓRUM!$C$6)</f>
        <v>#DIV/0!</v>
      </c>
      <c r="I1031" s="87"/>
      <c r="J1031" s="88"/>
      <c r="K1031" s="88"/>
      <c r="L1031" s="89"/>
      <c r="M1031" s="89"/>
      <c r="N1031" s="90"/>
      <c r="O1031" s="87"/>
      <c r="P1031" s="87"/>
      <c r="Q1031" s="87"/>
      <c r="R1031" s="91"/>
      <c r="S1031" s="92"/>
      <c r="T1031" s="93"/>
    </row>
    <row r="1032" spans="1:20" s="94" customFormat="1" x14ac:dyDescent="0.3">
      <c r="A1032" s="82"/>
      <c r="B1032" s="83"/>
      <c r="C1032" s="87"/>
      <c r="D1032" s="84"/>
      <c r="E1032" s="83"/>
      <c r="F1032" s="82"/>
      <c r="G1032" s="85"/>
      <c r="H1032" s="86" t="e">
        <f>IF(I1032="fora",0%,G1032/QUÓRUM!$C$6)</f>
        <v>#DIV/0!</v>
      </c>
      <c r="I1032" s="87"/>
      <c r="J1032" s="88"/>
      <c r="K1032" s="88"/>
      <c r="L1032" s="89"/>
      <c r="M1032" s="89"/>
      <c r="N1032" s="90"/>
      <c r="O1032" s="87"/>
      <c r="P1032" s="87"/>
      <c r="Q1032" s="87"/>
      <c r="R1032" s="91"/>
      <c r="S1032" s="92"/>
      <c r="T1032" s="93"/>
    </row>
    <row r="1033" spans="1:20" s="94" customFormat="1" x14ac:dyDescent="0.3">
      <c r="A1033" s="82"/>
      <c r="B1033" s="83"/>
      <c r="C1033" s="87"/>
      <c r="D1033" s="84"/>
      <c r="E1033" s="83"/>
      <c r="F1033" s="82"/>
      <c r="G1033" s="85"/>
      <c r="H1033" s="86" t="e">
        <f>IF(I1033="fora",0%,G1033/QUÓRUM!$C$6)</f>
        <v>#DIV/0!</v>
      </c>
      <c r="I1033" s="87"/>
      <c r="J1033" s="88"/>
      <c r="K1033" s="88"/>
      <c r="L1033" s="89"/>
      <c r="M1033" s="89"/>
      <c r="N1033" s="90"/>
      <c r="O1033" s="87"/>
      <c r="P1033" s="87"/>
      <c r="Q1033" s="87"/>
      <c r="R1033" s="91"/>
      <c r="S1033" s="92"/>
      <c r="T1033" s="93"/>
    </row>
    <row r="1034" spans="1:20" s="94" customFormat="1" x14ac:dyDescent="0.3">
      <c r="A1034" s="82"/>
      <c r="B1034" s="83"/>
      <c r="C1034" s="87"/>
      <c r="D1034" s="84"/>
      <c r="E1034" s="83"/>
      <c r="F1034" s="82"/>
      <c r="G1034" s="85"/>
      <c r="H1034" s="86" t="e">
        <f>IF(I1034="fora",0%,G1034/QUÓRUM!$C$6)</f>
        <v>#DIV/0!</v>
      </c>
      <c r="I1034" s="87"/>
      <c r="J1034" s="88"/>
      <c r="K1034" s="88"/>
      <c r="L1034" s="89"/>
      <c r="M1034" s="89"/>
      <c r="N1034" s="90"/>
      <c r="O1034" s="87"/>
      <c r="P1034" s="87"/>
      <c r="Q1034" s="87"/>
      <c r="R1034" s="91"/>
      <c r="S1034" s="92"/>
      <c r="T1034" s="93"/>
    </row>
    <row r="1035" spans="1:20" s="94" customFormat="1" x14ac:dyDescent="0.3">
      <c r="A1035" s="82"/>
      <c r="B1035" s="83"/>
      <c r="C1035" s="87"/>
      <c r="D1035" s="84"/>
      <c r="E1035" s="83"/>
      <c r="F1035" s="82"/>
      <c r="G1035" s="85"/>
      <c r="H1035" s="86" t="e">
        <f>IF(I1035="fora",0%,G1035/QUÓRUM!$C$6)</f>
        <v>#DIV/0!</v>
      </c>
      <c r="I1035" s="87"/>
      <c r="J1035" s="88"/>
      <c r="K1035" s="88"/>
      <c r="L1035" s="89"/>
      <c r="M1035" s="89"/>
      <c r="N1035" s="90"/>
      <c r="O1035" s="87"/>
      <c r="P1035" s="87"/>
      <c r="Q1035" s="87"/>
      <c r="R1035" s="91"/>
      <c r="S1035" s="92"/>
      <c r="T1035" s="93"/>
    </row>
    <row r="1036" spans="1:20" s="94" customFormat="1" x14ac:dyDescent="0.3">
      <c r="A1036" s="82"/>
      <c r="B1036" s="83"/>
      <c r="C1036" s="87"/>
      <c r="D1036" s="84"/>
      <c r="E1036" s="83"/>
      <c r="F1036" s="82"/>
      <c r="G1036" s="85"/>
      <c r="H1036" s="86" t="e">
        <f>IF(I1036="fora",0%,G1036/QUÓRUM!$C$6)</f>
        <v>#DIV/0!</v>
      </c>
      <c r="I1036" s="87"/>
      <c r="J1036" s="88"/>
      <c r="K1036" s="88"/>
      <c r="L1036" s="89"/>
      <c r="M1036" s="89"/>
      <c r="N1036" s="90"/>
      <c r="O1036" s="87"/>
      <c r="P1036" s="87"/>
      <c r="Q1036" s="87"/>
      <c r="R1036" s="91"/>
      <c r="S1036" s="92"/>
      <c r="T1036" s="93"/>
    </row>
    <row r="1037" spans="1:20" s="94" customFormat="1" x14ac:dyDescent="0.3">
      <c r="A1037" s="82"/>
      <c r="B1037" s="83"/>
      <c r="C1037" s="87"/>
      <c r="D1037" s="84"/>
      <c r="E1037" s="83"/>
      <c r="F1037" s="82"/>
      <c r="G1037" s="85"/>
      <c r="H1037" s="86" t="e">
        <f>IF(I1037="fora",0%,G1037/QUÓRUM!$C$6)</f>
        <v>#DIV/0!</v>
      </c>
      <c r="I1037" s="87"/>
      <c r="J1037" s="88"/>
      <c r="K1037" s="88"/>
      <c r="L1037" s="89"/>
      <c r="M1037" s="89"/>
      <c r="N1037" s="90"/>
      <c r="O1037" s="87"/>
      <c r="P1037" s="87"/>
      <c r="Q1037" s="87"/>
      <c r="R1037" s="91"/>
      <c r="S1037" s="92"/>
      <c r="T1037" s="93"/>
    </row>
    <row r="1038" spans="1:20" s="94" customFormat="1" x14ac:dyDescent="0.3">
      <c r="A1038" s="82"/>
      <c r="B1038" s="83"/>
      <c r="C1038" s="87"/>
      <c r="D1038" s="84"/>
      <c r="E1038" s="83"/>
      <c r="F1038" s="82"/>
      <c r="G1038" s="85"/>
      <c r="H1038" s="86" t="e">
        <f>IF(I1038="fora",0%,G1038/QUÓRUM!$C$6)</f>
        <v>#DIV/0!</v>
      </c>
      <c r="I1038" s="87"/>
      <c r="J1038" s="88"/>
      <c r="K1038" s="88"/>
      <c r="L1038" s="89"/>
      <c r="M1038" s="89"/>
      <c r="N1038" s="90"/>
      <c r="O1038" s="87"/>
      <c r="P1038" s="87"/>
      <c r="Q1038" s="87"/>
      <c r="R1038" s="91"/>
      <c r="S1038" s="92"/>
      <c r="T1038" s="93"/>
    </row>
    <row r="1039" spans="1:20" s="94" customFormat="1" x14ac:dyDescent="0.3">
      <c r="A1039" s="82"/>
      <c r="B1039" s="83"/>
      <c r="C1039" s="87"/>
      <c r="D1039" s="84"/>
      <c r="E1039" s="83"/>
      <c r="F1039" s="82"/>
      <c r="G1039" s="85"/>
      <c r="H1039" s="86" t="e">
        <f>IF(I1039="fora",0%,G1039/QUÓRUM!$C$6)</f>
        <v>#DIV/0!</v>
      </c>
      <c r="I1039" s="87"/>
      <c r="J1039" s="88"/>
      <c r="K1039" s="88"/>
      <c r="L1039" s="89"/>
      <c r="M1039" s="89"/>
      <c r="N1039" s="90"/>
      <c r="O1039" s="87"/>
      <c r="P1039" s="87"/>
      <c r="Q1039" s="87"/>
      <c r="R1039" s="91"/>
      <c r="S1039" s="92"/>
      <c r="T1039" s="93"/>
    </row>
    <row r="1040" spans="1:20" s="94" customFormat="1" x14ac:dyDescent="0.3">
      <c r="A1040" s="82"/>
      <c r="B1040" s="83"/>
      <c r="C1040" s="87"/>
      <c r="D1040" s="84"/>
      <c r="E1040" s="83"/>
      <c r="F1040" s="82"/>
      <c r="G1040" s="85"/>
      <c r="H1040" s="86" t="e">
        <f>IF(I1040="fora",0%,G1040/QUÓRUM!$C$6)</f>
        <v>#DIV/0!</v>
      </c>
      <c r="I1040" s="87"/>
      <c r="J1040" s="88"/>
      <c r="K1040" s="88"/>
      <c r="L1040" s="89"/>
      <c r="M1040" s="89"/>
      <c r="N1040" s="90"/>
      <c r="O1040" s="87"/>
      <c r="P1040" s="87"/>
      <c r="Q1040" s="87"/>
      <c r="R1040" s="91"/>
      <c r="S1040" s="92"/>
      <c r="T1040" s="93"/>
    </row>
    <row r="1041" spans="1:20" s="94" customFormat="1" x14ac:dyDescent="0.3">
      <c r="A1041" s="82"/>
      <c r="B1041" s="83"/>
      <c r="C1041" s="87"/>
      <c r="D1041" s="84"/>
      <c r="E1041" s="83"/>
      <c r="F1041" s="82"/>
      <c r="G1041" s="85"/>
      <c r="H1041" s="86" t="e">
        <f>IF(I1041="fora",0%,G1041/QUÓRUM!$C$6)</f>
        <v>#DIV/0!</v>
      </c>
      <c r="I1041" s="87"/>
      <c r="J1041" s="88"/>
      <c r="K1041" s="88"/>
      <c r="L1041" s="89"/>
      <c r="M1041" s="89"/>
      <c r="N1041" s="90"/>
      <c r="O1041" s="87"/>
      <c r="P1041" s="87"/>
      <c r="Q1041" s="87"/>
      <c r="R1041" s="91"/>
      <c r="S1041" s="92"/>
      <c r="T1041" s="93"/>
    </row>
    <row r="1042" spans="1:20" s="94" customFormat="1" x14ac:dyDescent="0.3">
      <c r="A1042" s="82"/>
      <c r="B1042" s="83"/>
      <c r="C1042" s="87"/>
      <c r="D1042" s="84"/>
      <c r="E1042" s="83"/>
      <c r="F1042" s="82"/>
      <c r="G1042" s="85"/>
      <c r="H1042" s="86" t="e">
        <f>IF(I1042="fora",0%,G1042/QUÓRUM!$C$6)</f>
        <v>#DIV/0!</v>
      </c>
      <c r="I1042" s="87"/>
      <c r="J1042" s="88"/>
      <c r="K1042" s="88"/>
      <c r="L1042" s="89"/>
      <c r="M1042" s="89"/>
      <c r="N1042" s="90"/>
      <c r="O1042" s="87"/>
      <c r="P1042" s="87"/>
      <c r="Q1042" s="87"/>
      <c r="R1042" s="91"/>
      <c r="S1042" s="92"/>
      <c r="T1042" s="93"/>
    </row>
    <row r="1043" spans="1:20" s="94" customFormat="1" x14ac:dyDescent="0.3">
      <c r="A1043" s="82"/>
      <c r="B1043" s="83"/>
      <c r="C1043" s="87"/>
      <c r="D1043" s="84"/>
      <c r="E1043" s="83"/>
      <c r="F1043" s="82"/>
      <c r="G1043" s="85"/>
      <c r="H1043" s="86" t="e">
        <f>IF(I1043="fora",0%,G1043/QUÓRUM!$C$6)</f>
        <v>#DIV/0!</v>
      </c>
      <c r="I1043" s="87"/>
      <c r="J1043" s="88"/>
      <c r="K1043" s="88"/>
      <c r="L1043" s="89"/>
      <c r="M1043" s="89"/>
      <c r="N1043" s="90"/>
      <c r="O1043" s="87"/>
      <c r="P1043" s="87"/>
      <c r="Q1043" s="87"/>
      <c r="R1043" s="91"/>
      <c r="S1043" s="92"/>
      <c r="T1043" s="93"/>
    </row>
    <row r="1044" spans="1:20" s="94" customFormat="1" x14ac:dyDescent="0.3">
      <c r="A1044" s="82"/>
      <c r="B1044" s="83"/>
      <c r="C1044" s="87"/>
      <c r="D1044" s="84"/>
      <c r="E1044" s="83"/>
      <c r="F1044" s="82"/>
      <c r="G1044" s="85"/>
      <c r="H1044" s="86" t="e">
        <f>IF(I1044="fora",0%,G1044/QUÓRUM!$C$6)</f>
        <v>#DIV/0!</v>
      </c>
      <c r="I1044" s="87"/>
      <c r="J1044" s="88"/>
      <c r="K1044" s="88"/>
      <c r="L1044" s="89"/>
      <c r="M1044" s="89"/>
      <c r="N1044" s="90"/>
      <c r="O1044" s="87"/>
      <c r="P1044" s="87"/>
      <c r="Q1044" s="87"/>
      <c r="R1044" s="91"/>
      <c r="S1044" s="92"/>
      <c r="T1044" s="93"/>
    </row>
    <row r="1045" spans="1:20" s="94" customFormat="1" x14ac:dyDescent="0.3">
      <c r="A1045" s="82"/>
      <c r="B1045" s="83"/>
      <c r="C1045" s="87"/>
      <c r="D1045" s="84"/>
      <c r="E1045" s="83"/>
      <c r="F1045" s="82"/>
      <c r="G1045" s="85"/>
      <c r="H1045" s="86" t="e">
        <f>IF(I1045="fora",0%,G1045/QUÓRUM!$C$6)</f>
        <v>#DIV/0!</v>
      </c>
      <c r="I1045" s="87"/>
      <c r="J1045" s="88"/>
      <c r="K1045" s="88"/>
      <c r="L1045" s="89"/>
      <c r="M1045" s="89"/>
      <c r="N1045" s="90"/>
      <c r="O1045" s="87"/>
      <c r="P1045" s="87"/>
      <c r="Q1045" s="87"/>
      <c r="R1045" s="91"/>
      <c r="S1045" s="92"/>
      <c r="T1045" s="93"/>
    </row>
    <row r="1046" spans="1:20" s="94" customFormat="1" x14ac:dyDescent="0.3">
      <c r="A1046" s="82"/>
      <c r="B1046" s="83"/>
      <c r="C1046" s="87"/>
      <c r="D1046" s="84"/>
      <c r="E1046" s="83"/>
      <c r="F1046" s="82"/>
      <c r="G1046" s="85"/>
      <c r="H1046" s="86" t="e">
        <f>IF(I1046="fora",0%,G1046/QUÓRUM!$C$6)</f>
        <v>#DIV/0!</v>
      </c>
      <c r="I1046" s="87"/>
      <c r="J1046" s="88"/>
      <c r="K1046" s="88"/>
      <c r="L1046" s="89"/>
      <c r="M1046" s="89"/>
      <c r="N1046" s="90"/>
      <c r="O1046" s="87"/>
      <c r="P1046" s="87"/>
      <c r="Q1046" s="87"/>
      <c r="R1046" s="91"/>
      <c r="S1046" s="92"/>
      <c r="T1046" s="93"/>
    </row>
    <row r="1047" spans="1:20" s="94" customFormat="1" x14ac:dyDescent="0.3">
      <c r="A1047" s="82"/>
      <c r="B1047" s="83"/>
      <c r="C1047" s="87"/>
      <c r="D1047" s="84"/>
      <c r="E1047" s="83"/>
      <c r="F1047" s="82"/>
      <c r="G1047" s="85"/>
      <c r="H1047" s="86" t="e">
        <f>IF(I1047="fora",0%,G1047/QUÓRUM!$C$6)</f>
        <v>#DIV/0!</v>
      </c>
      <c r="I1047" s="87"/>
      <c r="J1047" s="88"/>
      <c r="K1047" s="88"/>
      <c r="L1047" s="89"/>
      <c r="M1047" s="89"/>
      <c r="N1047" s="90"/>
      <c r="O1047" s="87"/>
      <c r="P1047" s="87"/>
      <c r="Q1047" s="87"/>
      <c r="R1047" s="91"/>
      <c r="S1047" s="92"/>
      <c r="T1047" s="93"/>
    </row>
    <row r="1048" spans="1:20" s="94" customFormat="1" x14ac:dyDescent="0.3">
      <c r="A1048" s="82"/>
      <c r="B1048" s="83"/>
      <c r="C1048" s="87"/>
      <c r="D1048" s="84"/>
      <c r="E1048" s="83"/>
      <c r="F1048" s="82"/>
      <c r="G1048" s="85"/>
      <c r="H1048" s="86" t="e">
        <f>IF(I1048="fora",0%,G1048/QUÓRUM!$C$6)</f>
        <v>#DIV/0!</v>
      </c>
      <c r="I1048" s="87"/>
      <c r="J1048" s="88"/>
      <c r="K1048" s="88"/>
      <c r="L1048" s="89"/>
      <c r="M1048" s="89"/>
      <c r="N1048" s="90"/>
      <c r="O1048" s="87"/>
      <c r="P1048" s="87"/>
      <c r="Q1048" s="87"/>
      <c r="R1048" s="91"/>
      <c r="S1048" s="92"/>
      <c r="T1048" s="93"/>
    </row>
    <row r="1049" spans="1:20" s="94" customFormat="1" x14ac:dyDescent="0.3">
      <c r="A1049" s="82"/>
      <c r="B1049" s="83"/>
      <c r="C1049" s="87"/>
      <c r="D1049" s="84"/>
      <c r="E1049" s="83"/>
      <c r="F1049" s="82"/>
      <c r="G1049" s="85"/>
      <c r="H1049" s="86" t="e">
        <f>IF(I1049="fora",0%,G1049/QUÓRUM!$C$6)</f>
        <v>#DIV/0!</v>
      </c>
      <c r="I1049" s="87"/>
      <c r="J1049" s="88"/>
      <c r="K1049" s="88"/>
      <c r="L1049" s="89"/>
      <c r="M1049" s="89"/>
      <c r="N1049" s="90"/>
      <c r="O1049" s="87"/>
      <c r="P1049" s="87"/>
      <c r="Q1049" s="87"/>
      <c r="R1049" s="91"/>
      <c r="S1049" s="92"/>
      <c r="T1049" s="93"/>
    </row>
    <row r="1050" spans="1:20" s="94" customFormat="1" x14ac:dyDescent="0.3">
      <c r="A1050" s="82"/>
      <c r="B1050" s="83"/>
      <c r="C1050" s="87"/>
      <c r="D1050" s="84"/>
      <c r="E1050" s="83"/>
      <c r="F1050" s="82"/>
      <c r="G1050" s="85"/>
      <c r="H1050" s="86" t="e">
        <f>IF(I1050="fora",0%,G1050/QUÓRUM!$C$6)</f>
        <v>#DIV/0!</v>
      </c>
      <c r="I1050" s="87"/>
      <c r="J1050" s="88"/>
      <c r="K1050" s="88"/>
      <c r="L1050" s="89"/>
      <c r="M1050" s="89"/>
      <c r="N1050" s="90"/>
      <c r="O1050" s="87"/>
      <c r="P1050" s="87"/>
      <c r="Q1050" s="87"/>
      <c r="R1050" s="91"/>
      <c r="S1050" s="92"/>
      <c r="T1050" s="93"/>
    </row>
    <row r="1051" spans="1:20" s="94" customFormat="1" x14ac:dyDescent="0.3">
      <c r="A1051" s="82"/>
      <c r="B1051" s="83"/>
      <c r="C1051" s="87"/>
      <c r="D1051" s="84"/>
      <c r="E1051" s="83"/>
      <c r="F1051" s="82"/>
      <c r="G1051" s="85"/>
      <c r="H1051" s="86" t="e">
        <f>IF(I1051="fora",0%,G1051/QUÓRUM!$C$6)</f>
        <v>#DIV/0!</v>
      </c>
      <c r="I1051" s="87"/>
      <c r="J1051" s="88"/>
      <c r="K1051" s="88"/>
      <c r="L1051" s="89"/>
      <c r="M1051" s="89"/>
      <c r="N1051" s="90"/>
      <c r="O1051" s="87"/>
      <c r="P1051" s="87"/>
      <c r="Q1051" s="87"/>
      <c r="R1051" s="91"/>
      <c r="S1051" s="92"/>
      <c r="T1051" s="93"/>
    </row>
    <row r="1052" spans="1:20" s="94" customFormat="1" x14ac:dyDescent="0.3">
      <c r="A1052" s="82"/>
      <c r="B1052" s="83"/>
      <c r="C1052" s="87"/>
      <c r="D1052" s="84"/>
      <c r="E1052" s="83"/>
      <c r="F1052" s="82"/>
      <c r="G1052" s="85"/>
      <c r="H1052" s="86" t="e">
        <f>IF(I1052="fora",0%,G1052/QUÓRUM!$C$6)</f>
        <v>#DIV/0!</v>
      </c>
      <c r="I1052" s="87"/>
      <c r="J1052" s="88"/>
      <c r="K1052" s="88"/>
      <c r="L1052" s="89"/>
      <c r="M1052" s="89"/>
      <c r="N1052" s="90"/>
      <c r="O1052" s="87"/>
      <c r="P1052" s="87"/>
      <c r="Q1052" s="87"/>
      <c r="R1052" s="91"/>
      <c r="S1052" s="92"/>
      <c r="T1052" s="93"/>
    </row>
    <row r="1053" spans="1:20" s="94" customFormat="1" x14ac:dyDescent="0.3">
      <c r="A1053" s="82"/>
      <c r="B1053" s="83"/>
      <c r="C1053" s="87"/>
      <c r="D1053" s="84"/>
      <c r="E1053" s="83"/>
      <c r="F1053" s="82"/>
      <c r="G1053" s="85"/>
      <c r="H1053" s="86" t="e">
        <f>IF(I1053="fora",0%,G1053/QUÓRUM!$C$6)</f>
        <v>#DIV/0!</v>
      </c>
      <c r="I1053" s="87"/>
      <c r="J1053" s="88"/>
      <c r="K1053" s="88"/>
      <c r="L1053" s="89"/>
      <c r="M1053" s="89"/>
      <c r="N1053" s="90"/>
      <c r="O1053" s="87"/>
      <c r="P1053" s="87"/>
      <c r="Q1053" s="87"/>
      <c r="R1053" s="91"/>
      <c r="S1053" s="92"/>
      <c r="T1053" s="93"/>
    </row>
    <row r="1054" spans="1:20" s="94" customFormat="1" x14ac:dyDescent="0.3">
      <c r="A1054" s="82"/>
      <c r="B1054" s="83"/>
      <c r="C1054" s="87"/>
      <c r="D1054" s="84"/>
      <c r="E1054" s="83"/>
      <c r="F1054" s="82"/>
      <c r="G1054" s="85"/>
      <c r="H1054" s="86" t="e">
        <f>IF(I1054="fora",0%,G1054/QUÓRUM!$C$6)</f>
        <v>#DIV/0!</v>
      </c>
      <c r="I1054" s="87"/>
      <c r="J1054" s="88"/>
      <c r="K1054" s="88"/>
      <c r="L1054" s="89"/>
      <c r="M1054" s="89"/>
      <c r="N1054" s="90"/>
      <c r="O1054" s="87"/>
      <c r="P1054" s="87"/>
      <c r="Q1054" s="87"/>
      <c r="R1054" s="91"/>
      <c r="S1054" s="92"/>
      <c r="T1054" s="93"/>
    </row>
    <row r="1055" spans="1:20" s="94" customFormat="1" x14ac:dyDescent="0.3">
      <c r="A1055" s="82"/>
      <c r="B1055" s="83"/>
      <c r="C1055" s="87"/>
      <c r="D1055" s="84"/>
      <c r="E1055" s="83"/>
      <c r="F1055" s="82"/>
      <c r="G1055" s="85"/>
      <c r="H1055" s="86" t="e">
        <f>IF(I1055="fora",0%,G1055/QUÓRUM!$C$6)</f>
        <v>#DIV/0!</v>
      </c>
      <c r="I1055" s="87"/>
      <c r="J1055" s="88"/>
      <c r="K1055" s="88"/>
      <c r="L1055" s="89"/>
      <c r="M1055" s="89"/>
      <c r="N1055" s="90"/>
      <c r="O1055" s="87"/>
      <c r="P1055" s="87"/>
      <c r="Q1055" s="87"/>
      <c r="R1055" s="91"/>
      <c r="S1055" s="92"/>
      <c r="T1055" s="93"/>
    </row>
    <row r="1056" spans="1:20" s="94" customFormat="1" x14ac:dyDescent="0.3">
      <c r="A1056" s="82"/>
      <c r="B1056" s="83"/>
      <c r="C1056" s="87"/>
      <c r="D1056" s="84"/>
      <c r="E1056" s="83"/>
      <c r="F1056" s="82"/>
      <c r="G1056" s="85"/>
      <c r="H1056" s="86" t="e">
        <f>IF(I1056="fora",0%,G1056/QUÓRUM!$C$6)</f>
        <v>#DIV/0!</v>
      </c>
      <c r="I1056" s="87"/>
      <c r="J1056" s="88"/>
      <c r="K1056" s="88"/>
      <c r="L1056" s="89"/>
      <c r="M1056" s="89"/>
      <c r="N1056" s="90"/>
      <c r="O1056" s="87"/>
      <c r="P1056" s="87"/>
      <c r="Q1056" s="87"/>
      <c r="R1056" s="91"/>
      <c r="S1056" s="92"/>
      <c r="T1056" s="93"/>
    </row>
    <row r="1057" spans="1:20" s="94" customFormat="1" x14ac:dyDescent="0.3">
      <c r="A1057" s="82"/>
      <c r="B1057" s="83"/>
      <c r="C1057" s="87"/>
      <c r="D1057" s="84"/>
      <c r="E1057" s="83"/>
      <c r="F1057" s="82"/>
      <c r="G1057" s="85"/>
      <c r="H1057" s="86" t="e">
        <f>IF(I1057="fora",0%,G1057/QUÓRUM!$C$6)</f>
        <v>#DIV/0!</v>
      </c>
      <c r="I1057" s="87"/>
      <c r="J1057" s="88"/>
      <c r="K1057" s="88"/>
      <c r="L1057" s="89"/>
      <c r="M1057" s="89"/>
      <c r="N1057" s="90"/>
      <c r="O1057" s="87"/>
      <c r="P1057" s="87"/>
      <c r="Q1057" s="87"/>
      <c r="R1057" s="91"/>
      <c r="S1057" s="92"/>
      <c r="T1057" s="93"/>
    </row>
    <row r="1058" spans="1:20" s="94" customFormat="1" x14ac:dyDescent="0.3">
      <c r="A1058" s="82"/>
      <c r="B1058" s="83"/>
      <c r="C1058" s="87"/>
      <c r="D1058" s="84"/>
      <c r="E1058" s="83"/>
      <c r="F1058" s="82"/>
      <c r="G1058" s="85"/>
      <c r="H1058" s="86" t="e">
        <f>IF(I1058="fora",0%,G1058/QUÓRUM!$C$6)</f>
        <v>#DIV/0!</v>
      </c>
      <c r="I1058" s="87"/>
      <c r="J1058" s="88"/>
      <c r="K1058" s="88"/>
      <c r="L1058" s="89"/>
      <c r="M1058" s="89"/>
      <c r="N1058" s="90"/>
      <c r="O1058" s="87"/>
      <c r="P1058" s="87"/>
      <c r="Q1058" s="87"/>
      <c r="R1058" s="91"/>
      <c r="S1058" s="92"/>
      <c r="T1058" s="93"/>
    </row>
    <row r="1059" spans="1:20" s="94" customFormat="1" x14ac:dyDescent="0.3">
      <c r="A1059" s="82"/>
      <c r="B1059" s="83"/>
      <c r="C1059" s="87"/>
      <c r="D1059" s="84"/>
      <c r="E1059" s="83"/>
      <c r="F1059" s="82"/>
      <c r="G1059" s="85"/>
      <c r="H1059" s="86" t="e">
        <f>IF(I1059="fora",0%,G1059/QUÓRUM!$C$6)</f>
        <v>#DIV/0!</v>
      </c>
      <c r="I1059" s="87"/>
      <c r="J1059" s="88"/>
      <c r="K1059" s="88"/>
      <c r="L1059" s="89"/>
      <c r="M1059" s="89"/>
      <c r="N1059" s="90"/>
      <c r="O1059" s="87"/>
      <c r="P1059" s="87"/>
      <c r="Q1059" s="87"/>
      <c r="R1059" s="91"/>
      <c r="S1059" s="92"/>
      <c r="T1059" s="93"/>
    </row>
    <row r="1060" spans="1:20" s="94" customFormat="1" x14ac:dyDescent="0.3">
      <c r="A1060" s="82"/>
      <c r="B1060" s="83"/>
      <c r="C1060" s="87"/>
      <c r="D1060" s="84"/>
      <c r="E1060" s="83"/>
      <c r="F1060" s="82"/>
      <c r="G1060" s="85"/>
      <c r="H1060" s="86" t="e">
        <f>IF(I1060="fora",0%,G1060/QUÓRUM!$C$6)</f>
        <v>#DIV/0!</v>
      </c>
      <c r="I1060" s="87"/>
      <c r="J1060" s="88"/>
      <c r="K1060" s="88"/>
      <c r="L1060" s="89"/>
      <c r="M1060" s="89"/>
      <c r="N1060" s="90"/>
      <c r="O1060" s="87"/>
      <c r="P1060" s="87"/>
      <c r="Q1060" s="87"/>
      <c r="R1060" s="91"/>
      <c r="S1060" s="92"/>
      <c r="T1060" s="93"/>
    </row>
    <row r="1061" spans="1:20" s="94" customFormat="1" x14ac:dyDescent="0.3">
      <c r="A1061" s="82"/>
      <c r="B1061" s="83"/>
      <c r="C1061" s="87"/>
      <c r="D1061" s="84"/>
      <c r="E1061" s="83"/>
      <c r="F1061" s="82"/>
      <c r="G1061" s="85"/>
      <c r="H1061" s="86" t="e">
        <f>IF(I1061="fora",0%,G1061/QUÓRUM!$C$6)</f>
        <v>#DIV/0!</v>
      </c>
      <c r="I1061" s="87"/>
      <c r="J1061" s="88"/>
      <c r="K1061" s="88"/>
      <c r="L1061" s="89"/>
      <c r="M1061" s="89"/>
      <c r="N1061" s="90"/>
      <c r="O1061" s="87"/>
      <c r="P1061" s="87"/>
      <c r="Q1061" s="87"/>
      <c r="R1061" s="91"/>
      <c r="S1061" s="92"/>
      <c r="T1061" s="93"/>
    </row>
    <row r="1062" spans="1:20" s="94" customFormat="1" x14ac:dyDescent="0.3">
      <c r="A1062" s="82"/>
      <c r="B1062" s="83"/>
      <c r="C1062" s="87"/>
      <c r="D1062" s="84"/>
      <c r="E1062" s="83"/>
      <c r="F1062" s="82"/>
      <c r="G1062" s="85"/>
      <c r="H1062" s="86" t="e">
        <f>IF(I1062="fora",0%,G1062/QUÓRUM!$C$6)</f>
        <v>#DIV/0!</v>
      </c>
      <c r="I1062" s="87"/>
      <c r="J1062" s="88"/>
      <c r="K1062" s="88"/>
      <c r="L1062" s="89"/>
      <c r="M1062" s="89"/>
      <c r="N1062" s="90"/>
      <c r="O1062" s="87"/>
      <c r="P1062" s="87"/>
      <c r="Q1062" s="87"/>
      <c r="R1062" s="91"/>
      <c r="S1062" s="92"/>
      <c r="T1062" s="93"/>
    </row>
    <row r="1063" spans="1:20" s="94" customFormat="1" x14ac:dyDescent="0.3">
      <c r="A1063" s="82"/>
      <c r="B1063" s="83"/>
      <c r="C1063" s="87"/>
      <c r="D1063" s="84"/>
      <c r="E1063" s="83"/>
      <c r="F1063" s="82"/>
      <c r="G1063" s="85"/>
      <c r="H1063" s="86" t="e">
        <f>IF(I1063="fora",0%,G1063/QUÓRUM!$C$6)</f>
        <v>#DIV/0!</v>
      </c>
      <c r="I1063" s="87"/>
      <c r="J1063" s="88"/>
      <c r="K1063" s="88"/>
      <c r="L1063" s="89"/>
      <c r="M1063" s="89"/>
      <c r="N1063" s="90"/>
      <c r="O1063" s="87"/>
      <c r="P1063" s="87"/>
      <c r="Q1063" s="87"/>
      <c r="R1063" s="91"/>
      <c r="S1063" s="92"/>
      <c r="T1063" s="93"/>
    </row>
    <row r="1064" spans="1:20" s="94" customFormat="1" x14ac:dyDescent="0.3">
      <c r="A1064" s="82"/>
      <c r="B1064" s="83"/>
      <c r="C1064" s="87"/>
      <c r="D1064" s="84"/>
      <c r="E1064" s="83"/>
      <c r="F1064" s="82"/>
      <c r="G1064" s="85"/>
      <c r="H1064" s="86" t="e">
        <f>IF(I1064="fora",0%,G1064/QUÓRUM!$C$6)</f>
        <v>#DIV/0!</v>
      </c>
      <c r="I1064" s="87"/>
      <c r="J1064" s="88"/>
      <c r="K1064" s="88"/>
      <c r="L1064" s="89"/>
      <c r="M1064" s="89"/>
      <c r="N1064" s="90"/>
      <c r="O1064" s="87"/>
      <c r="P1064" s="87"/>
      <c r="Q1064" s="87"/>
      <c r="R1064" s="91"/>
      <c r="S1064" s="92"/>
      <c r="T1064" s="93"/>
    </row>
    <row r="1065" spans="1:20" s="94" customFormat="1" x14ac:dyDescent="0.3">
      <c r="A1065" s="82"/>
      <c r="B1065" s="83"/>
      <c r="C1065" s="87"/>
      <c r="D1065" s="84"/>
      <c r="E1065" s="83"/>
      <c r="F1065" s="82"/>
      <c r="G1065" s="85"/>
      <c r="H1065" s="86" t="e">
        <f>IF(I1065="fora",0%,G1065/QUÓRUM!$C$6)</f>
        <v>#DIV/0!</v>
      </c>
      <c r="I1065" s="87"/>
      <c r="J1065" s="88"/>
      <c r="K1065" s="88"/>
      <c r="L1065" s="89"/>
      <c r="M1065" s="89"/>
      <c r="N1065" s="90"/>
      <c r="O1065" s="87"/>
      <c r="P1065" s="87"/>
      <c r="Q1065" s="87"/>
      <c r="R1065" s="91"/>
      <c r="S1065" s="92"/>
      <c r="T1065" s="93"/>
    </row>
    <row r="1066" spans="1:20" s="94" customFormat="1" x14ac:dyDescent="0.3">
      <c r="A1066" s="82"/>
      <c r="B1066" s="83"/>
      <c r="C1066" s="87"/>
      <c r="D1066" s="84"/>
      <c r="E1066" s="83"/>
      <c r="F1066" s="82"/>
      <c r="G1066" s="85"/>
      <c r="H1066" s="86" t="e">
        <f>IF(I1066="fora",0%,G1066/QUÓRUM!$C$6)</f>
        <v>#DIV/0!</v>
      </c>
      <c r="I1066" s="87"/>
      <c r="J1066" s="88"/>
      <c r="K1066" s="88"/>
      <c r="L1066" s="89"/>
      <c r="M1066" s="89"/>
      <c r="N1066" s="90"/>
      <c r="O1066" s="87"/>
      <c r="P1066" s="87"/>
      <c r="Q1066" s="87"/>
      <c r="R1066" s="91"/>
      <c r="S1066" s="92"/>
      <c r="T1066" s="93"/>
    </row>
    <row r="1067" spans="1:20" s="94" customFormat="1" x14ac:dyDescent="0.3">
      <c r="A1067" s="82"/>
      <c r="B1067" s="83"/>
      <c r="C1067" s="87"/>
      <c r="D1067" s="84"/>
      <c r="E1067" s="83"/>
      <c r="F1067" s="82"/>
      <c r="G1067" s="85"/>
      <c r="H1067" s="86" t="e">
        <f>IF(I1067="fora",0%,G1067/QUÓRUM!$C$6)</f>
        <v>#DIV/0!</v>
      </c>
      <c r="I1067" s="87"/>
      <c r="J1067" s="88"/>
      <c r="K1067" s="88"/>
      <c r="L1067" s="89"/>
      <c r="M1067" s="89"/>
      <c r="N1067" s="90"/>
      <c r="O1067" s="87"/>
      <c r="P1067" s="87"/>
      <c r="Q1067" s="87"/>
      <c r="R1067" s="91"/>
      <c r="S1067" s="92"/>
      <c r="T1067" s="93"/>
    </row>
    <row r="1068" spans="1:20" s="94" customFormat="1" x14ac:dyDescent="0.3">
      <c r="A1068" s="82"/>
      <c r="B1068" s="83"/>
      <c r="C1068" s="87"/>
      <c r="D1068" s="84"/>
      <c r="E1068" s="83"/>
      <c r="F1068" s="82"/>
      <c r="G1068" s="85"/>
      <c r="H1068" s="86" t="e">
        <f>IF(I1068="fora",0%,G1068/QUÓRUM!$C$6)</f>
        <v>#DIV/0!</v>
      </c>
      <c r="I1068" s="87"/>
      <c r="J1068" s="88"/>
      <c r="K1068" s="88"/>
      <c r="L1068" s="89"/>
      <c r="M1068" s="89"/>
      <c r="N1068" s="90"/>
      <c r="O1068" s="87"/>
      <c r="P1068" s="87"/>
      <c r="Q1068" s="87"/>
      <c r="R1068" s="91"/>
      <c r="S1068" s="92"/>
      <c r="T1068" s="93"/>
    </row>
    <row r="1069" spans="1:20" s="94" customFormat="1" x14ac:dyDescent="0.3">
      <c r="A1069" s="82"/>
      <c r="B1069" s="83"/>
      <c r="C1069" s="87"/>
      <c r="D1069" s="84"/>
      <c r="E1069" s="83"/>
      <c r="F1069" s="82"/>
      <c r="G1069" s="85"/>
      <c r="H1069" s="86" t="e">
        <f>IF(I1069="fora",0%,G1069/QUÓRUM!$C$6)</f>
        <v>#DIV/0!</v>
      </c>
      <c r="I1069" s="87"/>
      <c r="J1069" s="88"/>
      <c r="K1069" s="88"/>
      <c r="L1069" s="89"/>
      <c r="M1069" s="89"/>
      <c r="N1069" s="90"/>
      <c r="O1069" s="87"/>
      <c r="P1069" s="87"/>
      <c r="Q1069" s="87"/>
      <c r="R1069" s="91"/>
      <c r="S1069" s="92"/>
      <c r="T1069" s="93"/>
    </row>
    <row r="1070" spans="1:20" s="94" customFormat="1" x14ac:dyDescent="0.3">
      <c r="A1070" s="82"/>
      <c r="B1070" s="83"/>
      <c r="C1070" s="87"/>
      <c r="D1070" s="84"/>
      <c r="E1070" s="83"/>
      <c r="F1070" s="82"/>
      <c r="G1070" s="85"/>
      <c r="H1070" s="86" t="e">
        <f>IF(I1070="fora",0%,G1070/QUÓRUM!$C$6)</f>
        <v>#DIV/0!</v>
      </c>
      <c r="I1070" s="87"/>
      <c r="J1070" s="88"/>
      <c r="K1070" s="88"/>
      <c r="L1070" s="89"/>
      <c r="M1070" s="89"/>
      <c r="N1070" s="90"/>
      <c r="O1070" s="87"/>
      <c r="P1070" s="87"/>
      <c r="Q1070" s="87"/>
      <c r="R1070" s="91"/>
      <c r="S1070" s="92"/>
      <c r="T1070" s="93"/>
    </row>
    <row r="1071" spans="1:20" s="94" customFormat="1" x14ac:dyDescent="0.3">
      <c r="A1071" s="82"/>
      <c r="B1071" s="83"/>
      <c r="C1071" s="87"/>
      <c r="D1071" s="84"/>
      <c r="E1071" s="83"/>
      <c r="F1071" s="82"/>
      <c r="G1071" s="85"/>
      <c r="H1071" s="86" t="e">
        <f>IF(I1071="fora",0%,G1071/QUÓRUM!$C$6)</f>
        <v>#DIV/0!</v>
      </c>
      <c r="I1071" s="87"/>
      <c r="J1071" s="88"/>
      <c r="K1071" s="88"/>
      <c r="L1071" s="89"/>
      <c r="M1071" s="89"/>
      <c r="N1071" s="90"/>
      <c r="O1071" s="87"/>
      <c r="P1071" s="87"/>
      <c r="Q1071" s="87"/>
      <c r="R1071" s="91"/>
      <c r="S1071" s="92"/>
      <c r="T1071" s="93"/>
    </row>
    <row r="1072" spans="1:20" s="94" customFormat="1" x14ac:dyDescent="0.3">
      <c r="A1072" s="82"/>
      <c r="B1072" s="83"/>
      <c r="C1072" s="87"/>
      <c r="D1072" s="84"/>
      <c r="E1072" s="83"/>
      <c r="F1072" s="82"/>
      <c r="G1072" s="85"/>
      <c r="H1072" s="86" t="e">
        <f>IF(I1072="fora",0%,G1072/QUÓRUM!$C$6)</f>
        <v>#DIV/0!</v>
      </c>
      <c r="I1072" s="87"/>
      <c r="J1072" s="88"/>
      <c r="K1072" s="88"/>
      <c r="L1072" s="89"/>
      <c r="M1072" s="89"/>
      <c r="N1072" s="90"/>
      <c r="O1072" s="87"/>
      <c r="P1072" s="87"/>
      <c r="Q1072" s="87"/>
      <c r="R1072" s="91"/>
      <c r="S1072" s="92"/>
      <c r="T1072" s="93"/>
    </row>
    <row r="1073" spans="1:20" s="94" customFormat="1" x14ac:dyDescent="0.3">
      <c r="A1073" s="82"/>
      <c r="B1073" s="83"/>
      <c r="C1073" s="87"/>
      <c r="D1073" s="84"/>
      <c r="E1073" s="83"/>
      <c r="F1073" s="82"/>
      <c r="G1073" s="85"/>
      <c r="H1073" s="86" t="e">
        <f>IF(I1073="fora",0%,G1073/QUÓRUM!$C$6)</f>
        <v>#DIV/0!</v>
      </c>
      <c r="I1073" s="87"/>
      <c r="J1073" s="88"/>
      <c r="K1073" s="88"/>
      <c r="L1073" s="89"/>
      <c r="M1073" s="89"/>
      <c r="N1073" s="90"/>
      <c r="O1073" s="87"/>
      <c r="P1073" s="87"/>
      <c r="Q1073" s="87"/>
      <c r="R1073" s="91"/>
      <c r="S1073" s="92"/>
      <c r="T1073" s="93"/>
    </row>
    <row r="1074" spans="1:20" s="94" customFormat="1" x14ac:dyDescent="0.3">
      <c r="A1074" s="82"/>
      <c r="B1074" s="83"/>
      <c r="C1074" s="87"/>
      <c r="D1074" s="84"/>
      <c r="E1074" s="83"/>
      <c r="F1074" s="82"/>
      <c r="G1074" s="85"/>
      <c r="H1074" s="86" t="e">
        <f>IF(I1074="fora",0%,G1074/QUÓRUM!$C$6)</f>
        <v>#DIV/0!</v>
      </c>
      <c r="I1074" s="87"/>
      <c r="J1074" s="88"/>
      <c r="K1074" s="88"/>
      <c r="L1074" s="89"/>
      <c r="M1074" s="89"/>
      <c r="N1074" s="90"/>
      <c r="O1074" s="87"/>
      <c r="P1074" s="87"/>
      <c r="Q1074" s="87"/>
      <c r="R1074" s="91"/>
      <c r="S1074" s="92"/>
      <c r="T1074" s="93"/>
    </row>
    <row r="1075" spans="1:20" s="94" customFormat="1" x14ac:dyDescent="0.3">
      <c r="A1075" s="82"/>
      <c r="B1075" s="83"/>
      <c r="C1075" s="87"/>
      <c r="D1075" s="84"/>
      <c r="E1075" s="83"/>
      <c r="F1075" s="82"/>
      <c r="G1075" s="85"/>
      <c r="H1075" s="86" t="e">
        <f>IF(I1075="fora",0%,G1075/QUÓRUM!$C$6)</f>
        <v>#DIV/0!</v>
      </c>
      <c r="I1075" s="87"/>
      <c r="J1075" s="88"/>
      <c r="K1075" s="88"/>
      <c r="L1075" s="89"/>
      <c r="M1075" s="89"/>
      <c r="N1075" s="90"/>
      <c r="O1075" s="87"/>
      <c r="P1075" s="87"/>
      <c r="Q1075" s="87"/>
      <c r="R1075" s="91"/>
      <c r="S1075" s="92"/>
      <c r="T1075" s="93"/>
    </row>
    <row r="1076" spans="1:20" s="94" customFormat="1" x14ac:dyDescent="0.3">
      <c r="A1076" s="82"/>
      <c r="B1076" s="83"/>
      <c r="C1076" s="87"/>
      <c r="D1076" s="84"/>
      <c r="E1076" s="83"/>
      <c r="F1076" s="82"/>
      <c r="G1076" s="85"/>
      <c r="H1076" s="86" t="e">
        <f>IF(I1076="fora",0%,G1076/QUÓRUM!$C$6)</f>
        <v>#DIV/0!</v>
      </c>
      <c r="I1076" s="87"/>
      <c r="J1076" s="88"/>
      <c r="K1076" s="88"/>
      <c r="L1076" s="89"/>
      <c r="M1076" s="89"/>
      <c r="N1076" s="90"/>
      <c r="O1076" s="87"/>
      <c r="P1076" s="87"/>
      <c r="Q1076" s="87"/>
      <c r="R1076" s="91"/>
      <c r="S1076" s="92"/>
      <c r="T1076" s="93"/>
    </row>
    <row r="1077" spans="1:20" s="94" customFormat="1" x14ac:dyDescent="0.3">
      <c r="A1077" s="82"/>
      <c r="B1077" s="83"/>
      <c r="C1077" s="87"/>
      <c r="D1077" s="84"/>
      <c r="E1077" s="83"/>
      <c r="F1077" s="82"/>
      <c r="G1077" s="85"/>
      <c r="H1077" s="86" t="e">
        <f>IF(I1077="fora",0%,G1077/QUÓRUM!$C$6)</f>
        <v>#DIV/0!</v>
      </c>
      <c r="I1077" s="87"/>
      <c r="J1077" s="88"/>
      <c r="K1077" s="88"/>
      <c r="L1077" s="89"/>
      <c r="M1077" s="89"/>
      <c r="N1077" s="90"/>
      <c r="O1077" s="87"/>
      <c r="P1077" s="87"/>
      <c r="Q1077" s="87"/>
      <c r="R1077" s="91"/>
      <c r="S1077" s="92"/>
      <c r="T1077" s="93"/>
    </row>
    <row r="1078" spans="1:20" s="94" customFormat="1" x14ac:dyDescent="0.3">
      <c r="A1078" s="82"/>
      <c r="B1078" s="83"/>
      <c r="C1078" s="87"/>
      <c r="D1078" s="84"/>
      <c r="E1078" s="83"/>
      <c r="F1078" s="82"/>
      <c r="G1078" s="85"/>
      <c r="H1078" s="86" t="e">
        <f>IF(I1078="fora",0%,G1078/QUÓRUM!$C$6)</f>
        <v>#DIV/0!</v>
      </c>
      <c r="I1078" s="87"/>
      <c r="J1078" s="88"/>
      <c r="K1078" s="88"/>
      <c r="L1078" s="89"/>
      <c r="M1078" s="89"/>
      <c r="N1078" s="90"/>
      <c r="O1078" s="87"/>
      <c r="P1078" s="87"/>
      <c r="Q1078" s="87"/>
      <c r="R1078" s="91"/>
      <c r="S1078" s="92"/>
      <c r="T1078" s="93"/>
    </row>
    <row r="1079" spans="1:20" s="94" customFormat="1" x14ac:dyDescent="0.3">
      <c r="A1079" s="82"/>
      <c r="B1079" s="83"/>
      <c r="C1079" s="87"/>
      <c r="D1079" s="84"/>
      <c r="E1079" s="83"/>
      <c r="F1079" s="82"/>
      <c r="G1079" s="85"/>
      <c r="H1079" s="86" t="e">
        <f>IF(I1079="fora",0%,G1079/QUÓRUM!$C$6)</f>
        <v>#DIV/0!</v>
      </c>
      <c r="I1079" s="87"/>
      <c r="J1079" s="88"/>
      <c r="K1079" s="88"/>
      <c r="L1079" s="89"/>
      <c r="M1079" s="89"/>
      <c r="N1079" s="90"/>
      <c r="O1079" s="87"/>
      <c r="P1079" s="87"/>
      <c r="Q1079" s="87"/>
      <c r="R1079" s="91"/>
      <c r="S1079" s="92"/>
      <c r="T1079" s="93"/>
    </row>
    <row r="1080" spans="1:20" s="94" customFormat="1" x14ac:dyDescent="0.3">
      <c r="A1080" s="82"/>
      <c r="B1080" s="83"/>
      <c r="C1080" s="87"/>
      <c r="D1080" s="84"/>
      <c r="E1080" s="83"/>
      <c r="F1080" s="82"/>
      <c r="G1080" s="85"/>
      <c r="H1080" s="86" t="e">
        <f>IF(I1080="fora",0%,G1080/QUÓRUM!$C$6)</f>
        <v>#DIV/0!</v>
      </c>
      <c r="I1080" s="87"/>
      <c r="J1080" s="88"/>
      <c r="K1080" s="88"/>
      <c r="L1080" s="89"/>
      <c r="M1080" s="89"/>
      <c r="N1080" s="90"/>
      <c r="O1080" s="87"/>
      <c r="P1080" s="87"/>
      <c r="Q1080" s="87"/>
      <c r="R1080" s="91"/>
      <c r="S1080" s="92"/>
      <c r="T1080" s="93"/>
    </row>
    <row r="1081" spans="1:20" s="94" customFormat="1" x14ac:dyDescent="0.3">
      <c r="A1081" s="82"/>
      <c r="B1081" s="83"/>
      <c r="C1081" s="87"/>
      <c r="D1081" s="84"/>
      <c r="E1081" s="83"/>
      <c r="F1081" s="82"/>
      <c r="G1081" s="85"/>
      <c r="H1081" s="86" t="e">
        <f>IF(I1081="fora",0%,G1081/QUÓRUM!$C$6)</f>
        <v>#DIV/0!</v>
      </c>
      <c r="I1081" s="87"/>
      <c r="J1081" s="88"/>
      <c r="K1081" s="88"/>
      <c r="L1081" s="89"/>
      <c r="M1081" s="89"/>
      <c r="N1081" s="90"/>
      <c r="O1081" s="87"/>
      <c r="P1081" s="87"/>
      <c r="Q1081" s="87"/>
      <c r="R1081" s="91"/>
      <c r="S1081" s="92"/>
      <c r="T1081" s="93"/>
    </row>
    <row r="1082" spans="1:20" s="94" customFormat="1" x14ac:dyDescent="0.3">
      <c r="A1082" s="82"/>
      <c r="B1082" s="83"/>
      <c r="C1082" s="87"/>
      <c r="D1082" s="84"/>
      <c r="E1082" s="83"/>
      <c r="F1082" s="82"/>
      <c r="G1082" s="85"/>
      <c r="H1082" s="86" t="e">
        <f>IF(I1082="fora",0%,G1082/QUÓRUM!$C$6)</f>
        <v>#DIV/0!</v>
      </c>
      <c r="I1082" s="87"/>
      <c r="J1082" s="88"/>
      <c r="K1082" s="88"/>
      <c r="L1082" s="89"/>
      <c r="M1082" s="89"/>
      <c r="N1082" s="90"/>
      <c r="O1082" s="87"/>
      <c r="P1082" s="87"/>
      <c r="Q1082" s="87"/>
      <c r="R1082" s="91"/>
      <c r="S1082" s="92"/>
      <c r="T1082" s="93"/>
    </row>
    <row r="1083" spans="1:20" s="94" customFormat="1" x14ac:dyDescent="0.3">
      <c r="A1083" s="82"/>
      <c r="B1083" s="83"/>
      <c r="C1083" s="87"/>
      <c r="D1083" s="84"/>
      <c r="E1083" s="83"/>
      <c r="F1083" s="82"/>
      <c r="G1083" s="85"/>
      <c r="H1083" s="86" t="e">
        <f>IF(I1083="fora",0%,G1083/QUÓRUM!$C$6)</f>
        <v>#DIV/0!</v>
      </c>
      <c r="I1083" s="87"/>
      <c r="J1083" s="88"/>
      <c r="K1083" s="88"/>
      <c r="L1083" s="89"/>
      <c r="M1083" s="89"/>
      <c r="N1083" s="90"/>
      <c r="O1083" s="87"/>
      <c r="P1083" s="87"/>
      <c r="Q1083" s="87"/>
      <c r="R1083" s="91"/>
      <c r="S1083" s="92"/>
      <c r="T1083" s="93"/>
    </row>
    <row r="1084" spans="1:20" s="94" customFormat="1" x14ac:dyDescent="0.3">
      <c r="A1084" s="82"/>
      <c r="B1084" s="83"/>
      <c r="C1084" s="87"/>
      <c r="D1084" s="84"/>
      <c r="E1084" s="83"/>
      <c r="F1084" s="82"/>
      <c r="G1084" s="85"/>
      <c r="H1084" s="86" t="e">
        <f>IF(I1084="fora",0%,G1084/QUÓRUM!$C$6)</f>
        <v>#DIV/0!</v>
      </c>
      <c r="I1084" s="87"/>
      <c r="J1084" s="88"/>
      <c r="K1084" s="88"/>
      <c r="L1084" s="89"/>
      <c r="M1084" s="89"/>
      <c r="N1084" s="90"/>
      <c r="O1084" s="87"/>
      <c r="P1084" s="87"/>
      <c r="Q1084" s="87"/>
      <c r="R1084" s="91"/>
      <c r="S1084" s="92"/>
      <c r="T1084" s="93"/>
    </row>
    <row r="1085" spans="1:20" s="94" customFormat="1" x14ac:dyDescent="0.3">
      <c r="A1085" s="82"/>
      <c r="B1085" s="83"/>
      <c r="C1085" s="87"/>
      <c r="D1085" s="84"/>
      <c r="E1085" s="83"/>
      <c r="F1085" s="82"/>
      <c r="G1085" s="85"/>
      <c r="H1085" s="86" t="e">
        <f>IF(I1085="fora",0%,G1085/QUÓRUM!$C$6)</f>
        <v>#DIV/0!</v>
      </c>
      <c r="I1085" s="87"/>
      <c r="J1085" s="88"/>
      <c r="K1085" s="88"/>
      <c r="L1085" s="89"/>
      <c r="M1085" s="89"/>
      <c r="N1085" s="90"/>
      <c r="O1085" s="87"/>
      <c r="P1085" s="87"/>
      <c r="Q1085" s="87"/>
      <c r="R1085" s="91"/>
      <c r="S1085" s="92"/>
      <c r="T1085" s="93"/>
    </row>
    <row r="1086" spans="1:20" s="94" customFormat="1" x14ac:dyDescent="0.3">
      <c r="A1086" s="82"/>
      <c r="B1086" s="83"/>
      <c r="C1086" s="87"/>
      <c r="D1086" s="84"/>
      <c r="E1086" s="83"/>
      <c r="F1086" s="82"/>
      <c r="G1086" s="85"/>
      <c r="H1086" s="86" t="e">
        <f>IF(I1086="fora",0%,G1086/QUÓRUM!$C$6)</f>
        <v>#DIV/0!</v>
      </c>
      <c r="I1086" s="87"/>
      <c r="J1086" s="88"/>
      <c r="K1086" s="88"/>
      <c r="L1086" s="89"/>
      <c r="M1086" s="89"/>
      <c r="N1086" s="90"/>
      <c r="O1086" s="87"/>
      <c r="P1086" s="87"/>
      <c r="Q1086" s="87"/>
      <c r="R1086" s="91"/>
      <c r="S1086" s="92"/>
      <c r="T1086" s="93"/>
    </row>
    <row r="1087" spans="1:20" s="94" customFormat="1" x14ac:dyDescent="0.3">
      <c r="A1087" s="82"/>
      <c r="B1087" s="83"/>
      <c r="C1087" s="87"/>
      <c r="D1087" s="84"/>
      <c r="E1087" s="83"/>
      <c r="F1087" s="82"/>
      <c r="G1087" s="85"/>
      <c r="H1087" s="86" t="e">
        <f>IF(I1087="fora",0%,G1087/QUÓRUM!$C$6)</f>
        <v>#DIV/0!</v>
      </c>
      <c r="I1087" s="87"/>
      <c r="J1087" s="88"/>
      <c r="K1087" s="88"/>
      <c r="L1087" s="89"/>
      <c r="M1087" s="89"/>
      <c r="N1087" s="90"/>
      <c r="O1087" s="87"/>
      <c r="P1087" s="87"/>
      <c r="Q1087" s="87"/>
      <c r="R1087" s="91"/>
      <c r="S1087" s="92"/>
      <c r="T1087" s="93"/>
    </row>
    <row r="1088" spans="1:20" s="94" customFormat="1" x14ac:dyDescent="0.3">
      <c r="A1088" s="82"/>
      <c r="B1088" s="83"/>
      <c r="C1088" s="87"/>
      <c r="D1088" s="84"/>
      <c r="E1088" s="83"/>
      <c r="F1088" s="82"/>
      <c r="G1088" s="85"/>
      <c r="H1088" s="86" t="e">
        <f>IF(I1088="fora",0%,G1088/QUÓRUM!$C$6)</f>
        <v>#DIV/0!</v>
      </c>
      <c r="I1088" s="87"/>
      <c r="J1088" s="88"/>
      <c r="K1088" s="88"/>
      <c r="L1088" s="89"/>
      <c r="M1088" s="89"/>
      <c r="N1088" s="90"/>
      <c r="O1088" s="87"/>
      <c r="P1088" s="87"/>
      <c r="Q1088" s="87"/>
      <c r="R1088" s="91"/>
      <c r="S1088" s="92"/>
      <c r="T1088" s="93"/>
    </row>
    <row r="1089" spans="1:20" s="94" customFormat="1" x14ac:dyDescent="0.3">
      <c r="A1089" s="82"/>
      <c r="B1089" s="83"/>
      <c r="C1089" s="87"/>
      <c r="D1089" s="84"/>
      <c r="E1089" s="83"/>
      <c r="F1089" s="82"/>
      <c r="G1089" s="85"/>
      <c r="H1089" s="86" t="e">
        <f>IF(I1089="fora",0%,G1089/QUÓRUM!$C$6)</f>
        <v>#DIV/0!</v>
      </c>
      <c r="I1089" s="87"/>
      <c r="J1089" s="88"/>
      <c r="K1089" s="88"/>
      <c r="L1089" s="89"/>
      <c r="M1089" s="89"/>
      <c r="N1089" s="90"/>
      <c r="O1089" s="87"/>
      <c r="P1089" s="87"/>
      <c r="Q1089" s="87"/>
      <c r="R1089" s="91"/>
      <c r="S1089" s="92"/>
      <c r="T1089" s="93"/>
    </row>
    <row r="1090" spans="1:20" s="94" customFormat="1" x14ac:dyDescent="0.3">
      <c r="A1090" s="82"/>
      <c r="B1090" s="83"/>
      <c r="C1090" s="87"/>
      <c r="D1090" s="84"/>
      <c r="E1090" s="83"/>
      <c r="F1090" s="82"/>
      <c r="G1090" s="85"/>
      <c r="H1090" s="86" t="e">
        <f>IF(I1090="fora",0%,G1090/QUÓRUM!$C$6)</f>
        <v>#DIV/0!</v>
      </c>
      <c r="I1090" s="87"/>
      <c r="J1090" s="88"/>
      <c r="K1090" s="88"/>
      <c r="L1090" s="89"/>
      <c r="M1090" s="89"/>
      <c r="N1090" s="90"/>
      <c r="O1090" s="87"/>
      <c r="P1090" s="87"/>
      <c r="Q1090" s="87"/>
      <c r="R1090" s="91"/>
      <c r="S1090" s="92"/>
      <c r="T1090" s="93"/>
    </row>
    <row r="1091" spans="1:20" s="94" customFormat="1" x14ac:dyDescent="0.3">
      <c r="A1091" s="82"/>
      <c r="B1091" s="83"/>
      <c r="C1091" s="87"/>
      <c r="D1091" s="84"/>
      <c r="E1091" s="83"/>
      <c r="F1091" s="82"/>
      <c r="G1091" s="85"/>
      <c r="H1091" s="86" t="e">
        <f>IF(I1091="fora",0%,G1091/QUÓRUM!$C$6)</f>
        <v>#DIV/0!</v>
      </c>
      <c r="I1091" s="87"/>
      <c r="J1091" s="88"/>
      <c r="K1091" s="88"/>
      <c r="L1091" s="89"/>
      <c r="M1091" s="89"/>
      <c r="N1091" s="90"/>
      <c r="O1091" s="87"/>
      <c r="P1091" s="87"/>
      <c r="Q1091" s="87"/>
      <c r="R1091" s="91"/>
      <c r="S1091" s="92"/>
      <c r="T1091" s="93"/>
    </row>
    <row r="1092" spans="1:20" s="94" customFormat="1" x14ac:dyDescent="0.3">
      <c r="A1092" s="82"/>
      <c r="B1092" s="83"/>
      <c r="C1092" s="87"/>
      <c r="D1092" s="84"/>
      <c r="E1092" s="83"/>
      <c r="F1092" s="82"/>
      <c r="G1092" s="85"/>
      <c r="H1092" s="86" t="e">
        <f>IF(I1092="fora",0%,G1092/QUÓRUM!$C$6)</f>
        <v>#DIV/0!</v>
      </c>
      <c r="I1092" s="87"/>
      <c r="J1092" s="88"/>
      <c r="K1092" s="88"/>
      <c r="L1092" s="89"/>
      <c r="M1092" s="89"/>
      <c r="N1092" s="90"/>
      <c r="O1092" s="87"/>
      <c r="P1092" s="87"/>
      <c r="Q1092" s="87"/>
      <c r="R1092" s="91"/>
      <c r="S1092" s="92"/>
      <c r="T1092" s="93"/>
    </row>
    <row r="1093" spans="1:20" s="94" customFormat="1" x14ac:dyDescent="0.3">
      <c r="A1093" s="82"/>
      <c r="B1093" s="83"/>
      <c r="C1093" s="87"/>
      <c r="D1093" s="84"/>
      <c r="E1093" s="83"/>
      <c r="F1093" s="82"/>
      <c r="G1093" s="85"/>
      <c r="H1093" s="86" t="e">
        <f>IF(I1093="fora",0%,G1093/QUÓRUM!$C$6)</f>
        <v>#DIV/0!</v>
      </c>
      <c r="I1093" s="87"/>
      <c r="J1093" s="88"/>
      <c r="K1093" s="88"/>
      <c r="L1093" s="89"/>
      <c r="M1093" s="89"/>
      <c r="N1093" s="90"/>
      <c r="O1093" s="87"/>
      <c r="P1093" s="87"/>
      <c r="Q1093" s="87"/>
      <c r="R1093" s="91"/>
      <c r="S1093" s="92"/>
      <c r="T1093" s="93"/>
    </row>
    <row r="1094" spans="1:20" s="94" customFormat="1" x14ac:dyDescent="0.3">
      <c r="A1094" s="82"/>
      <c r="B1094" s="83"/>
      <c r="C1094" s="87"/>
      <c r="D1094" s="84"/>
      <c r="E1094" s="83"/>
      <c r="F1094" s="82"/>
      <c r="G1094" s="85"/>
      <c r="H1094" s="86" t="e">
        <f>IF(I1094="fora",0%,G1094/QUÓRUM!$C$6)</f>
        <v>#DIV/0!</v>
      </c>
      <c r="I1094" s="87"/>
      <c r="J1094" s="88"/>
      <c r="K1094" s="88"/>
      <c r="L1094" s="89"/>
      <c r="M1094" s="89"/>
      <c r="N1094" s="90"/>
      <c r="O1094" s="87"/>
      <c r="P1094" s="87"/>
      <c r="Q1094" s="87"/>
      <c r="R1094" s="91"/>
      <c r="S1094" s="92"/>
      <c r="T1094" s="93"/>
    </row>
    <row r="1095" spans="1:20" s="94" customFormat="1" x14ac:dyDescent="0.3">
      <c r="A1095" s="82"/>
      <c r="B1095" s="83"/>
      <c r="C1095" s="87"/>
      <c r="D1095" s="84"/>
      <c r="E1095" s="83"/>
      <c r="F1095" s="82"/>
      <c r="G1095" s="85"/>
      <c r="H1095" s="86" t="e">
        <f>IF(I1095="fora",0%,G1095/QUÓRUM!$C$6)</f>
        <v>#DIV/0!</v>
      </c>
      <c r="I1095" s="87"/>
      <c r="J1095" s="88"/>
      <c r="K1095" s="88"/>
      <c r="L1095" s="89"/>
      <c r="M1095" s="89"/>
      <c r="N1095" s="90"/>
      <c r="O1095" s="87"/>
      <c r="P1095" s="87"/>
      <c r="Q1095" s="87"/>
      <c r="R1095" s="91"/>
      <c r="S1095" s="92"/>
      <c r="T1095" s="93"/>
    </row>
    <row r="1096" spans="1:20" s="94" customFormat="1" x14ac:dyDescent="0.3">
      <c r="A1096" s="82"/>
      <c r="B1096" s="83"/>
      <c r="C1096" s="87"/>
      <c r="D1096" s="84"/>
      <c r="E1096" s="83"/>
      <c r="F1096" s="82"/>
      <c r="G1096" s="85"/>
      <c r="H1096" s="86" t="e">
        <f>IF(I1096="fora",0%,G1096/QUÓRUM!$C$6)</f>
        <v>#DIV/0!</v>
      </c>
      <c r="I1096" s="87"/>
      <c r="J1096" s="88"/>
      <c r="K1096" s="88"/>
      <c r="L1096" s="89"/>
      <c r="M1096" s="89"/>
      <c r="N1096" s="90"/>
      <c r="O1096" s="87"/>
      <c r="P1096" s="87"/>
      <c r="Q1096" s="87"/>
      <c r="R1096" s="91"/>
      <c r="S1096" s="92"/>
      <c r="T1096" s="93"/>
    </row>
    <row r="1097" spans="1:20" s="94" customFormat="1" x14ac:dyDescent="0.3">
      <c r="A1097" s="82"/>
      <c r="B1097" s="83"/>
      <c r="C1097" s="87"/>
      <c r="D1097" s="84"/>
      <c r="E1097" s="83"/>
      <c r="F1097" s="82"/>
      <c r="G1097" s="85"/>
      <c r="H1097" s="86" t="e">
        <f>IF(I1097="fora",0%,G1097/QUÓRUM!$C$6)</f>
        <v>#DIV/0!</v>
      </c>
      <c r="I1097" s="87"/>
      <c r="J1097" s="88"/>
      <c r="K1097" s="88"/>
      <c r="L1097" s="89"/>
      <c r="M1097" s="89"/>
      <c r="N1097" s="90"/>
      <c r="O1097" s="87"/>
      <c r="P1097" s="87"/>
      <c r="Q1097" s="87"/>
      <c r="R1097" s="91"/>
      <c r="S1097" s="92"/>
      <c r="T1097" s="93"/>
    </row>
    <row r="1098" spans="1:20" s="94" customFormat="1" x14ac:dyDescent="0.3">
      <c r="A1098" s="82"/>
      <c r="B1098" s="83"/>
      <c r="C1098" s="87"/>
      <c r="D1098" s="84"/>
      <c r="E1098" s="83"/>
      <c r="F1098" s="82"/>
      <c r="G1098" s="85"/>
      <c r="H1098" s="86" t="e">
        <f>IF(I1098="fora",0%,G1098/QUÓRUM!$C$6)</f>
        <v>#DIV/0!</v>
      </c>
      <c r="I1098" s="87"/>
      <c r="J1098" s="88"/>
      <c r="K1098" s="88"/>
      <c r="L1098" s="89"/>
      <c r="M1098" s="89"/>
      <c r="N1098" s="90"/>
      <c r="O1098" s="87"/>
      <c r="P1098" s="87"/>
      <c r="Q1098" s="87"/>
      <c r="R1098" s="91"/>
      <c r="S1098" s="92"/>
      <c r="T1098" s="93"/>
    </row>
    <row r="1099" spans="1:20" s="94" customFormat="1" x14ac:dyDescent="0.3">
      <c r="A1099" s="82"/>
      <c r="B1099" s="83"/>
      <c r="C1099" s="87"/>
      <c r="D1099" s="84"/>
      <c r="E1099" s="83"/>
      <c r="F1099" s="82"/>
      <c r="G1099" s="85"/>
      <c r="H1099" s="86" t="e">
        <f>IF(I1099="fora",0%,G1099/QUÓRUM!$C$6)</f>
        <v>#DIV/0!</v>
      </c>
      <c r="I1099" s="87"/>
      <c r="J1099" s="88"/>
      <c r="K1099" s="88"/>
      <c r="L1099" s="89"/>
      <c r="M1099" s="89"/>
      <c r="N1099" s="90"/>
      <c r="O1099" s="87"/>
      <c r="P1099" s="87"/>
      <c r="Q1099" s="87"/>
      <c r="R1099" s="91"/>
      <c r="S1099" s="92"/>
      <c r="T1099" s="93"/>
    </row>
    <row r="1100" spans="1:20" s="94" customFormat="1" x14ac:dyDescent="0.3">
      <c r="A1100" s="82"/>
      <c r="B1100" s="83"/>
      <c r="C1100" s="87"/>
      <c r="D1100" s="84"/>
      <c r="E1100" s="83"/>
      <c r="F1100" s="82"/>
      <c r="G1100" s="85"/>
      <c r="H1100" s="86" t="e">
        <f>IF(I1100="fora",0%,G1100/QUÓRUM!$C$6)</f>
        <v>#DIV/0!</v>
      </c>
      <c r="I1100" s="87"/>
      <c r="J1100" s="88"/>
      <c r="K1100" s="88"/>
      <c r="L1100" s="89"/>
      <c r="M1100" s="89"/>
      <c r="N1100" s="90"/>
      <c r="O1100" s="87"/>
      <c r="P1100" s="87"/>
      <c r="Q1100" s="87"/>
      <c r="R1100" s="91"/>
      <c r="S1100" s="92"/>
      <c r="T1100" s="93"/>
    </row>
    <row r="1101" spans="1:20" s="94" customFormat="1" x14ac:dyDescent="0.3">
      <c r="A1101" s="82"/>
      <c r="B1101" s="83"/>
      <c r="C1101" s="87"/>
      <c r="D1101" s="84"/>
      <c r="E1101" s="83"/>
      <c r="F1101" s="82"/>
      <c r="G1101" s="85"/>
      <c r="H1101" s="86" t="e">
        <f>IF(I1101="fora",0%,G1101/QUÓRUM!$C$6)</f>
        <v>#DIV/0!</v>
      </c>
      <c r="I1101" s="87"/>
      <c r="J1101" s="88"/>
      <c r="K1101" s="88"/>
      <c r="L1101" s="89"/>
      <c r="M1101" s="89"/>
      <c r="N1101" s="90"/>
      <c r="O1101" s="87"/>
      <c r="P1101" s="87"/>
      <c r="Q1101" s="87"/>
      <c r="R1101" s="91"/>
      <c r="S1101" s="92"/>
      <c r="T1101" s="93"/>
    </row>
    <row r="1102" spans="1:20" s="94" customFormat="1" x14ac:dyDescent="0.3">
      <c r="A1102" s="82"/>
      <c r="B1102" s="83"/>
      <c r="C1102" s="87"/>
      <c r="D1102" s="84"/>
      <c r="E1102" s="83"/>
      <c r="F1102" s="82"/>
      <c r="G1102" s="85"/>
      <c r="H1102" s="86" t="e">
        <f>IF(I1102="fora",0%,G1102/QUÓRUM!$C$6)</f>
        <v>#DIV/0!</v>
      </c>
      <c r="I1102" s="87"/>
      <c r="J1102" s="88"/>
      <c r="K1102" s="88"/>
      <c r="L1102" s="89"/>
      <c r="M1102" s="89"/>
      <c r="N1102" s="90"/>
      <c r="O1102" s="87"/>
      <c r="P1102" s="87"/>
      <c r="Q1102" s="87"/>
      <c r="R1102" s="91"/>
      <c r="S1102" s="92"/>
      <c r="T1102" s="93"/>
    </row>
    <row r="1103" spans="1:20" s="94" customFormat="1" x14ac:dyDescent="0.3">
      <c r="A1103" s="82"/>
      <c r="B1103" s="83"/>
      <c r="C1103" s="87"/>
      <c r="D1103" s="84"/>
      <c r="E1103" s="83"/>
      <c r="F1103" s="82"/>
      <c r="G1103" s="85"/>
      <c r="H1103" s="86" t="e">
        <f>IF(I1103="fora",0%,G1103/QUÓRUM!$C$6)</f>
        <v>#DIV/0!</v>
      </c>
      <c r="I1103" s="87"/>
      <c r="J1103" s="88"/>
      <c r="K1103" s="88"/>
      <c r="L1103" s="89"/>
      <c r="M1103" s="89"/>
      <c r="N1103" s="90"/>
      <c r="O1103" s="87"/>
      <c r="P1103" s="87"/>
      <c r="Q1103" s="87"/>
      <c r="R1103" s="91"/>
      <c r="S1103" s="92"/>
      <c r="T1103" s="93"/>
    </row>
    <row r="1104" spans="1:20" s="94" customFormat="1" x14ac:dyDescent="0.3">
      <c r="A1104" s="82"/>
      <c r="B1104" s="83"/>
      <c r="C1104" s="87"/>
      <c r="D1104" s="84"/>
      <c r="E1104" s="83"/>
      <c r="F1104" s="82"/>
      <c r="G1104" s="85"/>
      <c r="H1104" s="86" t="e">
        <f>IF(I1104="fora",0%,G1104/QUÓRUM!$C$6)</f>
        <v>#DIV/0!</v>
      </c>
      <c r="I1104" s="87"/>
      <c r="J1104" s="88"/>
      <c r="K1104" s="88"/>
      <c r="L1104" s="89"/>
      <c r="M1104" s="89"/>
      <c r="N1104" s="90"/>
      <c r="O1104" s="87"/>
      <c r="P1104" s="87"/>
      <c r="Q1104" s="87"/>
      <c r="R1104" s="91"/>
      <c r="S1104" s="92"/>
      <c r="T1104" s="93"/>
    </row>
    <row r="1105" spans="1:20" s="94" customFormat="1" x14ac:dyDescent="0.3">
      <c r="A1105" s="82"/>
      <c r="B1105" s="83"/>
      <c r="C1105" s="87"/>
      <c r="D1105" s="84"/>
      <c r="E1105" s="83"/>
      <c r="F1105" s="82"/>
      <c r="G1105" s="85"/>
      <c r="H1105" s="86" t="e">
        <f>IF(I1105="fora",0%,G1105/QUÓRUM!$C$6)</f>
        <v>#DIV/0!</v>
      </c>
      <c r="I1105" s="87"/>
      <c r="J1105" s="88"/>
      <c r="K1105" s="88"/>
      <c r="L1105" s="89"/>
      <c r="M1105" s="89"/>
      <c r="N1105" s="90"/>
      <c r="O1105" s="87"/>
      <c r="P1105" s="87"/>
      <c r="Q1105" s="87"/>
      <c r="R1105" s="91"/>
      <c r="S1105" s="92"/>
      <c r="T1105" s="93"/>
    </row>
    <row r="1106" spans="1:20" s="94" customFormat="1" x14ac:dyDescent="0.3">
      <c r="A1106" s="82"/>
      <c r="B1106" s="83"/>
      <c r="C1106" s="87"/>
      <c r="D1106" s="84"/>
      <c r="E1106" s="83"/>
      <c r="F1106" s="82"/>
      <c r="G1106" s="85"/>
      <c r="H1106" s="86" t="e">
        <f>IF(I1106="fora",0%,G1106/QUÓRUM!$C$6)</f>
        <v>#DIV/0!</v>
      </c>
      <c r="I1106" s="87"/>
      <c r="J1106" s="88"/>
      <c r="K1106" s="88"/>
      <c r="L1106" s="89"/>
      <c r="M1106" s="89"/>
      <c r="N1106" s="90"/>
      <c r="O1106" s="87"/>
      <c r="P1106" s="87"/>
      <c r="Q1106" s="87"/>
      <c r="R1106" s="91"/>
      <c r="S1106" s="92"/>
      <c r="T1106" s="93"/>
    </row>
    <row r="1107" spans="1:20" s="94" customFormat="1" x14ac:dyDescent="0.3">
      <c r="A1107" s="82"/>
      <c r="B1107" s="83"/>
      <c r="C1107" s="87"/>
      <c r="D1107" s="84"/>
      <c r="E1107" s="83"/>
      <c r="F1107" s="82"/>
      <c r="G1107" s="85"/>
      <c r="H1107" s="86" t="e">
        <f>IF(I1107="fora",0%,G1107/QUÓRUM!$C$6)</f>
        <v>#DIV/0!</v>
      </c>
      <c r="I1107" s="87"/>
      <c r="J1107" s="88"/>
      <c r="K1107" s="88"/>
      <c r="L1107" s="89"/>
      <c r="M1107" s="89"/>
      <c r="N1107" s="90"/>
      <c r="O1107" s="87"/>
      <c r="P1107" s="87"/>
      <c r="Q1107" s="87"/>
      <c r="R1107" s="91"/>
      <c r="S1107" s="92"/>
      <c r="T1107" s="93"/>
    </row>
    <row r="1108" spans="1:20" s="94" customFormat="1" x14ac:dyDescent="0.3">
      <c r="A1108" s="82"/>
      <c r="B1108" s="83"/>
      <c r="C1108" s="87"/>
      <c r="D1108" s="84"/>
      <c r="E1108" s="83"/>
      <c r="F1108" s="82"/>
      <c r="G1108" s="85"/>
      <c r="H1108" s="86" t="e">
        <f>IF(I1108="fora",0%,G1108/QUÓRUM!$C$6)</f>
        <v>#DIV/0!</v>
      </c>
      <c r="I1108" s="87"/>
      <c r="J1108" s="88"/>
      <c r="K1108" s="88"/>
      <c r="L1108" s="89"/>
      <c r="M1108" s="89"/>
      <c r="N1108" s="90"/>
      <c r="O1108" s="87"/>
      <c r="P1108" s="87"/>
      <c r="Q1108" s="87"/>
      <c r="R1108" s="91"/>
      <c r="S1108" s="92"/>
      <c r="T1108" s="93"/>
    </row>
    <row r="1109" spans="1:20" s="94" customFormat="1" x14ac:dyDescent="0.3">
      <c r="A1109" s="82"/>
      <c r="B1109" s="83"/>
      <c r="C1109" s="87"/>
      <c r="D1109" s="84"/>
      <c r="E1109" s="83"/>
      <c r="F1109" s="82"/>
      <c r="G1109" s="85"/>
      <c r="H1109" s="86" t="e">
        <f>IF(I1109="fora",0%,G1109/QUÓRUM!$C$6)</f>
        <v>#DIV/0!</v>
      </c>
      <c r="I1109" s="87"/>
      <c r="J1109" s="88"/>
      <c r="K1109" s="88"/>
      <c r="L1109" s="89"/>
      <c r="M1109" s="89"/>
      <c r="N1109" s="90"/>
      <c r="O1109" s="87"/>
      <c r="P1109" s="87"/>
      <c r="Q1109" s="87"/>
      <c r="R1109" s="91"/>
      <c r="S1109" s="92"/>
      <c r="T1109" s="93"/>
    </row>
    <row r="1110" spans="1:20" s="94" customFormat="1" x14ac:dyDescent="0.3">
      <c r="A1110" s="82"/>
      <c r="B1110" s="83"/>
      <c r="C1110" s="87"/>
      <c r="D1110" s="84"/>
      <c r="E1110" s="83"/>
      <c r="F1110" s="82"/>
      <c r="G1110" s="85"/>
      <c r="H1110" s="86" t="e">
        <f>IF(I1110="fora",0%,G1110/QUÓRUM!$C$6)</f>
        <v>#DIV/0!</v>
      </c>
      <c r="I1110" s="87"/>
      <c r="J1110" s="88"/>
      <c r="K1110" s="88"/>
      <c r="L1110" s="89"/>
      <c r="M1110" s="89"/>
      <c r="N1110" s="90"/>
      <c r="O1110" s="87"/>
      <c r="P1110" s="87"/>
      <c r="Q1110" s="87"/>
      <c r="R1110" s="91"/>
      <c r="S1110" s="92"/>
      <c r="T1110" s="93"/>
    </row>
    <row r="1111" spans="1:20" s="94" customFormat="1" x14ac:dyDescent="0.3">
      <c r="A1111" s="82"/>
      <c r="B1111" s="83"/>
      <c r="C1111" s="87"/>
      <c r="D1111" s="84"/>
      <c r="E1111" s="83"/>
      <c r="F1111" s="82"/>
      <c r="G1111" s="85"/>
      <c r="H1111" s="86" t="e">
        <f>IF(I1111="fora",0%,G1111/QUÓRUM!$C$6)</f>
        <v>#DIV/0!</v>
      </c>
      <c r="I1111" s="87"/>
      <c r="J1111" s="88"/>
      <c r="K1111" s="88"/>
      <c r="L1111" s="89"/>
      <c r="M1111" s="89"/>
      <c r="N1111" s="90"/>
      <c r="O1111" s="87"/>
      <c r="P1111" s="87"/>
      <c r="Q1111" s="87"/>
      <c r="R1111" s="91"/>
      <c r="S1111" s="92"/>
      <c r="T1111" s="93"/>
    </row>
    <row r="1112" spans="1:20" s="94" customFormat="1" x14ac:dyDescent="0.3">
      <c r="A1112" s="82"/>
      <c r="B1112" s="83"/>
      <c r="C1112" s="87"/>
      <c r="D1112" s="84"/>
      <c r="E1112" s="83"/>
      <c r="F1112" s="82"/>
      <c r="G1112" s="85"/>
      <c r="H1112" s="86" t="e">
        <f>IF(I1112="fora",0%,G1112/QUÓRUM!$C$6)</f>
        <v>#DIV/0!</v>
      </c>
      <c r="I1112" s="87"/>
      <c r="J1112" s="88"/>
      <c r="K1112" s="88"/>
      <c r="L1112" s="89"/>
      <c r="M1112" s="89"/>
      <c r="N1112" s="90"/>
      <c r="O1112" s="87"/>
      <c r="P1112" s="87"/>
      <c r="Q1112" s="87"/>
      <c r="R1112" s="91"/>
      <c r="S1112" s="92"/>
      <c r="T1112" s="93"/>
    </row>
    <row r="1113" spans="1:20" s="94" customFormat="1" x14ac:dyDescent="0.3">
      <c r="A1113" s="82"/>
      <c r="B1113" s="83"/>
      <c r="C1113" s="87"/>
      <c r="D1113" s="84"/>
      <c r="E1113" s="83"/>
      <c r="F1113" s="82"/>
      <c r="G1113" s="85"/>
      <c r="H1113" s="86" t="e">
        <f>IF(I1113="fora",0%,G1113/QUÓRUM!$C$6)</f>
        <v>#DIV/0!</v>
      </c>
      <c r="I1113" s="87"/>
      <c r="J1113" s="88"/>
      <c r="K1113" s="88"/>
      <c r="L1113" s="89"/>
      <c r="M1113" s="89"/>
      <c r="N1113" s="90"/>
      <c r="O1113" s="87"/>
      <c r="P1113" s="87"/>
      <c r="Q1113" s="87"/>
      <c r="R1113" s="91"/>
      <c r="S1113" s="92"/>
      <c r="T1113" s="93"/>
    </row>
    <row r="1114" spans="1:20" s="94" customFormat="1" ht="12" customHeight="1" x14ac:dyDescent="0.3">
      <c r="A1114" s="82"/>
      <c r="B1114" s="83"/>
      <c r="C1114" s="87"/>
      <c r="D1114" s="84"/>
      <c r="E1114" s="83"/>
      <c r="F1114" s="82"/>
      <c r="G1114" s="85"/>
      <c r="H1114" s="86" t="e">
        <f>IF(I1114="fora",0%,G1114/QUÓRUM!$C$6)</f>
        <v>#DIV/0!</v>
      </c>
      <c r="I1114" s="87"/>
      <c r="J1114" s="88"/>
      <c r="K1114" s="88"/>
      <c r="L1114" s="89"/>
      <c r="M1114" s="89"/>
      <c r="N1114" s="90"/>
      <c r="O1114" s="87"/>
      <c r="P1114" s="87"/>
      <c r="Q1114" s="87"/>
      <c r="R1114" s="91"/>
      <c r="S1114" s="92"/>
      <c r="T1114" s="93"/>
    </row>
    <row r="1115" spans="1:20" s="94" customFormat="1" ht="12" customHeight="1" x14ac:dyDescent="0.3">
      <c r="A1115" s="82"/>
      <c r="B1115" s="83"/>
      <c r="C1115" s="87"/>
      <c r="D1115" s="84"/>
      <c r="E1115" s="83"/>
      <c r="F1115" s="82"/>
      <c r="G1115" s="85"/>
      <c r="H1115" s="86" t="e">
        <f>IF(I1115="fora",0%,G1115/QUÓRUM!$C$6)</f>
        <v>#DIV/0!</v>
      </c>
      <c r="I1115" s="87"/>
      <c r="J1115" s="88"/>
      <c r="K1115" s="88"/>
      <c r="L1115" s="89"/>
      <c r="M1115" s="89"/>
      <c r="N1115" s="90"/>
      <c r="O1115" s="87"/>
      <c r="P1115" s="87"/>
      <c r="Q1115" s="87"/>
      <c r="R1115" s="91"/>
      <c r="S1115" s="92"/>
      <c r="T1115" s="93"/>
    </row>
    <row r="1116" spans="1:20" s="94" customFormat="1" ht="12" customHeight="1" x14ac:dyDescent="0.3">
      <c r="A1116" s="82"/>
      <c r="B1116" s="83"/>
      <c r="C1116" s="87"/>
      <c r="D1116" s="84"/>
      <c r="E1116" s="83"/>
      <c r="F1116" s="82"/>
      <c r="G1116" s="85"/>
      <c r="H1116" s="86" t="e">
        <f>IF(I1116="fora",0%,G1116/QUÓRUM!$C$6)</f>
        <v>#DIV/0!</v>
      </c>
      <c r="I1116" s="87"/>
      <c r="J1116" s="88"/>
      <c r="K1116" s="88"/>
      <c r="L1116" s="89"/>
      <c r="M1116" s="89"/>
      <c r="N1116" s="90"/>
      <c r="O1116" s="87"/>
      <c r="P1116" s="87"/>
      <c r="Q1116" s="87"/>
      <c r="R1116" s="91"/>
      <c r="S1116" s="92"/>
      <c r="T1116" s="93"/>
    </row>
    <row r="1117" spans="1:20" s="94" customFormat="1" ht="12" customHeight="1" x14ac:dyDescent="0.3">
      <c r="A1117" s="82"/>
      <c r="B1117" s="83"/>
      <c r="C1117" s="87"/>
      <c r="D1117" s="84"/>
      <c r="E1117" s="83"/>
      <c r="F1117" s="82"/>
      <c r="G1117" s="85"/>
      <c r="H1117" s="86" t="e">
        <f>IF(I1117="fora",0%,G1117/QUÓRUM!$C$6)</f>
        <v>#DIV/0!</v>
      </c>
      <c r="I1117" s="87"/>
      <c r="J1117" s="88"/>
      <c r="K1117" s="88"/>
      <c r="L1117" s="89"/>
      <c r="M1117" s="89"/>
      <c r="N1117" s="90"/>
      <c r="O1117" s="87"/>
      <c r="P1117" s="87"/>
      <c r="Q1117" s="87"/>
      <c r="R1117" s="91"/>
      <c r="S1117" s="92"/>
      <c r="T1117" s="93"/>
    </row>
    <row r="1118" spans="1:20" s="94" customFormat="1" ht="12" customHeight="1" x14ac:dyDescent="0.3">
      <c r="A1118" s="82"/>
      <c r="B1118" s="83"/>
      <c r="C1118" s="87"/>
      <c r="D1118" s="84"/>
      <c r="E1118" s="83"/>
      <c r="F1118" s="82"/>
      <c r="G1118" s="85"/>
      <c r="H1118" s="86" t="e">
        <f>IF(I1118="fora",0%,G1118/QUÓRUM!$C$6)</f>
        <v>#DIV/0!</v>
      </c>
      <c r="I1118" s="87"/>
      <c r="J1118" s="88"/>
      <c r="K1118" s="88"/>
      <c r="L1118" s="89"/>
      <c r="M1118" s="89"/>
      <c r="N1118" s="90"/>
      <c r="O1118" s="87"/>
      <c r="P1118" s="87"/>
      <c r="Q1118" s="87"/>
      <c r="R1118" s="91"/>
      <c r="S1118" s="92"/>
      <c r="T1118" s="93"/>
    </row>
    <row r="1119" spans="1:20" s="94" customFormat="1" ht="12" customHeight="1" x14ac:dyDescent="0.3">
      <c r="A1119" s="82"/>
      <c r="B1119" s="83"/>
      <c r="C1119" s="87"/>
      <c r="D1119" s="84"/>
      <c r="E1119" s="83"/>
      <c r="F1119" s="82"/>
      <c r="G1119" s="85"/>
      <c r="H1119" s="86" t="e">
        <f>IF(I1119="fora",0%,G1119/QUÓRUM!$C$6)</f>
        <v>#DIV/0!</v>
      </c>
      <c r="I1119" s="87"/>
      <c r="J1119" s="88"/>
      <c r="K1119" s="88"/>
      <c r="L1119" s="89"/>
      <c r="M1119" s="89"/>
      <c r="N1119" s="90"/>
      <c r="O1119" s="87"/>
      <c r="P1119" s="87"/>
      <c r="Q1119" s="87"/>
      <c r="R1119" s="91"/>
      <c r="S1119" s="92"/>
      <c r="T1119" s="93"/>
    </row>
    <row r="1120" spans="1:20" s="94" customFormat="1" ht="12" customHeight="1" x14ac:dyDescent="0.3">
      <c r="A1120" s="82"/>
      <c r="B1120" s="83"/>
      <c r="C1120" s="87"/>
      <c r="D1120" s="84"/>
      <c r="E1120" s="83"/>
      <c r="F1120" s="82"/>
      <c r="G1120" s="85"/>
      <c r="H1120" s="86" t="e">
        <f>IF(I1120="fora",0%,G1120/QUÓRUM!$C$6)</f>
        <v>#DIV/0!</v>
      </c>
      <c r="I1120" s="87"/>
      <c r="J1120" s="88"/>
      <c r="K1120" s="88"/>
      <c r="L1120" s="89"/>
      <c r="M1120" s="89"/>
      <c r="N1120" s="90"/>
      <c r="O1120" s="87"/>
      <c r="P1120" s="87"/>
      <c r="Q1120" s="87"/>
      <c r="R1120" s="91"/>
      <c r="S1120" s="92"/>
      <c r="T1120" s="93"/>
    </row>
    <row r="1121" spans="1:20" s="94" customFormat="1" ht="12" customHeight="1" x14ac:dyDescent="0.3">
      <c r="A1121" s="82"/>
      <c r="B1121" s="83"/>
      <c r="C1121" s="87"/>
      <c r="D1121" s="84"/>
      <c r="E1121" s="83"/>
      <c r="F1121" s="82"/>
      <c r="G1121" s="85"/>
      <c r="H1121" s="86" t="e">
        <f>IF(I1121="fora",0%,G1121/QUÓRUM!$C$6)</f>
        <v>#DIV/0!</v>
      </c>
      <c r="I1121" s="87"/>
      <c r="J1121" s="88"/>
      <c r="K1121" s="88"/>
      <c r="L1121" s="89"/>
      <c r="M1121" s="89"/>
      <c r="N1121" s="90"/>
      <c r="O1121" s="87"/>
      <c r="P1121" s="87"/>
      <c r="Q1121" s="87"/>
      <c r="R1121" s="91"/>
      <c r="S1121" s="92"/>
      <c r="T1121" s="93"/>
    </row>
    <row r="1122" spans="1:20" s="94" customFormat="1" ht="12" customHeight="1" x14ac:dyDescent="0.3">
      <c r="A1122" s="82"/>
      <c r="B1122" s="83"/>
      <c r="C1122" s="87"/>
      <c r="D1122" s="84"/>
      <c r="E1122" s="83"/>
      <c r="F1122" s="82"/>
      <c r="G1122" s="85"/>
      <c r="H1122" s="86" t="e">
        <f>IF(I1122="fora",0%,G1122/QUÓRUM!$C$6)</f>
        <v>#DIV/0!</v>
      </c>
      <c r="I1122" s="87"/>
      <c r="J1122" s="88"/>
      <c r="K1122" s="88"/>
      <c r="L1122" s="89"/>
      <c r="M1122" s="89"/>
      <c r="N1122" s="90"/>
      <c r="O1122" s="87"/>
      <c r="P1122" s="87"/>
      <c r="Q1122" s="87"/>
      <c r="R1122" s="91"/>
      <c r="S1122" s="92"/>
      <c r="T1122" s="93"/>
    </row>
    <row r="1123" spans="1:20" s="94" customFormat="1" ht="12" customHeight="1" x14ac:dyDescent="0.3">
      <c r="A1123" s="82"/>
      <c r="B1123" s="83"/>
      <c r="C1123" s="87"/>
      <c r="D1123" s="84"/>
      <c r="E1123" s="83"/>
      <c r="F1123" s="82"/>
      <c r="G1123" s="85"/>
      <c r="H1123" s="86" t="e">
        <f>IF(I1123="fora",0%,G1123/QUÓRUM!$C$6)</f>
        <v>#DIV/0!</v>
      </c>
      <c r="I1123" s="87"/>
      <c r="J1123" s="88"/>
      <c r="K1123" s="88"/>
      <c r="L1123" s="89"/>
      <c r="M1123" s="89"/>
      <c r="N1123" s="90"/>
      <c r="O1123" s="87"/>
      <c r="P1123" s="87"/>
      <c r="Q1123" s="87"/>
      <c r="R1123" s="91"/>
      <c r="S1123" s="92"/>
      <c r="T1123" s="93"/>
    </row>
    <row r="1124" spans="1:20" s="94" customFormat="1" ht="12" customHeight="1" x14ac:dyDescent="0.3">
      <c r="A1124" s="82"/>
      <c r="B1124" s="83"/>
      <c r="C1124" s="87"/>
      <c r="D1124" s="84"/>
      <c r="E1124" s="83"/>
      <c r="F1124" s="82"/>
      <c r="G1124" s="85"/>
      <c r="H1124" s="86" t="e">
        <f>IF(I1124="fora",0%,G1124/QUÓRUM!$C$6)</f>
        <v>#DIV/0!</v>
      </c>
      <c r="I1124" s="87"/>
      <c r="J1124" s="88"/>
      <c r="K1124" s="88"/>
      <c r="L1124" s="89"/>
      <c r="M1124" s="89"/>
      <c r="N1124" s="90"/>
      <c r="O1124" s="87"/>
      <c r="P1124" s="87"/>
      <c r="Q1124" s="87"/>
      <c r="R1124" s="91"/>
      <c r="S1124" s="92"/>
      <c r="T1124" s="93"/>
    </row>
    <row r="1125" spans="1:20" s="94" customFormat="1" ht="12" customHeight="1" x14ac:dyDescent="0.3">
      <c r="A1125" s="82"/>
      <c r="B1125" s="83"/>
      <c r="C1125" s="87"/>
      <c r="D1125" s="84"/>
      <c r="E1125" s="83"/>
      <c r="F1125" s="82"/>
      <c r="G1125" s="85"/>
      <c r="H1125" s="86" t="e">
        <f>IF(I1125="fora",0%,G1125/QUÓRUM!$C$6)</f>
        <v>#DIV/0!</v>
      </c>
      <c r="I1125" s="87"/>
      <c r="J1125" s="88"/>
      <c r="K1125" s="88"/>
      <c r="L1125" s="89"/>
      <c r="M1125" s="89"/>
      <c r="N1125" s="90"/>
      <c r="O1125" s="87"/>
      <c r="P1125" s="87"/>
      <c r="Q1125" s="87"/>
      <c r="R1125" s="91"/>
      <c r="S1125" s="92"/>
      <c r="T1125" s="93"/>
    </row>
    <row r="1126" spans="1:20" s="94" customFormat="1" ht="12" customHeight="1" x14ac:dyDescent="0.3">
      <c r="A1126" s="82"/>
      <c r="B1126" s="83"/>
      <c r="C1126" s="87"/>
      <c r="D1126" s="84"/>
      <c r="E1126" s="83"/>
      <c r="F1126" s="82"/>
      <c r="G1126" s="85"/>
      <c r="H1126" s="86" t="e">
        <f>IF(I1126="fora",0%,G1126/QUÓRUM!$C$6)</f>
        <v>#DIV/0!</v>
      </c>
      <c r="I1126" s="87"/>
      <c r="J1126" s="88"/>
      <c r="K1126" s="88"/>
      <c r="L1126" s="89"/>
      <c r="M1126" s="89"/>
      <c r="N1126" s="90"/>
      <c r="O1126" s="87"/>
      <c r="P1126" s="87"/>
      <c r="Q1126" s="87"/>
      <c r="R1126" s="91"/>
      <c r="S1126" s="92"/>
      <c r="T1126" s="93"/>
    </row>
    <row r="1127" spans="1:20" s="94" customFormat="1" ht="12" customHeight="1" x14ac:dyDescent="0.3">
      <c r="A1127" s="82"/>
      <c r="B1127" s="83"/>
      <c r="C1127" s="87"/>
      <c r="D1127" s="84"/>
      <c r="E1127" s="83"/>
      <c r="F1127" s="82"/>
      <c r="G1127" s="85"/>
      <c r="H1127" s="86" t="e">
        <f>IF(I1127="fora",0%,G1127/QUÓRUM!$C$6)</f>
        <v>#DIV/0!</v>
      </c>
      <c r="I1127" s="87"/>
      <c r="J1127" s="88"/>
      <c r="K1127" s="88"/>
      <c r="L1127" s="89"/>
      <c r="M1127" s="89"/>
      <c r="N1127" s="90"/>
      <c r="O1127" s="87"/>
      <c r="P1127" s="87"/>
      <c r="Q1127" s="87"/>
      <c r="R1127" s="91"/>
      <c r="S1127" s="92"/>
      <c r="T1127" s="93"/>
    </row>
    <row r="1128" spans="1:20" s="94" customFormat="1" ht="12" customHeight="1" x14ac:dyDescent="0.3">
      <c r="A1128" s="82"/>
      <c r="B1128" s="83"/>
      <c r="C1128" s="87"/>
      <c r="D1128" s="84"/>
      <c r="E1128" s="83"/>
      <c r="F1128" s="82"/>
      <c r="G1128" s="85"/>
      <c r="H1128" s="86" t="e">
        <f>IF(I1128="fora",0%,G1128/QUÓRUM!$C$6)</f>
        <v>#DIV/0!</v>
      </c>
      <c r="I1128" s="87"/>
      <c r="J1128" s="88"/>
      <c r="K1128" s="88"/>
      <c r="L1128" s="89"/>
      <c r="M1128" s="89"/>
      <c r="N1128" s="90"/>
      <c r="O1128" s="87"/>
      <c r="P1128" s="87"/>
      <c r="Q1128" s="87"/>
      <c r="R1128" s="91"/>
      <c r="S1128" s="92"/>
      <c r="T1128" s="93"/>
    </row>
    <row r="1129" spans="1:20" s="94" customFormat="1" ht="12" customHeight="1" x14ac:dyDescent="0.3">
      <c r="A1129" s="82"/>
      <c r="B1129" s="83"/>
      <c r="C1129" s="87"/>
      <c r="D1129" s="84"/>
      <c r="E1129" s="83"/>
      <c r="F1129" s="82"/>
      <c r="G1129" s="85"/>
      <c r="H1129" s="86" t="e">
        <f>IF(I1129="fora",0%,G1129/QUÓRUM!$C$6)</f>
        <v>#DIV/0!</v>
      </c>
      <c r="I1129" s="87"/>
      <c r="J1129" s="88"/>
      <c r="K1129" s="88"/>
      <c r="L1129" s="89"/>
      <c r="M1129" s="89"/>
      <c r="N1129" s="90"/>
      <c r="O1129" s="87"/>
      <c r="P1129" s="87"/>
      <c r="Q1129" s="87"/>
      <c r="R1129" s="91"/>
      <c r="S1129" s="92"/>
      <c r="T1129" s="93"/>
    </row>
    <row r="1130" spans="1:20" s="94" customFormat="1" ht="12" customHeight="1" x14ac:dyDescent="0.3">
      <c r="A1130" s="82"/>
      <c r="B1130" s="83"/>
      <c r="C1130" s="87"/>
      <c r="D1130" s="84"/>
      <c r="E1130" s="83"/>
      <c r="F1130" s="82"/>
      <c r="G1130" s="85"/>
      <c r="H1130" s="86" t="e">
        <f>IF(I1130="fora",0%,G1130/QUÓRUM!$C$6)</f>
        <v>#DIV/0!</v>
      </c>
      <c r="I1130" s="87"/>
      <c r="J1130" s="88"/>
      <c r="K1130" s="88"/>
      <c r="L1130" s="89"/>
      <c r="M1130" s="89"/>
      <c r="N1130" s="90"/>
      <c r="O1130" s="87"/>
      <c r="P1130" s="87"/>
      <c r="Q1130" s="87"/>
      <c r="R1130" s="91"/>
      <c r="S1130" s="92"/>
      <c r="T1130" s="93"/>
    </row>
    <row r="1131" spans="1:20" s="94" customFormat="1" ht="12" customHeight="1" x14ac:dyDescent="0.3">
      <c r="A1131" s="82"/>
      <c r="B1131" s="83"/>
      <c r="C1131" s="87"/>
      <c r="D1131" s="84"/>
      <c r="E1131" s="83"/>
      <c r="F1131" s="82"/>
      <c r="G1131" s="85"/>
      <c r="H1131" s="86" t="e">
        <f>IF(I1131="fora",0%,G1131/QUÓRUM!$C$6)</f>
        <v>#DIV/0!</v>
      </c>
      <c r="I1131" s="87"/>
      <c r="J1131" s="88"/>
      <c r="K1131" s="88"/>
      <c r="L1131" s="89"/>
      <c r="M1131" s="89"/>
      <c r="N1131" s="90"/>
      <c r="O1131" s="87"/>
      <c r="P1131" s="87"/>
      <c r="Q1131" s="87"/>
      <c r="R1131" s="91"/>
      <c r="S1131" s="92"/>
      <c r="T1131" s="93"/>
    </row>
    <row r="1132" spans="1:20" s="94" customFormat="1" ht="12" customHeight="1" x14ac:dyDescent="0.3">
      <c r="A1132" s="82"/>
      <c r="B1132" s="83"/>
      <c r="C1132" s="87"/>
      <c r="D1132" s="84"/>
      <c r="E1132" s="83"/>
      <c r="F1132" s="82"/>
      <c r="G1132" s="85"/>
      <c r="H1132" s="86" t="e">
        <f>IF(I1132="fora",0%,G1132/QUÓRUM!$C$6)</f>
        <v>#DIV/0!</v>
      </c>
      <c r="I1132" s="87"/>
      <c r="J1132" s="88"/>
      <c r="K1132" s="88"/>
      <c r="L1132" s="89"/>
      <c r="M1132" s="89"/>
      <c r="N1132" s="90"/>
      <c r="O1132" s="87"/>
      <c r="P1132" s="87"/>
      <c r="Q1132" s="87"/>
      <c r="R1132" s="91"/>
      <c r="S1132" s="92"/>
      <c r="T1132" s="93"/>
    </row>
    <row r="1133" spans="1:20" s="94" customFormat="1" ht="12" customHeight="1" x14ac:dyDescent="0.3">
      <c r="A1133" s="82"/>
      <c r="B1133" s="83"/>
      <c r="C1133" s="87"/>
      <c r="D1133" s="84"/>
      <c r="E1133" s="83"/>
      <c r="F1133" s="82"/>
      <c r="G1133" s="85"/>
      <c r="H1133" s="86" t="e">
        <f>IF(I1133="fora",0%,G1133/QUÓRUM!$C$6)</f>
        <v>#DIV/0!</v>
      </c>
      <c r="I1133" s="87"/>
      <c r="J1133" s="88"/>
      <c r="K1133" s="88"/>
      <c r="L1133" s="89"/>
      <c r="M1133" s="89"/>
      <c r="N1133" s="90"/>
      <c r="O1133" s="87"/>
      <c r="P1133" s="87"/>
      <c r="Q1133" s="87"/>
      <c r="R1133" s="91"/>
      <c r="S1133" s="92"/>
      <c r="T1133" s="93"/>
    </row>
    <row r="1134" spans="1:20" s="94" customFormat="1" ht="12" customHeight="1" x14ac:dyDescent="0.3">
      <c r="A1134" s="82"/>
      <c r="B1134" s="83"/>
      <c r="C1134" s="87"/>
      <c r="D1134" s="84"/>
      <c r="E1134" s="83"/>
      <c r="F1134" s="82"/>
      <c r="G1134" s="85"/>
      <c r="H1134" s="86" t="e">
        <f>IF(I1134="fora",0%,G1134/QUÓRUM!$C$6)</f>
        <v>#DIV/0!</v>
      </c>
      <c r="I1134" s="87"/>
      <c r="J1134" s="88"/>
      <c r="K1134" s="88"/>
      <c r="L1134" s="89"/>
      <c r="M1134" s="89"/>
      <c r="N1134" s="90"/>
      <c r="O1134" s="87"/>
      <c r="P1134" s="87"/>
      <c r="Q1134" s="87"/>
      <c r="R1134" s="91"/>
      <c r="S1134" s="92"/>
      <c r="T1134" s="93"/>
    </row>
    <row r="1135" spans="1:20" s="94" customFormat="1" ht="12" customHeight="1" x14ac:dyDescent="0.3">
      <c r="A1135" s="82"/>
      <c r="B1135" s="83"/>
      <c r="C1135" s="87"/>
      <c r="D1135" s="84"/>
      <c r="E1135" s="83"/>
      <c r="F1135" s="82"/>
      <c r="G1135" s="85"/>
      <c r="H1135" s="86" t="e">
        <f>IF(I1135="fora",0%,G1135/QUÓRUM!$C$6)</f>
        <v>#DIV/0!</v>
      </c>
      <c r="I1135" s="87"/>
      <c r="J1135" s="88"/>
      <c r="K1135" s="88"/>
      <c r="L1135" s="89"/>
      <c r="M1135" s="89"/>
      <c r="N1135" s="90"/>
      <c r="O1135" s="87"/>
      <c r="P1135" s="87"/>
      <c r="Q1135" s="87"/>
      <c r="R1135" s="91"/>
      <c r="S1135" s="92"/>
      <c r="T1135" s="93"/>
    </row>
    <row r="1136" spans="1:20" s="94" customFormat="1" ht="12" customHeight="1" x14ac:dyDescent="0.3">
      <c r="A1136" s="82"/>
      <c r="B1136" s="83"/>
      <c r="C1136" s="87"/>
      <c r="D1136" s="84"/>
      <c r="E1136" s="83"/>
      <c r="F1136" s="82"/>
      <c r="G1136" s="85"/>
      <c r="H1136" s="86" t="e">
        <f>IF(I1136="fora",0%,G1136/QUÓRUM!$C$6)</f>
        <v>#DIV/0!</v>
      </c>
      <c r="I1136" s="87"/>
      <c r="J1136" s="88"/>
      <c r="K1136" s="88"/>
      <c r="L1136" s="89"/>
      <c r="M1136" s="89"/>
      <c r="N1136" s="90"/>
      <c r="O1136" s="87"/>
      <c r="P1136" s="87"/>
      <c r="Q1136" s="87"/>
      <c r="R1136" s="91"/>
      <c r="S1136" s="92"/>
      <c r="T1136" s="93"/>
    </row>
    <row r="1137" spans="1:20" s="94" customFormat="1" ht="12" customHeight="1" x14ac:dyDescent="0.3">
      <c r="A1137" s="82"/>
      <c r="B1137" s="83"/>
      <c r="C1137" s="87"/>
      <c r="D1137" s="84"/>
      <c r="E1137" s="83"/>
      <c r="F1137" s="82"/>
      <c r="G1137" s="85"/>
      <c r="H1137" s="86" t="e">
        <f>IF(I1137="fora",0%,G1137/QUÓRUM!$C$6)</f>
        <v>#DIV/0!</v>
      </c>
      <c r="I1137" s="87"/>
      <c r="J1137" s="88"/>
      <c r="K1137" s="88"/>
      <c r="L1137" s="89"/>
      <c r="M1137" s="89"/>
      <c r="N1137" s="90"/>
      <c r="O1137" s="87"/>
      <c r="P1137" s="87"/>
      <c r="Q1137" s="87"/>
      <c r="R1137" s="91"/>
      <c r="S1137" s="92"/>
      <c r="T1137" s="93"/>
    </row>
    <row r="1138" spans="1:20" s="94" customFormat="1" ht="12" customHeight="1" x14ac:dyDescent="0.3">
      <c r="A1138" s="82"/>
      <c r="B1138" s="83"/>
      <c r="C1138" s="87"/>
      <c r="D1138" s="84"/>
      <c r="E1138" s="83"/>
      <c r="F1138" s="82"/>
      <c r="G1138" s="85"/>
      <c r="H1138" s="86" t="e">
        <f>IF(I1138="fora",0%,G1138/QUÓRUM!$C$6)</f>
        <v>#DIV/0!</v>
      </c>
      <c r="I1138" s="87"/>
      <c r="J1138" s="88"/>
      <c r="K1138" s="88"/>
      <c r="L1138" s="89"/>
      <c r="M1138" s="89"/>
      <c r="N1138" s="90"/>
      <c r="O1138" s="87"/>
      <c r="P1138" s="87"/>
      <c r="Q1138" s="87"/>
      <c r="R1138" s="91"/>
      <c r="S1138" s="92"/>
      <c r="T1138" s="93"/>
    </row>
    <row r="1139" spans="1:20" s="94" customFormat="1" ht="12" customHeight="1" x14ac:dyDescent="0.3">
      <c r="A1139" s="82"/>
      <c r="B1139" s="83"/>
      <c r="C1139" s="87"/>
      <c r="D1139" s="84"/>
      <c r="E1139" s="83"/>
      <c r="F1139" s="82"/>
      <c r="G1139" s="85"/>
      <c r="H1139" s="86" t="e">
        <f>IF(I1139="fora",0%,G1139/QUÓRUM!$C$6)</f>
        <v>#DIV/0!</v>
      </c>
      <c r="I1139" s="87"/>
      <c r="J1139" s="88"/>
      <c r="K1139" s="88"/>
      <c r="L1139" s="89"/>
      <c r="M1139" s="89"/>
      <c r="N1139" s="90"/>
      <c r="O1139" s="87"/>
      <c r="P1139" s="87"/>
      <c r="Q1139" s="87"/>
      <c r="R1139" s="91"/>
      <c r="S1139" s="92"/>
      <c r="T1139" s="93"/>
    </row>
    <row r="1140" spans="1:20" s="94" customFormat="1" ht="12" customHeight="1" x14ac:dyDescent="0.3">
      <c r="A1140" s="82"/>
      <c r="B1140" s="83"/>
      <c r="C1140" s="87"/>
      <c r="D1140" s="84"/>
      <c r="E1140" s="83"/>
      <c r="F1140" s="82"/>
      <c r="G1140" s="85"/>
      <c r="H1140" s="86" t="e">
        <f>IF(I1140="fora",0%,G1140/QUÓRUM!$C$6)</f>
        <v>#DIV/0!</v>
      </c>
      <c r="I1140" s="87"/>
      <c r="J1140" s="88"/>
      <c r="K1140" s="88"/>
      <c r="L1140" s="89"/>
      <c r="M1140" s="89"/>
      <c r="N1140" s="90"/>
      <c r="O1140" s="87"/>
      <c r="P1140" s="87"/>
      <c r="Q1140" s="87"/>
      <c r="R1140" s="91"/>
      <c r="S1140" s="92"/>
      <c r="T1140" s="93"/>
    </row>
    <row r="1141" spans="1:20" s="94" customFormat="1" ht="12" customHeight="1" x14ac:dyDescent="0.3">
      <c r="A1141" s="82"/>
      <c r="B1141" s="83"/>
      <c r="C1141" s="87"/>
      <c r="D1141" s="84"/>
      <c r="E1141" s="83"/>
      <c r="F1141" s="82"/>
      <c r="G1141" s="85"/>
      <c r="H1141" s="86" t="e">
        <f>IF(I1141="fora",0%,G1141/QUÓRUM!$C$6)</f>
        <v>#DIV/0!</v>
      </c>
      <c r="I1141" s="87"/>
      <c r="J1141" s="88"/>
      <c r="K1141" s="88"/>
      <c r="L1141" s="89"/>
      <c r="M1141" s="89"/>
      <c r="N1141" s="90"/>
      <c r="O1141" s="87"/>
      <c r="P1141" s="87"/>
      <c r="Q1141" s="87"/>
      <c r="R1141" s="91"/>
      <c r="S1141" s="92"/>
      <c r="T1141" s="93"/>
    </row>
    <row r="1142" spans="1:20" s="94" customFormat="1" ht="12" customHeight="1" x14ac:dyDescent="0.3">
      <c r="A1142" s="82"/>
      <c r="B1142" s="83"/>
      <c r="C1142" s="87"/>
      <c r="D1142" s="84"/>
      <c r="E1142" s="83"/>
      <c r="F1142" s="82"/>
      <c r="G1142" s="85"/>
      <c r="H1142" s="86" t="e">
        <f>IF(I1142="fora",0%,G1142/QUÓRUM!$C$6)</f>
        <v>#DIV/0!</v>
      </c>
      <c r="I1142" s="87"/>
      <c r="J1142" s="88"/>
      <c r="K1142" s="88"/>
      <c r="L1142" s="89"/>
      <c r="M1142" s="89"/>
      <c r="N1142" s="90"/>
      <c r="O1142" s="87"/>
      <c r="P1142" s="87"/>
      <c r="Q1142" s="87"/>
      <c r="R1142" s="91"/>
      <c r="S1142" s="92"/>
      <c r="T1142" s="93"/>
    </row>
    <row r="1143" spans="1:20" s="94" customFormat="1" ht="12" customHeight="1" x14ac:dyDescent="0.3">
      <c r="A1143" s="82"/>
      <c r="B1143" s="83"/>
      <c r="C1143" s="87"/>
      <c r="D1143" s="84"/>
      <c r="E1143" s="83"/>
      <c r="F1143" s="82"/>
      <c r="G1143" s="85"/>
      <c r="H1143" s="86" t="e">
        <f>IF(I1143="fora",0%,G1143/QUÓRUM!$C$6)</f>
        <v>#DIV/0!</v>
      </c>
      <c r="I1143" s="87"/>
      <c r="J1143" s="88"/>
      <c r="K1143" s="88"/>
      <c r="L1143" s="89"/>
      <c r="M1143" s="89"/>
      <c r="N1143" s="90"/>
      <c r="O1143" s="87"/>
      <c r="P1143" s="87"/>
      <c r="Q1143" s="87"/>
      <c r="R1143" s="91"/>
      <c r="S1143" s="92"/>
      <c r="T1143" s="93"/>
    </row>
    <row r="1144" spans="1:20" s="94" customFormat="1" ht="12" customHeight="1" x14ac:dyDescent="0.3">
      <c r="A1144" s="82"/>
      <c r="B1144" s="83"/>
      <c r="C1144" s="87"/>
      <c r="D1144" s="84"/>
      <c r="E1144" s="83"/>
      <c r="F1144" s="82"/>
      <c r="G1144" s="85"/>
      <c r="H1144" s="86" t="e">
        <f>IF(I1144="fora",0%,G1144/QUÓRUM!$C$6)</f>
        <v>#DIV/0!</v>
      </c>
      <c r="I1144" s="87"/>
      <c r="J1144" s="88"/>
      <c r="K1144" s="88"/>
      <c r="L1144" s="89"/>
      <c r="M1144" s="89"/>
      <c r="N1144" s="90"/>
      <c r="O1144" s="87"/>
      <c r="P1144" s="87"/>
      <c r="Q1144" s="87"/>
      <c r="R1144" s="91"/>
      <c r="S1144" s="92"/>
      <c r="T1144" s="93"/>
    </row>
    <row r="1145" spans="1:20" s="94" customFormat="1" ht="12" customHeight="1" x14ac:dyDescent="0.3">
      <c r="A1145" s="82"/>
      <c r="B1145" s="83"/>
      <c r="C1145" s="87"/>
      <c r="D1145" s="84"/>
      <c r="E1145" s="83"/>
      <c r="F1145" s="82"/>
      <c r="G1145" s="85"/>
      <c r="H1145" s="86" t="e">
        <f>IF(I1145="fora",0%,G1145/QUÓRUM!$C$6)</f>
        <v>#DIV/0!</v>
      </c>
      <c r="I1145" s="87"/>
      <c r="J1145" s="88"/>
      <c r="K1145" s="88"/>
      <c r="L1145" s="89"/>
      <c r="M1145" s="89"/>
      <c r="N1145" s="90"/>
      <c r="O1145" s="87"/>
      <c r="P1145" s="87"/>
      <c r="Q1145" s="87"/>
      <c r="R1145" s="91"/>
      <c r="S1145" s="92"/>
      <c r="T1145" s="93"/>
    </row>
    <row r="1146" spans="1:20" s="94" customFormat="1" ht="12" customHeight="1" x14ac:dyDescent="0.3">
      <c r="A1146" s="82"/>
      <c r="B1146" s="83"/>
      <c r="C1146" s="87"/>
      <c r="D1146" s="84"/>
      <c r="E1146" s="83"/>
      <c r="F1146" s="82"/>
      <c r="G1146" s="85"/>
      <c r="H1146" s="86" t="e">
        <f>IF(I1146="fora",0%,G1146/QUÓRUM!$C$6)</f>
        <v>#DIV/0!</v>
      </c>
      <c r="I1146" s="87"/>
      <c r="J1146" s="88"/>
      <c r="K1146" s="88"/>
      <c r="L1146" s="89"/>
      <c r="M1146" s="89"/>
      <c r="N1146" s="90"/>
      <c r="O1146" s="87"/>
      <c r="P1146" s="87"/>
      <c r="Q1146" s="87"/>
      <c r="R1146" s="91"/>
      <c r="S1146" s="92"/>
      <c r="T1146" s="93"/>
    </row>
    <row r="1147" spans="1:20" s="94" customFormat="1" ht="12" customHeight="1" x14ac:dyDescent="0.3">
      <c r="A1147" s="82"/>
      <c r="B1147" s="83"/>
      <c r="C1147" s="87"/>
      <c r="D1147" s="84"/>
      <c r="E1147" s="83"/>
      <c r="F1147" s="82"/>
      <c r="G1147" s="85"/>
      <c r="H1147" s="86" t="e">
        <f>IF(I1147="fora",0%,G1147/QUÓRUM!$C$6)</f>
        <v>#DIV/0!</v>
      </c>
      <c r="I1147" s="87"/>
      <c r="J1147" s="88"/>
      <c r="K1147" s="88"/>
      <c r="L1147" s="89"/>
      <c r="M1147" s="89"/>
      <c r="N1147" s="90"/>
      <c r="O1147" s="87"/>
      <c r="P1147" s="87"/>
      <c r="Q1147" s="87"/>
      <c r="R1147" s="91"/>
      <c r="S1147" s="92"/>
      <c r="T1147" s="93"/>
    </row>
    <row r="1148" spans="1:20" s="94" customFormat="1" ht="12" customHeight="1" x14ac:dyDescent="0.3">
      <c r="A1148" s="82"/>
      <c r="B1148" s="83"/>
      <c r="C1148" s="87"/>
      <c r="D1148" s="84"/>
      <c r="E1148" s="83"/>
      <c r="F1148" s="82"/>
      <c r="G1148" s="85"/>
      <c r="H1148" s="86" t="e">
        <f>IF(I1148="fora",0%,G1148/QUÓRUM!$C$6)</f>
        <v>#DIV/0!</v>
      </c>
      <c r="I1148" s="87"/>
      <c r="J1148" s="88"/>
      <c r="K1148" s="88"/>
      <c r="L1148" s="89"/>
      <c r="M1148" s="89"/>
      <c r="N1148" s="90"/>
      <c r="O1148" s="87"/>
      <c r="P1148" s="87"/>
      <c r="Q1148" s="87"/>
      <c r="R1148" s="91"/>
      <c r="S1148" s="92"/>
      <c r="T1148" s="93"/>
    </row>
    <row r="1149" spans="1:20" s="94" customFormat="1" ht="12" customHeight="1" x14ac:dyDescent="0.3">
      <c r="A1149" s="82"/>
      <c r="B1149" s="83"/>
      <c r="C1149" s="87"/>
      <c r="D1149" s="84"/>
      <c r="E1149" s="83"/>
      <c r="F1149" s="82"/>
      <c r="G1149" s="85"/>
      <c r="H1149" s="86" t="e">
        <f>IF(I1149="fora",0%,G1149/QUÓRUM!$C$6)</f>
        <v>#DIV/0!</v>
      </c>
      <c r="I1149" s="87"/>
      <c r="J1149" s="88"/>
      <c r="K1149" s="88"/>
      <c r="L1149" s="89"/>
      <c r="M1149" s="89"/>
      <c r="N1149" s="90"/>
      <c r="O1149" s="87"/>
      <c r="P1149" s="87"/>
      <c r="Q1149" s="87"/>
      <c r="R1149" s="91"/>
      <c r="S1149" s="92"/>
      <c r="T1149" s="93"/>
    </row>
    <row r="1150" spans="1:20" s="94" customFormat="1" ht="12" customHeight="1" x14ac:dyDescent="0.3">
      <c r="A1150" s="82"/>
      <c r="B1150" s="83"/>
      <c r="C1150" s="87"/>
      <c r="D1150" s="84"/>
      <c r="E1150" s="83"/>
      <c r="F1150" s="82"/>
      <c r="G1150" s="85"/>
      <c r="H1150" s="86" t="e">
        <f>IF(I1150="fora",0%,G1150/QUÓRUM!$C$6)</f>
        <v>#DIV/0!</v>
      </c>
      <c r="I1150" s="87"/>
      <c r="J1150" s="88"/>
      <c r="K1150" s="88"/>
      <c r="L1150" s="89"/>
      <c r="M1150" s="89"/>
      <c r="N1150" s="90"/>
      <c r="O1150" s="87"/>
      <c r="P1150" s="87"/>
      <c r="Q1150" s="87"/>
      <c r="R1150" s="91"/>
      <c r="S1150" s="92"/>
      <c r="T1150" s="93"/>
    </row>
    <row r="1151" spans="1:20" s="94" customFormat="1" ht="12" customHeight="1" x14ac:dyDescent="0.3">
      <c r="A1151" s="82"/>
      <c r="B1151" s="83"/>
      <c r="C1151" s="87"/>
      <c r="D1151" s="84"/>
      <c r="E1151" s="83"/>
      <c r="F1151" s="82"/>
      <c r="G1151" s="85"/>
      <c r="H1151" s="86" t="e">
        <f>IF(I1151="fora",0%,G1151/QUÓRUM!$C$6)</f>
        <v>#DIV/0!</v>
      </c>
      <c r="I1151" s="87"/>
      <c r="J1151" s="88"/>
      <c r="K1151" s="88"/>
      <c r="L1151" s="89"/>
      <c r="M1151" s="89"/>
      <c r="N1151" s="90"/>
      <c r="O1151" s="87"/>
      <c r="P1151" s="87"/>
      <c r="Q1151" s="87"/>
      <c r="R1151" s="91"/>
      <c r="S1151" s="92"/>
      <c r="T1151" s="93"/>
    </row>
    <row r="1152" spans="1:20" s="94" customFormat="1" ht="12" customHeight="1" x14ac:dyDescent="0.3">
      <c r="A1152" s="82"/>
      <c r="B1152" s="83"/>
      <c r="C1152" s="87"/>
      <c r="D1152" s="84"/>
      <c r="E1152" s="83"/>
      <c r="F1152" s="82"/>
      <c r="G1152" s="85"/>
      <c r="H1152" s="86" t="e">
        <f>IF(I1152="fora",0%,G1152/QUÓRUM!$C$6)</f>
        <v>#DIV/0!</v>
      </c>
      <c r="I1152" s="87"/>
      <c r="J1152" s="88"/>
      <c r="K1152" s="88"/>
      <c r="L1152" s="89"/>
      <c r="M1152" s="89"/>
      <c r="N1152" s="90"/>
      <c r="O1152" s="87"/>
      <c r="P1152" s="87"/>
      <c r="Q1152" s="87"/>
      <c r="R1152" s="91"/>
      <c r="S1152" s="92"/>
      <c r="T1152" s="93"/>
    </row>
    <row r="1153" spans="1:20" s="94" customFormat="1" ht="12" customHeight="1" x14ac:dyDescent="0.3">
      <c r="A1153" s="82"/>
      <c r="B1153" s="83"/>
      <c r="C1153" s="87"/>
      <c r="D1153" s="84"/>
      <c r="E1153" s="83"/>
      <c r="F1153" s="82"/>
      <c r="G1153" s="85"/>
      <c r="H1153" s="86" t="e">
        <f>IF(I1153="fora",0%,G1153/QUÓRUM!$C$6)</f>
        <v>#DIV/0!</v>
      </c>
      <c r="I1153" s="87"/>
      <c r="J1153" s="88"/>
      <c r="K1153" s="88"/>
      <c r="L1153" s="89"/>
      <c r="M1153" s="89"/>
      <c r="N1153" s="90"/>
      <c r="O1153" s="87"/>
      <c r="P1153" s="87"/>
      <c r="Q1153" s="87"/>
      <c r="R1153" s="91"/>
      <c r="S1153" s="92"/>
      <c r="T1153" s="93"/>
    </row>
    <row r="1154" spans="1:20" s="94" customFormat="1" ht="12" customHeight="1" x14ac:dyDescent="0.3">
      <c r="A1154" s="82"/>
      <c r="B1154" s="83"/>
      <c r="C1154" s="87"/>
      <c r="D1154" s="84"/>
      <c r="E1154" s="83"/>
      <c r="F1154" s="82"/>
      <c r="G1154" s="85"/>
      <c r="H1154" s="86" t="e">
        <f>IF(I1154="fora",0%,G1154/QUÓRUM!$C$6)</f>
        <v>#DIV/0!</v>
      </c>
      <c r="I1154" s="87"/>
      <c r="J1154" s="88"/>
      <c r="K1154" s="88"/>
      <c r="L1154" s="89"/>
      <c r="M1154" s="89"/>
      <c r="N1154" s="90"/>
      <c r="O1154" s="87"/>
      <c r="P1154" s="87"/>
      <c r="Q1154" s="87"/>
      <c r="R1154" s="91"/>
      <c r="S1154" s="92"/>
      <c r="T1154" s="93"/>
    </row>
    <row r="1155" spans="1:20" s="94" customFormat="1" ht="12" customHeight="1" x14ac:dyDescent="0.3">
      <c r="A1155" s="82"/>
      <c r="B1155" s="83"/>
      <c r="C1155" s="87"/>
      <c r="D1155" s="84"/>
      <c r="E1155" s="83"/>
      <c r="F1155" s="82"/>
      <c r="G1155" s="85"/>
      <c r="H1155" s="86" t="e">
        <f>IF(I1155="fora",0%,G1155/QUÓRUM!$C$6)</f>
        <v>#DIV/0!</v>
      </c>
      <c r="I1155" s="87"/>
      <c r="J1155" s="88"/>
      <c r="K1155" s="88"/>
      <c r="L1155" s="89"/>
      <c r="M1155" s="89"/>
      <c r="N1155" s="90"/>
      <c r="O1155" s="87"/>
      <c r="P1155" s="87"/>
      <c r="Q1155" s="87"/>
      <c r="R1155" s="91"/>
      <c r="S1155" s="92"/>
      <c r="T1155" s="93"/>
    </row>
    <row r="1156" spans="1:20" s="94" customFormat="1" ht="12" customHeight="1" x14ac:dyDescent="0.3">
      <c r="A1156" s="82"/>
      <c r="B1156" s="83"/>
      <c r="C1156" s="87"/>
      <c r="D1156" s="84"/>
      <c r="E1156" s="83"/>
      <c r="F1156" s="82"/>
      <c r="G1156" s="85"/>
      <c r="H1156" s="86" t="e">
        <f>IF(I1156="fora",0%,G1156/QUÓRUM!$C$6)</f>
        <v>#DIV/0!</v>
      </c>
      <c r="I1156" s="87"/>
      <c r="J1156" s="88"/>
      <c r="K1156" s="88"/>
      <c r="L1156" s="89"/>
      <c r="M1156" s="89"/>
      <c r="N1156" s="90"/>
      <c r="O1156" s="87"/>
      <c r="P1156" s="87"/>
      <c r="Q1156" s="87"/>
      <c r="R1156" s="91"/>
      <c r="S1156" s="92"/>
      <c r="T1156" s="93"/>
    </row>
    <row r="1157" spans="1:20" s="94" customFormat="1" ht="12" customHeight="1" x14ac:dyDescent="0.3">
      <c r="A1157" s="82"/>
      <c r="B1157" s="83"/>
      <c r="C1157" s="87"/>
      <c r="D1157" s="84"/>
      <c r="E1157" s="83"/>
      <c r="F1157" s="82"/>
      <c r="G1157" s="85"/>
      <c r="H1157" s="86" t="e">
        <f>IF(I1157="fora",0%,G1157/QUÓRUM!$C$6)</f>
        <v>#DIV/0!</v>
      </c>
      <c r="I1157" s="87"/>
      <c r="J1157" s="88"/>
      <c r="K1157" s="88"/>
      <c r="L1157" s="89"/>
      <c r="M1157" s="89"/>
      <c r="N1157" s="90"/>
      <c r="O1157" s="87"/>
      <c r="P1157" s="87"/>
      <c r="Q1157" s="87"/>
      <c r="R1157" s="91"/>
      <c r="S1157" s="92"/>
      <c r="T1157" s="93"/>
    </row>
    <row r="1158" spans="1:20" s="94" customFormat="1" ht="12" customHeight="1" x14ac:dyDescent="0.3">
      <c r="A1158" s="82"/>
      <c r="B1158" s="83"/>
      <c r="C1158" s="87"/>
      <c r="D1158" s="84"/>
      <c r="E1158" s="83"/>
      <c r="F1158" s="82"/>
      <c r="G1158" s="85"/>
      <c r="H1158" s="86" t="e">
        <f>IF(I1158="fora",0%,G1158/QUÓRUM!$C$6)</f>
        <v>#DIV/0!</v>
      </c>
      <c r="I1158" s="87"/>
      <c r="J1158" s="88"/>
      <c r="K1158" s="88"/>
      <c r="L1158" s="89"/>
      <c r="M1158" s="89"/>
      <c r="N1158" s="90"/>
      <c r="O1158" s="87"/>
      <c r="P1158" s="87"/>
      <c r="Q1158" s="87"/>
      <c r="R1158" s="91"/>
      <c r="S1158" s="92"/>
      <c r="T1158" s="93"/>
    </row>
    <row r="1159" spans="1:20" s="94" customFormat="1" ht="12" customHeight="1" x14ac:dyDescent="0.3">
      <c r="A1159" s="82"/>
      <c r="B1159" s="83"/>
      <c r="C1159" s="87"/>
      <c r="D1159" s="84"/>
      <c r="E1159" s="83"/>
      <c r="F1159" s="82"/>
      <c r="G1159" s="85"/>
      <c r="H1159" s="86" t="e">
        <f>IF(I1159="fora",0%,G1159/QUÓRUM!$C$6)</f>
        <v>#DIV/0!</v>
      </c>
      <c r="I1159" s="87"/>
      <c r="J1159" s="88"/>
      <c r="K1159" s="88"/>
      <c r="L1159" s="89"/>
      <c r="M1159" s="89"/>
      <c r="N1159" s="90"/>
      <c r="O1159" s="87"/>
      <c r="P1159" s="87"/>
      <c r="Q1159" s="87"/>
      <c r="R1159" s="91"/>
      <c r="S1159" s="92"/>
      <c r="T1159" s="93"/>
    </row>
    <row r="1160" spans="1:20" s="94" customFormat="1" ht="12" customHeight="1" x14ac:dyDescent="0.3">
      <c r="A1160" s="82"/>
      <c r="B1160" s="83"/>
      <c r="C1160" s="87"/>
      <c r="D1160" s="84"/>
      <c r="E1160" s="83"/>
      <c r="F1160" s="82"/>
      <c r="G1160" s="85"/>
      <c r="H1160" s="86" t="e">
        <f>IF(I1160="fora",0%,G1160/QUÓRUM!$C$6)</f>
        <v>#DIV/0!</v>
      </c>
      <c r="I1160" s="87"/>
      <c r="J1160" s="88"/>
      <c r="K1160" s="88"/>
      <c r="L1160" s="89"/>
      <c r="M1160" s="89"/>
      <c r="N1160" s="90"/>
      <c r="O1160" s="87"/>
      <c r="P1160" s="87"/>
      <c r="Q1160" s="87"/>
      <c r="R1160" s="91"/>
      <c r="S1160" s="92"/>
      <c r="T1160" s="93"/>
    </row>
    <row r="1161" spans="1:20" s="94" customFormat="1" ht="12" customHeight="1" x14ac:dyDescent="0.3">
      <c r="A1161" s="82"/>
      <c r="B1161" s="83"/>
      <c r="C1161" s="87"/>
      <c r="D1161" s="84"/>
      <c r="E1161" s="83"/>
      <c r="F1161" s="82"/>
      <c r="G1161" s="85"/>
      <c r="H1161" s="86" t="e">
        <f>IF(I1161="fora",0%,G1161/QUÓRUM!$C$6)</f>
        <v>#DIV/0!</v>
      </c>
      <c r="I1161" s="87"/>
      <c r="J1161" s="88"/>
      <c r="K1161" s="88"/>
      <c r="L1161" s="89"/>
      <c r="M1161" s="89"/>
      <c r="N1161" s="90"/>
      <c r="O1161" s="87"/>
      <c r="P1161" s="87"/>
      <c r="Q1161" s="87"/>
      <c r="R1161" s="91"/>
      <c r="S1161" s="92"/>
      <c r="T1161" s="93"/>
    </row>
    <row r="1162" spans="1:20" s="94" customFormat="1" ht="12" customHeight="1" x14ac:dyDescent="0.3">
      <c r="A1162" s="82"/>
      <c r="B1162" s="83"/>
      <c r="C1162" s="87"/>
      <c r="D1162" s="84"/>
      <c r="E1162" s="83"/>
      <c r="F1162" s="82"/>
      <c r="G1162" s="85"/>
      <c r="H1162" s="86" t="e">
        <f>IF(I1162="fora",0%,G1162/QUÓRUM!$C$6)</f>
        <v>#DIV/0!</v>
      </c>
      <c r="I1162" s="87"/>
      <c r="J1162" s="88"/>
      <c r="K1162" s="88"/>
      <c r="L1162" s="89"/>
      <c r="M1162" s="89"/>
      <c r="N1162" s="90"/>
      <c r="O1162" s="87"/>
      <c r="P1162" s="87"/>
      <c r="Q1162" s="87"/>
      <c r="R1162" s="91"/>
      <c r="S1162" s="92"/>
      <c r="T1162" s="93"/>
    </row>
    <row r="1163" spans="1:20" s="94" customFormat="1" ht="12" customHeight="1" x14ac:dyDescent="0.3">
      <c r="A1163" s="82"/>
      <c r="B1163" s="83"/>
      <c r="C1163" s="87"/>
      <c r="D1163" s="84"/>
      <c r="E1163" s="83"/>
      <c r="F1163" s="82"/>
      <c r="G1163" s="85"/>
      <c r="H1163" s="86" t="e">
        <f>IF(I1163="fora",0%,G1163/QUÓRUM!$C$6)</f>
        <v>#DIV/0!</v>
      </c>
      <c r="I1163" s="87"/>
      <c r="J1163" s="88"/>
      <c r="K1163" s="88"/>
      <c r="L1163" s="89"/>
      <c r="M1163" s="89"/>
      <c r="N1163" s="90"/>
      <c r="O1163" s="87"/>
      <c r="P1163" s="87"/>
      <c r="Q1163" s="87"/>
      <c r="R1163" s="91"/>
      <c r="S1163" s="92"/>
      <c r="T1163" s="93"/>
    </row>
    <row r="1164" spans="1:20" s="94" customFormat="1" ht="12" customHeight="1" x14ac:dyDescent="0.3">
      <c r="A1164" s="82"/>
      <c r="B1164" s="83"/>
      <c r="C1164" s="87"/>
      <c r="D1164" s="84"/>
      <c r="E1164" s="83"/>
      <c r="F1164" s="82"/>
      <c r="G1164" s="85"/>
      <c r="H1164" s="86" t="e">
        <f>IF(I1164="fora",0%,G1164/QUÓRUM!$C$6)</f>
        <v>#DIV/0!</v>
      </c>
      <c r="I1164" s="87"/>
      <c r="J1164" s="88"/>
      <c r="K1164" s="88"/>
      <c r="L1164" s="89"/>
      <c r="M1164" s="89"/>
      <c r="N1164" s="90"/>
      <c r="O1164" s="87"/>
      <c r="P1164" s="87"/>
      <c r="Q1164" s="87"/>
      <c r="R1164" s="91"/>
      <c r="S1164" s="92"/>
      <c r="T1164" s="93"/>
    </row>
    <row r="1165" spans="1:20" s="94" customFormat="1" ht="12" customHeight="1" x14ac:dyDescent="0.3">
      <c r="A1165" s="82"/>
      <c r="B1165" s="83"/>
      <c r="C1165" s="87"/>
      <c r="D1165" s="84"/>
      <c r="E1165" s="83"/>
      <c r="F1165" s="82"/>
      <c r="G1165" s="85"/>
      <c r="H1165" s="86" t="e">
        <f>IF(I1165="fora",0%,G1165/QUÓRUM!$C$6)</f>
        <v>#DIV/0!</v>
      </c>
      <c r="I1165" s="87"/>
      <c r="J1165" s="88"/>
      <c r="K1165" s="88"/>
      <c r="L1165" s="89"/>
      <c r="M1165" s="89"/>
      <c r="N1165" s="90"/>
      <c r="O1165" s="87"/>
      <c r="P1165" s="87"/>
      <c r="Q1165" s="87"/>
      <c r="R1165" s="91"/>
      <c r="S1165" s="92"/>
      <c r="T1165" s="93"/>
    </row>
    <row r="1166" spans="1:20" s="94" customFormat="1" ht="12" customHeight="1" x14ac:dyDescent="0.3">
      <c r="A1166" s="82"/>
      <c r="B1166" s="83"/>
      <c r="C1166" s="87"/>
      <c r="D1166" s="84"/>
      <c r="E1166" s="83"/>
      <c r="F1166" s="82"/>
      <c r="G1166" s="85"/>
      <c r="H1166" s="86" t="e">
        <f>IF(I1166="fora",0%,G1166/QUÓRUM!$C$6)</f>
        <v>#DIV/0!</v>
      </c>
      <c r="I1166" s="87"/>
      <c r="J1166" s="88"/>
      <c r="K1166" s="88"/>
      <c r="L1166" s="89"/>
      <c r="M1166" s="89"/>
      <c r="N1166" s="90"/>
      <c r="O1166" s="87"/>
      <c r="P1166" s="87"/>
      <c r="Q1166" s="87"/>
      <c r="R1166" s="91"/>
      <c r="S1166" s="92"/>
      <c r="T1166" s="93"/>
    </row>
    <row r="1167" spans="1:20" s="94" customFormat="1" ht="12" customHeight="1" x14ac:dyDescent="0.3">
      <c r="A1167" s="82"/>
      <c r="B1167" s="83"/>
      <c r="C1167" s="87"/>
      <c r="D1167" s="84"/>
      <c r="E1167" s="83"/>
      <c r="F1167" s="82"/>
      <c r="G1167" s="85"/>
      <c r="H1167" s="86" t="e">
        <f>IF(I1167="fora",0%,G1167/QUÓRUM!$C$6)</f>
        <v>#DIV/0!</v>
      </c>
      <c r="I1167" s="87"/>
      <c r="J1167" s="88"/>
      <c r="K1167" s="88"/>
      <c r="L1167" s="89"/>
      <c r="M1167" s="89"/>
      <c r="N1167" s="90"/>
      <c r="O1167" s="87"/>
      <c r="P1167" s="87"/>
      <c r="Q1167" s="87"/>
      <c r="R1167" s="91"/>
      <c r="S1167" s="92"/>
      <c r="T1167" s="93"/>
    </row>
    <row r="1168" spans="1:20" s="94" customFormat="1" ht="12" customHeight="1" x14ac:dyDescent="0.3">
      <c r="A1168" s="82"/>
      <c r="B1168" s="83"/>
      <c r="C1168" s="87"/>
      <c r="D1168" s="84"/>
      <c r="E1168" s="83"/>
      <c r="F1168" s="82"/>
      <c r="G1168" s="85"/>
      <c r="H1168" s="86" t="e">
        <f>IF(I1168="fora",0%,G1168/QUÓRUM!$C$6)</f>
        <v>#DIV/0!</v>
      </c>
      <c r="I1168" s="87"/>
      <c r="J1168" s="88"/>
      <c r="K1168" s="88"/>
      <c r="L1168" s="89"/>
      <c r="M1168" s="89"/>
      <c r="N1168" s="90"/>
      <c r="O1168" s="87"/>
      <c r="P1168" s="87"/>
      <c r="Q1168" s="87"/>
      <c r="R1168" s="91"/>
      <c r="S1168" s="92"/>
      <c r="T1168" s="93"/>
    </row>
    <row r="1169" spans="1:20" s="94" customFormat="1" ht="12" customHeight="1" x14ac:dyDescent="0.3">
      <c r="A1169" s="82"/>
      <c r="B1169" s="83"/>
      <c r="C1169" s="87"/>
      <c r="D1169" s="84"/>
      <c r="E1169" s="83"/>
      <c r="F1169" s="82"/>
      <c r="G1169" s="85"/>
      <c r="H1169" s="86" t="e">
        <f>IF(I1169="fora",0%,G1169/QUÓRUM!$C$6)</f>
        <v>#DIV/0!</v>
      </c>
      <c r="I1169" s="87"/>
      <c r="J1169" s="88"/>
      <c r="K1169" s="88"/>
      <c r="L1169" s="89"/>
      <c r="M1169" s="89"/>
      <c r="N1169" s="90"/>
      <c r="O1169" s="87"/>
      <c r="P1169" s="87"/>
      <c r="Q1169" s="87"/>
      <c r="R1169" s="91"/>
      <c r="S1169" s="92"/>
      <c r="T1169" s="93"/>
    </row>
    <row r="1170" spans="1:20" s="94" customFormat="1" ht="12" customHeight="1" x14ac:dyDescent="0.3">
      <c r="A1170" s="82"/>
      <c r="B1170" s="83"/>
      <c r="C1170" s="87"/>
      <c r="D1170" s="84"/>
      <c r="E1170" s="83"/>
      <c r="F1170" s="82"/>
      <c r="G1170" s="85"/>
      <c r="H1170" s="86" t="e">
        <f>IF(I1170="fora",0%,G1170/QUÓRUM!$C$6)</f>
        <v>#DIV/0!</v>
      </c>
      <c r="I1170" s="87"/>
      <c r="J1170" s="88"/>
      <c r="K1170" s="88"/>
      <c r="L1170" s="89"/>
      <c r="M1170" s="89"/>
      <c r="N1170" s="90"/>
      <c r="O1170" s="87"/>
      <c r="P1170" s="87"/>
      <c r="Q1170" s="87"/>
      <c r="R1170" s="91"/>
      <c r="S1170" s="92"/>
      <c r="T1170" s="93"/>
    </row>
    <row r="1171" spans="1:20" s="94" customFormat="1" ht="12" customHeight="1" x14ac:dyDescent="0.3">
      <c r="A1171" s="82"/>
      <c r="B1171" s="83"/>
      <c r="C1171" s="87"/>
      <c r="D1171" s="84"/>
      <c r="E1171" s="83"/>
      <c r="F1171" s="82"/>
      <c r="G1171" s="85"/>
      <c r="H1171" s="86" t="e">
        <f>IF(I1171="fora",0%,G1171/QUÓRUM!$C$6)</f>
        <v>#DIV/0!</v>
      </c>
      <c r="I1171" s="87"/>
      <c r="J1171" s="88"/>
      <c r="K1171" s="88"/>
      <c r="L1171" s="89"/>
      <c r="M1171" s="89"/>
      <c r="N1171" s="90"/>
      <c r="O1171" s="87"/>
      <c r="P1171" s="87"/>
      <c r="Q1171" s="87"/>
      <c r="R1171" s="91"/>
      <c r="S1171" s="92"/>
      <c r="T1171" s="93"/>
    </row>
    <row r="1172" spans="1:20" s="94" customFormat="1" ht="12" customHeight="1" x14ac:dyDescent="0.3">
      <c r="A1172" s="82"/>
      <c r="B1172" s="83"/>
      <c r="C1172" s="87"/>
      <c r="D1172" s="84"/>
      <c r="E1172" s="83"/>
      <c r="F1172" s="82"/>
      <c r="G1172" s="85"/>
      <c r="H1172" s="86" t="e">
        <f>IF(I1172="fora",0%,G1172/QUÓRUM!$C$6)</f>
        <v>#DIV/0!</v>
      </c>
      <c r="I1172" s="87"/>
      <c r="J1172" s="88"/>
      <c r="K1172" s="88"/>
      <c r="L1172" s="89"/>
      <c r="M1172" s="89"/>
      <c r="N1172" s="90"/>
      <c r="O1172" s="87"/>
      <c r="P1172" s="87"/>
      <c r="Q1172" s="87"/>
      <c r="R1172" s="91"/>
      <c r="S1172" s="92"/>
      <c r="T1172" s="93"/>
    </row>
    <row r="1173" spans="1:20" s="94" customFormat="1" ht="12" customHeight="1" x14ac:dyDescent="0.3">
      <c r="A1173" s="82"/>
      <c r="B1173" s="83"/>
      <c r="C1173" s="87"/>
      <c r="D1173" s="84"/>
      <c r="E1173" s="83"/>
      <c r="F1173" s="82"/>
      <c r="G1173" s="85"/>
      <c r="H1173" s="86" t="e">
        <f>IF(I1173="fora",0%,G1173/QUÓRUM!$C$6)</f>
        <v>#DIV/0!</v>
      </c>
      <c r="I1173" s="87"/>
      <c r="J1173" s="88"/>
      <c r="K1173" s="88"/>
      <c r="L1173" s="89"/>
      <c r="M1173" s="89"/>
      <c r="N1173" s="90"/>
      <c r="O1173" s="87"/>
      <c r="P1173" s="87"/>
      <c r="Q1173" s="87"/>
      <c r="R1173" s="91"/>
      <c r="S1173" s="92"/>
      <c r="T1173" s="93"/>
    </row>
    <row r="1174" spans="1:20" s="94" customFormat="1" ht="12" customHeight="1" x14ac:dyDescent="0.3">
      <c r="A1174" s="82"/>
      <c r="B1174" s="83"/>
      <c r="C1174" s="87"/>
      <c r="D1174" s="84"/>
      <c r="E1174" s="83"/>
      <c r="F1174" s="82"/>
      <c r="G1174" s="85"/>
      <c r="H1174" s="86" t="e">
        <f>IF(I1174="fora",0%,G1174/QUÓRUM!$C$6)</f>
        <v>#DIV/0!</v>
      </c>
      <c r="I1174" s="87"/>
      <c r="J1174" s="88"/>
      <c r="K1174" s="88"/>
      <c r="L1174" s="89"/>
      <c r="M1174" s="89"/>
      <c r="N1174" s="90"/>
      <c r="O1174" s="87"/>
      <c r="P1174" s="87"/>
      <c r="Q1174" s="87"/>
      <c r="R1174" s="91"/>
      <c r="S1174" s="92"/>
      <c r="T1174" s="93"/>
    </row>
    <row r="1175" spans="1:20" s="94" customFormat="1" ht="12" customHeight="1" x14ac:dyDescent="0.3">
      <c r="A1175" s="82"/>
      <c r="B1175" s="83"/>
      <c r="C1175" s="87"/>
      <c r="D1175" s="84"/>
      <c r="E1175" s="83"/>
      <c r="F1175" s="82"/>
      <c r="G1175" s="85"/>
      <c r="H1175" s="86" t="e">
        <f>IF(I1175="fora",0%,G1175/QUÓRUM!$C$6)</f>
        <v>#DIV/0!</v>
      </c>
      <c r="I1175" s="87"/>
      <c r="J1175" s="88"/>
      <c r="K1175" s="88"/>
      <c r="L1175" s="89"/>
      <c r="M1175" s="89"/>
      <c r="N1175" s="90"/>
      <c r="O1175" s="87"/>
      <c r="P1175" s="87"/>
      <c r="Q1175" s="87"/>
      <c r="R1175" s="91"/>
      <c r="S1175" s="92"/>
      <c r="T1175" s="93"/>
    </row>
    <row r="1176" spans="1:20" s="94" customFormat="1" ht="12" customHeight="1" x14ac:dyDescent="0.3">
      <c r="A1176" s="82"/>
      <c r="B1176" s="83"/>
      <c r="C1176" s="87"/>
      <c r="D1176" s="84"/>
      <c r="E1176" s="83"/>
      <c r="F1176" s="82"/>
      <c r="G1176" s="85"/>
      <c r="H1176" s="86" t="e">
        <f>IF(I1176="fora",0%,G1176/QUÓRUM!$C$6)</f>
        <v>#DIV/0!</v>
      </c>
      <c r="I1176" s="87"/>
      <c r="J1176" s="88"/>
      <c r="K1176" s="88"/>
      <c r="L1176" s="89"/>
      <c r="M1176" s="89"/>
      <c r="N1176" s="90"/>
      <c r="O1176" s="87"/>
      <c r="P1176" s="87"/>
      <c r="Q1176" s="87"/>
      <c r="R1176" s="91"/>
      <c r="S1176" s="92"/>
      <c r="T1176" s="93"/>
    </row>
    <row r="1177" spans="1:20" s="94" customFormat="1" ht="12" customHeight="1" x14ac:dyDescent="0.3">
      <c r="A1177" s="82"/>
      <c r="B1177" s="83"/>
      <c r="C1177" s="87"/>
      <c r="D1177" s="84"/>
      <c r="E1177" s="83"/>
      <c r="F1177" s="82"/>
      <c r="G1177" s="85"/>
      <c r="H1177" s="86" t="e">
        <f>IF(I1177="fora",0%,G1177/QUÓRUM!$C$6)</f>
        <v>#DIV/0!</v>
      </c>
      <c r="I1177" s="87"/>
      <c r="J1177" s="88"/>
      <c r="K1177" s="88"/>
      <c r="L1177" s="89"/>
      <c r="M1177" s="89"/>
      <c r="N1177" s="90"/>
      <c r="O1177" s="87"/>
      <c r="P1177" s="87"/>
      <c r="Q1177" s="87"/>
      <c r="R1177" s="91"/>
      <c r="S1177" s="92"/>
      <c r="T1177" s="93"/>
    </row>
    <row r="1178" spans="1:20" s="94" customFormat="1" ht="12" customHeight="1" x14ac:dyDescent="0.3">
      <c r="A1178" s="82"/>
      <c r="B1178" s="83"/>
      <c r="C1178" s="87"/>
      <c r="D1178" s="84"/>
      <c r="E1178" s="83"/>
      <c r="F1178" s="82"/>
      <c r="G1178" s="85"/>
      <c r="H1178" s="86" t="e">
        <f>IF(I1178="fora",0%,G1178/QUÓRUM!$C$6)</f>
        <v>#DIV/0!</v>
      </c>
      <c r="I1178" s="87"/>
      <c r="J1178" s="88"/>
      <c r="K1178" s="88"/>
      <c r="L1178" s="89"/>
      <c r="M1178" s="89"/>
      <c r="N1178" s="90"/>
      <c r="O1178" s="87"/>
      <c r="P1178" s="87"/>
      <c r="Q1178" s="87"/>
      <c r="R1178" s="91"/>
      <c r="S1178" s="92"/>
      <c r="T1178" s="93"/>
    </row>
    <row r="1179" spans="1:20" s="94" customFormat="1" ht="12" customHeight="1" x14ac:dyDescent="0.3">
      <c r="A1179" s="82"/>
      <c r="B1179" s="83"/>
      <c r="C1179" s="87"/>
      <c r="D1179" s="84"/>
      <c r="E1179" s="83"/>
      <c r="F1179" s="82"/>
      <c r="G1179" s="85"/>
      <c r="H1179" s="86" t="e">
        <f>IF(I1179="fora",0%,G1179/QUÓRUM!$C$6)</f>
        <v>#DIV/0!</v>
      </c>
      <c r="I1179" s="87"/>
      <c r="J1179" s="88"/>
      <c r="K1179" s="88"/>
      <c r="L1179" s="89"/>
      <c r="M1179" s="89"/>
      <c r="N1179" s="90"/>
      <c r="O1179" s="87"/>
      <c r="P1179" s="87"/>
      <c r="Q1179" s="87"/>
      <c r="R1179" s="91"/>
      <c r="S1179" s="92"/>
      <c r="T1179" s="93"/>
    </row>
    <row r="1180" spans="1:20" s="94" customFormat="1" ht="12" customHeight="1" x14ac:dyDescent="0.3">
      <c r="A1180" s="82"/>
      <c r="B1180" s="83"/>
      <c r="C1180" s="87"/>
      <c r="D1180" s="84"/>
      <c r="E1180" s="83"/>
      <c r="F1180" s="82"/>
      <c r="G1180" s="85"/>
      <c r="H1180" s="86" t="e">
        <f>IF(I1180="fora",0%,G1180/QUÓRUM!$C$6)</f>
        <v>#DIV/0!</v>
      </c>
      <c r="I1180" s="87"/>
      <c r="J1180" s="88"/>
      <c r="K1180" s="88"/>
      <c r="L1180" s="89"/>
      <c r="M1180" s="89"/>
      <c r="N1180" s="90"/>
      <c r="O1180" s="87"/>
      <c r="P1180" s="87"/>
      <c r="Q1180" s="87"/>
      <c r="R1180" s="91"/>
      <c r="S1180" s="92"/>
      <c r="T1180" s="93"/>
    </row>
    <row r="1181" spans="1:20" s="94" customFormat="1" ht="12" customHeight="1" x14ac:dyDescent="0.3">
      <c r="A1181" s="82"/>
      <c r="B1181" s="83"/>
      <c r="C1181" s="87"/>
      <c r="D1181" s="84"/>
      <c r="E1181" s="83"/>
      <c r="F1181" s="82"/>
      <c r="G1181" s="85"/>
      <c r="H1181" s="86" t="e">
        <f>IF(I1181="fora",0%,G1181/QUÓRUM!$C$6)</f>
        <v>#DIV/0!</v>
      </c>
      <c r="I1181" s="87"/>
      <c r="J1181" s="88"/>
      <c r="K1181" s="88"/>
      <c r="L1181" s="89"/>
      <c r="M1181" s="89"/>
      <c r="N1181" s="90"/>
      <c r="O1181" s="87"/>
      <c r="P1181" s="87"/>
      <c r="Q1181" s="87"/>
      <c r="R1181" s="91"/>
      <c r="S1181" s="92"/>
      <c r="T1181" s="93"/>
    </row>
    <row r="1182" spans="1:20" s="94" customFormat="1" ht="12" customHeight="1" x14ac:dyDescent="0.3">
      <c r="A1182" s="82"/>
      <c r="B1182" s="83"/>
      <c r="C1182" s="87"/>
      <c r="D1182" s="84"/>
      <c r="E1182" s="83"/>
      <c r="F1182" s="82"/>
      <c r="G1182" s="85"/>
      <c r="H1182" s="86" t="e">
        <f>IF(I1182="fora",0%,G1182/QUÓRUM!$C$6)</f>
        <v>#DIV/0!</v>
      </c>
      <c r="I1182" s="87"/>
      <c r="J1182" s="88"/>
      <c r="K1182" s="88"/>
      <c r="L1182" s="89"/>
      <c r="M1182" s="89"/>
      <c r="N1182" s="90"/>
      <c r="O1182" s="87"/>
      <c r="P1182" s="87"/>
      <c r="Q1182" s="87"/>
      <c r="R1182" s="91"/>
      <c r="S1182" s="92"/>
      <c r="T1182" s="93"/>
    </row>
    <row r="1183" spans="1:20" s="94" customFormat="1" ht="12" customHeight="1" x14ac:dyDescent="0.3">
      <c r="A1183" s="82"/>
      <c r="B1183" s="83"/>
      <c r="C1183" s="87"/>
      <c r="D1183" s="84"/>
      <c r="E1183" s="83"/>
      <c r="F1183" s="82"/>
      <c r="G1183" s="85"/>
      <c r="H1183" s="86" t="e">
        <f>IF(I1183="fora",0%,G1183/QUÓRUM!$C$6)</f>
        <v>#DIV/0!</v>
      </c>
      <c r="I1183" s="87"/>
      <c r="J1183" s="88"/>
      <c r="K1183" s="88"/>
      <c r="L1183" s="89"/>
      <c r="M1183" s="89"/>
      <c r="N1183" s="90"/>
      <c r="O1183" s="87"/>
      <c r="P1183" s="87"/>
      <c r="Q1183" s="87"/>
      <c r="R1183" s="91"/>
      <c r="S1183" s="92"/>
      <c r="T1183" s="93"/>
    </row>
    <row r="1184" spans="1:20" s="94" customFormat="1" ht="12" customHeight="1" x14ac:dyDescent="0.3">
      <c r="A1184" s="82"/>
      <c r="B1184" s="83"/>
      <c r="C1184" s="87"/>
      <c r="D1184" s="84"/>
      <c r="E1184" s="83"/>
      <c r="F1184" s="82"/>
      <c r="G1184" s="85"/>
      <c r="H1184" s="86" t="e">
        <f>IF(I1184="fora",0%,G1184/QUÓRUM!$C$6)</f>
        <v>#DIV/0!</v>
      </c>
      <c r="I1184" s="87"/>
      <c r="J1184" s="88"/>
      <c r="K1184" s="88"/>
      <c r="L1184" s="89"/>
      <c r="M1184" s="89"/>
      <c r="N1184" s="90"/>
      <c r="O1184" s="87"/>
      <c r="P1184" s="87"/>
      <c r="Q1184" s="87"/>
      <c r="R1184" s="91"/>
      <c r="S1184" s="92"/>
      <c r="T1184" s="93"/>
    </row>
    <row r="1185" spans="1:20" s="94" customFormat="1" ht="12" customHeight="1" x14ac:dyDescent="0.3">
      <c r="A1185" s="82"/>
      <c r="B1185" s="83"/>
      <c r="C1185" s="87"/>
      <c r="D1185" s="84"/>
      <c r="E1185" s="83"/>
      <c r="F1185" s="82"/>
      <c r="G1185" s="85"/>
      <c r="H1185" s="86" t="e">
        <f>IF(I1185="fora",0%,G1185/QUÓRUM!$C$6)</f>
        <v>#DIV/0!</v>
      </c>
      <c r="I1185" s="87"/>
      <c r="J1185" s="88"/>
      <c r="K1185" s="88"/>
      <c r="L1185" s="89"/>
      <c r="M1185" s="89"/>
      <c r="N1185" s="90"/>
      <c r="O1185" s="87"/>
      <c r="P1185" s="87"/>
      <c r="Q1185" s="87"/>
      <c r="R1185" s="91"/>
      <c r="S1185" s="92"/>
      <c r="T1185" s="93"/>
    </row>
    <row r="1186" spans="1:20" s="94" customFormat="1" ht="12" customHeight="1" x14ac:dyDescent="0.3">
      <c r="A1186" s="82"/>
      <c r="B1186" s="83"/>
      <c r="C1186" s="87"/>
      <c r="D1186" s="84"/>
      <c r="E1186" s="83"/>
      <c r="F1186" s="82"/>
      <c r="G1186" s="85"/>
      <c r="H1186" s="86" t="e">
        <f>IF(I1186="fora",0%,G1186/QUÓRUM!$C$6)</f>
        <v>#DIV/0!</v>
      </c>
      <c r="I1186" s="87"/>
      <c r="J1186" s="88"/>
      <c r="K1186" s="88"/>
      <c r="L1186" s="89"/>
      <c r="M1186" s="89"/>
      <c r="N1186" s="90"/>
      <c r="O1186" s="87"/>
      <c r="P1186" s="87"/>
      <c r="Q1186" s="87"/>
      <c r="R1186" s="91"/>
      <c r="S1186" s="92"/>
      <c r="T1186" s="93"/>
    </row>
    <row r="1187" spans="1:20" s="94" customFormat="1" ht="12" customHeight="1" x14ac:dyDescent="0.3">
      <c r="A1187" s="82"/>
      <c r="B1187" s="83"/>
      <c r="C1187" s="87"/>
      <c r="D1187" s="84"/>
      <c r="E1187" s="83"/>
      <c r="F1187" s="82"/>
      <c r="G1187" s="85"/>
      <c r="H1187" s="86" t="e">
        <f>IF(I1187="fora",0%,G1187/QUÓRUM!$C$6)</f>
        <v>#DIV/0!</v>
      </c>
      <c r="I1187" s="87"/>
      <c r="J1187" s="88"/>
      <c r="K1187" s="88"/>
      <c r="L1187" s="89"/>
      <c r="M1187" s="89"/>
      <c r="N1187" s="90"/>
      <c r="O1187" s="87"/>
      <c r="P1187" s="87"/>
      <c r="Q1187" s="87"/>
      <c r="R1187" s="91"/>
      <c r="S1187" s="92"/>
      <c r="T1187" s="93"/>
    </row>
    <row r="1188" spans="1:20" s="94" customFormat="1" ht="12" customHeight="1" x14ac:dyDescent="0.3">
      <c r="A1188" s="82"/>
      <c r="B1188" s="83"/>
      <c r="C1188" s="87"/>
      <c r="D1188" s="84"/>
      <c r="E1188" s="83"/>
      <c r="F1188" s="82"/>
      <c r="G1188" s="85"/>
      <c r="H1188" s="86" t="e">
        <f>IF(I1188="fora",0%,G1188/QUÓRUM!$C$6)</f>
        <v>#DIV/0!</v>
      </c>
      <c r="I1188" s="87"/>
      <c r="J1188" s="88"/>
      <c r="K1188" s="88"/>
      <c r="L1188" s="89"/>
      <c r="M1188" s="89"/>
      <c r="N1188" s="90"/>
      <c r="O1188" s="87"/>
      <c r="P1188" s="87"/>
      <c r="Q1188" s="87"/>
      <c r="R1188" s="91"/>
      <c r="S1188" s="92"/>
      <c r="T1188" s="93"/>
    </row>
    <row r="1189" spans="1:20" s="94" customFormat="1" ht="12" customHeight="1" x14ac:dyDescent="0.3">
      <c r="A1189" s="82"/>
      <c r="B1189" s="83"/>
      <c r="C1189" s="87"/>
      <c r="D1189" s="84"/>
      <c r="E1189" s="83"/>
      <c r="F1189" s="82"/>
      <c r="G1189" s="85"/>
      <c r="H1189" s="86" t="e">
        <f>IF(I1189="fora",0%,G1189/QUÓRUM!$C$6)</f>
        <v>#DIV/0!</v>
      </c>
      <c r="I1189" s="87"/>
      <c r="J1189" s="88"/>
      <c r="K1189" s="88"/>
      <c r="L1189" s="89"/>
      <c r="M1189" s="89"/>
      <c r="N1189" s="90"/>
      <c r="O1189" s="87"/>
      <c r="P1189" s="87"/>
      <c r="Q1189" s="87"/>
      <c r="R1189" s="91"/>
      <c r="S1189" s="92"/>
      <c r="T1189" s="93"/>
    </row>
    <row r="1190" spans="1:20" s="94" customFormat="1" ht="12" customHeight="1" x14ac:dyDescent="0.3">
      <c r="A1190" s="82"/>
      <c r="B1190" s="83"/>
      <c r="C1190" s="87"/>
      <c r="D1190" s="84"/>
      <c r="E1190" s="83"/>
      <c r="F1190" s="82"/>
      <c r="G1190" s="85"/>
      <c r="H1190" s="86" t="e">
        <f>IF(I1190="fora",0%,G1190/QUÓRUM!$C$6)</f>
        <v>#DIV/0!</v>
      </c>
      <c r="I1190" s="87"/>
      <c r="J1190" s="88"/>
      <c r="K1190" s="88"/>
      <c r="L1190" s="89"/>
      <c r="M1190" s="89"/>
      <c r="N1190" s="90"/>
      <c r="O1190" s="87"/>
      <c r="P1190" s="87"/>
      <c r="Q1190" s="87"/>
      <c r="R1190" s="91"/>
      <c r="S1190" s="92"/>
      <c r="T1190" s="93"/>
    </row>
    <row r="1191" spans="1:20" s="94" customFormat="1" ht="12" customHeight="1" x14ac:dyDescent="0.3">
      <c r="A1191" s="82"/>
      <c r="B1191" s="83"/>
      <c r="C1191" s="87"/>
      <c r="D1191" s="84"/>
      <c r="E1191" s="83"/>
      <c r="F1191" s="82"/>
      <c r="G1191" s="85"/>
      <c r="H1191" s="86" t="e">
        <f>IF(I1191="fora",0%,G1191/QUÓRUM!$C$6)</f>
        <v>#DIV/0!</v>
      </c>
      <c r="I1191" s="87"/>
      <c r="J1191" s="88"/>
      <c r="K1191" s="88"/>
      <c r="L1191" s="89"/>
      <c r="M1191" s="89"/>
      <c r="N1191" s="90"/>
      <c r="O1191" s="87"/>
      <c r="P1191" s="87"/>
      <c r="Q1191" s="87"/>
      <c r="R1191" s="91"/>
      <c r="S1191" s="92"/>
      <c r="T1191" s="93"/>
    </row>
    <row r="1192" spans="1:20" s="94" customFormat="1" ht="12" customHeight="1" x14ac:dyDescent="0.3">
      <c r="A1192" s="82"/>
      <c r="B1192" s="83"/>
      <c r="C1192" s="87"/>
      <c r="D1192" s="84"/>
      <c r="E1192" s="83"/>
      <c r="F1192" s="82"/>
      <c r="G1192" s="95"/>
      <c r="H1192" s="86" t="e">
        <f>IF(I1192="fora",0%,G1192/QUÓRUM!$C$6)</f>
        <v>#DIV/0!</v>
      </c>
      <c r="I1192" s="87"/>
      <c r="J1192" s="88"/>
      <c r="K1192" s="88"/>
      <c r="L1192" s="89"/>
      <c r="M1192" s="89"/>
      <c r="N1192" s="90"/>
      <c r="O1192" s="87"/>
      <c r="P1192" s="87"/>
      <c r="Q1192" s="87"/>
      <c r="R1192" s="91"/>
      <c r="S1192" s="92"/>
      <c r="T1192" s="93"/>
    </row>
    <row r="1193" spans="1:20" s="94" customFormat="1" ht="12" customHeight="1" x14ac:dyDescent="0.3">
      <c r="A1193" s="82"/>
      <c r="B1193" s="83"/>
      <c r="C1193" s="87"/>
      <c r="D1193" s="84"/>
      <c r="E1193" s="83"/>
      <c r="F1193" s="82"/>
      <c r="G1193" s="85"/>
      <c r="H1193" s="86" t="e">
        <f>IF(I1193="fora",0%,G1193/QUÓRUM!$C$6)</f>
        <v>#DIV/0!</v>
      </c>
      <c r="I1193" s="87"/>
      <c r="J1193" s="88"/>
      <c r="K1193" s="88"/>
      <c r="L1193" s="89"/>
      <c r="M1193" s="89"/>
      <c r="N1193" s="90"/>
      <c r="O1193" s="87"/>
      <c r="P1193" s="87"/>
      <c r="Q1193" s="87"/>
      <c r="R1193" s="91"/>
      <c r="S1193" s="92"/>
      <c r="T1193" s="93"/>
    </row>
    <row r="1194" spans="1:20" s="94" customFormat="1" ht="12" customHeight="1" x14ac:dyDescent="0.3">
      <c r="A1194" s="82"/>
      <c r="B1194" s="83"/>
      <c r="C1194" s="87"/>
      <c r="D1194" s="84"/>
      <c r="E1194" s="83"/>
      <c r="F1194" s="82"/>
      <c r="G1194" s="85"/>
      <c r="H1194" s="86" t="e">
        <f>IF(I1194="fora",0%,G1194/QUÓRUM!$C$6)</f>
        <v>#DIV/0!</v>
      </c>
      <c r="I1194" s="87"/>
      <c r="J1194" s="88"/>
      <c r="K1194" s="88"/>
      <c r="L1194" s="89"/>
      <c r="M1194" s="89"/>
      <c r="N1194" s="90"/>
      <c r="O1194" s="87"/>
      <c r="P1194" s="87"/>
      <c r="Q1194" s="87"/>
      <c r="R1194" s="91"/>
      <c r="S1194" s="92"/>
      <c r="T1194" s="93"/>
    </row>
    <row r="1195" spans="1:20" s="94" customFormat="1" ht="12" customHeight="1" x14ac:dyDescent="0.3">
      <c r="A1195" s="82"/>
      <c r="B1195" s="83"/>
      <c r="C1195" s="87"/>
      <c r="D1195" s="84"/>
      <c r="E1195" s="83"/>
      <c r="F1195" s="82"/>
      <c r="G1195" s="85"/>
      <c r="H1195" s="86" t="e">
        <f>IF(I1195="fora",0%,G1195/QUÓRUM!$C$6)</f>
        <v>#DIV/0!</v>
      </c>
      <c r="I1195" s="87"/>
      <c r="J1195" s="88"/>
      <c r="K1195" s="88"/>
      <c r="L1195" s="89"/>
      <c r="M1195" s="89"/>
      <c r="N1195" s="90"/>
      <c r="O1195" s="87"/>
      <c r="P1195" s="87"/>
      <c r="Q1195" s="87"/>
      <c r="R1195" s="91"/>
      <c r="S1195" s="92"/>
      <c r="T1195" s="93"/>
    </row>
    <row r="1196" spans="1:20" s="94" customFormat="1" ht="12" customHeight="1" x14ac:dyDescent="0.3">
      <c r="A1196" s="82"/>
      <c r="B1196" s="83"/>
      <c r="C1196" s="87"/>
      <c r="D1196" s="84"/>
      <c r="E1196" s="83"/>
      <c r="F1196" s="82"/>
      <c r="G1196" s="85"/>
      <c r="H1196" s="86" t="e">
        <f>IF(I1196="fora",0%,G1196/QUÓRUM!$C$6)</f>
        <v>#DIV/0!</v>
      </c>
      <c r="I1196" s="87"/>
      <c r="J1196" s="88"/>
      <c r="K1196" s="88"/>
      <c r="L1196" s="89"/>
      <c r="M1196" s="89"/>
      <c r="N1196" s="90"/>
      <c r="O1196" s="87"/>
      <c r="P1196" s="87"/>
      <c r="Q1196" s="87"/>
      <c r="R1196" s="91"/>
      <c r="S1196" s="92"/>
      <c r="T1196" s="93"/>
    </row>
    <row r="1197" spans="1:20" s="94" customFormat="1" ht="12" customHeight="1" x14ac:dyDescent="0.3">
      <c r="A1197" s="82"/>
      <c r="B1197" s="83"/>
      <c r="C1197" s="87"/>
      <c r="D1197" s="84"/>
      <c r="E1197" s="83"/>
      <c r="F1197" s="82"/>
      <c r="G1197" s="85"/>
      <c r="H1197" s="86" t="e">
        <f>IF(I1197="fora",0%,G1197/QUÓRUM!$C$6)</f>
        <v>#DIV/0!</v>
      </c>
      <c r="I1197" s="87"/>
      <c r="J1197" s="88"/>
      <c r="K1197" s="88"/>
      <c r="L1197" s="89"/>
      <c r="M1197" s="89"/>
      <c r="N1197" s="90"/>
      <c r="O1197" s="87"/>
      <c r="P1197" s="87"/>
      <c r="Q1197" s="87"/>
      <c r="R1197" s="91"/>
      <c r="S1197" s="92"/>
      <c r="T1197" s="93"/>
    </row>
    <row r="1198" spans="1:20" s="94" customFormat="1" ht="12" customHeight="1" x14ac:dyDescent="0.3">
      <c r="A1198" s="82"/>
      <c r="B1198" s="83"/>
      <c r="C1198" s="87"/>
      <c r="D1198" s="84"/>
      <c r="E1198" s="83"/>
      <c r="F1198" s="82"/>
      <c r="G1198" s="85"/>
      <c r="H1198" s="86" t="e">
        <f>IF(I1198="fora",0%,G1198/QUÓRUM!$C$6)</f>
        <v>#DIV/0!</v>
      </c>
      <c r="I1198" s="87"/>
      <c r="J1198" s="88"/>
      <c r="K1198" s="88"/>
      <c r="L1198" s="89"/>
      <c r="M1198" s="89"/>
      <c r="N1198" s="90"/>
      <c r="O1198" s="87"/>
      <c r="P1198" s="87"/>
      <c r="Q1198" s="87"/>
      <c r="R1198" s="91"/>
      <c r="S1198" s="92"/>
      <c r="T1198" s="93"/>
    </row>
    <row r="1199" spans="1:20" s="94" customFormat="1" ht="12" customHeight="1" x14ac:dyDescent="0.3">
      <c r="A1199" s="82"/>
      <c r="B1199" s="83"/>
      <c r="C1199" s="87"/>
      <c r="D1199" s="84"/>
      <c r="E1199" s="83"/>
      <c r="F1199" s="82"/>
      <c r="G1199" s="85"/>
      <c r="H1199" s="86" t="e">
        <f>IF(I1199="fora",0%,G1199/QUÓRUM!$C$6)</f>
        <v>#DIV/0!</v>
      </c>
      <c r="I1199" s="87"/>
      <c r="J1199" s="88"/>
      <c r="K1199" s="88"/>
      <c r="L1199" s="89"/>
      <c r="M1199" s="89"/>
      <c r="N1199" s="90"/>
      <c r="O1199" s="87"/>
      <c r="P1199" s="87"/>
      <c r="Q1199" s="87"/>
      <c r="R1199" s="91"/>
      <c r="S1199" s="92"/>
      <c r="T1199" s="93"/>
    </row>
    <row r="1200" spans="1:20" s="94" customFormat="1" ht="12" customHeight="1" x14ac:dyDescent="0.3">
      <c r="A1200" s="82"/>
      <c r="B1200" s="83"/>
      <c r="C1200" s="87"/>
      <c r="D1200" s="84"/>
      <c r="E1200" s="83"/>
      <c r="F1200" s="82"/>
      <c r="G1200" s="85"/>
      <c r="H1200" s="86" t="e">
        <f>IF(I1200="fora",0%,G1200/QUÓRUM!$C$6)</f>
        <v>#DIV/0!</v>
      </c>
      <c r="I1200" s="87"/>
      <c r="J1200" s="88"/>
      <c r="K1200" s="88"/>
      <c r="L1200" s="89"/>
      <c r="M1200" s="89"/>
      <c r="N1200" s="90"/>
      <c r="O1200" s="87"/>
      <c r="P1200" s="87"/>
      <c r="Q1200" s="87"/>
      <c r="R1200" s="91"/>
      <c r="S1200" s="92"/>
      <c r="T1200" s="93"/>
    </row>
    <row r="1201" spans="1:20" s="94" customFormat="1" ht="12" customHeight="1" x14ac:dyDescent="0.3">
      <c r="A1201" s="82"/>
      <c r="B1201" s="83"/>
      <c r="C1201" s="87"/>
      <c r="D1201" s="84"/>
      <c r="E1201" s="83"/>
      <c r="F1201" s="82"/>
      <c r="G1201" s="85"/>
      <c r="H1201" s="86" t="e">
        <f>IF(I1201="fora",0%,G1201/QUÓRUM!$C$6)</f>
        <v>#DIV/0!</v>
      </c>
      <c r="I1201" s="87"/>
      <c r="J1201" s="88"/>
      <c r="K1201" s="88"/>
      <c r="L1201" s="89"/>
      <c r="M1201" s="89"/>
      <c r="N1201" s="90"/>
      <c r="O1201" s="87"/>
      <c r="P1201" s="87"/>
      <c r="Q1201" s="87"/>
      <c r="R1201" s="91"/>
      <c r="S1201" s="92"/>
      <c r="T1201" s="93"/>
    </row>
    <row r="1202" spans="1:20" s="94" customFormat="1" ht="12" customHeight="1" x14ac:dyDescent="0.3">
      <c r="A1202" s="82"/>
      <c r="B1202" s="83"/>
      <c r="C1202" s="87"/>
      <c r="D1202" s="84"/>
      <c r="E1202" s="83"/>
      <c r="F1202" s="82"/>
      <c r="G1202" s="85"/>
      <c r="H1202" s="86" t="e">
        <f>IF(I1202="fora",0%,G1202/QUÓRUM!$C$6)</f>
        <v>#DIV/0!</v>
      </c>
      <c r="I1202" s="87"/>
      <c r="J1202" s="88"/>
      <c r="K1202" s="88"/>
      <c r="L1202" s="89"/>
      <c r="M1202" s="89"/>
      <c r="N1202" s="90"/>
      <c r="O1202" s="87"/>
      <c r="P1202" s="87"/>
      <c r="Q1202" s="87"/>
      <c r="R1202" s="91"/>
      <c r="S1202" s="92"/>
      <c r="T1202" s="93"/>
    </row>
    <row r="1203" spans="1:20" s="94" customFormat="1" ht="12" customHeight="1" x14ac:dyDescent="0.3">
      <c r="A1203" s="82"/>
      <c r="B1203" s="83"/>
      <c r="C1203" s="87"/>
      <c r="D1203" s="84"/>
      <c r="E1203" s="83"/>
      <c r="F1203" s="82"/>
      <c r="G1203" s="85"/>
      <c r="H1203" s="86" t="e">
        <f>IF(I1203="fora",0%,G1203/QUÓRUM!$C$6)</f>
        <v>#DIV/0!</v>
      </c>
      <c r="I1203" s="87"/>
      <c r="J1203" s="88"/>
      <c r="K1203" s="88"/>
      <c r="L1203" s="89"/>
      <c r="M1203" s="89"/>
      <c r="N1203" s="90"/>
      <c r="O1203" s="87"/>
      <c r="P1203" s="87"/>
      <c r="Q1203" s="87"/>
      <c r="R1203" s="91"/>
      <c r="S1203" s="92"/>
      <c r="T1203" s="93"/>
    </row>
    <row r="1204" spans="1:20" s="94" customFormat="1" ht="12" customHeight="1" x14ac:dyDescent="0.3">
      <c r="A1204" s="82"/>
      <c r="B1204" s="83"/>
      <c r="C1204" s="87"/>
      <c r="D1204" s="84"/>
      <c r="E1204" s="83"/>
      <c r="F1204" s="82"/>
      <c r="G1204" s="85"/>
      <c r="H1204" s="86" t="e">
        <f>IF(I1204="fora",0%,G1204/QUÓRUM!$C$6)</f>
        <v>#DIV/0!</v>
      </c>
      <c r="I1204" s="87"/>
      <c r="J1204" s="88"/>
      <c r="K1204" s="88"/>
      <c r="L1204" s="89"/>
      <c r="M1204" s="89"/>
      <c r="N1204" s="90"/>
      <c r="O1204" s="87"/>
      <c r="P1204" s="87"/>
      <c r="Q1204" s="87"/>
      <c r="R1204" s="91"/>
      <c r="S1204" s="92"/>
      <c r="T1204" s="93"/>
    </row>
    <row r="1205" spans="1:20" s="94" customFormat="1" ht="12" customHeight="1" x14ac:dyDescent="0.3">
      <c r="A1205" s="82"/>
      <c r="B1205" s="83"/>
      <c r="C1205" s="87"/>
      <c r="D1205" s="84"/>
      <c r="E1205" s="83"/>
      <c r="F1205" s="82"/>
      <c r="G1205" s="85"/>
      <c r="H1205" s="86" t="e">
        <f>IF(I1205="fora",0%,G1205/QUÓRUM!$C$6)</f>
        <v>#DIV/0!</v>
      </c>
      <c r="I1205" s="87"/>
      <c r="J1205" s="88"/>
      <c r="K1205" s="88"/>
      <c r="L1205" s="89"/>
      <c r="M1205" s="89"/>
      <c r="N1205" s="90"/>
      <c r="O1205" s="87"/>
      <c r="P1205" s="87"/>
      <c r="Q1205" s="87"/>
      <c r="R1205" s="91"/>
      <c r="S1205" s="92"/>
      <c r="T1205" s="93"/>
    </row>
    <row r="1206" spans="1:20" s="94" customFormat="1" ht="12" customHeight="1" x14ac:dyDescent="0.3">
      <c r="A1206" s="82"/>
      <c r="B1206" s="83"/>
      <c r="C1206" s="87"/>
      <c r="D1206" s="84"/>
      <c r="E1206" s="83"/>
      <c r="F1206" s="82"/>
      <c r="G1206" s="85"/>
      <c r="H1206" s="86" t="e">
        <f>IF(I1206="fora",0%,G1206/QUÓRUM!$C$6)</f>
        <v>#DIV/0!</v>
      </c>
      <c r="I1206" s="87"/>
      <c r="J1206" s="88"/>
      <c r="K1206" s="88"/>
      <c r="L1206" s="89"/>
      <c r="M1206" s="89"/>
      <c r="N1206" s="90"/>
      <c r="O1206" s="87"/>
      <c r="P1206" s="87"/>
      <c r="Q1206" s="87"/>
      <c r="R1206" s="91"/>
      <c r="S1206" s="92"/>
      <c r="T1206" s="93"/>
    </row>
    <row r="1207" spans="1:20" s="94" customFormat="1" ht="12" customHeight="1" x14ac:dyDescent="0.3">
      <c r="A1207" s="82"/>
      <c r="B1207" s="83"/>
      <c r="C1207" s="87"/>
      <c r="D1207" s="84"/>
      <c r="E1207" s="83"/>
      <c r="F1207" s="82"/>
      <c r="G1207" s="85"/>
      <c r="H1207" s="86" t="e">
        <f>IF(I1207="fora",0%,G1207/QUÓRUM!$C$6)</f>
        <v>#DIV/0!</v>
      </c>
      <c r="I1207" s="87"/>
      <c r="J1207" s="88"/>
      <c r="K1207" s="88"/>
      <c r="L1207" s="89"/>
      <c r="M1207" s="89"/>
      <c r="N1207" s="90"/>
      <c r="O1207" s="87"/>
      <c r="P1207" s="87"/>
      <c r="Q1207" s="87"/>
      <c r="R1207" s="91"/>
      <c r="S1207" s="92"/>
      <c r="T1207" s="93"/>
    </row>
    <row r="1208" spans="1:20" s="94" customFormat="1" ht="12" customHeight="1" x14ac:dyDescent="0.3">
      <c r="A1208" s="82"/>
      <c r="B1208" s="83"/>
      <c r="C1208" s="87"/>
      <c r="D1208" s="84"/>
      <c r="E1208" s="83"/>
      <c r="F1208" s="82"/>
      <c r="G1208" s="85"/>
      <c r="H1208" s="86" t="e">
        <f>IF(I1208="fora",0%,G1208/QUÓRUM!$C$6)</f>
        <v>#DIV/0!</v>
      </c>
      <c r="I1208" s="87"/>
      <c r="J1208" s="88"/>
      <c r="K1208" s="88"/>
      <c r="L1208" s="89"/>
      <c r="M1208" s="89"/>
      <c r="N1208" s="90"/>
      <c r="O1208" s="87"/>
      <c r="P1208" s="87"/>
      <c r="Q1208" s="87"/>
      <c r="R1208" s="91"/>
      <c r="S1208" s="92"/>
      <c r="T1208" s="93"/>
    </row>
    <row r="1209" spans="1:20" s="94" customFormat="1" ht="12" customHeight="1" x14ac:dyDescent="0.3">
      <c r="A1209" s="82"/>
      <c r="B1209" s="83"/>
      <c r="C1209" s="87"/>
      <c r="D1209" s="84"/>
      <c r="E1209" s="83"/>
      <c r="F1209" s="82"/>
      <c r="G1209" s="85"/>
      <c r="H1209" s="86" t="e">
        <f>IF(I1209="fora",0%,G1209/QUÓRUM!$C$6)</f>
        <v>#DIV/0!</v>
      </c>
      <c r="I1209" s="87"/>
      <c r="J1209" s="88"/>
      <c r="K1209" s="88"/>
      <c r="L1209" s="89"/>
      <c r="M1209" s="89"/>
      <c r="N1209" s="90"/>
      <c r="O1209" s="87"/>
      <c r="P1209" s="87"/>
      <c r="Q1209" s="87"/>
      <c r="R1209" s="91"/>
      <c r="S1209" s="92"/>
      <c r="T1209" s="93"/>
    </row>
    <row r="1210" spans="1:20" s="94" customFormat="1" ht="12" customHeight="1" x14ac:dyDescent="0.3">
      <c r="A1210" s="82"/>
      <c r="B1210" s="83"/>
      <c r="C1210" s="87"/>
      <c r="D1210" s="84"/>
      <c r="E1210" s="83"/>
      <c r="F1210" s="82"/>
      <c r="G1210" s="85"/>
      <c r="H1210" s="86" t="e">
        <f>IF(I1210="fora",0%,G1210/QUÓRUM!$C$6)</f>
        <v>#DIV/0!</v>
      </c>
      <c r="I1210" s="87"/>
      <c r="J1210" s="88"/>
      <c r="K1210" s="88"/>
      <c r="L1210" s="89"/>
      <c r="M1210" s="89"/>
      <c r="N1210" s="90"/>
      <c r="O1210" s="87"/>
      <c r="P1210" s="87"/>
      <c r="Q1210" s="87"/>
      <c r="R1210" s="91"/>
      <c r="S1210" s="92"/>
      <c r="T1210" s="93"/>
    </row>
    <row r="1211" spans="1:20" s="94" customFormat="1" ht="12" customHeight="1" x14ac:dyDescent="0.3">
      <c r="A1211" s="82"/>
      <c r="B1211" s="83"/>
      <c r="C1211" s="87"/>
      <c r="D1211" s="84"/>
      <c r="E1211" s="83"/>
      <c r="F1211" s="82"/>
      <c r="G1211" s="85"/>
      <c r="H1211" s="86" t="e">
        <f>IF(I1211="fora",0%,G1211/QUÓRUM!$C$6)</f>
        <v>#DIV/0!</v>
      </c>
      <c r="I1211" s="87"/>
      <c r="J1211" s="88"/>
      <c r="K1211" s="88"/>
      <c r="L1211" s="89"/>
      <c r="M1211" s="89"/>
      <c r="N1211" s="90"/>
      <c r="O1211" s="87"/>
      <c r="P1211" s="87"/>
      <c r="Q1211" s="87"/>
      <c r="R1211" s="91"/>
      <c r="S1211" s="92"/>
      <c r="T1211" s="93"/>
    </row>
    <row r="1212" spans="1:20" s="94" customFormat="1" ht="12" customHeight="1" x14ac:dyDescent="0.3">
      <c r="A1212" s="82"/>
      <c r="B1212" s="83"/>
      <c r="C1212" s="87"/>
      <c r="D1212" s="84"/>
      <c r="E1212" s="83"/>
      <c r="F1212" s="82"/>
      <c r="G1212" s="85"/>
      <c r="H1212" s="86" t="e">
        <f>IF(I1212="fora",0%,G1212/QUÓRUM!$C$6)</f>
        <v>#DIV/0!</v>
      </c>
      <c r="I1212" s="87"/>
      <c r="J1212" s="88"/>
      <c r="K1212" s="88"/>
      <c r="L1212" s="89"/>
      <c r="M1212" s="89"/>
      <c r="N1212" s="90"/>
      <c r="O1212" s="87"/>
      <c r="P1212" s="87"/>
      <c r="Q1212" s="87"/>
      <c r="R1212" s="91"/>
      <c r="S1212" s="92"/>
      <c r="T1212" s="93"/>
    </row>
    <row r="1213" spans="1:20" s="94" customFormat="1" ht="12" customHeight="1" x14ac:dyDescent="0.3">
      <c r="A1213" s="82"/>
      <c r="B1213" s="83"/>
      <c r="C1213" s="87"/>
      <c r="D1213" s="84"/>
      <c r="E1213" s="83"/>
      <c r="F1213" s="82"/>
      <c r="G1213" s="85"/>
      <c r="H1213" s="86" t="e">
        <f>IF(I1213="fora",0%,G1213/QUÓRUM!$C$6)</f>
        <v>#DIV/0!</v>
      </c>
      <c r="I1213" s="87"/>
      <c r="J1213" s="88"/>
      <c r="K1213" s="88"/>
      <c r="L1213" s="89"/>
      <c r="M1213" s="89"/>
      <c r="N1213" s="90"/>
      <c r="O1213" s="87"/>
      <c r="P1213" s="87"/>
      <c r="Q1213" s="87"/>
      <c r="R1213" s="91"/>
      <c r="S1213" s="92"/>
      <c r="T1213" s="93"/>
    </row>
    <row r="1214" spans="1:20" s="94" customFormat="1" ht="12" customHeight="1" x14ac:dyDescent="0.3">
      <c r="A1214" s="82"/>
      <c r="B1214" s="83"/>
      <c r="C1214" s="87"/>
      <c r="D1214" s="84"/>
      <c r="E1214" s="83"/>
      <c r="F1214" s="82"/>
      <c r="G1214" s="85"/>
      <c r="H1214" s="86" t="e">
        <f>IF(I1214="fora",0%,G1214/QUÓRUM!$C$6)</f>
        <v>#DIV/0!</v>
      </c>
      <c r="I1214" s="87"/>
      <c r="J1214" s="88"/>
      <c r="K1214" s="88"/>
      <c r="L1214" s="89"/>
      <c r="M1214" s="89"/>
      <c r="N1214" s="90"/>
      <c r="O1214" s="87"/>
      <c r="P1214" s="87"/>
      <c r="Q1214" s="87"/>
      <c r="R1214" s="91"/>
      <c r="S1214" s="92"/>
      <c r="T1214" s="93"/>
    </row>
    <row r="1215" spans="1:20" s="94" customFormat="1" ht="12" customHeight="1" x14ac:dyDescent="0.3">
      <c r="A1215" s="82"/>
      <c r="B1215" s="83"/>
      <c r="C1215" s="87"/>
      <c r="D1215" s="84"/>
      <c r="E1215" s="83"/>
      <c r="F1215" s="82"/>
      <c r="G1215" s="85"/>
      <c r="H1215" s="86" t="e">
        <f>IF(I1215="fora",0%,G1215/QUÓRUM!$C$6)</f>
        <v>#DIV/0!</v>
      </c>
      <c r="I1215" s="87"/>
      <c r="J1215" s="88"/>
      <c r="K1215" s="88"/>
      <c r="L1215" s="89"/>
      <c r="M1215" s="89"/>
      <c r="N1215" s="90"/>
      <c r="O1215" s="87"/>
      <c r="P1215" s="87"/>
      <c r="Q1215" s="87"/>
      <c r="R1215" s="91"/>
      <c r="S1215" s="92"/>
      <c r="T1215" s="93"/>
    </row>
    <row r="1216" spans="1:20" s="94" customFormat="1" ht="12" customHeight="1" x14ac:dyDescent="0.3">
      <c r="A1216" s="82"/>
      <c r="B1216" s="83"/>
      <c r="C1216" s="87"/>
      <c r="D1216" s="84"/>
      <c r="E1216" s="83"/>
      <c r="F1216" s="82"/>
      <c r="G1216" s="85"/>
      <c r="H1216" s="86" t="e">
        <f>IF(I1216="fora",0%,G1216/QUÓRUM!$C$6)</f>
        <v>#DIV/0!</v>
      </c>
      <c r="I1216" s="87"/>
      <c r="J1216" s="88"/>
      <c r="K1216" s="88"/>
      <c r="L1216" s="89"/>
      <c r="M1216" s="89"/>
      <c r="N1216" s="90"/>
      <c r="O1216" s="87"/>
      <c r="P1216" s="87"/>
      <c r="Q1216" s="87"/>
      <c r="R1216" s="91"/>
      <c r="S1216" s="92"/>
      <c r="T1216" s="93"/>
    </row>
    <row r="1217" spans="1:20" s="94" customFormat="1" ht="12" customHeight="1" x14ac:dyDescent="0.3">
      <c r="A1217" s="82"/>
      <c r="B1217" s="83"/>
      <c r="C1217" s="87"/>
      <c r="D1217" s="84"/>
      <c r="E1217" s="83"/>
      <c r="F1217" s="82"/>
      <c r="G1217" s="85"/>
      <c r="H1217" s="86" t="e">
        <f>IF(I1217="fora",0%,G1217/QUÓRUM!$C$6)</f>
        <v>#DIV/0!</v>
      </c>
      <c r="I1217" s="87"/>
      <c r="J1217" s="88"/>
      <c r="K1217" s="88"/>
      <c r="L1217" s="89"/>
      <c r="M1217" s="89"/>
      <c r="N1217" s="90"/>
      <c r="O1217" s="87"/>
      <c r="P1217" s="87"/>
      <c r="Q1217" s="87"/>
      <c r="R1217" s="91"/>
      <c r="S1217" s="92"/>
      <c r="T1217" s="93"/>
    </row>
    <row r="1218" spans="1:20" s="94" customFormat="1" ht="12" customHeight="1" x14ac:dyDescent="0.3">
      <c r="A1218" s="82"/>
      <c r="B1218" s="83"/>
      <c r="C1218" s="87"/>
      <c r="D1218" s="84"/>
      <c r="E1218" s="83"/>
      <c r="F1218" s="82"/>
      <c r="G1218" s="85"/>
      <c r="H1218" s="86" t="e">
        <f>IF(I1218="fora",0%,G1218/QUÓRUM!$C$6)</f>
        <v>#DIV/0!</v>
      </c>
      <c r="I1218" s="87"/>
      <c r="J1218" s="88"/>
      <c r="K1218" s="88"/>
      <c r="L1218" s="89"/>
      <c r="M1218" s="89"/>
      <c r="N1218" s="90"/>
      <c r="O1218" s="87"/>
      <c r="P1218" s="87"/>
      <c r="Q1218" s="87"/>
      <c r="R1218" s="91"/>
      <c r="S1218" s="92"/>
      <c r="T1218" s="93"/>
    </row>
    <row r="1219" spans="1:20" s="94" customFormat="1" ht="12" customHeight="1" x14ac:dyDescent="0.3">
      <c r="A1219" s="82"/>
      <c r="B1219" s="83"/>
      <c r="C1219" s="87"/>
      <c r="D1219" s="84"/>
      <c r="E1219" s="83"/>
      <c r="F1219" s="82"/>
      <c r="G1219" s="85"/>
      <c r="H1219" s="86" t="e">
        <f>IF(I1219="fora",0%,G1219/QUÓRUM!$C$6)</f>
        <v>#DIV/0!</v>
      </c>
      <c r="I1219" s="87"/>
      <c r="J1219" s="88"/>
      <c r="K1219" s="88"/>
      <c r="L1219" s="89"/>
      <c r="M1219" s="89"/>
      <c r="N1219" s="90"/>
      <c r="O1219" s="87"/>
      <c r="P1219" s="87"/>
      <c r="Q1219" s="87"/>
      <c r="R1219" s="91"/>
      <c r="S1219" s="92"/>
      <c r="T1219" s="93"/>
    </row>
    <row r="1220" spans="1:20" s="94" customFormat="1" ht="12" customHeight="1" x14ac:dyDescent="0.3">
      <c r="A1220" s="82"/>
      <c r="B1220" s="83"/>
      <c r="C1220" s="87"/>
      <c r="D1220" s="84"/>
      <c r="E1220" s="83"/>
      <c r="F1220" s="82"/>
      <c r="G1220" s="85"/>
      <c r="H1220" s="86" t="e">
        <f>IF(I1220="fora",0%,G1220/QUÓRUM!$C$6)</f>
        <v>#DIV/0!</v>
      </c>
      <c r="I1220" s="87"/>
      <c r="J1220" s="88"/>
      <c r="K1220" s="88"/>
      <c r="L1220" s="89"/>
      <c r="M1220" s="89"/>
      <c r="N1220" s="90"/>
      <c r="O1220" s="87"/>
      <c r="P1220" s="87"/>
      <c r="Q1220" s="87"/>
      <c r="R1220" s="91"/>
      <c r="S1220" s="92"/>
      <c r="T1220" s="93"/>
    </row>
    <row r="1221" spans="1:20" s="94" customFormat="1" ht="12" customHeight="1" x14ac:dyDescent="0.3">
      <c r="A1221" s="82"/>
      <c r="B1221" s="83"/>
      <c r="C1221" s="87"/>
      <c r="D1221" s="84"/>
      <c r="E1221" s="83"/>
      <c r="F1221" s="82"/>
      <c r="G1221" s="85"/>
      <c r="H1221" s="86" t="e">
        <f>IF(I1221="fora",0%,G1221/QUÓRUM!$C$6)</f>
        <v>#DIV/0!</v>
      </c>
      <c r="I1221" s="87"/>
      <c r="J1221" s="88"/>
      <c r="K1221" s="88"/>
      <c r="L1221" s="89"/>
      <c r="M1221" s="89"/>
      <c r="N1221" s="90"/>
      <c r="O1221" s="87"/>
      <c r="P1221" s="87"/>
      <c r="Q1221" s="87"/>
      <c r="R1221" s="91"/>
      <c r="S1221" s="92"/>
      <c r="T1221" s="93"/>
    </row>
    <row r="1222" spans="1:20" s="94" customFormat="1" ht="12" customHeight="1" x14ac:dyDescent="0.3">
      <c r="A1222" s="82"/>
      <c r="B1222" s="83"/>
      <c r="C1222" s="87"/>
      <c r="D1222" s="84"/>
      <c r="E1222" s="83"/>
      <c r="F1222" s="82"/>
      <c r="G1222" s="85"/>
      <c r="H1222" s="86" t="e">
        <f>IF(I1222="fora",0%,G1222/QUÓRUM!$C$6)</f>
        <v>#DIV/0!</v>
      </c>
      <c r="I1222" s="87"/>
      <c r="J1222" s="88"/>
      <c r="K1222" s="88"/>
      <c r="L1222" s="89"/>
      <c r="M1222" s="89"/>
      <c r="N1222" s="90"/>
      <c r="O1222" s="87"/>
      <c r="P1222" s="87"/>
      <c r="Q1222" s="87"/>
      <c r="R1222" s="91"/>
      <c r="S1222" s="92"/>
      <c r="T1222" s="93"/>
    </row>
    <row r="1223" spans="1:20" s="94" customFormat="1" ht="12" customHeight="1" x14ac:dyDescent="0.3">
      <c r="A1223" s="82"/>
      <c r="B1223" s="83"/>
      <c r="C1223" s="87"/>
      <c r="D1223" s="84"/>
      <c r="E1223" s="83"/>
      <c r="F1223" s="82"/>
      <c r="G1223" s="85"/>
      <c r="H1223" s="86" t="e">
        <f>IF(I1223="fora",0%,G1223/QUÓRUM!$C$6)</f>
        <v>#DIV/0!</v>
      </c>
      <c r="I1223" s="87"/>
      <c r="J1223" s="88"/>
      <c r="K1223" s="88"/>
      <c r="L1223" s="89"/>
      <c r="M1223" s="89"/>
      <c r="N1223" s="90"/>
      <c r="O1223" s="87"/>
      <c r="P1223" s="87"/>
      <c r="Q1223" s="87"/>
      <c r="R1223" s="91"/>
      <c r="S1223" s="92"/>
      <c r="T1223" s="93"/>
    </row>
    <row r="1224" spans="1:20" s="94" customFormat="1" ht="12" customHeight="1" x14ac:dyDescent="0.3">
      <c r="A1224" s="82"/>
      <c r="B1224" s="83"/>
      <c r="C1224" s="87"/>
      <c r="D1224" s="84"/>
      <c r="E1224" s="83"/>
      <c r="F1224" s="82"/>
      <c r="G1224" s="85"/>
      <c r="H1224" s="86" t="e">
        <f>IF(I1224="fora",0%,G1224/QUÓRUM!$C$6)</f>
        <v>#DIV/0!</v>
      </c>
      <c r="I1224" s="87"/>
      <c r="J1224" s="88"/>
      <c r="K1224" s="88"/>
      <c r="L1224" s="89"/>
      <c r="M1224" s="89"/>
      <c r="N1224" s="90"/>
      <c r="O1224" s="87"/>
      <c r="P1224" s="87"/>
      <c r="Q1224" s="87"/>
      <c r="R1224" s="91"/>
      <c r="S1224" s="92"/>
      <c r="T1224" s="93"/>
    </row>
    <row r="1225" spans="1:20" s="94" customFormat="1" ht="12" customHeight="1" x14ac:dyDescent="0.3">
      <c r="A1225" s="82"/>
      <c r="B1225" s="83"/>
      <c r="C1225" s="87"/>
      <c r="D1225" s="84"/>
      <c r="E1225" s="83"/>
      <c r="F1225" s="82"/>
      <c r="G1225" s="85"/>
      <c r="H1225" s="86" t="e">
        <f>IF(I1225="fora",0%,G1225/QUÓRUM!$C$6)</f>
        <v>#DIV/0!</v>
      </c>
      <c r="I1225" s="87"/>
      <c r="J1225" s="88"/>
      <c r="K1225" s="88"/>
      <c r="L1225" s="89"/>
      <c r="M1225" s="89"/>
      <c r="N1225" s="90"/>
      <c r="O1225" s="87"/>
      <c r="P1225" s="87"/>
      <c r="Q1225" s="87"/>
      <c r="R1225" s="91"/>
      <c r="S1225" s="92"/>
      <c r="T1225" s="93"/>
    </row>
    <row r="1226" spans="1:20" s="94" customFormat="1" ht="12" customHeight="1" x14ac:dyDescent="0.3">
      <c r="A1226" s="82"/>
      <c r="B1226" s="83"/>
      <c r="C1226" s="87"/>
      <c r="D1226" s="84"/>
      <c r="E1226" s="83"/>
      <c r="F1226" s="82"/>
      <c r="G1226" s="85"/>
      <c r="H1226" s="86" t="e">
        <f>IF(I1226="fora",0%,G1226/QUÓRUM!$C$6)</f>
        <v>#DIV/0!</v>
      </c>
      <c r="I1226" s="87"/>
      <c r="J1226" s="88"/>
      <c r="K1226" s="88"/>
      <c r="L1226" s="89"/>
      <c r="M1226" s="89"/>
      <c r="N1226" s="90"/>
      <c r="O1226" s="87"/>
      <c r="P1226" s="87"/>
      <c r="Q1226" s="87"/>
      <c r="R1226" s="91"/>
      <c r="S1226" s="92"/>
      <c r="T1226" s="93"/>
    </row>
    <row r="1227" spans="1:20" s="94" customFormat="1" ht="12" customHeight="1" x14ac:dyDescent="0.3">
      <c r="A1227" s="82"/>
      <c r="B1227" s="83"/>
      <c r="C1227" s="87"/>
      <c r="D1227" s="84"/>
      <c r="E1227" s="83"/>
      <c r="F1227" s="82"/>
      <c r="G1227" s="85"/>
      <c r="H1227" s="86" t="e">
        <f>IF(I1227="fora",0%,G1227/QUÓRUM!$C$6)</f>
        <v>#DIV/0!</v>
      </c>
      <c r="I1227" s="87"/>
      <c r="J1227" s="88"/>
      <c r="K1227" s="88"/>
      <c r="L1227" s="89"/>
      <c r="M1227" s="89"/>
      <c r="N1227" s="90"/>
      <c r="O1227" s="87"/>
      <c r="P1227" s="87"/>
      <c r="Q1227" s="87"/>
      <c r="R1227" s="91"/>
      <c r="S1227" s="92"/>
      <c r="T1227" s="93"/>
    </row>
    <row r="1228" spans="1:20" s="94" customFormat="1" ht="12" customHeight="1" x14ac:dyDescent="0.3">
      <c r="A1228" s="82"/>
      <c r="B1228" s="83"/>
      <c r="C1228" s="87"/>
      <c r="D1228" s="84"/>
      <c r="E1228" s="83"/>
      <c r="F1228" s="82"/>
      <c r="G1228" s="85"/>
      <c r="H1228" s="86" t="e">
        <f>IF(I1228="fora",0%,G1228/QUÓRUM!$C$6)</f>
        <v>#DIV/0!</v>
      </c>
      <c r="I1228" s="87"/>
      <c r="J1228" s="88"/>
      <c r="K1228" s="88"/>
      <c r="L1228" s="89"/>
      <c r="M1228" s="89"/>
      <c r="N1228" s="90"/>
      <c r="O1228" s="87"/>
      <c r="P1228" s="87"/>
      <c r="Q1228" s="87"/>
      <c r="R1228" s="91"/>
      <c r="S1228" s="92"/>
      <c r="T1228" s="93"/>
    </row>
    <row r="1229" spans="1:20" s="94" customFormat="1" ht="12" customHeight="1" x14ac:dyDescent="0.3">
      <c r="A1229" s="82"/>
      <c r="B1229" s="83"/>
      <c r="C1229" s="87"/>
      <c r="D1229" s="84"/>
      <c r="E1229" s="83"/>
      <c r="F1229" s="82"/>
      <c r="G1229" s="85"/>
      <c r="H1229" s="86" t="e">
        <f>IF(I1229="fora",0%,G1229/QUÓRUM!$C$6)</f>
        <v>#DIV/0!</v>
      </c>
      <c r="I1229" s="87"/>
      <c r="J1229" s="88"/>
      <c r="K1229" s="88"/>
      <c r="L1229" s="89"/>
      <c r="M1229" s="89"/>
      <c r="N1229" s="90"/>
      <c r="O1229" s="87"/>
      <c r="P1229" s="87"/>
      <c r="Q1229" s="87"/>
      <c r="R1229" s="91"/>
      <c r="S1229" s="92"/>
      <c r="T1229" s="93"/>
    </row>
    <row r="1230" spans="1:20" s="94" customFormat="1" ht="12" customHeight="1" x14ac:dyDescent="0.3">
      <c r="A1230" s="82"/>
      <c r="B1230" s="83"/>
      <c r="C1230" s="87"/>
      <c r="D1230" s="84"/>
      <c r="E1230" s="83"/>
      <c r="F1230" s="82"/>
      <c r="G1230" s="85"/>
      <c r="H1230" s="86" t="e">
        <f>IF(I1230="fora",0%,G1230/QUÓRUM!$C$6)</f>
        <v>#DIV/0!</v>
      </c>
      <c r="I1230" s="87"/>
      <c r="J1230" s="88"/>
      <c r="K1230" s="88"/>
      <c r="L1230" s="89"/>
      <c r="M1230" s="89"/>
      <c r="N1230" s="90"/>
      <c r="O1230" s="87"/>
      <c r="P1230" s="87"/>
      <c r="Q1230" s="87"/>
      <c r="R1230" s="91"/>
      <c r="S1230" s="92"/>
      <c r="T1230" s="93"/>
    </row>
    <row r="1231" spans="1:20" s="94" customFormat="1" ht="12" customHeight="1" x14ac:dyDescent="0.3">
      <c r="A1231" s="82"/>
      <c r="B1231" s="83"/>
      <c r="C1231" s="87"/>
      <c r="D1231" s="84"/>
      <c r="E1231" s="83"/>
      <c r="F1231" s="82"/>
      <c r="G1231" s="85"/>
      <c r="H1231" s="86" t="e">
        <f>IF(I1231="fora",0%,G1231/QUÓRUM!$C$6)</f>
        <v>#DIV/0!</v>
      </c>
      <c r="I1231" s="87"/>
      <c r="J1231" s="88"/>
      <c r="K1231" s="88"/>
      <c r="L1231" s="89"/>
      <c r="M1231" s="89"/>
      <c r="N1231" s="90"/>
      <c r="O1231" s="87"/>
      <c r="P1231" s="87"/>
      <c r="Q1231" s="87"/>
      <c r="R1231" s="91"/>
      <c r="S1231" s="92"/>
      <c r="T1231" s="93"/>
    </row>
    <row r="1232" spans="1:20" s="94" customFormat="1" ht="12" customHeight="1" x14ac:dyDescent="0.3">
      <c r="A1232" s="82"/>
      <c r="B1232" s="83"/>
      <c r="C1232" s="87"/>
      <c r="D1232" s="84"/>
      <c r="E1232" s="83"/>
      <c r="F1232" s="82"/>
      <c r="G1232" s="85"/>
      <c r="H1232" s="86" t="e">
        <f>IF(I1232="fora",0%,G1232/QUÓRUM!$C$6)</f>
        <v>#DIV/0!</v>
      </c>
      <c r="I1232" s="87"/>
      <c r="J1232" s="88"/>
      <c r="K1232" s="88"/>
      <c r="L1232" s="89"/>
      <c r="M1232" s="89"/>
      <c r="N1232" s="90"/>
      <c r="O1232" s="87"/>
      <c r="P1232" s="87"/>
      <c r="Q1232" s="87"/>
      <c r="R1232" s="91"/>
      <c r="S1232" s="92"/>
      <c r="T1232" s="93"/>
    </row>
    <row r="1233" spans="1:20" s="94" customFormat="1" ht="12" customHeight="1" x14ac:dyDescent="0.3">
      <c r="A1233" s="82"/>
      <c r="B1233" s="83"/>
      <c r="C1233" s="87"/>
      <c r="D1233" s="84"/>
      <c r="E1233" s="83"/>
      <c r="F1233" s="82"/>
      <c r="G1233" s="85"/>
      <c r="H1233" s="86" t="e">
        <f>IF(I1233="fora",0%,G1233/QUÓRUM!$C$6)</f>
        <v>#DIV/0!</v>
      </c>
      <c r="I1233" s="87"/>
      <c r="J1233" s="88"/>
      <c r="K1233" s="88"/>
      <c r="L1233" s="89"/>
      <c r="M1233" s="89"/>
      <c r="N1233" s="90"/>
      <c r="O1233" s="87"/>
      <c r="P1233" s="87"/>
      <c r="Q1233" s="87"/>
      <c r="R1233" s="91"/>
      <c r="S1233" s="92"/>
      <c r="T1233" s="93"/>
    </row>
    <row r="1234" spans="1:20" s="94" customFormat="1" ht="12" customHeight="1" x14ac:dyDescent="0.3">
      <c r="A1234" s="82"/>
      <c r="B1234" s="83"/>
      <c r="C1234" s="87"/>
      <c r="D1234" s="84"/>
      <c r="E1234" s="83"/>
      <c r="F1234" s="82"/>
      <c r="G1234" s="85"/>
      <c r="H1234" s="86" t="e">
        <f>IF(I1234="fora",0%,G1234/QUÓRUM!$C$6)</f>
        <v>#DIV/0!</v>
      </c>
      <c r="I1234" s="87"/>
      <c r="J1234" s="88"/>
      <c r="K1234" s="88"/>
      <c r="L1234" s="89"/>
      <c r="M1234" s="89"/>
      <c r="N1234" s="90"/>
      <c r="O1234" s="87"/>
      <c r="P1234" s="87"/>
      <c r="Q1234" s="87"/>
      <c r="R1234" s="91"/>
      <c r="S1234" s="92"/>
      <c r="T1234" s="93"/>
    </row>
    <row r="1235" spans="1:20" s="94" customFormat="1" ht="12" customHeight="1" x14ac:dyDescent="0.3">
      <c r="A1235" s="82"/>
      <c r="B1235" s="83"/>
      <c r="C1235" s="87"/>
      <c r="D1235" s="84"/>
      <c r="E1235" s="83"/>
      <c r="F1235" s="82"/>
      <c r="G1235" s="85"/>
      <c r="H1235" s="86" t="e">
        <f>IF(I1235="fora",0%,G1235/QUÓRUM!$C$6)</f>
        <v>#DIV/0!</v>
      </c>
      <c r="I1235" s="87"/>
      <c r="J1235" s="88"/>
      <c r="K1235" s="88"/>
      <c r="L1235" s="89"/>
      <c r="M1235" s="89"/>
      <c r="N1235" s="90"/>
      <c r="O1235" s="87"/>
      <c r="P1235" s="87"/>
      <c r="Q1235" s="87"/>
      <c r="R1235" s="91"/>
      <c r="S1235" s="92"/>
      <c r="T1235" s="93"/>
    </row>
    <row r="1236" spans="1:20" s="94" customFormat="1" ht="12" customHeight="1" x14ac:dyDescent="0.3">
      <c r="A1236" s="82"/>
      <c r="B1236" s="83"/>
      <c r="C1236" s="87"/>
      <c r="D1236" s="84"/>
      <c r="E1236" s="83"/>
      <c r="F1236" s="82"/>
      <c r="G1236" s="85"/>
      <c r="H1236" s="86" t="e">
        <f>IF(I1236="fora",0%,G1236/QUÓRUM!$C$6)</f>
        <v>#DIV/0!</v>
      </c>
      <c r="I1236" s="87"/>
      <c r="J1236" s="88"/>
      <c r="K1236" s="88"/>
      <c r="L1236" s="89"/>
      <c r="M1236" s="89"/>
      <c r="N1236" s="90"/>
      <c r="O1236" s="87"/>
      <c r="P1236" s="87"/>
      <c r="Q1236" s="87"/>
      <c r="R1236" s="91"/>
      <c r="S1236" s="92"/>
      <c r="T1236" s="93"/>
    </row>
    <row r="1237" spans="1:20" s="94" customFormat="1" ht="12" customHeight="1" x14ac:dyDescent="0.3">
      <c r="A1237" s="82"/>
      <c r="B1237" s="83"/>
      <c r="C1237" s="87"/>
      <c r="D1237" s="84"/>
      <c r="E1237" s="83"/>
      <c r="F1237" s="82"/>
      <c r="G1237" s="85"/>
      <c r="H1237" s="86" t="e">
        <f>IF(I1237="fora",0%,G1237/QUÓRUM!$C$6)</f>
        <v>#DIV/0!</v>
      </c>
      <c r="I1237" s="87"/>
      <c r="J1237" s="88"/>
      <c r="K1237" s="88"/>
      <c r="L1237" s="89"/>
      <c r="M1237" s="89"/>
      <c r="N1237" s="90"/>
      <c r="O1237" s="87"/>
      <c r="P1237" s="87"/>
      <c r="Q1237" s="87"/>
      <c r="R1237" s="91"/>
      <c r="S1237" s="92"/>
      <c r="T1237" s="93"/>
    </row>
    <row r="1238" spans="1:20" s="94" customFormat="1" ht="12" customHeight="1" x14ac:dyDescent="0.3">
      <c r="A1238" s="82"/>
      <c r="B1238" s="83"/>
      <c r="C1238" s="87"/>
      <c r="D1238" s="84"/>
      <c r="E1238" s="83"/>
      <c r="F1238" s="82"/>
      <c r="G1238" s="85"/>
      <c r="H1238" s="86" t="e">
        <f>IF(I1238="fora",0%,G1238/QUÓRUM!$C$6)</f>
        <v>#DIV/0!</v>
      </c>
      <c r="I1238" s="87"/>
      <c r="J1238" s="88"/>
      <c r="K1238" s="88"/>
      <c r="L1238" s="89"/>
      <c r="M1238" s="89"/>
      <c r="N1238" s="90"/>
      <c r="O1238" s="87"/>
      <c r="P1238" s="87"/>
      <c r="Q1238" s="87"/>
      <c r="R1238" s="91"/>
      <c r="S1238" s="92"/>
      <c r="T1238" s="93"/>
    </row>
    <row r="1239" spans="1:20" s="94" customFormat="1" ht="12" customHeight="1" x14ac:dyDescent="0.3">
      <c r="A1239" s="82"/>
      <c r="B1239" s="83"/>
      <c r="C1239" s="87"/>
      <c r="D1239" s="84"/>
      <c r="E1239" s="83"/>
      <c r="F1239" s="82"/>
      <c r="G1239" s="85"/>
      <c r="H1239" s="86" t="e">
        <f>IF(I1239="fora",0%,G1239/QUÓRUM!$C$6)</f>
        <v>#DIV/0!</v>
      </c>
      <c r="I1239" s="87"/>
      <c r="J1239" s="88"/>
      <c r="K1239" s="88"/>
      <c r="L1239" s="89"/>
      <c r="M1239" s="89"/>
      <c r="N1239" s="90"/>
      <c r="O1239" s="87"/>
      <c r="P1239" s="87"/>
      <c r="Q1239" s="87"/>
      <c r="R1239" s="91"/>
      <c r="S1239" s="92"/>
      <c r="T1239" s="93"/>
    </row>
    <row r="1240" spans="1:20" s="94" customFormat="1" ht="12" customHeight="1" x14ac:dyDescent="0.3">
      <c r="A1240" s="82"/>
      <c r="B1240" s="83"/>
      <c r="C1240" s="87"/>
      <c r="D1240" s="84"/>
      <c r="E1240" s="83"/>
      <c r="F1240" s="82"/>
      <c r="G1240" s="85"/>
      <c r="H1240" s="86" t="e">
        <f>IF(I1240="fora",0%,G1240/QUÓRUM!$C$6)</f>
        <v>#DIV/0!</v>
      </c>
      <c r="I1240" s="87"/>
      <c r="J1240" s="88"/>
      <c r="K1240" s="88"/>
      <c r="L1240" s="89"/>
      <c r="M1240" s="89"/>
      <c r="N1240" s="90"/>
      <c r="O1240" s="87"/>
      <c r="P1240" s="87"/>
      <c r="Q1240" s="87"/>
      <c r="R1240" s="91"/>
      <c r="S1240" s="92"/>
      <c r="T1240" s="93"/>
    </row>
    <row r="1241" spans="1:20" s="94" customFormat="1" ht="12" customHeight="1" x14ac:dyDescent="0.3">
      <c r="A1241" s="82"/>
      <c r="B1241" s="83"/>
      <c r="C1241" s="87"/>
      <c r="D1241" s="84"/>
      <c r="E1241" s="83"/>
      <c r="F1241" s="82"/>
      <c r="G1241" s="85"/>
      <c r="H1241" s="86" t="e">
        <f>IF(I1241="fora",0%,G1241/QUÓRUM!$C$6)</f>
        <v>#DIV/0!</v>
      </c>
      <c r="I1241" s="87"/>
      <c r="J1241" s="88"/>
      <c r="K1241" s="88"/>
      <c r="L1241" s="89"/>
      <c r="M1241" s="89"/>
      <c r="N1241" s="90"/>
      <c r="O1241" s="87"/>
      <c r="P1241" s="87"/>
      <c r="Q1241" s="87"/>
      <c r="R1241" s="91"/>
      <c r="S1241" s="92"/>
      <c r="T1241" s="93"/>
    </row>
    <row r="1242" spans="1:20" s="94" customFormat="1" ht="12" customHeight="1" x14ac:dyDescent="0.3">
      <c r="A1242" s="82"/>
      <c r="B1242" s="83"/>
      <c r="C1242" s="87"/>
      <c r="D1242" s="84"/>
      <c r="E1242" s="83"/>
      <c r="F1242" s="82"/>
      <c r="G1242" s="85"/>
      <c r="H1242" s="86" t="e">
        <f>IF(I1242="fora",0%,G1242/QUÓRUM!$C$6)</f>
        <v>#DIV/0!</v>
      </c>
      <c r="I1242" s="87"/>
      <c r="J1242" s="88"/>
      <c r="K1242" s="88"/>
      <c r="L1242" s="89"/>
      <c r="M1242" s="89"/>
      <c r="N1242" s="90"/>
      <c r="O1242" s="87"/>
      <c r="P1242" s="87"/>
      <c r="Q1242" s="87"/>
      <c r="R1242" s="91"/>
      <c r="S1242" s="92"/>
      <c r="T1242" s="93"/>
    </row>
    <row r="1243" spans="1:20" s="94" customFormat="1" ht="12" customHeight="1" x14ac:dyDescent="0.3">
      <c r="A1243" s="82"/>
      <c r="B1243" s="83"/>
      <c r="C1243" s="87"/>
      <c r="D1243" s="84"/>
      <c r="E1243" s="83"/>
      <c r="F1243" s="82"/>
      <c r="G1243" s="85"/>
      <c r="H1243" s="86" t="e">
        <f>IF(I1243="fora",0%,G1243/QUÓRUM!$C$6)</f>
        <v>#DIV/0!</v>
      </c>
      <c r="I1243" s="87"/>
      <c r="J1243" s="88"/>
      <c r="K1243" s="88"/>
      <c r="L1243" s="89"/>
      <c r="M1243" s="89"/>
      <c r="N1243" s="90"/>
      <c r="O1243" s="87"/>
      <c r="P1243" s="87"/>
      <c r="Q1243" s="87"/>
      <c r="R1243" s="91"/>
      <c r="S1243" s="92"/>
      <c r="T1243" s="93"/>
    </row>
    <row r="1244" spans="1:20" s="94" customFormat="1" ht="12" customHeight="1" x14ac:dyDescent="0.3">
      <c r="A1244" s="82"/>
      <c r="B1244" s="83"/>
      <c r="C1244" s="87"/>
      <c r="D1244" s="84"/>
      <c r="E1244" s="83"/>
      <c r="F1244" s="82"/>
      <c r="G1244" s="85"/>
      <c r="H1244" s="86" t="e">
        <f>IF(I1244="fora",0%,G1244/QUÓRUM!$C$6)</f>
        <v>#DIV/0!</v>
      </c>
      <c r="I1244" s="87"/>
      <c r="J1244" s="88"/>
      <c r="K1244" s="88"/>
      <c r="L1244" s="89"/>
      <c r="M1244" s="89"/>
      <c r="N1244" s="90"/>
      <c r="O1244" s="87"/>
      <c r="P1244" s="87"/>
      <c r="Q1244" s="87"/>
      <c r="R1244" s="91"/>
      <c r="S1244" s="92"/>
      <c r="T1244" s="93"/>
    </row>
    <row r="1245" spans="1:20" s="94" customFormat="1" ht="12" customHeight="1" x14ac:dyDescent="0.3">
      <c r="A1245" s="82"/>
      <c r="B1245" s="83"/>
      <c r="C1245" s="87"/>
      <c r="D1245" s="84"/>
      <c r="E1245" s="83"/>
      <c r="F1245" s="82"/>
      <c r="G1245" s="85"/>
      <c r="H1245" s="86" t="e">
        <f>IF(I1245="fora",0%,G1245/QUÓRUM!$C$6)</f>
        <v>#DIV/0!</v>
      </c>
      <c r="I1245" s="87"/>
      <c r="J1245" s="88"/>
      <c r="K1245" s="88"/>
      <c r="L1245" s="89"/>
      <c r="M1245" s="89"/>
      <c r="N1245" s="90"/>
      <c r="O1245" s="87"/>
      <c r="P1245" s="87"/>
      <c r="Q1245" s="87"/>
      <c r="R1245" s="91"/>
      <c r="S1245" s="92"/>
      <c r="T1245" s="93"/>
    </row>
    <row r="1246" spans="1:20" s="94" customFormat="1" ht="12" customHeight="1" x14ac:dyDescent="0.3">
      <c r="A1246" s="82"/>
      <c r="B1246" s="83"/>
      <c r="C1246" s="87"/>
      <c r="D1246" s="84"/>
      <c r="E1246" s="83"/>
      <c r="F1246" s="82"/>
      <c r="G1246" s="85"/>
      <c r="H1246" s="86" t="e">
        <f>IF(I1246="fora",0%,G1246/QUÓRUM!$C$6)</f>
        <v>#DIV/0!</v>
      </c>
      <c r="I1246" s="87"/>
      <c r="J1246" s="88"/>
      <c r="K1246" s="88"/>
      <c r="L1246" s="89"/>
      <c r="M1246" s="89"/>
      <c r="N1246" s="90"/>
      <c r="O1246" s="87"/>
      <c r="P1246" s="87"/>
      <c r="Q1246" s="87"/>
      <c r="R1246" s="91"/>
      <c r="S1246" s="92"/>
      <c r="T1246" s="93"/>
    </row>
    <row r="1247" spans="1:20" s="94" customFormat="1" ht="12" customHeight="1" x14ac:dyDescent="0.3">
      <c r="A1247" s="82"/>
      <c r="B1247" s="83"/>
      <c r="C1247" s="87"/>
      <c r="D1247" s="84"/>
      <c r="E1247" s="83"/>
      <c r="F1247" s="82"/>
      <c r="G1247" s="85"/>
      <c r="H1247" s="86" t="e">
        <f>IF(I1247="fora",0%,G1247/QUÓRUM!$C$6)</f>
        <v>#DIV/0!</v>
      </c>
      <c r="I1247" s="87"/>
      <c r="J1247" s="88"/>
      <c r="K1247" s="88"/>
      <c r="L1247" s="89"/>
      <c r="M1247" s="89"/>
      <c r="N1247" s="90"/>
      <c r="O1247" s="87"/>
      <c r="P1247" s="87"/>
      <c r="Q1247" s="87"/>
      <c r="R1247" s="91"/>
      <c r="S1247" s="92"/>
      <c r="T1247" s="93"/>
    </row>
    <row r="1248" spans="1:20" s="94" customFormat="1" ht="12" customHeight="1" x14ac:dyDescent="0.3">
      <c r="A1248" s="82"/>
      <c r="B1248" s="83"/>
      <c r="C1248" s="87"/>
      <c r="D1248" s="84"/>
      <c r="E1248" s="83"/>
      <c r="F1248" s="82"/>
      <c r="G1248" s="85"/>
      <c r="H1248" s="86" t="e">
        <f>IF(I1248="fora",0%,G1248/QUÓRUM!$C$6)</f>
        <v>#DIV/0!</v>
      </c>
      <c r="I1248" s="87"/>
      <c r="J1248" s="88"/>
      <c r="K1248" s="88"/>
      <c r="L1248" s="89"/>
      <c r="M1248" s="89"/>
      <c r="N1248" s="90"/>
      <c r="O1248" s="87"/>
      <c r="P1248" s="87"/>
      <c r="Q1248" s="87"/>
      <c r="R1248" s="91"/>
      <c r="S1248" s="92"/>
      <c r="T1248" s="93"/>
    </row>
    <row r="1249" spans="1:20" s="94" customFormat="1" ht="12" customHeight="1" x14ac:dyDescent="0.3">
      <c r="A1249" s="82"/>
      <c r="B1249" s="83"/>
      <c r="C1249" s="87"/>
      <c r="D1249" s="84"/>
      <c r="E1249" s="83"/>
      <c r="F1249" s="82"/>
      <c r="G1249" s="85"/>
      <c r="H1249" s="86" t="e">
        <f>IF(I1249="fora",0%,G1249/QUÓRUM!$C$6)</f>
        <v>#DIV/0!</v>
      </c>
      <c r="I1249" s="87"/>
      <c r="J1249" s="88"/>
      <c r="K1249" s="88"/>
      <c r="L1249" s="89"/>
      <c r="M1249" s="89"/>
      <c r="N1249" s="90"/>
      <c r="O1249" s="87"/>
      <c r="P1249" s="87"/>
      <c r="Q1249" s="87"/>
      <c r="R1249" s="91"/>
      <c r="S1249" s="92"/>
      <c r="T1249" s="93"/>
    </row>
    <row r="1250" spans="1:20" s="94" customFormat="1" ht="12" customHeight="1" x14ac:dyDescent="0.3">
      <c r="A1250" s="82"/>
      <c r="B1250" s="83"/>
      <c r="C1250" s="87"/>
      <c r="D1250" s="84"/>
      <c r="E1250" s="83"/>
      <c r="F1250" s="82"/>
      <c r="G1250" s="85"/>
      <c r="H1250" s="86" t="e">
        <f>IF(I1250="fora",0%,G1250/QUÓRUM!$C$6)</f>
        <v>#DIV/0!</v>
      </c>
      <c r="I1250" s="87"/>
      <c r="J1250" s="88"/>
      <c r="K1250" s="88"/>
      <c r="L1250" s="89"/>
      <c r="M1250" s="89"/>
      <c r="N1250" s="90"/>
      <c r="O1250" s="87"/>
      <c r="P1250" s="87"/>
      <c r="Q1250" s="87"/>
      <c r="R1250" s="91"/>
      <c r="S1250" s="92"/>
      <c r="T1250" s="93"/>
    </row>
    <row r="1251" spans="1:20" s="94" customFormat="1" ht="12" customHeight="1" x14ac:dyDescent="0.3">
      <c r="A1251" s="82"/>
      <c r="B1251" s="83"/>
      <c r="C1251" s="87"/>
      <c r="D1251" s="84"/>
      <c r="E1251" s="83"/>
      <c r="F1251" s="82"/>
      <c r="G1251" s="85"/>
      <c r="H1251" s="86" t="e">
        <f>IF(I1251="fora",0%,G1251/QUÓRUM!$C$6)</f>
        <v>#DIV/0!</v>
      </c>
      <c r="I1251" s="87"/>
      <c r="J1251" s="88"/>
      <c r="K1251" s="88"/>
      <c r="L1251" s="89"/>
      <c r="M1251" s="89"/>
      <c r="N1251" s="90"/>
      <c r="O1251" s="87"/>
      <c r="P1251" s="87"/>
      <c r="Q1251" s="87"/>
      <c r="R1251" s="91"/>
      <c r="S1251" s="92"/>
      <c r="T1251" s="93"/>
    </row>
    <row r="1252" spans="1:20" s="94" customFormat="1" ht="12" customHeight="1" x14ac:dyDescent="0.3">
      <c r="A1252" s="82"/>
      <c r="B1252" s="83"/>
      <c r="C1252" s="87"/>
      <c r="D1252" s="84"/>
      <c r="E1252" s="83"/>
      <c r="F1252" s="82"/>
      <c r="G1252" s="85"/>
      <c r="H1252" s="86" t="e">
        <f>IF(I1252="fora",0%,G1252/QUÓRUM!$C$6)</f>
        <v>#DIV/0!</v>
      </c>
      <c r="I1252" s="87"/>
      <c r="J1252" s="88"/>
      <c r="K1252" s="88"/>
      <c r="L1252" s="89"/>
      <c r="M1252" s="89"/>
      <c r="N1252" s="90"/>
      <c r="O1252" s="87"/>
      <c r="P1252" s="87"/>
      <c r="Q1252" s="87"/>
      <c r="R1252" s="91"/>
      <c r="S1252" s="92"/>
      <c r="T1252" s="93"/>
    </row>
    <row r="1253" spans="1:20" s="94" customFormat="1" ht="12" customHeight="1" x14ac:dyDescent="0.3">
      <c r="A1253" s="82"/>
      <c r="B1253" s="83"/>
      <c r="C1253" s="87"/>
      <c r="D1253" s="84"/>
      <c r="E1253" s="83"/>
      <c r="F1253" s="82"/>
      <c r="G1253" s="85"/>
      <c r="H1253" s="86" t="e">
        <f>IF(I1253="fora",0%,G1253/QUÓRUM!$C$6)</f>
        <v>#DIV/0!</v>
      </c>
      <c r="I1253" s="87"/>
      <c r="J1253" s="88"/>
      <c r="K1253" s="88"/>
      <c r="L1253" s="89"/>
      <c r="M1253" s="89"/>
      <c r="N1253" s="90"/>
      <c r="O1253" s="87"/>
      <c r="P1253" s="87"/>
      <c r="Q1253" s="87"/>
      <c r="R1253" s="91"/>
      <c r="S1253" s="92"/>
      <c r="T1253" s="93"/>
    </row>
    <row r="1254" spans="1:20" s="94" customFormat="1" ht="12" customHeight="1" x14ac:dyDescent="0.3">
      <c r="A1254" s="82"/>
      <c r="B1254" s="83"/>
      <c r="C1254" s="87"/>
      <c r="D1254" s="84"/>
      <c r="E1254" s="83"/>
      <c r="F1254" s="82"/>
      <c r="G1254" s="85"/>
      <c r="H1254" s="86" t="e">
        <f>IF(I1254="fora",0%,G1254/QUÓRUM!$C$6)</f>
        <v>#DIV/0!</v>
      </c>
      <c r="I1254" s="87"/>
      <c r="J1254" s="88"/>
      <c r="K1254" s="88"/>
      <c r="L1254" s="89"/>
      <c r="M1254" s="89"/>
      <c r="N1254" s="90"/>
      <c r="O1254" s="87"/>
      <c r="P1254" s="87"/>
      <c r="Q1254" s="87"/>
      <c r="R1254" s="91"/>
      <c r="S1254" s="92"/>
      <c r="T1254" s="93"/>
    </row>
    <row r="1255" spans="1:20" s="94" customFormat="1" ht="12" customHeight="1" x14ac:dyDescent="0.3">
      <c r="A1255" s="82"/>
      <c r="B1255" s="83"/>
      <c r="C1255" s="87"/>
      <c r="D1255" s="84"/>
      <c r="E1255" s="83"/>
      <c r="F1255" s="82"/>
      <c r="G1255" s="85"/>
      <c r="H1255" s="86" t="e">
        <f>IF(I1255="fora",0%,G1255/QUÓRUM!$C$6)</f>
        <v>#DIV/0!</v>
      </c>
      <c r="I1255" s="87"/>
      <c r="J1255" s="88"/>
      <c r="K1255" s="88"/>
      <c r="L1255" s="89"/>
      <c r="M1255" s="89"/>
      <c r="N1255" s="90"/>
      <c r="O1255" s="87"/>
      <c r="P1255" s="87"/>
      <c r="Q1255" s="87"/>
      <c r="R1255" s="91"/>
      <c r="S1255" s="92"/>
      <c r="T1255" s="93"/>
    </row>
    <row r="1256" spans="1:20" s="94" customFormat="1" ht="12" customHeight="1" x14ac:dyDescent="0.3">
      <c r="A1256" s="82"/>
      <c r="B1256" s="83"/>
      <c r="C1256" s="87"/>
      <c r="D1256" s="84"/>
      <c r="E1256" s="83"/>
      <c r="F1256" s="82"/>
      <c r="G1256" s="85"/>
      <c r="H1256" s="86" t="e">
        <f>IF(I1256="fora",0%,G1256/QUÓRUM!$C$6)</f>
        <v>#DIV/0!</v>
      </c>
      <c r="I1256" s="87"/>
      <c r="J1256" s="88"/>
      <c r="K1256" s="88"/>
      <c r="L1256" s="89"/>
      <c r="M1256" s="89"/>
      <c r="N1256" s="90"/>
      <c r="O1256" s="87"/>
      <c r="P1256" s="87"/>
      <c r="Q1256" s="87"/>
      <c r="R1256" s="91"/>
      <c r="S1256" s="92"/>
      <c r="T1256" s="93"/>
    </row>
    <row r="1257" spans="1:20" s="94" customFormat="1" ht="12" customHeight="1" x14ac:dyDescent="0.3">
      <c r="A1257" s="82"/>
      <c r="B1257" s="83"/>
      <c r="C1257" s="87"/>
      <c r="D1257" s="84"/>
      <c r="E1257" s="83"/>
      <c r="F1257" s="82"/>
      <c r="G1257" s="85"/>
      <c r="H1257" s="86" t="e">
        <f>IF(I1257="fora",0%,G1257/QUÓRUM!$C$6)</f>
        <v>#DIV/0!</v>
      </c>
      <c r="I1257" s="87"/>
      <c r="J1257" s="88"/>
      <c r="K1257" s="88"/>
      <c r="L1257" s="89"/>
      <c r="M1257" s="89"/>
      <c r="N1257" s="90"/>
      <c r="O1257" s="87"/>
      <c r="P1257" s="87"/>
      <c r="Q1257" s="87"/>
      <c r="R1257" s="91"/>
      <c r="S1257" s="92"/>
      <c r="T1257" s="93"/>
    </row>
    <row r="1258" spans="1:20" s="94" customFormat="1" ht="12" customHeight="1" x14ac:dyDescent="0.3">
      <c r="A1258" s="82"/>
      <c r="B1258" s="83"/>
      <c r="C1258" s="87"/>
      <c r="D1258" s="84"/>
      <c r="E1258" s="83"/>
      <c r="F1258" s="82"/>
      <c r="G1258" s="85"/>
      <c r="H1258" s="86" t="e">
        <f>IF(I1258="fora",0%,G1258/QUÓRUM!$C$6)</f>
        <v>#DIV/0!</v>
      </c>
      <c r="I1258" s="87"/>
      <c r="J1258" s="88"/>
      <c r="K1258" s="88"/>
      <c r="L1258" s="89"/>
      <c r="M1258" s="89"/>
      <c r="N1258" s="90"/>
      <c r="O1258" s="87"/>
      <c r="P1258" s="87"/>
      <c r="Q1258" s="87"/>
      <c r="R1258" s="91"/>
      <c r="S1258" s="92"/>
      <c r="T1258" s="93"/>
    </row>
    <row r="1259" spans="1:20" s="94" customFormat="1" ht="12" customHeight="1" x14ac:dyDescent="0.3">
      <c r="A1259" s="82"/>
      <c r="B1259" s="83"/>
      <c r="C1259" s="87"/>
      <c r="D1259" s="84"/>
      <c r="E1259" s="83"/>
      <c r="F1259" s="82"/>
      <c r="G1259" s="85"/>
      <c r="H1259" s="86" t="e">
        <f>IF(I1259="fora",0%,G1259/QUÓRUM!$C$6)</f>
        <v>#DIV/0!</v>
      </c>
      <c r="I1259" s="87"/>
      <c r="J1259" s="88"/>
      <c r="K1259" s="88"/>
      <c r="L1259" s="89"/>
      <c r="M1259" s="89"/>
      <c r="N1259" s="90"/>
      <c r="O1259" s="87"/>
      <c r="P1259" s="87"/>
      <c r="Q1259" s="87"/>
      <c r="R1259" s="91"/>
      <c r="S1259" s="92"/>
      <c r="T1259" s="93"/>
    </row>
    <row r="1260" spans="1:20" s="94" customFormat="1" ht="12" customHeight="1" x14ac:dyDescent="0.3">
      <c r="A1260" s="82"/>
      <c r="B1260" s="83"/>
      <c r="C1260" s="87"/>
      <c r="D1260" s="84"/>
      <c r="E1260" s="83"/>
      <c r="F1260" s="82"/>
      <c r="G1260" s="85"/>
      <c r="H1260" s="86" t="e">
        <f>IF(I1260="fora",0%,G1260/QUÓRUM!$C$6)</f>
        <v>#DIV/0!</v>
      </c>
      <c r="I1260" s="87"/>
      <c r="J1260" s="88"/>
      <c r="K1260" s="88"/>
      <c r="L1260" s="89"/>
      <c r="M1260" s="89"/>
      <c r="N1260" s="90"/>
      <c r="O1260" s="87"/>
      <c r="P1260" s="87"/>
      <c r="Q1260" s="87"/>
      <c r="R1260" s="91"/>
      <c r="S1260" s="92"/>
      <c r="T1260" s="93"/>
    </row>
    <row r="1261" spans="1:20" s="94" customFormat="1" ht="12" customHeight="1" x14ac:dyDescent="0.3">
      <c r="A1261" s="82"/>
      <c r="B1261" s="83"/>
      <c r="C1261" s="87"/>
      <c r="D1261" s="84"/>
      <c r="E1261" s="83"/>
      <c r="F1261" s="82"/>
      <c r="G1261" s="85"/>
      <c r="H1261" s="86" t="e">
        <f>IF(I1261="fora",0%,G1261/QUÓRUM!$C$6)</f>
        <v>#DIV/0!</v>
      </c>
      <c r="I1261" s="87"/>
      <c r="J1261" s="88"/>
      <c r="K1261" s="88"/>
      <c r="L1261" s="89"/>
      <c r="M1261" s="89"/>
      <c r="N1261" s="90"/>
      <c r="O1261" s="87"/>
      <c r="P1261" s="87"/>
      <c r="Q1261" s="87"/>
      <c r="R1261" s="91"/>
      <c r="S1261" s="92"/>
      <c r="T1261" s="93"/>
    </row>
    <row r="1262" spans="1:20" s="94" customFormat="1" ht="12" customHeight="1" x14ac:dyDescent="0.3">
      <c r="A1262" s="82"/>
      <c r="B1262" s="83"/>
      <c r="C1262" s="87"/>
      <c r="D1262" s="84"/>
      <c r="E1262" s="83"/>
      <c r="F1262" s="82"/>
      <c r="G1262" s="85"/>
      <c r="H1262" s="86" t="e">
        <f>IF(I1262="fora",0%,G1262/QUÓRUM!$C$6)</f>
        <v>#DIV/0!</v>
      </c>
      <c r="I1262" s="87"/>
      <c r="J1262" s="88"/>
      <c r="K1262" s="88"/>
      <c r="L1262" s="89"/>
      <c r="M1262" s="89"/>
      <c r="N1262" s="90"/>
      <c r="O1262" s="87"/>
      <c r="P1262" s="87"/>
      <c r="Q1262" s="87"/>
      <c r="R1262" s="91"/>
      <c r="S1262" s="92"/>
      <c r="T1262" s="93"/>
    </row>
    <row r="1263" spans="1:20" s="94" customFormat="1" ht="12" customHeight="1" x14ac:dyDescent="0.3">
      <c r="A1263" s="82"/>
      <c r="B1263" s="83"/>
      <c r="C1263" s="87"/>
      <c r="D1263" s="84"/>
      <c r="E1263" s="83"/>
      <c r="F1263" s="82"/>
      <c r="G1263" s="85"/>
      <c r="H1263" s="86" t="e">
        <f>IF(I1263="fora",0%,G1263/QUÓRUM!$C$6)</f>
        <v>#DIV/0!</v>
      </c>
      <c r="I1263" s="87"/>
      <c r="J1263" s="88"/>
      <c r="K1263" s="88"/>
      <c r="L1263" s="89"/>
      <c r="M1263" s="89"/>
      <c r="N1263" s="90"/>
      <c r="O1263" s="87"/>
      <c r="P1263" s="87"/>
      <c r="Q1263" s="87"/>
      <c r="R1263" s="91"/>
      <c r="S1263" s="92"/>
      <c r="T1263" s="93"/>
    </row>
    <row r="1264" spans="1:20" s="94" customFormat="1" ht="12" customHeight="1" x14ac:dyDescent="0.3">
      <c r="A1264" s="82"/>
      <c r="B1264" s="83"/>
      <c r="C1264" s="87"/>
      <c r="D1264" s="84"/>
      <c r="E1264" s="83"/>
      <c r="F1264" s="82"/>
      <c r="G1264" s="85"/>
      <c r="H1264" s="86" t="e">
        <f>IF(I1264="fora",0%,G1264/QUÓRUM!$C$6)</f>
        <v>#DIV/0!</v>
      </c>
      <c r="I1264" s="87"/>
      <c r="J1264" s="88"/>
      <c r="K1264" s="88"/>
      <c r="L1264" s="89"/>
      <c r="M1264" s="89"/>
      <c r="N1264" s="90"/>
      <c r="O1264" s="87"/>
      <c r="P1264" s="87"/>
      <c r="Q1264" s="87"/>
      <c r="R1264" s="91"/>
      <c r="S1264" s="92"/>
      <c r="T1264" s="93"/>
    </row>
    <row r="1265" spans="1:20" s="94" customFormat="1" ht="12" customHeight="1" x14ac:dyDescent="0.3">
      <c r="A1265" s="82"/>
      <c r="B1265" s="83"/>
      <c r="C1265" s="87"/>
      <c r="D1265" s="84"/>
      <c r="E1265" s="83"/>
      <c r="F1265" s="82"/>
      <c r="G1265" s="85"/>
      <c r="H1265" s="86" t="e">
        <f>IF(I1265="fora",0%,G1265/QUÓRUM!$C$6)</f>
        <v>#DIV/0!</v>
      </c>
      <c r="I1265" s="87"/>
      <c r="J1265" s="88"/>
      <c r="K1265" s="88"/>
      <c r="L1265" s="89"/>
      <c r="M1265" s="89"/>
      <c r="N1265" s="90"/>
      <c r="O1265" s="87"/>
      <c r="P1265" s="87"/>
      <c r="Q1265" s="87"/>
      <c r="R1265" s="91"/>
      <c r="S1265" s="92"/>
      <c r="T1265" s="93"/>
    </row>
    <row r="1266" spans="1:20" s="94" customFormat="1" ht="12" customHeight="1" x14ac:dyDescent="0.3">
      <c r="A1266" s="82"/>
      <c r="B1266" s="83"/>
      <c r="C1266" s="87"/>
      <c r="D1266" s="84"/>
      <c r="E1266" s="83"/>
      <c r="F1266" s="82"/>
      <c r="G1266" s="85"/>
      <c r="H1266" s="86" t="e">
        <f>IF(I1266="fora",0%,G1266/QUÓRUM!$C$6)</f>
        <v>#DIV/0!</v>
      </c>
      <c r="I1266" s="87"/>
      <c r="J1266" s="88"/>
      <c r="K1266" s="88"/>
      <c r="L1266" s="89"/>
      <c r="M1266" s="89"/>
      <c r="N1266" s="90"/>
      <c r="O1266" s="87"/>
      <c r="P1266" s="87"/>
      <c r="Q1266" s="87"/>
      <c r="R1266" s="91"/>
      <c r="S1266" s="92"/>
      <c r="T1266" s="93"/>
    </row>
    <row r="1267" spans="1:20" s="94" customFormat="1" ht="12" customHeight="1" x14ac:dyDescent="0.3">
      <c r="A1267" s="82"/>
      <c r="B1267" s="83"/>
      <c r="C1267" s="87"/>
      <c r="D1267" s="84"/>
      <c r="E1267" s="83"/>
      <c r="F1267" s="82"/>
      <c r="G1267" s="85"/>
      <c r="H1267" s="86" t="e">
        <f>IF(I1267="fora",0%,G1267/QUÓRUM!$C$6)</f>
        <v>#DIV/0!</v>
      </c>
      <c r="I1267" s="87"/>
      <c r="J1267" s="88"/>
      <c r="K1267" s="88"/>
      <c r="L1267" s="89"/>
      <c r="M1267" s="89"/>
      <c r="N1267" s="90"/>
      <c r="O1267" s="87"/>
      <c r="P1267" s="87"/>
      <c r="Q1267" s="87"/>
      <c r="R1267" s="91"/>
      <c r="S1267" s="92"/>
      <c r="T1267" s="93"/>
    </row>
    <row r="1268" spans="1:20" s="94" customFormat="1" ht="12" customHeight="1" x14ac:dyDescent="0.3">
      <c r="A1268" s="82"/>
      <c r="B1268" s="83"/>
      <c r="C1268" s="87"/>
      <c r="D1268" s="84"/>
      <c r="E1268" s="83"/>
      <c r="F1268" s="82"/>
      <c r="G1268" s="85"/>
      <c r="H1268" s="86" t="e">
        <f>IF(I1268="fora",0%,G1268/QUÓRUM!$C$6)</f>
        <v>#DIV/0!</v>
      </c>
      <c r="I1268" s="87"/>
      <c r="J1268" s="88"/>
      <c r="K1268" s="88"/>
      <c r="L1268" s="89"/>
      <c r="M1268" s="89"/>
      <c r="N1268" s="90"/>
      <c r="O1268" s="87"/>
      <c r="P1268" s="87"/>
      <c r="Q1268" s="87"/>
      <c r="R1268" s="91"/>
      <c r="S1268" s="92"/>
      <c r="T1268" s="93"/>
    </row>
    <row r="1269" spans="1:20" s="94" customFormat="1" ht="12" customHeight="1" x14ac:dyDescent="0.3">
      <c r="A1269" s="82"/>
      <c r="B1269" s="83"/>
      <c r="C1269" s="87"/>
      <c r="D1269" s="84"/>
      <c r="E1269" s="83"/>
      <c r="F1269" s="82"/>
      <c r="G1269" s="85"/>
      <c r="H1269" s="86" t="e">
        <f>IF(I1269="fora",0%,G1269/QUÓRUM!$C$6)</f>
        <v>#DIV/0!</v>
      </c>
      <c r="I1269" s="87"/>
      <c r="J1269" s="88"/>
      <c r="K1269" s="88"/>
      <c r="L1269" s="89"/>
      <c r="M1269" s="89"/>
      <c r="N1269" s="90"/>
      <c r="O1269" s="87"/>
      <c r="P1269" s="87"/>
      <c r="Q1269" s="87"/>
      <c r="R1269" s="91"/>
      <c r="S1269" s="92"/>
      <c r="T1269" s="93"/>
    </row>
    <row r="1270" spans="1:20" s="94" customFormat="1" ht="12" customHeight="1" x14ac:dyDescent="0.3">
      <c r="A1270" s="82"/>
      <c r="B1270" s="83"/>
      <c r="C1270" s="87"/>
      <c r="D1270" s="84"/>
      <c r="E1270" s="83"/>
      <c r="F1270" s="82"/>
      <c r="G1270" s="85"/>
      <c r="H1270" s="86" t="e">
        <f>IF(I1270="fora",0%,G1270/QUÓRUM!$C$6)</f>
        <v>#DIV/0!</v>
      </c>
      <c r="I1270" s="87"/>
      <c r="J1270" s="88"/>
      <c r="K1270" s="88"/>
      <c r="L1270" s="89"/>
      <c r="M1270" s="89"/>
      <c r="N1270" s="90"/>
      <c r="O1270" s="87"/>
      <c r="P1270" s="87"/>
      <c r="Q1270" s="87"/>
      <c r="R1270" s="91"/>
      <c r="S1270" s="92"/>
      <c r="T1270" s="93"/>
    </row>
    <row r="1271" spans="1:20" s="94" customFormat="1" ht="12" customHeight="1" x14ac:dyDescent="0.3">
      <c r="A1271" s="82"/>
      <c r="B1271" s="83"/>
      <c r="C1271" s="87"/>
      <c r="D1271" s="84"/>
      <c r="E1271" s="83"/>
      <c r="F1271" s="82"/>
      <c r="G1271" s="85"/>
      <c r="H1271" s="86" t="e">
        <f>IF(I1271="fora",0%,G1271/QUÓRUM!$C$6)</f>
        <v>#DIV/0!</v>
      </c>
      <c r="I1271" s="87"/>
      <c r="J1271" s="88"/>
      <c r="K1271" s="88"/>
      <c r="L1271" s="89"/>
      <c r="M1271" s="89"/>
      <c r="N1271" s="90"/>
      <c r="O1271" s="87"/>
      <c r="P1271" s="87"/>
      <c r="Q1271" s="87"/>
      <c r="R1271" s="91"/>
      <c r="S1271" s="92"/>
      <c r="T1271" s="93"/>
    </row>
    <row r="1272" spans="1:20" s="94" customFormat="1" ht="12" customHeight="1" x14ac:dyDescent="0.3">
      <c r="A1272" s="82"/>
      <c r="B1272" s="83"/>
      <c r="C1272" s="87"/>
      <c r="D1272" s="84"/>
      <c r="E1272" s="83"/>
      <c r="F1272" s="82"/>
      <c r="G1272" s="85"/>
      <c r="H1272" s="86" t="e">
        <f>IF(I1272="fora",0%,G1272/QUÓRUM!$C$6)</f>
        <v>#DIV/0!</v>
      </c>
      <c r="I1272" s="87"/>
      <c r="J1272" s="88"/>
      <c r="K1272" s="88"/>
      <c r="L1272" s="89"/>
      <c r="M1272" s="89"/>
      <c r="N1272" s="90"/>
      <c r="O1272" s="87"/>
      <c r="P1272" s="87"/>
      <c r="Q1272" s="87"/>
      <c r="R1272" s="91"/>
      <c r="S1272" s="92"/>
      <c r="T1272" s="93"/>
    </row>
    <row r="1273" spans="1:20" s="94" customFormat="1" ht="12" customHeight="1" x14ac:dyDescent="0.3">
      <c r="A1273" s="82"/>
      <c r="B1273" s="83"/>
      <c r="C1273" s="87"/>
      <c r="D1273" s="84"/>
      <c r="E1273" s="83"/>
      <c r="F1273" s="82"/>
      <c r="G1273" s="85"/>
      <c r="H1273" s="86" t="e">
        <f>IF(I1273="fora",0%,G1273/QUÓRUM!$C$6)</f>
        <v>#DIV/0!</v>
      </c>
      <c r="I1273" s="87"/>
      <c r="J1273" s="88"/>
      <c r="K1273" s="88"/>
      <c r="L1273" s="89"/>
      <c r="M1273" s="89"/>
      <c r="N1273" s="90"/>
      <c r="O1273" s="87"/>
      <c r="P1273" s="87"/>
      <c r="Q1273" s="87"/>
      <c r="R1273" s="91"/>
      <c r="S1273" s="92"/>
      <c r="T1273" s="93"/>
    </row>
    <row r="1274" spans="1:20" s="94" customFormat="1" ht="12" customHeight="1" x14ac:dyDescent="0.3">
      <c r="A1274" s="82"/>
      <c r="B1274" s="83"/>
      <c r="C1274" s="87"/>
      <c r="D1274" s="84"/>
      <c r="E1274" s="83"/>
      <c r="F1274" s="82"/>
      <c r="G1274" s="85"/>
      <c r="H1274" s="86" t="e">
        <f>IF(I1274="fora",0%,G1274/QUÓRUM!$C$6)</f>
        <v>#DIV/0!</v>
      </c>
      <c r="I1274" s="87"/>
      <c r="J1274" s="88"/>
      <c r="K1274" s="88"/>
      <c r="L1274" s="89"/>
      <c r="M1274" s="89"/>
      <c r="N1274" s="90"/>
      <c r="O1274" s="87"/>
      <c r="P1274" s="87"/>
      <c r="Q1274" s="87"/>
      <c r="R1274" s="91"/>
      <c r="S1274" s="92"/>
      <c r="T1274" s="93"/>
    </row>
    <row r="1275" spans="1:20" s="94" customFormat="1" ht="12" customHeight="1" x14ac:dyDescent="0.3">
      <c r="A1275" s="82"/>
      <c r="B1275" s="83"/>
      <c r="C1275" s="87"/>
      <c r="D1275" s="84"/>
      <c r="E1275" s="83"/>
      <c r="F1275" s="82"/>
      <c r="G1275" s="85"/>
      <c r="H1275" s="86" t="e">
        <f>IF(I1275="fora",0%,G1275/QUÓRUM!$C$6)</f>
        <v>#DIV/0!</v>
      </c>
      <c r="I1275" s="87"/>
      <c r="J1275" s="88"/>
      <c r="K1275" s="88"/>
      <c r="L1275" s="89"/>
      <c r="M1275" s="89"/>
      <c r="N1275" s="90"/>
      <c r="O1275" s="87"/>
      <c r="P1275" s="87"/>
      <c r="Q1275" s="87"/>
      <c r="R1275" s="91"/>
      <c r="S1275" s="92"/>
      <c r="T1275" s="93"/>
    </row>
    <row r="1276" spans="1:20" s="94" customFormat="1" ht="12" customHeight="1" x14ac:dyDescent="0.3">
      <c r="A1276" s="82"/>
      <c r="B1276" s="83"/>
      <c r="C1276" s="87"/>
      <c r="D1276" s="84"/>
      <c r="E1276" s="83"/>
      <c r="F1276" s="82"/>
      <c r="G1276" s="85"/>
      <c r="H1276" s="86" t="e">
        <f>IF(I1276="fora",0%,G1276/QUÓRUM!$C$6)</f>
        <v>#DIV/0!</v>
      </c>
      <c r="I1276" s="87"/>
      <c r="J1276" s="88"/>
      <c r="K1276" s="88"/>
      <c r="L1276" s="89"/>
      <c r="M1276" s="89"/>
      <c r="N1276" s="90"/>
      <c r="O1276" s="87"/>
      <c r="P1276" s="87"/>
      <c r="Q1276" s="87"/>
      <c r="R1276" s="91"/>
      <c r="S1276" s="92"/>
      <c r="T1276" s="93"/>
    </row>
    <row r="1277" spans="1:20" s="94" customFormat="1" ht="12" customHeight="1" x14ac:dyDescent="0.3">
      <c r="A1277" s="82"/>
      <c r="B1277" s="83"/>
      <c r="C1277" s="87"/>
      <c r="D1277" s="84"/>
      <c r="E1277" s="83"/>
      <c r="F1277" s="82"/>
      <c r="G1277" s="85"/>
      <c r="H1277" s="86" t="e">
        <f>IF(I1277="fora",0%,G1277/QUÓRUM!$C$6)</f>
        <v>#DIV/0!</v>
      </c>
      <c r="I1277" s="87"/>
      <c r="J1277" s="88"/>
      <c r="K1277" s="88"/>
      <c r="L1277" s="89"/>
      <c r="M1277" s="89"/>
      <c r="N1277" s="90"/>
      <c r="O1277" s="87"/>
      <c r="P1277" s="87"/>
      <c r="Q1277" s="87"/>
      <c r="R1277" s="91"/>
      <c r="S1277" s="92"/>
      <c r="T1277" s="93"/>
    </row>
    <row r="1278" spans="1:20" s="94" customFormat="1" ht="12" customHeight="1" x14ac:dyDescent="0.3">
      <c r="A1278" s="82"/>
      <c r="B1278" s="83"/>
      <c r="C1278" s="87"/>
      <c r="D1278" s="84"/>
      <c r="E1278" s="83"/>
      <c r="F1278" s="82"/>
      <c r="G1278" s="85"/>
      <c r="H1278" s="86" t="e">
        <f>IF(I1278="fora",0%,G1278/QUÓRUM!$C$6)</f>
        <v>#DIV/0!</v>
      </c>
      <c r="I1278" s="87"/>
      <c r="J1278" s="88"/>
      <c r="K1278" s="88"/>
      <c r="L1278" s="89"/>
      <c r="M1278" s="89"/>
      <c r="N1278" s="90"/>
      <c r="O1278" s="87"/>
      <c r="P1278" s="87"/>
      <c r="Q1278" s="87"/>
      <c r="R1278" s="91"/>
      <c r="S1278" s="92"/>
      <c r="T1278" s="93"/>
    </row>
    <row r="1279" spans="1:20" s="94" customFormat="1" ht="12" customHeight="1" x14ac:dyDescent="0.3">
      <c r="A1279" s="82"/>
      <c r="B1279" s="83"/>
      <c r="C1279" s="87"/>
      <c r="D1279" s="84"/>
      <c r="E1279" s="83"/>
      <c r="F1279" s="82"/>
      <c r="G1279" s="85"/>
      <c r="H1279" s="86" t="e">
        <f>IF(I1279="fora",0%,G1279/QUÓRUM!$C$6)</f>
        <v>#DIV/0!</v>
      </c>
      <c r="I1279" s="87"/>
      <c r="J1279" s="88"/>
      <c r="K1279" s="88"/>
      <c r="L1279" s="89"/>
      <c r="M1279" s="89"/>
      <c r="N1279" s="90"/>
      <c r="O1279" s="87"/>
      <c r="P1279" s="87"/>
      <c r="Q1279" s="87"/>
      <c r="R1279" s="91"/>
      <c r="S1279" s="92"/>
      <c r="T1279" s="93"/>
    </row>
    <row r="1280" spans="1:20" s="94" customFormat="1" ht="12" customHeight="1" x14ac:dyDescent="0.3">
      <c r="A1280" s="82"/>
      <c r="B1280" s="83"/>
      <c r="C1280" s="87"/>
      <c r="D1280" s="84"/>
      <c r="E1280" s="83"/>
      <c r="F1280" s="82"/>
      <c r="G1280" s="85"/>
      <c r="H1280" s="86" t="e">
        <f>IF(I1280="fora",0%,G1280/QUÓRUM!$C$6)</f>
        <v>#DIV/0!</v>
      </c>
      <c r="I1280" s="87"/>
      <c r="J1280" s="88"/>
      <c r="K1280" s="88"/>
      <c r="L1280" s="89"/>
      <c r="M1280" s="89"/>
      <c r="N1280" s="90"/>
      <c r="O1280" s="87"/>
      <c r="P1280" s="87"/>
      <c r="Q1280" s="87"/>
      <c r="R1280" s="91"/>
      <c r="S1280" s="92"/>
      <c r="T1280" s="93"/>
    </row>
    <row r="1281" spans="1:20" s="94" customFormat="1" ht="12" customHeight="1" x14ac:dyDescent="0.3">
      <c r="A1281" s="82"/>
      <c r="B1281" s="83"/>
      <c r="C1281" s="87"/>
      <c r="D1281" s="84"/>
      <c r="E1281" s="83"/>
      <c r="F1281" s="82"/>
      <c r="G1281" s="85"/>
      <c r="H1281" s="86" t="e">
        <f>IF(I1281="fora",0%,G1281/QUÓRUM!$C$6)</f>
        <v>#DIV/0!</v>
      </c>
      <c r="I1281" s="87"/>
      <c r="J1281" s="88"/>
      <c r="K1281" s="88"/>
      <c r="L1281" s="89"/>
      <c r="M1281" s="89"/>
      <c r="N1281" s="90"/>
      <c r="O1281" s="87"/>
      <c r="P1281" s="87"/>
      <c r="Q1281" s="87"/>
      <c r="R1281" s="91"/>
      <c r="S1281" s="92"/>
      <c r="T1281" s="93"/>
    </row>
    <row r="1282" spans="1:20" s="94" customFormat="1" ht="12" customHeight="1" x14ac:dyDescent="0.3">
      <c r="A1282" s="82"/>
      <c r="B1282" s="83"/>
      <c r="C1282" s="87"/>
      <c r="D1282" s="84"/>
      <c r="E1282" s="83"/>
      <c r="F1282" s="82"/>
      <c r="G1282" s="85"/>
      <c r="H1282" s="86" t="e">
        <f>IF(I1282="fora",0%,G1282/QUÓRUM!$C$6)</f>
        <v>#DIV/0!</v>
      </c>
      <c r="I1282" s="87"/>
      <c r="J1282" s="88"/>
      <c r="K1282" s="88"/>
      <c r="L1282" s="89"/>
      <c r="M1282" s="89"/>
      <c r="N1282" s="90"/>
      <c r="O1282" s="87"/>
      <c r="P1282" s="87"/>
      <c r="Q1282" s="87"/>
      <c r="R1282" s="91"/>
      <c r="S1282" s="92"/>
      <c r="T1282" s="93"/>
    </row>
    <row r="1283" spans="1:20" s="94" customFormat="1" ht="12" customHeight="1" x14ac:dyDescent="0.3">
      <c r="A1283" s="82"/>
      <c r="B1283" s="83"/>
      <c r="C1283" s="87"/>
      <c r="D1283" s="84"/>
      <c r="E1283" s="83"/>
      <c r="F1283" s="82"/>
      <c r="G1283" s="85"/>
      <c r="H1283" s="86" t="e">
        <f>IF(I1283="fora",0%,G1283/QUÓRUM!$C$6)</f>
        <v>#DIV/0!</v>
      </c>
      <c r="I1283" s="87"/>
      <c r="J1283" s="88"/>
      <c r="K1283" s="88"/>
      <c r="L1283" s="89"/>
      <c r="M1283" s="89"/>
      <c r="N1283" s="90"/>
      <c r="O1283" s="87"/>
      <c r="P1283" s="87"/>
      <c r="Q1283" s="87"/>
      <c r="R1283" s="91"/>
      <c r="S1283" s="92"/>
      <c r="T1283" s="93"/>
    </row>
    <row r="1284" spans="1:20" s="94" customFormat="1" ht="12" customHeight="1" x14ac:dyDescent="0.3">
      <c r="A1284" s="82"/>
      <c r="B1284" s="83"/>
      <c r="C1284" s="87"/>
      <c r="D1284" s="84"/>
      <c r="E1284" s="83"/>
      <c r="F1284" s="82"/>
      <c r="G1284" s="85"/>
      <c r="H1284" s="86" t="e">
        <f>IF(I1284="fora",0%,G1284/QUÓRUM!$C$6)</f>
        <v>#DIV/0!</v>
      </c>
      <c r="I1284" s="87"/>
      <c r="J1284" s="88"/>
      <c r="K1284" s="88"/>
      <c r="L1284" s="89"/>
      <c r="M1284" s="89"/>
      <c r="N1284" s="90"/>
      <c r="O1284" s="87"/>
      <c r="P1284" s="87"/>
      <c r="Q1284" s="87"/>
      <c r="R1284" s="91"/>
      <c r="S1284" s="92"/>
      <c r="T1284" s="93"/>
    </row>
    <row r="1285" spans="1:20" s="94" customFormat="1" ht="12" customHeight="1" x14ac:dyDescent="0.3">
      <c r="A1285" s="82"/>
      <c r="B1285" s="83"/>
      <c r="C1285" s="87"/>
      <c r="D1285" s="84"/>
      <c r="E1285" s="83"/>
      <c r="F1285" s="82"/>
      <c r="G1285" s="85"/>
      <c r="H1285" s="86" t="e">
        <f>IF(I1285="fora",0%,G1285/QUÓRUM!$C$6)</f>
        <v>#DIV/0!</v>
      </c>
      <c r="I1285" s="87"/>
      <c r="J1285" s="88"/>
      <c r="K1285" s="88"/>
      <c r="L1285" s="89"/>
      <c r="M1285" s="89"/>
      <c r="N1285" s="90"/>
      <c r="O1285" s="87"/>
      <c r="P1285" s="87"/>
      <c r="Q1285" s="87"/>
      <c r="R1285" s="91"/>
      <c r="S1285" s="92"/>
      <c r="T1285" s="93"/>
    </row>
    <row r="1286" spans="1:20" s="94" customFormat="1" ht="12" customHeight="1" x14ac:dyDescent="0.3">
      <c r="A1286" s="82"/>
      <c r="B1286" s="83"/>
      <c r="C1286" s="87"/>
      <c r="D1286" s="84"/>
      <c r="E1286" s="83"/>
      <c r="F1286" s="82"/>
      <c r="G1286" s="85"/>
      <c r="H1286" s="86" t="e">
        <f>IF(I1286="fora",0%,G1286/QUÓRUM!$C$6)</f>
        <v>#DIV/0!</v>
      </c>
      <c r="I1286" s="87"/>
      <c r="J1286" s="88"/>
      <c r="K1286" s="88"/>
      <c r="L1286" s="89"/>
      <c r="M1286" s="89"/>
      <c r="N1286" s="90"/>
      <c r="O1286" s="87"/>
      <c r="P1286" s="87"/>
      <c r="Q1286" s="87"/>
      <c r="R1286" s="91"/>
      <c r="S1286" s="92"/>
      <c r="T1286" s="93"/>
    </row>
    <row r="1287" spans="1:20" s="94" customFormat="1" ht="12" customHeight="1" x14ac:dyDescent="0.3">
      <c r="A1287" s="82"/>
      <c r="B1287" s="83"/>
      <c r="C1287" s="87"/>
      <c r="D1287" s="84"/>
      <c r="E1287" s="83"/>
      <c r="F1287" s="82"/>
      <c r="G1287" s="85"/>
      <c r="H1287" s="86" t="e">
        <f>IF(I1287="fora",0%,G1287/QUÓRUM!$C$6)</f>
        <v>#DIV/0!</v>
      </c>
      <c r="I1287" s="87"/>
      <c r="J1287" s="88"/>
      <c r="K1287" s="88"/>
      <c r="L1287" s="89"/>
      <c r="M1287" s="89"/>
      <c r="N1287" s="90"/>
      <c r="O1287" s="87"/>
      <c r="P1287" s="87"/>
      <c r="Q1287" s="87"/>
      <c r="R1287" s="91"/>
      <c r="S1287" s="92"/>
      <c r="T1287" s="93"/>
    </row>
    <row r="1288" spans="1:20" s="94" customFormat="1" ht="12" customHeight="1" x14ac:dyDescent="0.3">
      <c r="A1288" s="82"/>
      <c r="B1288" s="83"/>
      <c r="C1288" s="87"/>
      <c r="D1288" s="84"/>
      <c r="E1288" s="83"/>
      <c r="F1288" s="82"/>
      <c r="G1288" s="85"/>
      <c r="H1288" s="86" t="e">
        <f>IF(I1288="fora",0%,G1288/QUÓRUM!$C$6)</f>
        <v>#DIV/0!</v>
      </c>
      <c r="I1288" s="87"/>
      <c r="J1288" s="88"/>
      <c r="K1288" s="88"/>
      <c r="L1288" s="89"/>
      <c r="M1288" s="89"/>
      <c r="N1288" s="90"/>
      <c r="O1288" s="87"/>
      <c r="P1288" s="87"/>
      <c r="Q1288" s="87"/>
      <c r="R1288" s="91"/>
      <c r="S1288" s="92"/>
      <c r="T1288" s="93"/>
    </row>
    <row r="1289" spans="1:20" s="94" customFormat="1" ht="12" customHeight="1" x14ac:dyDescent="0.3">
      <c r="A1289" s="82"/>
      <c r="B1289" s="83"/>
      <c r="C1289" s="87"/>
      <c r="D1289" s="84"/>
      <c r="E1289" s="83"/>
      <c r="F1289" s="82"/>
      <c r="G1289" s="85"/>
      <c r="H1289" s="86" t="e">
        <f>IF(I1289="fora",0%,G1289/QUÓRUM!$C$6)</f>
        <v>#DIV/0!</v>
      </c>
      <c r="I1289" s="87"/>
      <c r="J1289" s="88"/>
      <c r="K1289" s="88"/>
      <c r="L1289" s="89"/>
      <c r="M1289" s="89"/>
      <c r="N1289" s="90"/>
      <c r="O1289" s="87"/>
      <c r="P1289" s="87"/>
      <c r="Q1289" s="87"/>
      <c r="R1289" s="91"/>
      <c r="S1289" s="92"/>
      <c r="T1289" s="93"/>
    </row>
    <row r="1290" spans="1:20" s="94" customFormat="1" ht="12" customHeight="1" x14ac:dyDescent="0.3">
      <c r="A1290" s="82"/>
      <c r="B1290" s="83"/>
      <c r="C1290" s="87"/>
      <c r="D1290" s="84"/>
      <c r="E1290" s="83"/>
      <c r="F1290" s="82"/>
      <c r="G1290" s="85"/>
      <c r="H1290" s="86" t="e">
        <f>IF(I1290="fora",0%,G1290/QUÓRUM!$C$6)</f>
        <v>#DIV/0!</v>
      </c>
      <c r="I1290" s="87"/>
      <c r="J1290" s="88"/>
      <c r="K1290" s="88"/>
      <c r="L1290" s="89"/>
      <c r="M1290" s="89"/>
      <c r="N1290" s="90"/>
      <c r="O1290" s="87"/>
      <c r="P1290" s="87"/>
      <c r="Q1290" s="87"/>
      <c r="R1290" s="91"/>
      <c r="S1290" s="92"/>
      <c r="T1290" s="93"/>
    </row>
    <row r="1291" spans="1:20" s="94" customFormat="1" ht="12" customHeight="1" x14ac:dyDescent="0.3">
      <c r="A1291" s="82"/>
      <c r="B1291" s="83"/>
      <c r="C1291" s="87"/>
      <c r="D1291" s="84"/>
      <c r="E1291" s="83"/>
      <c r="F1291" s="82"/>
      <c r="G1291" s="85"/>
      <c r="H1291" s="86" t="e">
        <f>IF(I1291="fora",0%,G1291/QUÓRUM!$C$6)</f>
        <v>#DIV/0!</v>
      </c>
      <c r="I1291" s="87"/>
      <c r="J1291" s="88"/>
      <c r="K1291" s="88"/>
      <c r="L1291" s="89"/>
      <c r="M1291" s="89"/>
      <c r="N1291" s="90"/>
      <c r="O1291" s="87"/>
      <c r="P1291" s="87"/>
      <c r="Q1291" s="87"/>
      <c r="R1291" s="91"/>
      <c r="S1291" s="92"/>
      <c r="T1291" s="93"/>
    </row>
    <row r="1292" spans="1:20" s="94" customFormat="1" ht="12" customHeight="1" x14ac:dyDescent="0.3">
      <c r="A1292" s="82"/>
      <c r="B1292" s="83"/>
      <c r="C1292" s="87"/>
      <c r="D1292" s="84"/>
      <c r="E1292" s="83"/>
      <c r="F1292" s="82"/>
      <c r="G1292" s="85"/>
      <c r="H1292" s="86" t="e">
        <f>IF(I1292="fora",0%,G1292/QUÓRUM!$C$6)</f>
        <v>#DIV/0!</v>
      </c>
      <c r="I1292" s="87"/>
      <c r="J1292" s="88"/>
      <c r="K1292" s="88"/>
      <c r="L1292" s="89"/>
      <c r="M1292" s="89"/>
      <c r="N1292" s="90"/>
      <c r="O1292" s="87"/>
      <c r="P1292" s="87"/>
      <c r="Q1292" s="87"/>
      <c r="R1292" s="91"/>
      <c r="S1292" s="92"/>
      <c r="T1292" s="93"/>
    </row>
    <row r="1293" spans="1:20" s="94" customFormat="1" ht="12" customHeight="1" x14ac:dyDescent="0.3">
      <c r="A1293" s="82"/>
      <c r="B1293" s="83"/>
      <c r="C1293" s="87"/>
      <c r="D1293" s="84"/>
      <c r="E1293" s="83"/>
      <c r="F1293" s="82"/>
      <c r="G1293" s="85"/>
      <c r="H1293" s="86" t="e">
        <f>IF(I1293="fora",0%,G1293/QUÓRUM!$C$6)</f>
        <v>#DIV/0!</v>
      </c>
      <c r="I1293" s="87"/>
      <c r="J1293" s="88"/>
      <c r="K1293" s="88"/>
      <c r="L1293" s="89"/>
      <c r="M1293" s="89"/>
      <c r="N1293" s="90"/>
      <c r="O1293" s="87"/>
      <c r="P1293" s="87"/>
      <c r="Q1293" s="87"/>
      <c r="R1293" s="91"/>
      <c r="S1293" s="92"/>
      <c r="T1293" s="93"/>
    </row>
    <row r="1294" spans="1:20" s="94" customFormat="1" ht="12" customHeight="1" x14ac:dyDescent="0.3">
      <c r="A1294" s="82"/>
      <c r="B1294" s="83"/>
      <c r="C1294" s="87"/>
      <c r="D1294" s="84"/>
      <c r="E1294" s="83"/>
      <c r="F1294" s="82"/>
      <c r="G1294" s="85"/>
      <c r="H1294" s="86" t="e">
        <f>IF(I1294="fora",0%,G1294/QUÓRUM!$C$6)</f>
        <v>#DIV/0!</v>
      </c>
      <c r="I1294" s="87"/>
      <c r="J1294" s="88"/>
      <c r="K1294" s="88"/>
      <c r="L1294" s="89"/>
      <c r="M1294" s="89"/>
      <c r="N1294" s="90"/>
      <c r="O1294" s="87"/>
      <c r="P1294" s="87"/>
      <c r="Q1294" s="87"/>
      <c r="R1294" s="91"/>
      <c r="S1294" s="92"/>
      <c r="T1294" s="93"/>
    </row>
    <row r="1295" spans="1:20" s="94" customFormat="1" ht="12" customHeight="1" x14ac:dyDescent="0.3">
      <c r="A1295" s="82"/>
      <c r="B1295" s="83"/>
      <c r="C1295" s="87"/>
      <c r="D1295" s="84"/>
      <c r="E1295" s="83"/>
      <c r="F1295" s="82"/>
      <c r="G1295" s="85"/>
      <c r="H1295" s="86" t="e">
        <f>IF(I1295="fora",0%,G1295/QUÓRUM!$C$6)</f>
        <v>#DIV/0!</v>
      </c>
      <c r="I1295" s="87"/>
      <c r="J1295" s="88"/>
      <c r="K1295" s="88"/>
      <c r="L1295" s="89"/>
      <c r="M1295" s="89"/>
      <c r="N1295" s="90"/>
      <c r="O1295" s="87"/>
      <c r="P1295" s="87"/>
      <c r="Q1295" s="87"/>
      <c r="R1295" s="91"/>
      <c r="S1295" s="92"/>
      <c r="T1295" s="93"/>
    </row>
    <row r="1296" spans="1:20" s="94" customFormat="1" ht="12" customHeight="1" x14ac:dyDescent="0.3">
      <c r="A1296" s="82"/>
      <c r="B1296" s="83"/>
      <c r="C1296" s="87"/>
      <c r="D1296" s="84"/>
      <c r="E1296" s="83"/>
      <c r="F1296" s="82"/>
      <c r="G1296" s="85"/>
      <c r="H1296" s="86" t="e">
        <f>IF(I1296="fora",0%,G1296/QUÓRUM!$C$6)</f>
        <v>#DIV/0!</v>
      </c>
      <c r="I1296" s="87"/>
      <c r="J1296" s="88"/>
      <c r="K1296" s="88"/>
      <c r="L1296" s="89"/>
      <c r="M1296" s="89"/>
      <c r="N1296" s="90"/>
      <c r="O1296" s="87"/>
      <c r="P1296" s="87"/>
      <c r="Q1296" s="87"/>
      <c r="R1296" s="91"/>
      <c r="S1296" s="92"/>
      <c r="T1296" s="93"/>
    </row>
    <row r="1297" spans="1:20" s="94" customFormat="1" ht="12" customHeight="1" x14ac:dyDescent="0.3">
      <c r="A1297" s="82"/>
      <c r="B1297" s="83"/>
      <c r="C1297" s="87"/>
      <c r="D1297" s="84"/>
      <c r="E1297" s="83"/>
      <c r="F1297" s="82"/>
      <c r="G1297" s="85"/>
      <c r="H1297" s="86" t="e">
        <f>IF(I1297="fora",0%,G1297/QUÓRUM!$C$6)</f>
        <v>#DIV/0!</v>
      </c>
      <c r="I1297" s="87"/>
      <c r="J1297" s="88"/>
      <c r="K1297" s="88"/>
      <c r="L1297" s="89"/>
      <c r="M1297" s="89"/>
      <c r="N1297" s="90"/>
      <c r="O1297" s="87"/>
      <c r="P1297" s="87"/>
      <c r="Q1297" s="87"/>
      <c r="R1297" s="91"/>
      <c r="S1297" s="92"/>
      <c r="T1297" s="93"/>
    </row>
    <row r="1298" spans="1:20" s="94" customFormat="1" ht="12" customHeight="1" x14ac:dyDescent="0.3">
      <c r="A1298" s="82"/>
      <c r="B1298" s="83"/>
      <c r="C1298" s="87"/>
      <c r="D1298" s="84"/>
      <c r="E1298" s="83"/>
      <c r="F1298" s="82"/>
      <c r="G1298" s="85"/>
      <c r="H1298" s="86" t="e">
        <f>IF(I1298="fora",0%,G1298/QUÓRUM!$C$6)</f>
        <v>#DIV/0!</v>
      </c>
      <c r="I1298" s="87"/>
      <c r="J1298" s="88"/>
      <c r="K1298" s="88"/>
      <c r="L1298" s="89"/>
      <c r="M1298" s="89"/>
      <c r="N1298" s="90"/>
      <c r="O1298" s="87"/>
      <c r="P1298" s="87"/>
      <c r="Q1298" s="87"/>
      <c r="R1298" s="91"/>
      <c r="S1298" s="92"/>
      <c r="T1298" s="93"/>
    </row>
    <row r="1299" spans="1:20" s="94" customFormat="1" ht="12" customHeight="1" x14ac:dyDescent="0.3">
      <c r="A1299" s="82"/>
      <c r="B1299" s="83"/>
      <c r="C1299" s="87"/>
      <c r="D1299" s="84"/>
      <c r="E1299" s="83"/>
      <c r="F1299" s="82"/>
      <c r="G1299" s="85"/>
      <c r="H1299" s="86" t="e">
        <f>IF(I1299="fora",0%,G1299/QUÓRUM!$C$6)</f>
        <v>#DIV/0!</v>
      </c>
      <c r="I1299" s="87"/>
      <c r="J1299" s="88"/>
      <c r="K1299" s="88"/>
      <c r="L1299" s="89"/>
      <c r="M1299" s="89"/>
      <c r="N1299" s="90"/>
      <c r="O1299" s="87"/>
      <c r="P1299" s="87"/>
      <c r="Q1299" s="87"/>
      <c r="R1299" s="91"/>
      <c r="S1299" s="92"/>
      <c r="T1299" s="93"/>
    </row>
    <row r="1300" spans="1:20" s="94" customFormat="1" x14ac:dyDescent="0.3">
      <c r="A1300" s="82"/>
      <c r="B1300" s="83"/>
      <c r="C1300" s="87"/>
      <c r="D1300" s="84"/>
      <c r="E1300" s="83"/>
      <c r="F1300" s="82"/>
      <c r="G1300" s="85"/>
      <c r="H1300" s="86" t="e">
        <f>IF(I1300="fora",0%,G1300/QUÓRUM!$C$6)</f>
        <v>#DIV/0!</v>
      </c>
      <c r="I1300" s="87"/>
      <c r="J1300" s="88"/>
      <c r="K1300" s="88"/>
      <c r="L1300" s="89"/>
      <c r="M1300" s="89"/>
      <c r="N1300" s="90"/>
      <c r="O1300" s="87"/>
      <c r="P1300" s="87"/>
      <c r="Q1300" s="87"/>
      <c r="R1300" s="91"/>
      <c r="S1300" s="92"/>
      <c r="T1300" s="93"/>
    </row>
    <row r="1301" spans="1:20" s="94" customFormat="1" x14ac:dyDescent="0.3">
      <c r="A1301" s="82"/>
      <c r="B1301" s="83"/>
      <c r="C1301" s="87"/>
      <c r="D1301" s="84"/>
      <c r="E1301" s="83"/>
      <c r="F1301" s="82"/>
      <c r="G1301" s="85"/>
      <c r="H1301" s="86" t="e">
        <f>IF(I1301="fora",0%,G1301/QUÓRUM!$C$6)</f>
        <v>#DIV/0!</v>
      </c>
      <c r="I1301" s="87"/>
      <c r="J1301" s="88"/>
      <c r="K1301" s="88"/>
      <c r="L1301" s="89"/>
      <c r="M1301" s="89"/>
      <c r="N1301" s="90"/>
      <c r="O1301" s="87"/>
      <c r="P1301" s="87"/>
      <c r="Q1301" s="87"/>
      <c r="R1301" s="91"/>
      <c r="S1301" s="92"/>
      <c r="T1301" s="93"/>
    </row>
    <row r="1302" spans="1:20" s="94" customFormat="1" x14ac:dyDescent="0.3">
      <c r="A1302" s="82"/>
      <c r="B1302" s="83"/>
      <c r="C1302" s="87"/>
      <c r="D1302" s="84"/>
      <c r="E1302" s="83"/>
      <c r="F1302" s="82"/>
      <c r="G1302" s="85"/>
      <c r="H1302" s="86" t="e">
        <f>IF(I1302="fora",0%,G1302/QUÓRUM!$C$6)</f>
        <v>#DIV/0!</v>
      </c>
      <c r="I1302" s="87"/>
      <c r="J1302" s="88"/>
      <c r="K1302" s="88"/>
      <c r="L1302" s="89"/>
      <c r="M1302" s="89"/>
      <c r="N1302" s="90"/>
      <c r="O1302" s="87"/>
      <c r="P1302" s="87"/>
      <c r="Q1302" s="87"/>
      <c r="R1302" s="91"/>
      <c r="S1302" s="92"/>
      <c r="T1302" s="93"/>
    </row>
    <row r="1303" spans="1:20" s="94" customFormat="1" x14ac:dyDescent="0.3">
      <c r="A1303" s="82"/>
      <c r="B1303" s="83"/>
      <c r="C1303" s="87"/>
      <c r="D1303" s="84"/>
      <c r="E1303" s="83"/>
      <c r="F1303" s="82"/>
      <c r="G1303" s="85"/>
      <c r="H1303" s="86" t="e">
        <f>IF(I1303="fora",0%,G1303/QUÓRUM!$C$6)</f>
        <v>#DIV/0!</v>
      </c>
      <c r="I1303" s="87"/>
      <c r="J1303" s="88"/>
      <c r="K1303" s="88"/>
      <c r="L1303" s="89"/>
      <c r="M1303" s="89"/>
      <c r="N1303" s="90"/>
      <c r="O1303" s="87"/>
      <c r="P1303" s="87"/>
      <c r="Q1303" s="87"/>
      <c r="R1303" s="91"/>
      <c r="S1303" s="92"/>
      <c r="T1303" s="93"/>
    </row>
    <row r="1304" spans="1:20" s="94" customFormat="1" x14ac:dyDescent="0.3">
      <c r="A1304" s="82"/>
      <c r="B1304" s="83"/>
      <c r="C1304" s="87"/>
      <c r="D1304" s="84"/>
      <c r="E1304" s="83"/>
      <c r="F1304" s="82"/>
      <c r="G1304" s="85"/>
      <c r="H1304" s="86" t="e">
        <f>IF(I1304="fora",0%,G1304/QUÓRUM!$C$6)</f>
        <v>#DIV/0!</v>
      </c>
      <c r="I1304" s="87"/>
      <c r="J1304" s="88"/>
      <c r="K1304" s="88"/>
      <c r="L1304" s="89"/>
      <c r="M1304" s="89"/>
      <c r="N1304" s="90"/>
      <c r="O1304" s="87"/>
      <c r="P1304" s="87"/>
      <c r="Q1304" s="87"/>
      <c r="R1304" s="91"/>
      <c r="S1304" s="92"/>
      <c r="T1304" s="93"/>
    </row>
    <row r="1305" spans="1:20" s="94" customFormat="1" x14ac:dyDescent="0.3">
      <c r="A1305" s="82"/>
      <c r="B1305" s="83"/>
      <c r="C1305" s="87"/>
      <c r="D1305" s="84"/>
      <c r="E1305" s="83"/>
      <c r="F1305" s="82"/>
      <c r="G1305" s="85"/>
      <c r="H1305" s="86" t="e">
        <f>IF(I1305="fora",0%,G1305/QUÓRUM!$C$6)</f>
        <v>#DIV/0!</v>
      </c>
      <c r="I1305" s="87"/>
      <c r="J1305" s="88"/>
      <c r="K1305" s="88"/>
      <c r="L1305" s="89"/>
      <c r="M1305" s="89"/>
      <c r="N1305" s="90"/>
      <c r="O1305" s="87"/>
      <c r="P1305" s="87"/>
      <c r="Q1305" s="87"/>
      <c r="R1305" s="91"/>
      <c r="S1305" s="92"/>
      <c r="T1305" s="93"/>
    </row>
    <row r="1306" spans="1:20" s="94" customFormat="1" x14ac:dyDescent="0.3">
      <c r="A1306" s="82"/>
      <c r="B1306" s="83"/>
      <c r="C1306" s="87"/>
      <c r="D1306" s="84"/>
      <c r="E1306" s="83"/>
      <c r="F1306" s="82"/>
      <c r="G1306" s="85"/>
      <c r="H1306" s="86" t="e">
        <f>IF(I1306="fora",0%,G1306/QUÓRUM!$C$6)</f>
        <v>#DIV/0!</v>
      </c>
      <c r="I1306" s="87"/>
      <c r="J1306" s="88"/>
      <c r="K1306" s="88"/>
      <c r="L1306" s="89"/>
      <c r="M1306" s="89"/>
      <c r="N1306" s="90"/>
      <c r="O1306" s="87"/>
      <c r="P1306" s="87"/>
      <c r="Q1306" s="87"/>
      <c r="R1306" s="91"/>
      <c r="S1306" s="92"/>
      <c r="T1306" s="93"/>
    </row>
    <row r="1307" spans="1:20" s="94" customFormat="1" x14ac:dyDescent="0.3">
      <c r="A1307" s="82"/>
      <c r="B1307" s="83"/>
      <c r="C1307" s="87"/>
      <c r="D1307" s="84"/>
      <c r="E1307" s="83"/>
      <c r="F1307" s="82"/>
      <c r="G1307" s="85"/>
      <c r="H1307" s="86" t="e">
        <f>IF(I1307="fora",0%,G1307/QUÓRUM!$C$6)</f>
        <v>#DIV/0!</v>
      </c>
      <c r="I1307" s="87"/>
      <c r="J1307" s="88"/>
      <c r="K1307" s="88"/>
      <c r="L1307" s="89"/>
      <c r="M1307" s="89"/>
      <c r="N1307" s="90"/>
      <c r="O1307" s="87"/>
      <c r="P1307" s="87"/>
      <c r="Q1307" s="87"/>
      <c r="R1307" s="91"/>
      <c r="S1307" s="92"/>
      <c r="T1307" s="93"/>
    </row>
    <row r="1308" spans="1:20" s="94" customFormat="1" x14ac:dyDescent="0.3">
      <c r="A1308" s="82"/>
      <c r="B1308" s="83"/>
      <c r="C1308" s="87"/>
      <c r="D1308" s="84"/>
      <c r="E1308" s="83"/>
      <c r="F1308" s="82"/>
      <c r="G1308" s="85"/>
      <c r="H1308" s="86" t="e">
        <f>IF(I1308="fora",0%,G1308/QUÓRUM!$C$6)</f>
        <v>#DIV/0!</v>
      </c>
      <c r="I1308" s="87"/>
      <c r="J1308" s="88"/>
      <c r="K1308" s="88"/>
      <c r="L1308" s="89"/>
      <c r="M1308" s="89"/>
      <c r="N1308" s="90"/>
      <c r="O1308" s="87"/>
      <c r="P1308" s="87"/>
      <c r="Q1308" s="87"/>
      <c r="R1308" s="91"/>
      <c r="S1308" s="92"/>
      <c r="T1308" s="93"/>
    </row>
    <row r="1309" spans="1:20" s="94" customFormat="1" x14ac:dyDescent="0.3">
      <c r="A1309" s="82"/>
      <c r="B1309" s="83"/>
      <c r="C1309" s="87"/>
      <c r="D1309" s="84"/>
      <c r="E1309" s="83"/>
      <c r="F1309" s="82"/>
      <c r="G1309" s="85"/>
      <c r="H1309" s="86" t="e">
        <f>IF(I1309="fora",0%,G1309/QUÓRUM!$C$6)</f>
        <v>#DIV/0!</v>
      </c>
      <c r="I1309" s="87"/>
      <c r="J1309" s="88"/>
      <c r="K1309" s="88"/>
      <c r="L1309" s="89"/>
      <c r="M1309" s="89"/>
      <c r="N1309" s="90"/>
      <c r="O1309" s="87"/>
      <c r="P1309" s="87"/>
      <c r="Q1309" s="87"/>
      <c r="R1309" s="91"/>
      <c r="S1309" s="92"/>
      <c r="T1309" s="93"/>
    </row>
    <row r="1310" spans="1:20" s="94" customFormat="1" x14ac:dyDescent="0.3">
      <c r="A1310" s="82"/>
      <c r="B1310" s="83"/>
      <c r="C1310" s="87"/>
      <c r="D1310" s="84"/>
      <c r="E1310" s="83"/>
      <c r="F1310" s="82"/>
      <c r="G1310" s="85"/>
      <c r="H1310" s="86" t="e">
        <f>IF(I1310="fora",0%,G1310/QUÓRUM!$C$6)</f>
        <v>#DIV/0!</v>
      </c>
      <c r="I1310" s="87"/>
      <c r="J1310" s="88"/>
      <c r="K1310" s="88"/>
      <c r="L1310" s="89"/>
      <c r="M1310" s="89"/>
      <c r="N1310" s="90"/>
      <c r="O1310" s="87"/>
      <c r="P1310" s="87"/>
      <c r="Q1310" s="87"/>
      <c r="R1310" s="91"/>
      <c r="S1310" s="92"/>
      <c r="T1310" s="93"/>
    </row>
    <row r="1311" spans="1:20" s="94" customFormat="1" x14ac:dyDescent="0.3">
      <c r="A1311" s="82"/>
      <c r="B1311" s="83"/>
      <c r="C1311" s="87"/>
      <c r="D1311" s="84"/>
      <c r="E1311" s="83"/>
      <c r="F1311" s="82"/>
      <c r="G1311" s="85"/>
      <c r="H1311" s="86" t="e">
        <f>IF(I1311="fora",0%,G1311/QUÓRUM!$C$6)</f>
        <v>#DIV/0!</v>
      </c>
      <c r="I1311" s="87"/>
      <c r="J1311" s="88"/>
      <c r="K1311" s="88"/>
      <c r="L1311" s="89"/>
      <c r="M1311" s="89"/>
      <c r="N1311" s="90"/>
      <c r="O1311" s="87"/>
      <c r="P1311" s="87"/>
      <c r="Q1311" s="87"/>
      <c r="R1311" s="91"/>
      <c r="S1311" s="92"/>
      <c r="T1311" s="93"/>
    </row>
    <row r="1312" spans="1:20" s="94" customFormat="1" x14ac:dyDescent="0.3">
      <c r="A1312" s="82"/>
      <c r="B1312" s="83"/>
      <c r="C1312" s="87"/>
      <c r="D1312" s="84"/>
      <c r="E1312" s="83"/>
      <c r="F1312" s="82"/>
      <c r="G1312" s="85"/>
      <c r="H1312" s="86" t="e">
        <f>IF(I1312="fora",0%,G1312/QUÓRUM!$C$6)</f>
        <v>#DIV/0!</v>
      </c>
      <c r="I1312" s="87"/>
      <c r="J1312" s="88"/>
      <c r="K1312" s="88"/>
      <c r="L1312" s="89"/>
      <c r="M1312" s="89"/>
      <c r="N1312" s="90"/>
      <c r="O1312" s="87"/>
      <c r="P1312" s="87"/>
      <c r="Q1312" s="87"/>
      <c r="R1312" s="91"/>
      <c r="S1312" s="92"/>
      <c r="T1312" s="93"/>
    </row>
    <row r="1313" spans="1:20" s="94" customFormat="1" x14ac:dyDescent="0.3">
      <c r="A1313" s="82"/>
      <c r="B1313" s="83"/>
      <c r="C1313" s="87"/>
      <c r="D1313" s="84"/>
      <c r="E1313" s="83"/>
      <c r="F1313" s="82"/>
      <c r="G1313" s="85"/>
      <c r="H1313" s="86" t="e">
        <f>IF(I1313="fora",0%,G1313/QUÓRUM!$C$6)</f>
        <v>#DIV/0!</v>
      </c>
      <c r="I1313" s="87"/>
      <c r="J1313" s="88"/>
      <c r="K1313" s="88"/>
      <c r="L1313" s="89"/>
      <c r="M1313" s="89"/>
      <c r="N1313" s="90"/>
      <c r="O1313" s="87"/>
      <c r="P1313" s="87"/>
      <c r="Q1313" s="87"/>
      <c r="R1313" s="91"/>
      <c r="S1313" s="92"/>
      <c r="T1313" s="93"/>
    </row>
    <row r="1314" spans="1:20" s="94" customFormat="1" x14ac:dyDescent="0.3">
      <c r="A1314" s="82"/>
      <c r="B1314" s="83"/>
      <c r="C1314" s="87"/>
      <c r="D1314" s="84"/>
      <c r="E1314" s="83"/>
      <c r="F1314" s="82"/>
      <c r="G1314" s="85"/>
      <c r="H1314" s="86" t="e">
        <f>IF(I1314="fora",0%,G1314/QUÓRUM!$C$6)</f>
        <v>#DIV/0!</v>
      </c>
      <c r="I1314" s="87"/>
      <c r="J1314" s="88"/>
      <c r="K1314" s="88"/>
      <c r="L1314" s="89"/>
      <c r="M1314" s="89"/>
      <c r="N1314" s="90"/>
      <c r="O1314" s="87"/>
      <c r="P1314" s="87"/>
      <c r="Q1314" s="87"/>
      <c r="R1314" s="91"/>
      <c r="S1314" s="92"/>
      <c r="T1314" s="93"/>
    </row>
    <row r="1315" spans="1:20" s="94" customFormat="1" x14ac:dyDescent="0.3">
      <c r="A1315" s="82"/>
      <c r="B1315" s="83"/>
      <c r="C1315" s="87"/>
      <c r="D1315" s="84"/>
      <c r="E1315" s="83"/>
      <c r="F1315" s="82"/>
      <c r="G1315" s="85"/>
      <c r="H1315" s="86" t="e">
        <f>IF(I1315="fora",0%,G1315/QUÓRUM!$C$6)</f>
        <v>#DIV/0!</v>
      </c>
      <c r="I1315" s="87"/>
      <c r="J1315" s="88"/>
      <c r="K1315" s="88"/>
      <c r="L1315" s="89"/>
      <c r="M1315" s="89"/>
      <c r="N1315" s="90"/>
      <c r="O1315" s="87"/>
      <c r="P1315" s="87"/>
      <c r="Q1315" s="87"/>
      <c r="R1315" s="91"/>
      <c r="S1315" s="92"/>
      <c r="T1315" s="93"/>
    </row>
    <row r="1316" spans="1:20" s="94" customFormat="1" x14ac:dyDescent="0.3">
      <c r="A1316" s="82"/>
      <c r="B1316" s="83"/>
      <c r="C1316" s="87"/>
      <c r="D1316" s="84"/>
      <c r="E1316" s="83"/>
      <c r="F1316" s="82"/>
      <c r="G1316" s="85"/>
      <c r="H1316" s="86" t="e">
        <f>IF(I1316="fora",0%,G1316/QUÓRUM!$C$6)</f>
        <v>#DIV/0!</v>
      </c>
      <c r="I1316" s="87"/>
      <c r="J1316" s="88"/>
      <c r="K1316" s="88"/>
      <c r="L1316" s="89"/>
      <c r="M1316" s="89"/>
      <c r="N1316" s="90"/>
      <c r="O1316" s="87"/>
      <c r="P1316" s="87"/>
      <c r="Q1316" s="87"/>
      <c r="R1316" s="91"/>
      <c r="S1316" s="92"/>
      <c r="T1316" s="93"/>
    </row>
    <row r="1317" spans="1:20" s="94" customFormat="1" x14ac:dyDescent="0.3">
      <c r="A1317" s="82"/>
      <c r="B1317" s="83"/>
      <c r="C1317" s="87"/>
      <c r="D1317" s="84"/>
      <c r="E1317" s="83"/>
      <c r="F1317" s="82"/>
      <c r="G1317" s="85"/>
      <c r="H1317" s="86" t="e">
        <f>IF(I1317="fora",0%,G1317/QUÓRUM!$C$6)</f>
        <v>#DIV/0!</v>
      </c>
      <c r="I1317" s="87"/>
      <c r="J1317" s="88"/>
      <c r="K1317" s="88"/>
      <c r="L1317" s="89"/>
      <c r="M1317" s="89"/>
      <c r="N1317" s="90"/>
      <c r="O1317" s="87"/>
      <c r="P1317" s="87"/>
      <c r="Q1317" s="87"/>
      <c r="R1317" s="91"/>
      <c r="S1317" s="92"/>
      <c r="T1317" s="93"/>
    </row>
    <row r="1318" spans="1:20" s="94" customFormat="1" x14ac:dyDescent="0.3">
      <c r="A1318" s="82"/>
      <c r="B1318" s="83"/>
      <c r="C1318" s="87"/>
      <c r="D1318" s="84"/>
      <c r="E1318" s="83"/>
      <c r="F1318" s="82"/>
      <c r="G1318" s="85"/>
      <c r="H1318" s="86" t="e">
        <f>IF(I1318="fora",0%,G1318/QUÓRUM!$C$6)</f>
        <v>#DIV/0!</v>
      </c>
      <c r="I1318" s="87"/>
      <c r="J1318" s="88"/>
      <c r="K1318" s="88"/>
      <c r="L1318" s="89"/>
      <c r="M1318" s="89"/>
      <c r="N1318" s="90"/>
      <c r="O1318" s="87"/>
      <c r="P1318" s="87"/>
      <c r="Q1318" s="87"/>
      <c r="R1318" s="91"/>
      <c r="S1318" s="92"/>
      <c r="T1318" s="93"/>
    </row>
    <row r="1319" spans="1:20" s="94" customFormat="1" x14ac:dyDescent="0.3">
      <c r="A1319" s="82"/>
      <c r="B1319" s="83"/>
      <c r="C1319" s="87"/>
      <c r="D1319" s="84"/>
      <c r="E1319" s="83"/>
      <c r="F1319" s="82"/>
      <c r="G1319" s="85"/>
      <c r="H1319" s="86" t="e">
        <f>IF(I1319="fora",0%,G1319/QUÓRUM!$C$6)</f>
        <v>#DIV/0!</v>
      </c>
      <c r="I1319" s="87"/>
      <c r="J1319" s="88"/>
      <c r="K1319" s="88"/>
      <c r="L1319" s="89"/>
      <c r="M1319" s="89"/>
      <c r="N1319" s="90"/>
      <c r="O1319" s="87"/>
      <c r="P1319" s="87"/>
      <c r="Q1319" s="87"/>
      <c r="R1319" s="91"/>
      <c r="S1319" s="92"/>
      <c r="T1319" s="93"/>
    </row>
    <row r="1320" spans="1:20" s="94" customFormat="1" x14ac:dyDescent="0.3">
      <c r="A1320" s="82"/>
      <c r="B1320" s="83"/>
      <c r="C1320" s="87"/>
      <c r="D1320" s="84"/>
      <c r="E1320" s="83"/>
      <c r="F1320" s="82"/>
      <c r="G1320" s="85"/>
      <c r="H1320" s="86" t="e">
        <f>IF(I1320="fora",0%,G1320/QUÓRUM!$C$6)</f>
        <v>#DIV/0!</v>
      </c>
      <c r="I1320" s="87"/>
      <c r="J1320" s="88"/>
      <c r="K1320" s="88"/>
      <c r="L1320" s="89"/>
      <c r="M1320" s="89"/>
      <c r="N1320" s="90"/>
      <c r="O1320" s="87"/>
      <c r="P1320" s="87"/>
      <c r="Q1320" s="87"/>
      <c r="R1320" s="91"/>
      <c r="S1320" s="92"/>
      <c r="T1320" s="93"/>
    </row>
    <row r="1321" spans="1:20" s="94" customFormat="1" x14ac:dyDescent="0.3">
      <c r="A1321" s="82"/>
      <c r="B1321" s="83"/>
      <c r="C1321" s="87"/>
      <c r="D1321" s="84"/>
      <c r="E1321" s="83"/>
      <c r="F1321" s="82"/>
      <c r="G1321" s="85"/>
      <c r="H1321" s="86" t="e">
        <f>IF(I1321="fora",0%,G1321/QUÓRUM!$C$6)</f>
        <v>#DIV/0!</v>
      </c>
      <c r="I1321" s="87"/>
      <c r="J1321" s="88"/>
      <c r="K1321" s="88"/>
      <c r="L1321" s="89"/>
      <c r="M1321" s="89"/>
      <c r="N1321" s="90"/>
      <c r="O1321" s="87"/>
      <c r="P1321" s="87"/>
      <c r="Q1321" s="87"/>
      <c r="R1321" s="91"/>
      <c r="S1321" s="92"/>
      <c r="T1321" s="93"/>
    </row>
    <row r="1322" spans="1:20" s="94" customFormat="1" x14ac:dyDescent="0.3">
      <c r="A1322" s="82"/>
      <c r="B1322" s="83"/>
      <c r="C1322" s="87"/>
      <c r="D1322" s="84"/>
      <c r="E1322" s="83"/>
      <c r="F1322" s="82"/>
      <c r="G1322" s="85"/>
      <c r="H1322" s="86" t="e">
        <f>IF(I1322="fora",0%,G1322/QUÓRUM!$C$6)</f>
        <v>#DIV/0!</v>
      </c>
      <c r="I1322" s="87"/>
      <c r="J1322" s="88"/>
      <c r="K1322" s="88"/>
      <c r="L1322" s="89"/>
      <c r="M1322" s="89"/>
      <c r="N1322" s="90"/>
      <c r="O1322" s="87"/>
      <c r="P1322" s="87"/>
      <c r="Q1322" s="87"/>
      <c r="R1322" s="91"/>
      <c r="S1322" s="92"/>
      <c r="T1322" s="93"/>
    </row>
    <row r="1323" spans="1:20" s="94" customFormat="1" x14ac:dyDescent="0.3">
      <c r="A1323" s="82"/>
      <c r="B1323" s="83"/>
      <c r="C1323" s="87"/>
      <c r="D1323" s="84"/>
      <c r="E1323" s="83"/>
      <c r="F1323" s="82"/>
      <c r="G1323" s="85"/>
      <c r="H1323" s="86" t="e">
        <f>IF(I1323="fora",0%,G1323/QUÓRUM!$C$6)</f>
        <v>#DIV/0!</v>
      </c>
      <c r="I1323" s="87"/>
      <c r="J1323" s="88"/>
      <c r="K1323" s="88"/>
      <c r="L1323" s="89"/>
      <c r="M1323" s="89"/>
      <c r="N1323" s="90"/>
      <c r="O1323" s="87"/>
      <c r="P1323" s="87"/>
      <c r="Q1323" s="87"/>
      <c r="R1323" s="91"/>
      <c r="S1323" s="92"/>
      <c r="T1323" s="93"/>
    </row>
    <row r="1324" spans="1:20" s="94" customFormat="1" x14ac:dyDescent="0.3">
      <c r="A1324" s="82"/>
      <c r="B1324" s="83"/>
      <c r="C1324" s="87"/>
      <c r="D1324" s="84"/>
      <c r="E1324" s="83"/>
      <c r="F1324" s="82"/>
      <c r="G1324" s="85"/>
      <c r="H1324" s="86" t="e">
        <f>IF(I1324="fora",0%,G1324/QUÓRUM!$C$6)</f>
        <v>#DIV/0!</v>
      </c>
      <c r="I1324" s="87"/>
      <c r="J1324" s="88"/>
      <c r="K1324" s="88"/>
      <c r="L1324" s="89"/>
      <c r="M1324" s="89"/>
      <c r="N1324" s="90"/>
      <c r="O1324" s="87"/>
      <c r="P1324" s="87"/>
      <c r="Q1324" s="87"/>
      <c r="R1324" s="91"/>
      <c r="S1324" s="92"/>
      <c r="T1324" s="93"/>
    </row>
    <row r="1325" spans="1:20" s="94" customFormat="1" x14ac:dyDescent="0.3">
      <c r="A1325" s="82"/>
      <c r="B1325" s="83"/>
      <c r="C1325" s="87"/>
      <c r="D1325" s="84"/>
      <c r="E1325" s="83"/>
      <c r="F1325" s="82"/>
      <c r="G1325" s="85"/>
      <c r="H1325" s="86" t="e">
        <f>IF(I1325="fora",0%,G1325/QUÓRUM!$C$6)</f>
        <v>#DIV/0!</v>
      </c>
      <c r="I1325" s="87"/>
      <c r="J1325" s="88"/>
      <c r="K1325" s="88"/>
      <c r="L1325" s="89"/>
      <c r="M1325" s="89"/>
      <c r="N1325" s="90"/>
      <c r="O1325" s="87"/>
      <c r="P1325" s="87"/>
      <c r="Q1325" s="87"/>
      <c r="R1325" s="91"/>
      <c r="S1325" s="92"/>
      <c r="T1325" s="93"/>
    </row>
    <row r="1326" spans="1:20" s="94" customFormat="1" x14ac:dyDescent="0.3">
      <c r="A1326" s="82"/>
      <c r="B1326" s="83"/>
      <c r="C1326" s="87"/>
      <c r="D1326" s="84"/>
      <c r="E1326" s="83"/>
      <c r="F1326" s="82"/>
      <c r="G1326" s="85"/>
      <c r="H1326" s="86" t="e">
        <f>IF(I1326="fora",0%,G1326/QUÓRUM!$C$6)</f>
        <v>#DIV/0!</v>
      </c>
      <c r="I1326" s="87"/>
      <c r="J1326" s="88"/>
      <c r="K1326" s="88"/>
      <c r="L1326" s="89"/>
      <c r="M1326" s="89"/>
      <c r="N1326" s="90"/>
      <c r="O1326" s="87"/>
      <c r="P1326" s="87"/>
      <c r="Q1326" s="87"/>
      <c r="R1326" s="91"/>
      <c r="S1326" s="92"/>
      <c r="T1326" s="93"/>
    </row>
    <row r="1327" spans="1:20" s="94" customFormat="1" x14ac:dyDescent="0.3">
      <c r="A1327" s="82"/>
      <c r="B1327" s="83"/>
      <c r="C1327" s="87"/>
      <c r="D1327" s="84"/>
      <c r="E1327" s="83"/>
      <c r="F1327" s="82"/>
      <c r="G1327" s="85"/>
      <c r="H1327" s="86" t="e">
        <f>IF(I1327="fora",0%,G1327/QUÓRUM!$C$6)</f>
        <v>#DIV/0!</v>
      </c>
      <c r="I1327" s="87"/>
      <c r="J1327" s="88"/>
      <c r="K1327" s="88"/>
      <c r="L1327" s="89"/>
      <c r="M1327" s="89"/>
      <c r="N1327" s="90"/>
      <c r="O1327" s="87"/>
      <c r="P1327" s="87"/>
      <c r="Q1327" s="87"/>
      <c r="R1327" s="91"/>
      <c r="S1327" s="92"/>
      <c r="T1327" s="93"/>
    </row>
    <row r="1328" spans="1:20" s="94" customFormat="1" x14ac:dyDescent="0.3">
      <c r="A1328" s="82"/>
      <c r="B1328" s="83"/>
      <c r="C1328" s="87"/>
      <c r="D1328" s="84"/>
      <c r="E1328" s="83"/>
      <c r="F1328" s="82"/>
      <c r="G1328" s="85"/>
      <c r="H1328" s="86" t="e">
        <f>IF(I1328="fora",0%,G1328/QUÓRUM!$C$6)</f>
        <v>#DIV/0!</v>
      </c>
      <c r="I1328" s="87"/>
      <c r="J1328" s="88"/>
      <c r="K1328" s="88"/>
      <c r="L1328" s="89"/>
      <c r="M1328" s="89"/>
      <c r="N1328" s="90"/>
      <c r="O1328" s="87"/>
      <c r="P1328" s="87"/>
      <c r="Q1328" s="87"/>
      <c r="R1328" s="91"/>
      <c r="S1328" s="92"/>
      <c r="T1328" s="93"/>
    </row>
    <row r="1329" spans="1:20" s="94" customFormat="1" x14ac:dyDescent="0.3">
      <c r="A1329" s="82"/>
      <c r="B1329" s="83"/>
      <c r="C1329" s="87"/>
      <c r="D1329" s="84"/>
      <c r="E1329" s="83"/>
      <c r="F1329" s="82"/>
      <c r="G1329" s="85"/>
      <c r="H1329" s="86" t="e">
        <f>IF(I1329="fora",0%,G1329/QUÓRUM!$C$6)</f>
        <v>#DIV/0!</v>
      </c>
      <c r="I1329" s="87"/>
      <c r="J1329" s="88"/>
      <c r="K1329" s="88"/>
      <c r="L1329" s="89"/>
      <c r="M1329" s="89"/>
      <c r="N1329" s="90"/>
      <c r="O1329" s="87"/>
      <c r="P1329" s="87"/>
      <c r="Q1329" s="87"/>
      <c r="R1329" s="91"/>
      <c r="S1329" s="92"/>
      <c r="T1329" s="93"/>
    </row>
    <row r="1330" spans="1:20" s="94" customFormat="1" x14ac:dyDescent="0.3">
      <c r="A1330" s="82"/>
      <c r="B1330" s="83"/>
      <c r="C1330" s="87"/>
      <c r="D1330" s="84"/>
      <c r="E1330" s="83"/>
      <c r="F1330" s="82"/>
      <c r="G1330" s="85"/>
      <c r="H1330" s="86" t="e">
        <f>IF(I1330="fora",0%,G1330/QUÓRUM!$C$6)</f>
        <v>#DIV/0!</v>
      </c>
      <c r="I1330" s="87"/>
      <c r="J1330" s="88"/>
      <c r="K1330" s="88"/>
      <c r="L1330" s="89"/>
      <c r="M1330" s="89"/>
      <c r="N1330" s="90"/>
      <c r="O1330" s="87"/>
      <c r="P1330" s="87"/>
      <c r="Q1330" s="87"/>
      <c r="R1330" s="91"/>
      <c r="S1330" s="92"/>
      <c r="T1330" s="93"/>
    </row>
    <row r="1331" spans="1:20" s="94" customFormat="1" x14ac:dyDescent="0.3">
      <c r="A1331" s="82"/>
      <c r="B1331" s="83"/>
      <c r="C1331" s="87"/>
      <c r="D1331" s="84"/>
      <c r="E1331" s="83"/>
      <c r="F1331" s="82"/>
      <c r="G1331" s="85"/>
      <c r="H1331" s="86" t="e">
        <f>IF(I1331="fora",0%,G1331/QUÓRUM!$C$6)</f>
        <v>#DIV/0!</v>
      </c>
      <c r="I1331" s="87"/>
      <c r="J1331" s="88"/>
      <c r="K1331" s="88"/>
      <c r="L1331" s="89"/>
      <c r="M1331" s="89"/>
      <c r="N1331" s="90"/>
      <c r="O1331" s="87"/>
      <c r="P1331" s="87"/>
      <c r="Q1331" s="87"/>
      <c r="R1331" s="91"/>
      <c r="S1331" s="92"/>
      <c r="T1331" s="93"/>
    </row>
    <row r="1332" spans="1:20" s="94" customFormat="1" x14ac:dyDescent="0.3">
      <c r="A1332" s="82"/>
      <c r="B1332" s="83"/>
      <c r="C1332" s="87"/>
      <c r="D1332" s="84"/>
      <c r="E1332" s="83"/>
      <c r="F1332" s="82"/>
      <c r="G1332" s="85"/>
      <c r="H1332" s="86" t="e">
        <f>IF(I1332="fora",0%,G1332/QUÓRUM!$C$6)</f>
        <v>#DIV/0!</v>
      </c>
      <c r="I1332" s="87"/>
      <c r="J1332" s="88"/>
      <c r="K1332" s="88"/>
      <c r="L1332" s="89"/>
      <c r="M1332" s="89"/>
      <c r="N1332" s="90"/>
      <c r="O1332" s="87"/>
      <c r="P1332" s="87"/>
      <c r="Q1332" s="87"/>
      <c r="R1332" s="91"/>
      <c r="S1332" s="92"/>
      <c r="T1332" s="93"/>
    </row>
    <row r="1333" spans="1:20" s="94" customFormat="1" x14ac:dyDescent="0.3">
      <c r="A1333" s="82"/>
      <c r="B1333" s="83"/>
      <c r="C1333" s="87"/>
      <c r="D1333" s="84"/>
      <c r="E1333" s="83"/>
      <c r="F1333" s="82"/>
      <c r="G1333" s="85"/>
      <c r="H1333" s="86" t="e">
        <f>IF(I1333="fora",0%,G1333/QUÓRUM!$C$6)</f>
        <v>#DIV/0!</v>
      </c>
      <c r="I1333" s="87"/>
      <c r="J1333" s="88"/>
      <c r="K1333" s="88"/>
      <c r="L1333" s="89"/>
      <c r="M1333" s="89"/>
      <c r="N1333" s="90"/>
      <c r="O1333" s="87"/>
      <c r="P1333" s="87"/>
      <c r="Q1333" s="87"/>
      <c r="R1333" s="91"/>
      <c r="S1333" s="92"/>
      <c r="T1333" s="93"/>
    </row>
    <row r="1334" spans="1:20" s="94" customFormat="1" x14ac:dyDescent="0.3">
      <c r="A1334" s="82"/>
      <c r="B1334" s="83"/>
      <c r="C1334" s="87"/>
      <c r="D1334" s="84"/>
      <c r="E1334" s="83"/>
      <c r="F1334" s="82"/>
      <c r="G1334" s="85"/>
      <c r="H1334" s="86" t="e">
        <f>IF(I1334="fora",0%,G1334/QUÓRUM!$C$6)</f>
        <v>#DIV/0!</v>
      </c>
      <c r="I1334" s="87"/>
      <c r="J1334" s="88"/>
      <c r="K1334" s="88"/>
      <c r="L1334" s="89"/>
      <c r="M1334" s="89"/>
      <c r="N1334" s="90"/>
      <c r="O1334" s="87"/>
      <c r="P1334" s="87"/>
      <c r="Q1334" s="87"/>
      <c r="R1334" s="91"/>
      <c r="S1334" s="92"/>
      <c r="T1334" s="93"/>
    </row>
    <row r="1335" spans="1:20" s="94" customFormat="1" x14ac:dyDescent="0.3">
      <c r="A1335" s="82"/>
      <c r="B1335" s="83"/>
      <c r="C1335" s="87"/>
      <c r="D1335" s="84"/>
      <c r="E1335" s="83"/>
      <c r="F1335" s="82"/>
      <c r="G1335" s="85"/>
      <c r="H1335" s="86" t="e">
        <f>IF(I1335="fora",0%,G1335/QUÓRUM!$C$6)</f>
        <v>#DIV/0!</v>
      </c>
      <c r="I1335" s="87"/>
      <c r="J1335" s="88"/>
      <c r="K1335" s="88"/>
      <c r="L1335" s="89"/>
      <c r="M1335" s="89"/>
      <c r="N1335" s="90"/>
      <c r="O1335" s="87"/>
      <c r="P1335" s="87"/>
      <c r="Q1335" s="87"/>
      <c r="R1335" s="91"/>
      <c r="S1335" s="92"/>
      <c r="T1335" s="93"/>
    </row>
    <row r="1336" spans="1:20" s="94" customFormat="1" x14ac:dyDescent="0.3">
      <c r="A1336" s="82"/>
      <c r="B1336" s="83"/>
      <c r="C1336" s="87"/>
      <c r="D1336" s="84"/>
      <c r="E1336" s="83"/>
      <c r="F1336" s="82"/>
      <c r="G1336" s="85"/>
      <c r="H1336" s="86" t="e">
        <f>IF(I1336="fora",0%,G1336/QUÓRUM!$C$6)</f>
        <v>#DIV/0!</v>
      </c>
      <c r="I1336" s="87"/>
      <c r="J1336" s="88"/>
      <c r="K1336" s="88"/>
      <c r="L1336" s="89"/>
      <c r="M1336" s="89"/>
      <c r="N1336" s="90"/>
      <c r="O1336" s="87"/>
      <c r="P1336" s="87"/>
      <c r="Q1336" s="87"/>
      <c r="R1336" s="91"/>
      <c r="S1336" s="92"/>
      <c r="T1336" s="93"/>
    </row>
    <row r="1337" spans="1:20" s="94" customFormat="1" x14ac:dyDescent="0.3">
      <c r="A1337" s="82"/>
      <c r="B1337" s="83"/>
      <c r="C1337" s="87"/>
      <c r="D1337" s="84"/>
      <c r="E1337" s="83"/>
      <c r="F1337" s="82"/>
      <c r="G1337" s="85"/>
      <c r="H1337" s="86" t="e">
        <f>IF(I1337="fora",0%,G1337/QUÓRUM!$C$6)</f>
        <v>#DIV/0!</v>
      </c>
      <c r="I1337" s="87"/>
      <c r="J1337" s="88"/>
      <c r="K1337" s="88"/>
      <c r="L1337" s="89"/>
      <c r="M1337" s="89"/>
      <c r="N1337" s="90"/>
      <c r="O1337" s="87"/>
      <c r="P1337" s="87"/>
      <c r="Q1337" s="87"/>
      <c r="R1337" s="91"/>
      <c r="S1337" s="92"/>
      <c r="T1337" s="93"/>
    </row>
    <row r="1338" spans="1:20" s="94" customFormat="1" x14ac:dyDescent="0.3">
      <c r="A1338" s="82"/>
      <c r="B1338" s="83"/>
      <c r="C1338" s="87"/>
      <c r="D1338" s="84"/>
      <c r="E1338" s="83"/>
      <c r="F1338" s="82"/>
      <c r="G1338" s="85"/>
      <c r="H1338" s="86" t="e">
        <f>IF(I1338="fora",0%,G1338/QUÓRUM!$C$6)</f>
        <v>#DIV/0!</v>
      </c>
      <c r="I1338" s="87"/>
      <c r="J1338" s="88"/>
      <c r="K1338" s="88"/>
      <c r="L1338" s="89"/>
      <c r="M1338" s="89"/>
      <c r="N1338" s="90"/>
      <c r="O1338" s="87"/>
      <c r="P1338" s="87"/>
      <c r="Q1338" s="87"/>
      <c r="R1338" s="91"/>
      <c r="S1338" s="92"/>
      <c r="T1338" s="93"/>
    </row>
    <row r="1339" spans="1:20" s="94" customFormat="1" x14ac:dyDescent="0.3">
      <c r="A1339" s="82"/>
      <c r="B1339" s="83"/>
      <c r="C1339" s="87"/>
      <c r="D1339" s="84"/>
      <c r="E1339" s="83"/>
      <c r="F1339" s="82"/>
      <c r="G1339" s="85"/>
      <c r="H1339" s="86" t="e">
        <f>IF(I1339="fora",0%,G1339/QUÓRUM!$C$6)</f>
        <v>#DIV/0!</v>
      </c>
      <c r="I1339" s="87"/>
      <c r="J1339" s="88"/>
      <c r="K1339" s="88"/>
      <c r="L1339" s="89"/>
      <c r="M1339" s="89"/>
      <c r="N1339" s="90"/>
      <c r="O1339" s="87"/>
      <c r="P1339" s="87"/>
      <c r="Q1339" s="87"/>
      <c r="R1339" s="91"/>
      <c r="S1339" s="92"/>
      <c r="T1339" s="93"/>
    </row>
    <row r="1340" spans="1:20" s="94" customFormat="1" x14ac:dyDescent="0.3">
      <c r="A1340" s="82"/>
      <c r="B1340" s="83"/>
      <c r="C1340" s="87"/>
      <c r="D1340" s="84"/>
      <c r="E1340" s="83"/>
      <c r="F1340" s="82"/>
      <c r="G1340" s="85"/>
      <c r="H1340" s="86" t="e">
        <f>IF(I1340="fora",0%,G1340/QUÓRUM!$C$6)</f>
        <v>#DIV/0!</v>
      </c>
      <c r="I1340" s="87"/>
      <c r="J1340" s="88"/>
      <c r="K1340" s="88"/>
      <c r="L1340" s="89"/>
      <c r="M1340" s="89"/>
      <c r="N1340" s="90"/>
      <c r="O1340" s="87"/>
      <c r="P1340" s="87"/>
      <c r="Q1340" s="87"/>
      <c r="R1340" s="91"/>
      <c r="S1340" s="92"/>
      <c r="T1340" s="93"/>
    </row>
    <row r="1341" spans="1:20" s="94" customFormat="1" x14ac:dyDescent="0.3">
      <c r="A1341" s="82"/>
      <c r="B1341" s="83"/>
      <c r="C1341" s="87"/>
      <c r="D1341" s="84"/>
      <c r="E1341" s="83"/>
      <c r="F1341" s="82"/>
      <c r="G1341" s="85"/>
      <c r="H1341" s="86" t="e">
        <f>IF(I1341="fora",0%,G1341/QUÓRUM!$C$6)</f>
        <v>#DIV/0!</v>
      </c>
      <c r="I1341" s="87"/>
      <c r="J1341" s="88"/>
      <c r="K1341" s="88"/>
      <c r="L1341" s="89"/>
      <c r="M1341" s="89"/>
      <c r="N1341" s="90"/>
      <c r="O1341" s="87"/>
      <c r="P1341" s="87"/>
      <c r="Q1341" s="87"/>
      <c r="R1341" s="91"/>
      <c r="S1341" s="92"/>
      <c r="T1341" s="93"/>
    </row>
    <row r="1342" spans="1:20" s="94" customFormat="1" x14ac:dyDescent="0.3">
      <c r="A1342" s="82"/>
      <c r="B1342" s="83"/>
      <c r="C1342" s="87"/>
      <c r="D1342" s="84"/>
      <c r="E1342" s="83"/>
      <c r="F1342" s="82"/>
      <c r="G1342" s="85"/>
      <c r="H1342" s="86" t="e">
        <f>IF(I1342="fora",0%,G1342/QUÓRUM!$C$6)</f>
        <v>#DIV/0!</v>
      </c>
      <c r="I1342" s="87"/>
      <c r="J1342" s="88"/>
      <c r="K1342" s="88"/>
      <c r="L1342" s="89"/>
      <c r="M1342" s="89"/>
      <c r="N1342" s="90"/>
      <c r="O1342" s="87"/>
      <c r="P1342" s="87"/>
      <c r="Q1342" s="87"/>
      <c r="R1342" s="91"/>
      <c r="S1342" s="92"/>
      <c r="T1342" s="93"/>
    </row>
    <row r="1343" spans="1:20" s="94" customFormat="1" x14ac:dyDescent="0.3">
      <c r="A1343" s="82"/>
      <c r="B1343" s="83"/>
      <c r="C1343" s="87"/>
      <c r="D1343" s="84"/>
      <c r="E1343" s="83"/>
      <c r="F1343" s="82"/>
      <c r="G1343" s="85"/>
      <c r="H1343" s="86" t="e">
        <f>IF(I1343="fora",0%,G1343/QUÓRUM!$C$6)</f>
        <v>#DIV/0!</v>
      </c>
      <c r="I1343" s="87"/>
      <c r="J1343" s="88"/>
      <c r="K1343" s="88"/>
      <c r="L1343" s="89"/>
      <c r="M1343" s="89"/>
      <c r="N1343" s="90"/>
      <c r="O1343" s="87"/>
      <c r="P1343" s="87"/>
      <c r="Q1343" s="87"/>
      <c r="R1343" s="91"/>
      <c r="S1343" s="92"/>
      <c r="T1343" s="93"/>
    </row>
    <row r="1344" spans="1:20" s="94" customFormat="1" x14ac:dyDescent="0.3">
      <c r="A1344" s="82"/>
      <c r="B1344" s="83"/>
      <c r="C1344" s="87"/>
      <c r="D1344" s="84"/>
      <c r="E1344" s="83"/>
      <c r="F1344" s="82"/>
      <c r="G1344" s="85"/>
      <c r="H1344" s="86" t="e">
        <f>IF(I1344="fora",0%,G1344/QUÓRUM!$C$6)</f>
        <v>#DIV/0!</v>
      </c>
      <c r="I1344" s="87"/>
      <c r="J1344" s="88"/>
      <c r="K1344" s="88"/>
      <c r="L1344" s="89"/>
      <c r="M1344" s="89"/>
      <c r="N1344" s="90"/>
      <c r="O1344" s="87"/>
      <c r="P1344" s="87"/>
      <c r="Q1344" s="87"/>
      <c r="R1344" s="91"/>
      <c r="S1344" s="92"/>
      <c r="T1344" s="93"/>
    </row>
    <row r="1345" spans="1:20" s="94" customFormat="1" x14ac:dyDescent="0.3">
      <c r="A1345" s="82"/>
      <c r="B1345" s="83"/>
      <c r="C1345" s="87"/>
      <c r="D1345" s="84"/>
      <c r="E1345" s="83"/>
      <c r="F1345" s="82"/>
      <c r="G1345" s="85"/>
      <c r="H1345" s="86" t="e">
        <f>IF(I1345="fora",0%,G1345/QUÓRUM!$C$6)</f>
        <v>#DIV/0!</v>
      </c>
      <c r="I1345" s="87"/>
      <c r="J1345" s="88"/>
      <c r="K1345" s="88"/>
      <c r="L1345" s="89"/>
      <c r="M1345" s="89"/>
      <c r="N1345" s="90"/>
      <c r="O1345" s="87"/>
      <c r="P1345" s="87"/>
      <c r="Q1345" s="87"/>
      <c r="R1345" s="91"/>
      <c r="S1345" s="92"/>
      <c r="T1345" s="93"/>
    </row>
    <row r="1346" spans="1:20" s="94" customFormat="1" x14ac:dyDescent="0.3">
      <c r="A1346" s="82"/>
      <c r="B1346" s="83"/>
      <c r="C1346" s="87"/>
      <c r="D1346" s="84"/>
      <c r="E1346" s="83"/>
      <c r="F1346" s="82"/>
      <c r="G1346" s="85"/>
      <c r="H1346" s="86" t="e">
        <f>IF(I1346="fora",0%,G1346/QUÓRUM!$C$6)</f>
        <v>#DIV/0!</v>
      </c>
      <c r="I1346" s="87"/>
      <c r="J1346" s="88"/>
      <c r="K1346" s="88"/>
      <c r="L1346" s="89"/>
      <c r="M1346" s="89"/>
      <c r="N1346" s="90"/>
      <c r="O1346" s="87"/>
      <c r="P1346" s="87"/>
      <c r="Q1346" s="87"/>
      <c r="R1346" s="91"/>
      <c r="S1346" s="92"/>
      <c r="T1346" s="93"/>
    </row>
    <row r="1347" spans="1:20" s="94" customFormat="1" x14ac:dyDescent="0.3">
      <c r="A1347" s="82"/>
      <c r="B1347" s="83"/>
      <c r="C1347" s="87"/>
      <c r="D1347" s="84"/>
      <c r="E1347" s="83"/>
      <c r="F1347" s="82"/>
      <c r="G1347" s="85"/>
      <c r="H1347" s="86" t="e">
        <f>IF(I1347="fora",0%,G1347/QUÓRUM!$C$6)</f>
        <v>#DIV/0!</v>
      </c>
      <c r="I1347" s="87"/>
      <c r="J1347" s="88"/>
      <c r="K1347" s="88"/>
      <c r="L1347" s="89"/>
      <c r="M1347" s="89"/>
      <c r="N1347" s="90"/>
      <c r="O1347" s="87"/>
      <c r="P1347" s="87"/>
      <c r="Q1347" s="87"/>
      <c r="R1347" s="91"/>
      <c r="S1347" s="92"/>
      <c r="T1347" s="93"/>
    </row>
    <row r="1348" spans="1:20" s="94" customFormat="1" x14ac:dyDescent="0.3">
      <c r="A1348" s="82"/>
      <c r="B1348" s="83"/>
      <c r="C1348" s="87"/>
      <c r="D1348" s="84"/>
      <c r="E1348" s="83"/>
      <c r="F1348" s="82"/>
      <c r="G1348" s="85"/>
      <c r="H1348" s="86" t="e">
        <f>IF(I1348="fora",0%,G1348/QUÓRUM!$C$6)</f>
        <v>#DIV/0!</v>
      </c>
      <c r="I1348" s="87"/>
      <c r="J1348" s="88"/>
      <c r="K1348" s="88"/>
      <c r="L1348" s="89"/>
      <c r="M1348" s="89"/>
      <c r="N1348" s="90"/>
      <c r="O1348" s="87"/>
      <c r="P1348" s="87"/>
      <c r="Q1348" s="87"/>
      <c r="R1348" s="91"/>
      <c r="S1348" s="92"/>
      <c r="T1348" s="93"/>
    </row>
    <row r="1349" spans="1:20" s="94" customFormat="1" x14ac:dyDescent="0.3">
      <c r="A1349" s="82"/>
      <c r="B1349" s="83"/>
      <c r="C1349" s="87"/>
      <c r="D1349" s="84"/>
      <c r="E1349" s="83"/>
      <c r="F1349" s="82"/>
      <c r="G1349" s="85"/>
      <c r="H1349" s="86" t="e">
        <f>IF(I1349="fora",0%,G1349/QUÓRUM!$C$6)</f>
        <v>#DIV/0!</v>
      </c>
      <c r="I1349" s="87"/>
      <c r="J1349" s="88"/>
      <c r="K1349" s="88"/>
      <c r="L1349" s="89"/>
      <c r="M1349" s="89"/>
      <c r="N1349" s="90"/>
      <c r="O1349" s="87"/>
      <c r="P1349" s="87"/>
      <c r="Q1349" s="87"/>
      <c r="R1349" s="91"/>
      <c r="S1349" s="92"/>
      <c r="T1349" s="93"/>
    </row>
    <row r="1350" spans="1:20" s="94" customFormat="1" x14ac:dyDescent="0.3">
      <c r="A1350" s="82"/>
      <c r="B1350" s="83"/>
      <c r="C1350" s="87"/>
      <c r="D1350" s="84"/>
      <c r="E1350" s="83"/>
      <c r="F1350" s="82"/>
      <c r="G1350" s="85"/>
      <c r="H1350" s="86" t="e">
        <f>IF(I1350="fora",0%,G1350/QUÓRUM!$C$6)</f>
        <v>#DIV/0!</v>
      </c>
      <c r="I1350" s="87"/>
      <c r="J1350" s="88"/>
      <c r="K1350" s="88"/>
      <c r="L1350" s="89"/>
      <c r="M1350" s="89"/>
      <c r="N1350" s="90"/>
      <c r="O1350" s="87"/>
      <c r="P1350" s="87"/>
      <c r="Q1350" s="87"/>
      <c r="R1350" s="91"/>
      <c r="S1350" s="92"/>
      <c r="T1350" s="93"/>
    </row>
    <row r="1351" spans="1:20" s="94" customFormat="1" x14ac:dyDescent="0.3">
      <c r="A1351" s="82"/>
      <c r="B1351" s="83"/>
      <c r="C1351" s="87"/>
      <c r="D1351" s="84"/>
      <c r="E1351" s="83"/>
      <c r="F1351" s="82"/>
      <c r="G1351" s="85"/>
      <c r="H1351" s="86" t="e">
        <f>IF(I1351="fora",0%,G1351/QUÓRUM!$C$6)</f>
        <v>#DIV/0!</v>
      </c>
      <c r="I1351" s="87"/>
      <c r="J1351" s="88"/>
      <c r="K1351" s="88"/>
      <c r="L1351" s="89"/>
      <c r="M1351" s="89"/>
      <c r="N1351" s="90"/>
      <c r="O1351" s="87"/>
      <c r="P1351" s="87"/>
      <c r="Q1351" s="87"/>
      <c r="R1351" s="91"/>
      <c r="S1351" s="92"/>
      <c r="T1351" s="93"/>
    </row>
    <row r="1352" spans="1:20" s="94" customFormat="1" x14ac:dyDescent="0.3">
      <c r="A1352" s="82"/>
      <c r="B1352" s="83"/>
      <c r="C1352" s="87"/>
      <c r="D1352" s="84"/>
      <c r="E1352" s="83"/>
      <c r="F1352" s="82"/>
      <c r="G1352" s="85"/>
      <c r="H1352" s="86" t="e">
        <f>IF(I1352="fora",0%,G1352/QUÓRUM!$C$6)</f>
        <v>#DIV/0!</v>
      </c>
      <c r="I1352" s="87"/>
      <c r="J1352" s="88"/>
      <c r="K1352" s="88"/>
      <c r="L1352" s="89"/>
      <c r="M1352" s="89"/>
      <c r="N1352" s="90"/>
      <c r="O1352" s="87"/>
      <c r="P1352" s="87"/>
      <c r="Q1352" s="87"/>
      <c r="R1352" s="91"/>
      <c r="S1352" s="92"/>
      <c r="T1352" s="93"/>
    </row>
    <row r="1353" spans="1:20" s="94" customFormat="1" x14ac:dyDescent="0.3">
      <c r="A1353" s="82"/>
      <c r="B1353" s="83"/>
      <c r="C1353" s="87"/>
      <c r="D1353" s="84"/>
      <c r="E1353" s="83"/>
      <c r="F1353" s="82"/>
      <c r="G1353" s="85"/>
      <c r="H1353" s="86" t="e">
        <f>IF(I1353="fora",0%,G1353/QUÓRUM!$C$6)</f>
        <v>#DIV/0!</v>
      </c>
      <c r="I1353" s="87"/>
      <c r="J1353" s="88"/>
      <c r="K1353" s="88"/>
      <c r="L1353" s="89"/>
      <c r="M1353" s="89"/>
      <c r="N1353" s="90"/>
      <c r="O1353" s="87"/>
      <c r="P1353" s="87"/>
      <c r="Q1353" s="87"/>
      <c r="R1353" s="91"/>
      <c r="S1353" s="92"/>
      <c r="T1353" s="93"/>
    </row>
    <row r="1354" spans="1:20" s="94" customFormat="1" x14ac:dyDescent="0.3">
      <c r="A1354" s="82"/>
      <c r="B1354" s="83"/>
      <c r="C1354" s="87"/>
      <c r="D1354" s="84"/>
      <c r="E1354" s="83"/>
      <c r="F1354" s="82"/>
      <c r="G1354" s="85"/>
      <c r="H1354" s="86" t="e">
        <f>IF(I1354="fora",0%,G1354/QUÓRUM!$C$6)</f>
        <v>#DIV/0!</v>
      </c>
      <c r="I1354" s="87"/>
      <c r="J1354" s="88"/>
      <c r="K1354" s="88"/>
      <c r="L1354" s="89"/>
      <c r="M1354" s="89"/>
      <c r="N1354" s="90"/>
      <c r="O1354" s="87"/>
      <c r="P1354" s="87"/>
      <c r="Q1354" s="87"/>
      <c r="R1354" s="91"/>
      <c r="S1354" s="92"/>
      <c r="T1354" s="93"/>
    </row>
    <row r="1355" spans="1:20" s="94" customFormat="1" x14ac:dyDescent="0.3">
      <c r="A1355" s="82"/>
      <c r="B1355" s="83"/>
      <c r="C1355" s="87"/>
      <c r="D1355" s="84"/>
      <c r="E1355" s="83"/>
      <c r="F1355" s="82"/>
      <c r="G1355" s="85"/>
      <c r="H1355" s="86" t="e">
        <f>IF(I1355="fora",0%,G1355/QUÓRUM!$C$6)</f>
        <v>#DIV/0!</v>
      </c>
      <c r="I1355" s="87"/>
      <c r="J1355" s="88"/>
      <c r="K1355" s="88"/>
      <c r="L1355" s="89"/>
      <c r="M1355" s="89"/>
      <c r="N1355" s="90"/>
      <c r="O1355" s="87"/>
      <c r="P1355" s="87"/>
      <c r="Q1355" s="87"/>
      <c r="R1355" s="91"/>
      <c r="S1355" s="92"/>
      <c r="T1355" s="93"/>
    </row>
    <row r="1356" spans="1:20" s="94" customFormat="1" x14ac:dyDescent="0.3">
      <c r="A1356" s="82"/>
      <c r="B1356" s="83"/>
      <c r="C1356" s="87"/>
      <c r="D1356" s="84"/>
      <c r="E1356" s="83"/>
      <c r="F1356" s="82"/>
      <c r="G1356" s="85"/>
      <c r="H1356" s="86" t="e">
        <f>IF(I1356="fora",0%,G1356/QUÓRUM!$C$6)</f>
        <v>#DIV/0!</v>
      </c>
      <c r="I1356" s="87"/>
      <c r="J1356" s="88"/>
      <c r="K1356" s="88"/>
      <c r="L1356" s="89"/>
      <c r="M1356" s="89"/>
      <c r="N1356" s="90"/>
      <c r="O1356" s="87"/>
      <c r="P1356" s="87"/>
      <c r="Q1356" s="87"/>
      <c r="R1356" s="91"/>
      <c r="S1356" s="92"/>
      <c r="T1356" s="93"/>
    </row>
    <row r="1357" spans="1:20" s="94" customFormat="1" x14ac:dyDescent="0.3">
      <c r="A1357" s="82"/>
      <c r="B1357" s="83"/>
      <c r="C1357" s="87"/>
      <c r="D1357" s="84"/>
      <c r="E1357" s="83"/>
      <c r="F1357" s="82"/>
      <c r="G1357" s="85"/>
      <c r="H1357" s="86" t="e">
        <f>IF(I1357="fora",0%,G1357/QUÓRUM!$C$6)</f>
        <v>#DIV/0!</v>
      </c>
      <c r="I1357" s="87"/>
      <c r="J1357" s="88"/>
      <c r="K1357" s="88"/>
      <c r="L1357" s="89"/>
      <c r="M1357" s="89"/>
      <c r="N1357" s="90"/>
      <c r="O1357" s="87"/>
      <c r="P1357" s="87"/>
      <c r="Q1357" s="87"/>
      <c r="R1357" s="91"/>
      <c r="S1357" s="92"/>
      <c r="T1357" s="93"/>
    </row>
    <row r="1358" spans="1:20" s="94" customFormat="1" x14ac:dyDescent="0.3">
      <c r="A1358" s="82"/>
      <c r="B1358" s="83"/>
      <c r="C1358" s="87"/>
      <c r="D1358" s="84"/>
      <c r="E1358" s="83"/>
      <c r="F1358" s="82"/>
      <c r="G1358" s="85"/>
      <c r="H1358" s="86" t="e">
        <f>IF(I1358="fora",0%,G1358/QUÓRUM!$C$6)</f>
        <v>#DIV/0!</v>
      </c>
      <c r="I1358" s="87"/>
      <c r="J1358" s="88"/>
      <c r="K1358" s="88"/>
      <c r="L1358" s="89"/>
      <c r="M1358" s="89"/>
      <c r="N1358" s="90"/>
      <c r="O1358" s="87"/>
      <c r="P1358" s="87"/>
      <c r="Q1358" s="87"/>
      <c r="R1358" s="91"/>
      <c r="S1358" s="92"/>
      <c r="T1358" s="93"/>
    </row>
    <row r="1359" spans="1:20" s="94" customFormat="1" x14ac:dyDescent="0.3">
      <c r="A1359" s="82"/>
      <c r="B1359" s="83"/>
      <c r="C1359" s="87"/>
      <c r="D1359" s="84"/>
      <c r="E1359" s="83"/>
      <c r="F1359" s="82"/>
      <c r="G1359" s="85"/>
      <c r="H1359" s="86" t="e">
        <f>IF(I1359="fora",0%,G1359/QUÓRUM!$C$6)</f>
        <v>#DIV/0!</v>
      </c>
      <c r="I1359" s="87"/>
      <c r="J1359" s="88"/>
      <c r="K1359" s="88"/>
      <c r="L1359" s="89"/>
      <c r="M1359" s="89"/>
      <c r="N1359" s="90"/>
      <c r="O1359" s="87"/>
      <c r="P1359" s="87"/>
      <c r="Q1359" s="87"/>
      <c r="R1359" s="91"/>
      <c r="S1359" s="92"/>
      <c r="T1359" s="93"/>
    </row>
    <row r="1360" spans="1:20" s="94" customFormat="1" x14ac:dyDescent="0.3">
      <c r="A1360" s="82"/>
      <c r="B1360" s="83"/>
      <c r="C1360" s="87"/>
      <c r="D1360" s="84"/>
      <c r="E1360" s="83"/>
      <c r="F1360" s="82"/>
      <c r="G1360" s="85"/>
      <c r="H1360" s="86" t="e">
        <f>IF(I1360="fora",0%,G1360/QUÓRUM!$C$6)</f>
        <v>#DIV/0!</v>
      </c>
      <c r="I1360" s="87"/>
      <c r="J1360" s="88"/>
      <c r="K1360" s="88"/>
      <c r="L1360" s="89"/>
      <c r="M1360" s="89"/>
      <c r="N1360" s="90"/>
      <c r="O1360" s="87"/>
      <c r="P1360" s="87"/>
      <c r="Q1360" s="87"/>
      <c r="R1360" s="91"/>
      <c r="S1360" s="92"/>
      <c r="T1360" s="93"/>
    </row>
    <row r="1361" spans="1:20" s="94" customFormat="1" x14ac:dyDescent="0.3">
      <c r="A1361" s="82"/>
      <c r="B1361" s="83"/>
      <c r="C1361" s="87"/>
      <c r="D1361" s="84"/>
      <c r="E1361" s="83"/>
      <c r="F1361" s="82"/>
      <c r="G1361" s="85"/>
      <c r="H1361" s="86" t="e">
        <f>IF(I1361="fora",0%,G1361/QUÓRUM!$C$6)</f>
        <v>#DIV/0!</v>
      </c>
      <c r="I1361" s="87"/>
      <c r="J1361" s="88"/>
      <c r="K1361" s="88"/>
      <c r="L1361" s="89"/>
      <c r="M1361" s="89"/>
      <c r="N1361" s="90"/>
      <c r="O1361" s="87"/>
      <c r="P1361" s="87"/>
      <c r="Q1361" s="87"/>
      <c r="R1361" s="91"/>
      <c r="S1361" s="92"/>
      <c r="T1361" s="93"/>
    </row>
    <row r="1362" spans="1:20" s="94" customFormat="1" x14ac:dyDescent="0.3">
      <c r="A1362" s="82"/>
      <c r="B1362" s="83"/>
      <c r="C1362" s="87"/>
      <c r="D1362" s="84"/>
      <c r="E1362" s="83"/>
      <c r="F1362" s="82"/>
      <c r="G1362" s="85"/>
      <c r="H1362" s="86" t="e">
        <f>IF(I1362="fora",0%,G1362/QUÓRUM!$C$6)</f>
        <v>#DIV/0!</v>
      </c>
      <c r="I1362" s="87"/>
      <c r="J1362" s="88"/>
      <c r="K1362" s="88"/>
      <c r="L1362" s="89"/>
      <c r="M1362" s="89"/>
      <c r="N1362" s="90"/>
      <c r="O1362" s="87"/>
      <c r="P1362" s="87"/>
      <c r="Q1362" s="87"/>
      <c r="R1362" s="91"/>
      <c r="S1362" s="92"/>
      <c r="T1362" s="93"/>
    </row>
    <row r="1363" spans="1:20" s="94" customFormat="1" x14ac:dyDescent="0.3">
      <c r="A1363" s="82"/>
      <c r="B1363" s="83"/>
      <c r="C1363" s="87"/>
      <c r="D1363" s="84"/>
      <c r="E1363" s="83"/>
      <c r="F1363" s="82"/>
      <c r="G1363" s="85"/>
      <c r="H1363" s="86" t="e">
        <f>IF(I1363="fora",0%,G1363/QUÓRUM!$C$6)</f>
        <v>#DIV/0!</v>
      </c>
      <c r="I1363" s="87"/>
      <c r="J1363" s="88"/>
      <c r="K1363" s="88"/>
      <c r="L1363" s="89"/>
      <c r="M1363" s="89"/>
      <c r="N1363" s="90"/>
      <c r="O1363" s="87"/>
      <c r="P1363" s="87"/>
      <c r="Q1363" s="87"/>
      <c r="R1363" s="91"/>
      <c r="S1363" s="92"/>
      <c r="T1363" s="93"/>
    </row>
    <row r="1364" spans="1:20" s="94" customFormat="1" x14ac:dyDescent="0.3">
      <c r="A1364" s="82"/>
      <c r="B1364" s="83"/>
      <c r="C1364" s="87"/>
      <c r="D1364" s="84"/>
      <c r="E1364" s="83"/>
      <c r="F1364" s="82"/>
      <c r="G1364" s="85"/>
      <c r="H1364" s="86" t="e">
        <f>IF(I1364="fora",0%,G1364/QUÓRUM!$C$6)</f>
        <v>#DIV/0!</v>
      </c>
      <c r="I1364" s="87"/>
      <c r="J1364" s="88"/>
      <c r="K1364" s="88"/>
      <c r="L1364" s="89"/>
      <c r="M1364" s="89"/>
      <c r="N1364" s="90"/>
      <c r="O1364" s="87"/>
      <c r="P1364" s="87"/>
      <c r="Q1364" s="87"/>
      <c r="R1364" s="91"/>
      <c r="S1364" s="92"/>
      <c r="T1364" s="93"/>
    </row>
    <row r="1365" spans="1:20" s="94" customFormat="1" x14ac:dyDescent="0.3">
      <c r="A1365" s="82"/>
      <c r="B1365" s="83"/>
      <c r="C1365" s="87"/>
      <c r="D1365" s="84"/>
      <c r="E1365" s="83"/>
      <c r="F1365" s="82"/>
      <c r="G1365" s="85"/>
      <c r="H1365" s="86" t="e">
        <f>IF(I1365="fora",0%,G1365/QUÓRUM!$C$6)</f>
        <v>#DIV/0!</v>
      </c>
      <c r="I1365" s="87"/>
      <c r="J1365" s="88"/>
      <c r="K1365" s="88"/>
      <c r="L1365" s="89"/>
      <c r="M1365" s="89"/>
      <c r="N1365" s="90"/>
      <c r="O1365" s="87"/>
      <c r="P1365" s="87"/>
      <c r="Q1365" s="87"/>
      <c r="R1365" s="91"/>
      <c r="S1365" s="92"/>
      <c r="T1365" s="93"/>
    </row>
    <row r="1366" spans="1:20" s="94" customFormat="1" x14ac:dyDescent="0.3">
      <c r="A1366" s="82"/>
      <c r="B1366" s="83"/>
      <c r="C1366" s="87"/>
      <c r="D1366" s="84"/>
      <c r="E1366" s="83"/>
      <c r="F1366" s="82"/>
      <c r="G1366" s="85"/>
      <c r="H1366" s="86" t="e">
        <f>IF(I1366="fora",0%,G1366/QUÓRUM!$C$6)</f>
        <v>#DIV/0!</v>
      </c>
      <c r="I1366" s="87"/>
      <c r="J1366" s="88"/>
      <c r="K1366" s="88"/>
      <c r="L1366" s="89"/>
      <c r="M1366" s="89"/>
      <c r="N1366" s="90"/>
      <c r="O1366" s="87"/>
      <c r="P1366" s="87"/>
      <c r="Q1366" s="87"/>
      <c r="R1366" s="91"/>
      <c r="S1366" s="92"/>
      <c r="T1366" s="93"/>
    </row>
    <row r="1367" spans="1:20" s="94" customFormat="1" x14ac:dyDescent="0.3">
      <c r="A1367" s="82"/>
      <c r="B1367" s="83"/>
      <c r="C1367" s="87"/>
      <c r="D1367" s="84"/>
      <c r="E1367" s="83"/>
      <c r="F1367" s="82"/>
      <c r="G1367" s="85"/>
      <c r="H1367" s="86" t="e">
        <f>IF(I1367="fora",0%,G1367/QUÓRUM!$C$6)</f>
        <v>#DIV/0!</v>
      </c>
      <c r="I1367" s="87"/>
      <c r="J1367" s="88"/>
      <c r="K1367" s="88"/>
      <c r="L1367" s="89"/>
      <c r="M1367" s="89"/>
      <c r="N1367" s="90"/>
      <c r="O1367" s="87"/>
      <c r="P1367" s="87"/>
      <c r="Q1367" s="87"/>
      <c r="R1367" s="91"/>
      <c r="S1367" s="92"/>
      <c r="T1367" s="93"/>
    </row>
    <row r="1368" spans="1:20" s="94" customFormat="1" x14ac:dyDescent="0.3">
      <c r="A1368" s="82"/>
      <c r="B1368" s="83"/>
      <c r="C1368" s="87"/>
      <c r="D1368" s="84"/>
      <c r="E1368" s="83"/>
      <c r="F1368" s="82"/>
      <c r="G1368" s="85"/>
      <c r="H1368" s="86" t="e">
        <f>IF(I1368="fora",0%,G1368/QUÓRUM!$C$6)</f>
        <v>#DIV/0!</v>
      </c>
      <c r="I1368" s="87"/>
      <c r="J1368" s="88"/>
      <c r="K1368" s="88"/>
      <c r="L1368" s="89"/>
      <c r="M1368" s="89"/>
      <c r="N1368" s="90"/>
      <c r="O1368" s="87"/>
      <c r="P1368" s="87"/>
      <c r="Q1368" s="87"/>
      <c r="R1368" s="91"/>
      <c r="S1368" s="92"/>
      <c r="T1368" s="93"/>
    </row>
    <row r="1369" spans="1:20" s="94" customFormat="1" x14ac:dyDescent="0.3">
      <c r="A1369" s="82"/>
      <c r="B1369" s="121"/>
      <c r="C1369" s="87"/>
      <c r="D1369" s="84"/>
      <c r="E1369" s="83"/>
      <c r="F1369" s="82"/>
      <c r="G1369" s="85"/>
      <c r="H1369" s="86" t="e">
        <f>IF(I1369="fora",0%,G1369/QUÓRUM!$C$6)</f>
        <v>#DIV/0!</v>
      </c>
      <c r="I1369" s="87"/>
      <c r="J1369" s="88"/>
      <c r="K1369" s="88"/>
      <c r="L1369" s="89"/>
      <c r="M1369" s="89"/>
      <c r="N1369" s="90"/>
      <c r="O1369" s="87"/>
      <c r="P1369" s="87"/>
      <c r="Q1369" s="87"/>
      <c r="R1369" s="91"/>
      <c r="S1369" s="92"/>
      <c r="T1369" s="93"/>
    </row>
    <row r="1370" spans="1:20" s="94" customFormat="1" x14ac:dyDescent="0.3">
      <c r="A1370" s="82"/>
      <c r="B1370" s="83"/>
      <c r="C1370" s="87"/>
      <c r="D1370" s="84"/>
      <c r="E1370" s="83"/>
      <c r="F1370" s="82"/>
      <c r="G1370" s="85"/>
      <c r="H1370" s="86" t="e">
        <f>IF(I1370="fora",0%,G1370/QUÓRUM!$C$6)</f>
        <v>#DIV/0!</v>
      </c>
      <c r="I1370" s="87"/>
      <c r="J1370" s="88"/>
      <c r="K1370" s="88"/>
      <c r="L1370" s="89"/>
      <c r="M1370" s="89"/>
      <c r="N1370" s="90"/>
      <c r="O1370" s="87"/>
      <c r="P1370" s="87"/>
      <c r="Q1370" s="87"/>
      <c r="R1370" s="91"/>
      <c r="S1370" s="92"/>
      <c r="T1370" s="93"/>
    </row>
    <row r="1371" spans="1:20" s="94" customFormat="1" x14ac:dyDescent="0.3">
      <c r="A1371" s="82"/>
      <c r="B1371" s="83"/>
      <c r="C1371" s="87"/>
      <c r="D1371" s="84"/>
      <c r="E1371" s="83"/>
      <c r="F1371" s="82"/>
      <c r="G1371" s="85"/>
      <c r="H1371" s="86" t="e">
        <f>IF(I1371="fora",0%,G1371/QUÓRUM!$C$6)</f>
        <v>#DIV/0!</v>
      </c>
      <c r="I1371" s="87"/>
      <c r="J1371" s="88"/>
      <c r="K1371" s="88"/>
      <c r="L1371" s="89"/>
      <c r="M1371" s="89"/>
      <c r="N1371" s="90"/>
      <c r="O1371" s="87"/>
      <c r="P1371" s="87"/>
      <c r="Q1371" s="87"/>
      <c r="R1371" s="91"/>
      <c r="S1371" s="92"/>
      <c r="T1371" s="93"/>
    </row>
    <row r="1372" spans="1:20" s="94" customFormat="1" x14ac:dyDescent="0.3">
      <c r="A1372" s="82"/>
      <c r="B1372" s="83"/>
      <c r="C1372" s="87"/>
      <c r="D1372" s="84"/>
      <c r="E1372" s="83"/>
      <c r="F1372" s="82"/>
      <c r="G1372" s="85"/>
      <c r="H1372" s="86" t="e">
        <f>IF(I1372="fora",0%,G1372/QUÓRUM!$C$6)</f>
        <v>#DIV/0!</v>
      </c>
      <c r="I1372" s="87"/>
      <c r="J1372" s="88"/>
      <c r="K1372" s="88"/>
      <c r="L1372" s="89"/>
      <c r="M1372" s="89"/>
      <c r="N1372" s="90"/>
      <c r="O1372" s="87"/>
      <c r="P1372" s="87"/>
      <c r="Q1372" s="87"/>
      <c r="R1372" s="91"/>
      <c r="S1372" s="92"/>
      <c r="T1372" s="93"/>
    </row>
    <row r="1373" spans="1:20" s="94" customFormat="1" x14ac:dyDescent="0.3">
      <c r="A1373" s="82"/>
      <c r="B1373" s="83"/>
      <c r="C1373" s="87"/>
      <c r="D1373" s="84"/>
      <c r="E1373" s="83"/>
      <c r="F1373" s="82"/>
      <c r="G1373" s="85"/>
      <c r="H1373" s="86" t="e">
        <f>IF(I1373="fora",0%,G1373/QUÓRUM!$C$6)</f>
        <v>#DIV/0!</v>
      </c>
      <c r="I1373" s="87"/>
      <c r="J1373" s="88"/>
      <c r="K1373" s="88"/>
      <c r="L1373" s="89"/>
      <c r="M1373" s="89"/>
      <c r="N1373" s="90"/>
      <c r="O1373" s="87"/>
      <c r="P1373" s="87"/>
      <c r="Q1373" s="87"/>
      <c r="R1373" s="91"/>
      <c r="S1373" s="92"/>
      <c r="T1373" s="93"/>
    </row>
    <row r="1374" spans="1:20" s="94" customFormat="1" x14ac:dyDescent="0.3">
      <c r="A1374" s="82"/>
      <c r="B1374" s="83"/>
      <c r="C1374" s="87"/>
      <c r="D1374" s="84"/>
      <c r="E1374" s="83"/>
      <c r="F1374" s="82"/>
      <c r="G1374" s="85"/>
      <c r="H1374" s="86" t="e">
        <f>IF(I1374="fora",0%,G1374/QUÓRUM!$C$6)</f>
        <v>#DIV/0!</v>
      </c>
      <c r="I1374" s="87"/>
      <c r="J1374" s="88"/>
      <c r="K1374" s="88"/>
      <c r="L1374" s="89"/>
      <c r="M1374" s="89"/>
      <c r="N1374" s="90"/>
      <c r="O1374" s="87"/>
      <c r="P1374" s="87"/>
      <c r="Q1374" s="87"/>
      <c r="R1374" s="91"/>
      <c r="S1374" s="92"/>
      <c r="T1374" s="93"/>
    </row>
    <row r="1375" spans="1:20" s="94" customFormat="1" x14ac:dyDescent="0.3">
      <c r="A1375" s="82"/>
      <c r="B1375" s="83"/>
      <c r="C1375" s="87"/>
      <c r="D1375" s="84"/>
      <c r="E1375" s="83"/>
      <c r="F1375" s="82"/>
      <c r="G1375" s="85"/>
      <c r="H1375" s="86" t="e">
        <f>IF(I1375="fora",0%,G1375/QUÓRUM!$C$6)</f>
        <v>#DIV/0!</v>
      </c>
      <c r="I1375" s="87"/>
      <c r="J1375" s="88"/>
      <c r="K1375" s="88"/>
      <c r="L1375" s="89"/>
      <c r="M1375" s="89"/>
      <c r="N1375" s="90"/>
      <c r="O1375" s="87"/>
      <c r="P1375" s="87"/>
      <c r="Q1375" s="87"/>
      <c r="R1375" s="91"/>
      <c r="S1375" s="92"/>
      <c r="T1375" s="93"/>
    </row>
    <row r="1376" spans="1:20" s="94" customFormat="1" x14ac:dyDescent="0.3">
      <c r="A1376" s="82"/>
      <c r="B1376" s="83"/>
      <c r="C1376" s="87"/>
      <c r="D1376" s="84"/>
      <c r="E1376" s="83"/>
      <c r="F1376" s="82"/>
      <c r="G1376" s="85"/>
      <c r="H1376" s="86" t="e">
        <f>IF(I1376="fora",0%,G1376/QUÓRUM!$C$6)</f>
        <v>#DIV/0!</v>
      </c>
      <c r="I1376" s="87"/>
      <c r="J1376" s="88"/>
      <c r="K1376" s="88"/>
      <c r="L1376" s="89"/>
      <c r="M1376" s="89"/>
      <c r="N1376" s="90"/>
      <c r="O1376" s="87"/>
      <c r="P1376" s="87"/>
      <c r="Q1376" s="87"/>
      <c r="R1376" s="91"/>
      <c r="S1376" s="92"/>
      <c r="T1376" s="93"/>
    </row>
    <row r="1377" spans="1:20" s="94" customFormat="1" x14ac:dyDescent="0.3">
      <c r="A1377" s="82"/>
      <c r="B1377" s="83"/>
      <c r="C1377" s="87"/>
      <c r="D1377" s="84"/>
      <c r="E1377" s="83"/>
      <c r="F1377" s="82"/>
      <c r="G1377" s="85"/>
      <c r="H1377" s="86" t="e">
        <f>IF(I1377="fora",0%,G1377/QUÓRUM!$C$6)</f>
        <v>#DIV/0!</v>
      </c>
      <c r="I1377" s="87"/>
      <c r="J1377" s="88"/>
      <c r="K1377" s="88"/>
      <c r="L1377" s="89"/>
      <c r="M1377" s="89"/>
      <c r="N1377" s="90"/>
      <c r="O1377" s="87"/>
      <c r="P1377" s="87"/>
      <c r="Q1377" s="87"/>
      <c r="R1377" s="91"/>
      <c r="S1377" s="92"/>
      <c r="T1377" s="93"/>
    </row>
    <row r="1378" spans="1:20" s="94" customFormat="1" x14ac:dyDescent="0.3">
      <c r="A1378" s="82"/>
      <c r="B1378" s="83"/>
      <c r="C1378" s="87"/>
      <c r="D1378" s="84"/>
      <c r="E1378" s="83"/>
      <c r="F1378" s="82"/>
      <c r="G1378" s="85"/>
      <c r="H1378" s="86" t="e">
        <f>IF(I1378="fora",0%,G1378/QUÓRUM!$C$6)</f>
        <v>#DIV/0!</v>
      </c>
      <c r="I1378" s="87"/>
      <c r="J1378" s="88"/>
      <c r="K1378" s="88"/>
      <c r="L1378" s="89"/>
      <c r="M1378" s="89"/>
      <c r="N1378" s="90"/>
      <c r="O1378" s="87"/>
      <c r="P1378" s="87"/>
      <c r="Q1378" s="87"/>
      <c r="R1378" s="91"/>
      <c r="S1378" s="92"/>
      <c r="T1378" s="93"/>
    </row>
    <row r="1379" spans="1:20" s="94" customFormat="1" x14ac:dyDescent="0.3">
      <c r="A1379" s="82"/>
      <c r="B1379" s="83"/>
      <c r="C1379" s="87"/>
      <c r="D1379" s="84"/>
      <c r="E1379" s="83"/>
      <c r="F1379" s="82"/>
      <c r="G1379" s="85"/>
      <c r="H1379" s="86" t="e">
        <f>IF(I1379="fora",0%,G1379/QUÓRUM!$C$6)</f>
        <v>#DIV/0!</v>
      </c>
      <c r="I1379" s="87"/>
      <c r="J1379" s="88"/>
      <c r="K1379" s="88"/>
      <c r="L1379" s="89"/>
      <c r="M1379" s="89"/>
      <c r="N1379" s="90"/>
      <c r="O1379" s="87"/>
      <c r="P1379" s="87"/>
      <c r="Q1379" s="87"/>
      <c r="R1379" s="91"/>
      <c r="S1379" s="92"/>
      <c r="T1379" s="93"/>
    </row>
    <row r="1380" spans="1:20" s="94" customFormat="1" x14ac:dyDescent="0.3">
      <c r="A1380" s="82"/>
      <c r="B1380" s="83"/>
      <c r="C1380" s="87"/>
      <c r="D1380" s="84"/>
      <c r="E1380" s="83"/>
      <c r="F1380" s="82"/>
      <c r="G1380" s="85"/>
      <c r="H1380" s="86" t="e">
        <f>IF(I1380="fora",0%,G1380/QUÓRUM!$C$6)</f>
        <v>#DIV/0!</v>
      </c>
      <c r="I1380" s="87"/>
      <c r="J1380" s="88"/>
      <c r="K1380" s="88"/>
      <c r="L1380" s="89"/>
      <c r="M1380" s="89"/>
      <c r="N1380" s="90"/>
      <c r="O1380" s="87"/>
      <c r="P1380" s="87"/>
      <c r="Q1380" s="87"/>
      <c r="R1380" s="91"/>
      <c r="S1380" s="92"/>
      <c r="T1380" s="93"/>
    </row>
    <row r="1381" spans="1:20" s="94" customFormat="1" x14ac:dyDescent="0.3">
      <c r="A1381" s="82"/>
      <c r="B1381" s="83"/>
      <c r="C1381" s="87"/>
      <c r="D1381" s="84"/>
      <c r="E1381" s="83"/>
      <c r="F1381" s="82"/>
      <c r="G1381" s="85"/>
      <c r="H1381" s="86" t="e">
        <f>IF(I1381="fora",0%,G1381/QUÓRUM!$C$6)</f>
        <v>#DIV/0!</v>
      </c>
      <c r="I1381" s="87"/>
      <c r="J1381" s="88"/>
      <c r="K1381" s="88"/>
      <c r="L1381" s="89"/>
      <c r="M1381" s="89"/>
      <c r="N1381" s="90"/>
      <c r="O1381" s="87"/>
      <c r="P1381" s="87"/>
      <c r="Q1381" s="87"/>
      <c r="R1381" s="91"/>
      <c r="S1381" s="92"/>
      <c r="T1381" s="93"/>
    </row>
    <row r="1382" spans="1:20" s="94" customFormat="1" x14ac:dyDescent="0.3">
      <c r="A1382" s="82"/>
      <c r="B1382" s="83"/>
      <c r="C1382" s="87"/>
      <c r="D1382" s="84"/>
      <c r="E1382" s="83"/>
      <c r="F1382" s="82"/>
      <c r="G1382" s="85"/>
      <c r="H1382" s="86" t="e">
        <f>IF(I1382="fora",0%,G1382/QUÓRUM!$C$6)</f>
        <v>#DIV/0!</v>
      </c>
      <c r="I1382" s="87"/>
      <c r="J1382" s="88"/>
      <c r="K1382" s="88"/>
      <c r="L1382" s="89"/>
      <c r="M1382" s="89"/>
      <c r="N1382" s="90"/>
      <c r="O1382" s="87"/>
      <c r="P1382" s="87"/>
      <c r="Q1382" s="87"/>
      <c r="R1382" s="91"/>
      <c r="S1382" s="92"/>
      <c r="T1382" s="93"/>
    </row>
    <row r="1383" spans="1:20" s="94" customFormat="1" x14ac:dyDescent="0.3">
      <c r="A1383" s="82"/>
      <c r="B1383" s="83"/>
      <c r="C1383" s="87"/>
      <c r="D1383" s="84"/>
      <c r="E1383" s="83"/>
      <c r="F1383" s="82"/>
      <c r="G1383" s="85"/>
      <c r="H1383" s="86" t="e">
        <f>IF(I1383="fora",0%,G1383/QUÓRUM!$C$6)</f>
        <v>#DIV/0!</v>
      </c>
      <c r="I1383" s="87"/>
      <c r="J1383" s="88"/>
      <c r="K1383" s="88"/>
      <c r="L1383" s="89"/>
      <c r="M1383" s="89"/>
      <c r="N1383" s="90"/>
      <c r="O1383" s="87"/>
      <c r="P1383" s="87"/>
      <c r="Q1383" s="87"/>
      <c r="R1383" s="91"/>
      <c r="S1383" s="92"/>
      <c r="T1383" s="93"/>
    </row>
    <row r="1384" spans="1:20" s="94" customFormat="1" x14ac:dyDescent="0.3">
      <c r="A1384" s="82"/>
      <c r="B1384" s="83"/>
      <c r="C1384" s="87"/>
      <c r="D1384" s="84"/>
      <c r="E1384" s="83"/>
      <c r="F1384" s="82"/>
      <c r="G1384" s="85"/>
      <c r="H1384" s="86" t="e">
        <f>IF(I1384="fora",0%,G1384/QUÓRUM!$C$6)</f>
        <v>#DIV/0!</v>
      </c>
      <c r="I1384" s="87"/>
      <c r="J1384" s="88"/>
      <c r="K1384" s="88"/>
      <c r="L1384" s="89"/>
      <c r="M1384" s="89"/>
      <c r="N1384" s="90"/>
      <c r="O1384" s="87"/>
      <c r="P1384" s="87"/>
      <c r="Q1384" s="87"/>
      <c r="R1384" s="91"/>
      <c r="S1384" s="92"/>
      <c r="T1384" s="93"/>
    </row>
    <row r="1385" spans="1:20" s="94" customFormat="1" x14ac:dyDescent="0.3">
      <c r="A1385" s="82"/>
      <c r="B1385" s="83"/>
      <c r="C1385" s="87"/>
      <c r="D1385" s="84"/>
      <c r="E1385" s="83"/>
      <c r="F1385" s="82"/>
      <c r="G1385" s="85"/>
      <c r="H1385" s="86" t="e">
        <f>IF(I1385="fora",0%,G1385/QUÓRUM!$C$6)</f>
        <v>#DIV/0!</v>
      </c>
      <c r="I1385" s="87"/>
      <c r="J1385" s="88"/>
      <c r="K1385" s="88"/>
      <c r="L1385" s="89"/>
      <c r="M1385" s="89"/>
      <c r="N1385" s="90"/>
      <c r="O1385" s="87"/>
      <c r="P1385" s="87"/>
      <c r="Q1385" s="87"/>
      <c r="R1385" s="91"/>
      <c r="S1385" s="92"/>
      <c r="T1385" s="93"/>
    </row>
    <row r="1386" spans="1:20" s="94" customFormat="1" x14ac:dyDescent="0.3">
      <c r="A1386" s="82"/>
      <c r="B1386" s="83"/>
      <c r="C1386" s="87"/>
      <c r="D1386" s="84"/>
      <c r="E1386" s="83"/>
      <c r="F1386" s="82"/>
      <c r="G1386" s="85"/>
      <c r="H1386" s="86" t="e">
        <f>IF(I1386="fora",0%,G1386/QUÓRUM!$C$6)</f>
        <v>#DIV/0!</v>
      </c>
      <c r="I1386" s="87"/>
      <c r="J1386" s="88"/>
      <c r="K1386" s="88"/>
      <c r="L1386" s="89"/>
      <c r="M1386" s="89"/>
      <c r="N1386" s="90"/>
      <c r="O1386" s="87"/>
      <c r="P1386" s="87"/>
      <c r="Q1386" s="87"/>
      <c r="R1386" s="91"/>
      <c r="S1386" s="92"/>
      <c r="T1386" s="93"/>
    </row>
    <row r="1387" spans="1:20" s="94" customFormat="1" x14ac:dyDescent="0.3">
      <c r="A1387" s="82"/>
      <c r="B1387" s="83"/>
      <c r="C1387" s="87"/>
      <c r="D1387" s="84"/>
      <c r="E1387" s="83"/>
      <c r="F1387" s="82"/>
      <c r="G1387" s="85"/>
      <c r="H1387" s="86" t="e">
        <f>IF(I1387="fora",0%,G1387/QUÓRUM!$C$6)</f>
        <v>#DIV/0!</v>
      </c>
      <c r="I1387" s="87"/>
      <c r="J1387" s="88"/>
      <c r="K1387" s="88"/>
      <c r="L1387" s="89"/>
      <c r="M1387" s="89"/>
      <c r="N1387" s="90"/>
      <c r="O1387" s="87"/>
      <c r="P1387" s="87"/>
      <c r="Q1387" s="87"/>
      <c r="R1387" s="91"/>
      <c r="S1387" s="92"/>
      <c r="T1387" s="93"/>
    </row>
    <row r="1388" spans="1:20" s="94" customFormat="1" x14ac:dyDescent="0.3">
      <c r="A1388" s="82"/>
      <c r="B1388" s="83"/>
      <c r="C1388" s="87"/>
      <c r="D1388" s="84"/>
      <c r="E1388" s="83"/>
      <c r="F1388" s="82"/>
      <c r="G1388" s="85"/>
      <c r="H1388" s="86" t="e">
        <f>IF(I1388="fora",0%,G1388/QUÓRUM!$C$6)</f>
        <v>#DIV/0!</v>
      </c>
      <c r="I1388" s="87"/>
      <c r="J1388" s="88"/>
      <c r="K1388" s="88"/>
      <c r="L1388" s="89"/>
      <c r="M1388" s="89"/>
      <c r="N1388" s="90"/>
      <c r="O1388" s="87"/>
      <c r="P1388" s="87"/>
      <c r="Q1388" s="87"/>
      <c r="R1388" s="91"/>
      <c r="S1388" s="92"/>
      <c r="T1388" s="93"/>
    </row>
    <row r="1389" spans="1:20" s="94" customFormat="1" x14ac:dyDescent="0.3">
      <c r="A1389" s="82"/>
      <c r="B1389" s="83"/>
      <c r="C1389" s="87"/>
      <c r="D1389" s="84"/>
      <c r="E1389" s="83"/>
      <c r="F1389" s="82"/>
      <c r="G1389" s="95"/>
      <c r="H1389" s="86" t="e">
        <f>IF(I1389="fora",0%,G1389/QUÓRUM!$C$6)</f>
        <v>#DIV/0!</v>
      </c>
      <c r="I1389" s="87"/>
      <c r="J1389" s="88"/>
      <c r="K1389" s="88"/>
      <c r="L1389" s="89"/>
      <c r="M1389" s="89"/>
      <c r="N1389" s="90"/>
      <c r="O1389" s="87"/>
      <c r="P1389" s="87"/>
      <c r="Q1389" s="87"/>
      <c r="R1389" s="91"/>
      <c r="S1389" s="92"/>
      <c r="T1389" s="93"/>
    </row>
    <row r="1390" spans="1:20" s="94" customFormat="1" x14ac:dyDescent="0.3">
      <c r="A1390" s="82"/>
      <c r="B1390" s="83"/>
      <c r="C1390" s="87"/>
      <c r="D1390" s="84"/>
      <c r="E1390" s="83"/>
      <c r="F1390" s="82"/>
      <c r="G1390" s="85"/>
      <c r="H1390" s="86" t="e">
        <f>IF(I1390="fora",0%,G1390/QUÓRUM!$C$6)</f>
        <v>#DIV/0!</v>
      </c>
      <c r="I1390" s="87"/>
      <c r="J1390" s="88"/>
      <c r="K1390" s="88"/>
      <c r="L1390" s="89"/>
      <c r="M1390" s="89"/>
      <c r="N1390" s="90"/>
      <c r="O1390" s="87"/>
      <c r="P1390" s="87"/>
      <c r="Q1390" s="87"/>
      <c r="R1390" s="91"/>
      <c r="S1390" s="92"/>
      <c r="T1390" s="93"/>
    </row>
    <row r="1391" spans="1:20" s="94" customFormat="1" x14ac:dyDescent="0.3">
      <c r="A1391" s="82"/>
      <c r="B1391" s="83"/>
      <c r="C1391" s="87"/>
      <c r="D1391" s="84"/>
      <c r="E1391" s="83"/>
      <c r="F1391" s="82"/>
      <c r="G1391" s="85"/>
      <c r="H1391" s="86" t="e">
        <f>IF(I1391="fora",0%,G1391/QUÓRUM!$C$6)</f>
        <v>#DIV/0!</v>
      </c>
      <c r="I1391" s="87"/>
      <c r="J1391" s="88"/>
      <c r="K1391" s="88"/>
      <c r="L1391" s="89"/>
      <c r="M1391" s="89"/>
      <c r="N1391" s="90"/>
      <c r="O1391" s="87"/>
      <c r="P1391" s="87"/>
      <c r="Q1391" s="87"/>
      <c r="R1391" s="91"/>
      <c r="S1391" s="92"/>
      <c r="T1391" s="93"/>
    </row>
    <row r="1392" spans="1:20" s="94" customFormat="1" x14ac:dyDescent="0.3">
      <c r="A1392" s="82"/>
      <c r="B1392" s="83"/>
      <c r="C1392" s="87"/>
      <c r="D1392" s="84"/>
      <c r="E1392" s="83"/>
      <c r="F1392" s="82"/>
      <c r="G1392" s="85"/>
      <c r="H1392" s="86" t="e">
        <f>IF(I1392="fora",0%,G1392/QUÓRUM!$C$6)</f>
        <v>#DIV/0!</v>
      </c>
      <c r="I1392" s="87"/>
      <c r="J1392" s="88"/>
      <c r="K1392" s="88"/>
      <c r="L1392" s="89"/>
      <c r="M1392" s="89"/>
      <c r="N1392" s="90"/>
      <c r="O1392" s="87"/>
      <c r="P1392" s="87"/>
      <c r="Q1392" s="87"/>
      <c r="R1392" s="91"/>
      <c r="S1392" s="92"/>
      <c r="T1392" s="93"/>
    </row>
    <row r="1393" spans="1:20" s="94" customFormat="1" x14ac:dyDescent="0.3">
      <c r="A1393" s="82"/>
      <c r="B1393" s="83"/>
      <c r="C1393" s="87"/>
      <c r="D1393" s="84"/>
      <c r="E1393" s="83"/>
      <c r="F1393" s="82"/>
      <c r="G1393" s="85"/>
      <c r="H1393" s="86" t="e">
        <f>IF(I1393="fora",0%,G1393/QUÓRUM!$C$6)</f>
        <v>#DIV/0!</v>
      </c>
      <c r="I1393" s="87"/>
      <c r="J1393" s="88"/>
      <c r="K1393" s="88"/>
      <c r="L1393" s="89"/>
      <c r="M1393" s="89"/>
      <c r="N1393" s="90"/>
      <c r="O1393" s="87"/>
      <c r="P1393" s="87"/>
      <c r="Q1393" s="87"/>
      <c r="R1393" s="91"/>
      <c r="S1393" s="92"/>
      <c r="T1393" s="93"/>
    </row>
    <row r="1394" spans="1:20" s="94" customFormat="1" x14ac:dyDescent="0.3">
      <c r="A1394" s="82"/>
      <c r="B1394" s="83"/>
      <c r="C1394" s="87"/>
      <c r="D1394" s="84"/>
      <c r="E1394" s="83"/>
      <c r="F1394" s="82"/>
      <c r="G1394" s="85"/>
      <c r="H1394" s="86" t="e">
        <f>IF(I1394="fora",0%,G1394/QUÓRUM!$C$6)</f>
        <v>#DIV/0!</v>
      </c>
      <c r="I1394" s="87"/>
      <c r="J1394" s="88"/>
      <c r="K1394" s="88"/>
      <c r="L1394" s="89"/>
      <c r="M1394" s="89"/>
      <c r="N1394" s="90"/>
      <c r="O1394" s="87"/>
      <c r="P1394" s="87"/>
      <c r="Q1394" s="87"/>
      <c r="R1394" s="91"/>
      <c r="S1394" s="92"/>
      <c r="T1394" s="93"/>
    </row>
    <row r="1395" spans="1:20" s="94" customFormat="1" x14ac:dyDescent="0.3">
      <c r="A1395" s="82"/>
      <c r="B1395" s="83"/>
      <c r="C1395" s="87"/>
      <c r="D1395" s="84"/>
      <c r="E1395" s="83"/>
      <c r="F1395" s="82"/>
      <c r="G1395" s="85"/>
      <c r="H1395" s="86" t="e">
        <f>IF(I1395="fora",0%,G1395/QUÓRUM!$C$6)</f>
        <v>#DIV/0!</v>
      </c>
      <c r="I1395" s="87"/>
      <c r="J1395" s="88"/>
      <c r="K1395" s="88"/>
      <c r="L1395" s="89"/>
      <c r="M1395" s="89"/>
      <c r="N1395" s="90"/>
      <c r="O1395" s="87"/>
      <c r="P1395" s="87"/>
      <c r="Q1395" s="87"/>
      <c r="R1395" s="91"/>
      <c r="S1395" s="92"/>
      <c r="T1395" s="93"/>
    </row>
    <row r="1396" spans="1:20" s="94" customFormat="1" x14ac:dyDescent="0.3">
      <c r="A1396" s="82"/>
      <c r="B1396" s="83"/>
      <c r="C1396" s="87"/>
      <c r="D1396" s="84"/>
      <c r="E1396" s="83"/>
      <c r="F1396" s="82"/>
      <c r="G1396" s="85"/>
      <c r="H1396" s="86" t="e">
        <f>IF(I1396="fora",0%,G1396/QUÓRUM!$C$6)</f>
        <v>#DIV/0!</v>
      </c>
      <c r="I1396" s="87"/>
      <c r="J1396" s="88"/>
      <c r="K1396" s="88"/>
      <c r="L1396" s="89"/>
      <c r="M1396" s="89"/>
      <c r="N1396" s="90"/>
      <c r="O1396" s="87"/>
      <c r="P1396" s="87"/>
      <c r="Q1396" s="87"/>
      <c r="R1396" s="91"/>
      <c r="S1396" s="92"/>
      <c r="T1396" s="93"/>
    </row>
    <row r="1397" spans="1:20" s="94" customFormat="1" x14ac:dyDescent="0.3">
      <c r="A1397" s="82"/>
      <c r="B1397" s="83"/>
      <c r="C1397" s="87"/>
      <c r="D1397" s="84"/>
      <c r="E1397" s="83"/>
      <c r="F1397" s="82"/>
      <c r="G1397" s="85"/>
      <c r="H1397" s="86" t="e">
        <f>IF(I1397="fora",0%,G1397/QUÓRUM!$C$6)</f>
        <v>#DIV/0!</v>
      </c>
      <c r="I1397" s="87"/>
      <c r="J1397" s="88"/>
      <c r="K1397" s="88"/>
      <c r="L1397" s="89"/>
      <c r="M1397" s="89"/>
      <c r="N1397" s="90"/>
      <c r="O1397" s="87"/>
      <c r="P1397" s="87"/>
      <c r="Q1397" s="87"/>
      <c r="R1397" s="91"/>
      <c r="S1397" s="92"/>
      <c r="T1397" s="93"/>
    </row>
    <row r="1398" spans="1:20" s="94" customFormat="1" x14ac:dyDescent="0.3">
      <c r="A1398" s="82"/>
      <c r="B1398" s="83"/>
      <c r="C1398" s="87"/>
      <c r="D1398" s="84"/>
      <c r="E1398" s="83"/>
      <c r="F1398" s="82"/>
      <c r="G1398" s="85"/>
      <c r="H1398" s="86" t="e">
        <f>IF(I1398="fora",0%,G1398/QUÓRUM!$C$6)</f>
        <v>#DIV/0!</v>
      </c>
      <c r="I1398" s="87"/>
      <c r="J1398" s="88"/>
      <c r="K1398" s="88"/>
      <c r="L1398" s="89"/>
      <c r="M1398" s="89"/>
      <c r="N1398" s="90"/>
      <c r="O1398" s="87"/>
      <c r="P1398" s="87"/>
      <c r="Q1398" s="87"/>
      <c r="R1398" s="91"/>
      <c r="S1398" s="92"/>
      <c r="T1398" s="93"/>
    </row>
    <row r="1399" spans="1:20" s="94" customFormat="1" x14ac:dyDescent="0.3">
      <c r="A1399" s="82"/>
      <c r="B1399" s="83"/>
      <c r="C1399" s="87"/>
      <c r="D1399" s="84"/>
      <c r="E1399" s="83"/>
      <c r="F1399" s="82"/>
      <c r="G1399" s="95"/>
      <c r="H1399" s="86" t="e">
        <f>IF(I1399="fora",0%,G1399/QUÓRUM!$C$6)</f>
        <v>#DIV/0!</v>
      </c>
      <c r="I1399" s="87"/>
      <c r="J1399" s="88"/>
      <c r="K1399" s="88"/>
      <c r="L1399" s="89"/>
      <c r="M1399" s="89"/>
      <c r="N1399" s="90"/>
      <c r="O1399" s="87"/>
      <c r="P1399" s="87"/>
      <c r="Q1399" s="87"/>
      <c r="R1399" s="91"/>
      <c r="S1399" s="92"/>
      <c r="T1399" s="93"/>
    </row>
    <row r="1400" spans="1:20" s="94" customFormat="1" x14ac:dyDescent="0.3">
      <c r="A1400" s="82"/>
      <c r="B1400" s="83"/>
      <c r="C1400" s="87"/>
      <c r="D1400" s="84"/>
      <c r="E1400" s="83"/>
      <c r="F1400" s="82"/>
      <c r="G1400" s="85"/>
      <c r="H1400" s="86" t="e">
        <f>IF(I1400="fora",0%,G1400/QUÓRUM!$C$6)</f>
        <v>#DIV/0!</v>
      </c>
      <c r="I1400" s="87"/>
      <c r="J1400" s="88"/>
      <c r="K1400" s="88"/>
      <c r="L1400" s="89"/>
      <c r="M1400" s="89"/>
      <c r="N1400" s="90"/>
      <c r="O1400" s="87"/>
      <c r="P1400" s="87"/>
      <c r="Q1400" s="87"/>
      <c r="R1400" s="91"/>
      <c r="S1400" s="92"/>
      <c r="T1400" s="93"/>
    </row>
    <row r="1401" spans="1:20" s="94" customFormat="1" x14ac:dyDescent="0.3">
      <c r="A1401" s="82"/>
      <c r="B1401" s="83"/>
      <c r="C1401" s="87"/>
      <c r="D1401" s="84"/>
      <c r="E1401" s="83"/>
      <c r="F1401" s="82"/>
      <c r="G1401" s="85"/>
      <c r="H1401" s="86" t="e">
        <f>IF(I1401="fora",0%,G1401/QUÓRUM!$C$6)</f>
        <v>#DIV/0!</v>
      </c>
      <c r="I1401" s="87"/>
      <c r="J1401" s="88"/>
      <c r="K1401" s="88"/>
      <c r="L1401" s="89"/>
      <c r="M1401" s="89"/>
      <c r="N1401" s="90"/>
      <c r="O1401" s="87"/>
      <c r="P1401" s="87"/>
      <c r="Q1401" s="87"/>
      <c r="R1401" s="91"/>
      <c r="S1401" s="92"/>
      <c r="T1401" s="93"/>
    </row>
    <row r="1402" spans="1:20" s="94" customFormat="1" x14ac:dyDescent="0.3">
      <c r="A1402" s="82"/>
      <c r="B1402" s="83"/>
      <c r="C1402" s="87"/>
      <c r="D1402" s="84"/>
      <c r="E1402" s="83"/>
      <c r="F1402" s="82"/>
      <c r="G1402" s="85"/>
      <c r="H1402" s="86" t="e">
        <f>IF(I1402="fora",0%,G1402/QUÓRUM!$C$6)</f>
        <v>#DIV/0!</v>
      </c>
      <c r="I1402" s="87"/>
      <c r="J1402" s="88"/>
      <c r="K1402" s="88"/>
      <c r="L1402" s="89"/>
      <c r="M1402" s="89"/>
      <c r="N1402" s="90"/>
      <c r="O1402" s="87"/>
      <c r="P1402" s="87"/>
      <c r="Q1402" s="87"/>
      <c r="R1402" s="91"/>
      <c r="S1402" s="92"/>
      <c r="T1402" s="93"/>
    </row>
    <row r="1403" spans="1:20" s="94" customFormat="1" x14ac:dyDescent="0.3">
      <c r="A1403" s="82"/>
      <c r="B1403" s="83"/>
      <c r="C1403" s="87"/>
      <c r="D1403" s="84"/>
      <c r="E1403" s="83"/>
      <c r="F1403" s="82"/>
      <c r="G1403" s="85"/>
      <c r="H1403" s="86" t="e">
        <f>IF(I1403="fora",0%,G1403/QUÓRUM!$C$6)</f>
        <v>#DIV/0!</v>
      </c>
      <c r="I1403" s="87"/>
      <c r="J1403" s="88"/>
      <c r="K1403" s="88"/>
      <c r="L1403" s="89"/>
      <c r="M1403" s="89"/>
      <c r="N1403" s="90"/>
      <c r="O1403" s="87"/>
      <c r="P1403" s="87"/>
      <c r="Q1403" s="87"/>
      <c r="R1403" s="91"/>
      <c r="S1403" s="92"/>
      <c r="T1403" s="93"/>
    </row>
    <row r="1404" spans="1:20" s="94" customFormat="1" x14ac:dyDescent="0.3">
      <c r="A1404" s="82"/>
      <c r="B1404" s="83"/>
      <c r="C1404" s="87"/>
      <c r="D1404" s="84"/>
      <c r="E1404" s="83"/>
      <c r="F1404" s="82"/>
      <c r="G1404" s="85"/>
      <c r="H1404" s="86" t="e">
        <f>IF(I1404="fora",0%,G1404/QUÓRUM!$C$6)</f>
        <v>#DIV/0!</v>
      </c>
      <c r="I1404" s="87"/>
      <c r="J1404" s="88"/>
      <c r="K1404" s="88"/>
      <c r="L1404" s="89"/>
      <c r="M1404" s="89"/>
      <c r="N1404" s="90"/>
      <c r="O1404" s="87"/>
      <c r="P1404" s="87"/>
      <c r="Q1404" s="87"/>
      <c r="R1404" s="91"/>
      <c r="S1404" s="92"/>
      <c r="T1404" s="93"/>
    </row>
    <row r="1405" spans="1:20" s="94" customFormat="1" x14ac:dyDescent="0.3">
      <c r="A1405" s="82"/>
      <c r="B1405" s="83"/>
      <c r="C1405" s="87"/>
      <c r="D1405" s="84"/>
      <c r="E1405" s="83"/>
      <c r="F1405" s="82"/>
      <c r="G1405" s="85"/>
      <c r="H1405" s="86" t="e">
        <f>IF(I1405="fora",0%,G1405/QUÓRUM!$C$6)</f>
        <v>#DIV/0!</v>
      </c>
      <c r="I1405" s="87"/>
      <c r="J1405" s="88"/>
      <c r="K1405" s="88"/>
      <c r="L1405" s="89"/>
      <c r="M1405" s="89"/>
      <c r="N1405" s="90"/>
      <c r="O1405" s="87"/>
      <c r="P1405" s="87"/>
      <c r="Q1405" s="87"/>
      <c r="R1405" s="91"/>
      <c r="S1405" s="92"/>
      <c r="T1405" s="93"/>
    </row>
    <row r="1406" spans="1:20" s="94" customFormat="1" x14ac:dyDescent="0.3">
      <c r="A1406" s="82"/>
      <c r="B1406" s="83"/>
      <c r="C1406" s="87"/>
      <c r="D1406" s="84"/>
      <c r="E1406" s="83"/>
      <c r="F1406" s="82"/>
      <c r="G1406" s="85"/>
      <c r="H1406" s="86" t="e">
        <f>IF(I1406="fora",0%,G1406/QUÓRUM!$C$6)</f>
        <v>#DIV/0!</v>
      </c>
      <c r="I1406" s="87"/>
      <c r="J1406" s="88"/>
      <c r="K1406" s="88"/>
      <c r="L1406" s="89"/>
      <c r="M1406" s="89"/>
      <c r="N1406" s="90"/>
      <c r="O1406" s="87"/>
      <c r="P1406" s="87"/>
      <c r="Q1406" s="87"/>
      <c r="R1406" s="91"/>
      <c r="S1406" s="92"/>
      <c r="T1406" s="93"/>
    </row>
    <row r="1407" spans="1:20" s="94" customFormat="1" x14ac:dyDescent="0.3">
      <c r="A1407" s="82"/>
      <c r="B1407" s="83"/>
      <c r="C1407" s="87"/>
      <c r="D1407" s="84"/>
      <c r="E1407" s="83"/>
      <c r="F1407" s="82"/>
      <c r="G1407" s="85"/>
      <c r="H1407" s="86" t="e">
        <f>IF(I1407="fora",0%,G1407/QUÓRUM!$C$6)</f>
        <v>#DIV/0!</v>
      </c>
      <c r="I1407" s="87"/>
      <c r="J1407" s="88"/>
      <c r="K1407" s="88"/>
      <c r="L1407" s="89"/>
      <c r="M1407" s="89"/>
      <c r="N1407" s="90"/>
      <c r="O1407" s="87"/>
      <c r="P1407" s="87"/>
      <c r="Q1407" s="87"/>
      <c r="R1407" s="91"/>
      <c r="S1407" s="92"/>
      <c r="T1407" s="93"/>
    </row>
    <row r="1408" spans="1:20" s="94" customFormat="1" x14ac:dyDescent="0.3">
      <c r="A1408" s="82"/>
      <c r="B1408" s="83"/>
      <c r="C1408" s="87"/>
      <c r="D1408" s="84"/>
      <c r="E1408" s="83"/>
      <c r="F1408" s="82"/>
      <c r="G1408" s="85"/>
      <c r="H1408" s="86" t="e">
        <f>IF(I1408="fora",0%,G1408/QUÓRUM!$C$6)</f>
        <v>#DIV/0!</v>
      </c>
      <c r="I1408" s="87"/>
      <c r="J1408" s="88"/>
      <c r="K1408" s="88"/>
      <c r="L1408" s="89"/>
      <c r="M1408" s="89"/>
      <c r="N1408" s="90"/>
      <c r="O1408" s="87"/>
      <c r="P1408" s="87"/>
      <c r="Q1408" s="87"/>
      <c r="R1408" s="91"/>
      <c r="S1408" s="92"/>
      <c r="T1408" s="93"/>
    </row>
    <row r="1409" spans="1:20" s="94" customFormat="1" x14ac:dyDescent="0.3">
      <c r="A1409" s="82"/>
      <c r="B1409" s="83"/>
      <c r="C1409" s="87"/>
      <c r="D1409" s="84"/>
      <c r="E1409" s="83"/>
      <c r="F1409" s="82"/>
      <c r="G1409" s="85"/>
      <c r="H1409" s="86" t="e">
        <f>IF(I1409="fora",0%,G1409/QUÓRUM!$C$6)</f>
        <v>#DIV/0!</v>
      </c>
      <c r="I1409" s="87"/>
      <c r="J1409" s="88"/>
      <c r="K1409" s="88"/>
      <c r="L1409" s="89"/>
      <c r="M1409" s="89"/>
      <c r="N1409" s="90"/>
      <c r="O1409" s="87"/>
      <c r="P1409" s="87"/>
      <c r="Q1409" s="87"/>
      <c r="R1409" s="91"/>
      <c r="S1409" s="92"/>
      <c r="T1409" s="93"/>
    </row>
    <row r="1410" spans="1:20" s="94" customFormat="1" x14ac:dyDescent="0.3">
      <c r="A1410" s="82"/>
      <c r="B1410" s="83"/>
      <c r="C1410" s="87"/>
      <c r="D1410" s="84"/>
      <c r="E1410" s="83"/>
      <c r="F1410" s="82"/>
      <c r="G1410" s="85"/>
      <c r="H1410" s="86" t="e">
        <f>IF(I1410="fora",0%,G1410/QUÓRUM!$C$6)</f>
        <v>#DIV/0!</v>
      </c>
      <c r="I1410" s="87"/>
      <c r="J1410" s="88"/>
      <c r="K1410" s="88"/>
      <c r="L1410" s="89"/>
      <c r="M1410" s="89"/>
      <c r="N1410" s="90"/>
      <c r="O1410" s="87"/>
      <c r="P1410" s="87"/>
      <c r="Q1410" s="87"/>
      <c r="R1410" s="91"/>
      <c r="S1410" s="92"/>
      <c r="T1410" s="93"/>
    </row>
    <row r="1411" spans="1:20" s="94" customFormat="1" x14ac:dyDescent="0.3">
      <c r="A1411" s="82"/>
      <c r="B1411" s="83"/>
      <c r="C1411" s="87"/>
      <c r="D1411" s="84"/>
      <c r="E1411" s="83"/>
      <c r="F1411" s="82"/>
      <c r="G1411" s="85"/>
      <c r="H1411" s="86" t="e">
        <f>IF(I1411="fora",0%,G1411/QUÓRUM!$C$6)</f>
        <v>#DIV/0!</v>
      </c>
      <c r="I1411" s="87"/>
      <c r="J1411" s="88"/>
      <c r="K1411" s="88"/>
      <c r="L1411" s="89"/>
      <c r="M1411" s="89"/>
      <c r="N1411" s="90"/>
      <c r="O1411" s="87"/>
      <c r="P1411" s="87"/>
      <c r="Q1411" s="87"/>
      <c r="R1411" s="91"/>
      <c r="S1411" s="92"/>
      <c r="T1411" s="93"/>
    </row>
    <row r="1412" spans="1:20" s="94" customFormat="1" x14ac:dyDescent="0.3">
      <c r="A1412" s="82"/>
      <c r="B1412" s="83"/>
      <c r="C1412" s="87"/>
      <c r="D1412" s="84"/>
      <c r="E1412" s="83"/>
      <c r="F1412" s="82"/>
      <c r="G1412" s="85"/>
      <c r="H1412" s="86" t="e">
        <f>IF(I1412="fora",0%,G1412/QUÓRUM!$C$6)</f>
        <v>#DIV/0!</v>
      </c>
      <c r="I1412" s="87"/>
      <c r="J1412" s="88"/>
      <c r="K1412" s="88"/>
      <c r="L1412" s="89"/>
      <c r="M1412" s="89"/>
      <c r="N1412" s="90"/>
      <c r="O1412" s="87"/>
      <c r="P1412" s="87"/>
      <c r="Q1412" s="87"/>
      <c r="R1412" s="91"/>
      <c r="S1412" s="92"/>
      <c r="T1412" s="93"/>
    </row>
    <row r="1413" spans="1:20" s="94" customFormat="1" x14ac:dyDescent="0.3">
      <c r="A1413" s="82"/>
      <c r="B1413" s="83"/>
      <c r="C1413" s="87"/>
      <c r="D1413" s="84"/>
      <c r="E1413" s="83"/>
      <c r="F1413" s="82"/>
      <c r="G1413" s="85"/>
      <c r="H1413" s="86" t="e">
        <f>IF(I1413="fora",0%,G1413/QUÓRUM!$C$6)</f>
        <v>#DIV/0!</v>
      </c>
      <c r="I1413" s="87"/>
      <c r="J1413" s="88"/>
      <c r="K1413" s="88"/>
      <c r="L1413" s="89"/>
      <c r="M1413" s="89"/>
      <c r="N1413" s="90"/>
      <c r="O1413" s="87"/>
      <c r="P1413" s="87"/>
      <c r="Q1413" s="87"/>
      <c r="R1413" s="91"/>
      <c r="S1413" s="92"/>
      <c r="T1413" s="93"/>
    </row>
    <row r="1414" spans="1:20" s="94" customFormat="1" x14ac:dyDescent="0.3">
      <c r="A1414" s="82"/>
      <c r="B1414" s="83"/>
      <c r="C1414" s="87"/>
      <c r="D1414" s="84"/>
      <c r="E1414" s="83"/>
      <c r="F1414" s="82"/>
      <c r="G1414" s="85"/>
      <c r="H1414" s="86" t="e">
        <f>IF(I1414="fora",0%,G1414/QUÓRUM!$C$6)</f>
        <v>#DIV/0!</v>
      </c>
      <c r="I1414" s="87"/>
      <c r="J1414" s="88"/>
      <c r="K1414" s="88"/>
      <c r="L1414" s="89"/>
      <c r="M1414" s="89"/>
      <c r="N1414" s="90"/>
      <c r="O1414" s="87"/>
      <c r="P1414" s="87"/>
      <c r="Q1414" s="87"/>
      <c r="R1414" s="91"/>
      <c r="S1414" s="92"/>
      <c r="T1414" s="93"/>
    </row>
    <row r="1415" spans="1:20" s="94" customFormat="1" x14ac:dyDescent="0.3">
      <c r="A1415" s="82"/>
      <c r="B1415" s="83"/>
      <c r="C1415" s="87"/>
      <c r="D1415" s="84"/>
      <c r="E1415" s="83"/>
      <c r="F1415" s="82"/>
      <c r="G1415" s="85"/>
      <c r="H1415" s="86" t="e">
        <f>IF(I1415="fora",0%,G1415/QUÓRUM!$C$6)</f>
        <v>#DIV/0!</v>
      </c>
      <c r="I1415" s="87"/>
      <c r="J1415" s="88"/>
      <c r="K1415" s="88"/>
      <c r="L1415" s="89"/>
      <c r="M1415" s="89"/>
      <c r="N1415" s="90"/>
      <c r="O1415" s="87"/>
      <c r="P1415" s="87"/>
      <c r="Q1415" s="87"/>
      <c r="R1415" s="91"/>
      <c r="S1415" s="92"/>
      <c r="T1415" s="93"/>
    </row>
    <row r="1416" spans="1:20" s="94" customFormat="1" x14ac:dyDescent="0.3">
      <c r="A1416" s="82"/>
      <c r="B1416" s="83"/>
      <c r="C1416" s="87"/>
      <c r="D1416" s="84"/>
      <c r="E1416" s="83"/>
      <c r="F1416" s="82"/>
      <c r="G1416" s="85"/>
      <c r="H1416" s="86" t="e">
        <f>IF(I1416="fora",0%,G1416/QUÓRUM!$C$6)</f>
        <v>#DIV/0!</v>
      </c>
      <c r="I1416" s="87"/>
      <c r="J1416" s="88"/>
      <c r="K1416" s="88"/>
      <c r="L1416" s="89"/>
      <c r="M1416" s="89"/>
      <c r="N1416" s="90"/>
      <c r="O1416" s="87"/>
      <c r="P1416" s="87"/>
      <c r="Q1416" s="87"/>
      <c r="R1416" s="91"/>
      <c r="S1416" s="92"/>
      <c r="T1416" s="93"/>
    </row>
    <row r="1417" spans="1:20" s="94" customFormat="1" x14ac:dyDescent="0.3">
      <c r="A1417" s="82"/>
      <c r="B1417" s="83"/>
      <c r="C1417" s="87"/>
      <c r="D1417" s="84"/>
      <c r="E1417" s="83"/>
      <c r="F1417" s="82"/>
      <c r="G1417" s="85"/>
      <c r="H1417" s="86" t="e">
        <f>IF(I1417="fora",0%,G1417/QUÓRUM!$C$6)</f>
        <v>#DIV/0!</v>
      </c>
      <c r="I1417" s="87"/>
      <c r="J1417" s="88"/>
      <c r="K1417" s="88"/>
      <c r="L1417" s="89"/>
      <c r="M1417" s="89"/>
      <c r="N1417" s="90"/>
      <c r="O1417" s="87"/>
      <c r="P1417" s="87"/>
      <c r="Q1417" s="87"/>
      <c r="R1417" s="91"/>
      <c r="S1417" s="92"/>
      <c r="T1417" s="93"/>
    </row>
    <row r="1418" spans="1:20" s="94" customFormat="1" x14ac:dyDescent="0.3">
      <c r="A1418" s="82"/>
      <c r="B1418" s="83"/>
      <c r="C1418" s="87"/>
      <c r="D1418" s="84"/>
      <c r="E1418" s="83"/>
      <c r="F1418" s="82"/>
      <c r="G1418" s="85"/>
      <c r="H1418" s="86" t="e">
        <f>IF(I1418="fora",0%,G1418/QUÓRUM!$C$6)</f>
        <v>#DIV/0!</v>
      </c>
      <c r="I1418" s="87"/>
      <c r="J1418" s="88"/>
      <c r="K1418" s="88"/>
      <c r="L1418" s="89"/>
      <c r="M1418" s="89"/>
      <c r="N1418" s="90"/>
      <c r="O1418" s="87"/>
      <c r="P1418" s="87"/>
      <c r="Q1418" s="87"/>
      <c r="R1418" s="91"/>
      <c r="S1418" s="92"/>
      <c r="T1418" s="93"/>
    </row>
    <row r="1419" spans="1:20" s="94" customFormat="1" x14ac:dyDescent="0.3">
      <c r="A1419" s="82"/>
      <c r="B1419" s="83"/>
      <c r="C1419" s="87"/>
      <c r="D1419" s="84"/>
      <c r="E1419" s="83"/>
      <c r="F1419" s="82"/>
      <c r="G1419" s="85"/>
      <c r="H1419" s="86" t="e">
        <f>IF(I1419="fora",0%,G1419/QUÓRUM!$C$6)</f>
        <v>#DIV/0!</v>
      </c>
      <c r="I1419" s="87"/>
      <c r="J1419" s="88"/>
      <c r="K1419" s="88"/>
      <c r="L1419" s="89"/>
      <c r="M1419" s="89"/>
      <c r="N1419" s="90"/>
      <c r="O1419" s="87"/>
      <c r="P1419" s="87"/>
      <c r="Q1419" s="87"/>
      <c r="R1419" s="91"/>
      <c r="S1419" s="92"/>
      <c r="T1419" s="93"/>
    </row>
    <row r="1420" spans="1:20" s="94" customFormat="1" x14ac:dyDescent="0.3">
      <c r="A1420" s="82"/>
      <c r="B1420" s="83"/>
      <c r="C1420" s="87"/>
      <c r="D1420" s="84"/>
      <c r="E1420" s="83"/>
      <c r="F1420" s="82"/>
      <c r="G1420" s="85"/>
      <c r="H1420" s="86" t="e">
        <f>IF(I1420="fora",0%,G1420/QUÓRUM!$C$6)</f>
        <v>#DIV/0!</v>
      </c>
      <c r="I1420" s="87"/>
      <c r="J1420" s="88"/>
      <c r="K1420" s="88"/>
      <c r="L1420" s="89"/>
      <c r="M1420" s="89"/>
      <c r="N1420" s="90"/>
      <c r="O1420" s="87"/>
      <c r="P1420" s="87"/>
      <c r="Q1420" s="87"/>
      <c r="R1420" s="91"/>
      <c r="S1420" s="92"/>
      <c r="T1420" s="93"/>
    </row>
    <row r="1421" spans="1:20" s="94" customFormat="1" x14ac:dyDescent="0.3">
      <c r="A1421" s="82"/>
      <c r="B1421" s="83"/>
      <c r="C1421" s="87"/>
      <c r="D1421" s="84"/>
      <c r="E1421" s="83"/>
      <c r="F1421" s="82"/>
      <c r="G1421" s="85"/>
      <c r="H1421" s="86" t="e">
        <f>IF(I1421="fora",0%,G1421/QUÓRUM!$C$6)</f>
        <v>#DIV/0!</v>
      </c>
      <c r="I1421" s="87"/>
      <c r="J1421" s="88"/>
      <c r="K1421" s="88"/>
      <c r="L1421" s="89"/>
      <c r="M1421" s="89"/>
      <c r="N1421" s="90"/>
      <c r="O1421" s="87"/>
      <c r="P1421" s="87"/>
      <c r="Q1421" s="87"/>
      <c r="R1421" s="91"/>
      <c r="S1421" s="92"/>
      <c r="T1421" s="93"/>
    </row>
    <row r="1422" spans="1:20" s="94" customFormat="1" x14ac:dyDescent="0.3">
      <c r="A1422" s="96"/>
      <c r="B1422" s="96"/>
      <c r="C1422" s="87"/>
      <c r="D1422" s="97"/>
      <c r="E1422" s="83"/>
      <c r="F1422" s="83"/>
      <c r="G1422" s="84"/>
      <c r="H1422" s="86" t="e">
        <f>IF(I1422="fora",0%,G1422/QUÓRUM!$C$6)</f>
        <v>#DIV/0!</v>
      </c>
      <c r="I1422" s="87"/>
      <c r="J1422" s="88"/>
      <c r="K1422" s="88"/>
      <c r="L1422" s="89"/>
      <c r="M1422" s="89"/>
      <c r="N1422" s="90"/>
      <c r="O1422" s="90"/>
      <c r="P1422" s="90"/>
      <c r="Q1422" s="87"/>
      <c r="R1422" s="98"/>
      <c r="S1422" s="90"/>
      <c r="T1422" s="99"/>
    </row>
    <row r="1423" spans="1:20" s="94" customFormat="1" x14ac:dyDescent="0.3">
      <c r="A1423" s="96"/>
      <c r="B1423" s="96"/>
      <c r="C1423" s="87"/>
      <c r="D1423" s="97"/>
      <c r="E1423" s="83"/>
      <c r="F1423" s="83"/>
      <c r="G1423" s="84"/>
      <c r="H1423" s="86" t="e">
        <f>IF(I1423="fora",0%,G1423/QUÓRUM!$C$6)</f>
        <v>#DIV/0!</v>
      </c>
      <c r="I1423" s="87"/>
      <c r="J1423" s="88"/>
      <c r="K1423" s="88"/>
      <c r="L1423" s="89"/>
      <c r="M1423" s="89"/>
      <c r="N1423" s="90"/>
      <c r="O1423" s="90"/>
      <c r="P1423" s="90"/>
      <c r="Q1423" s="87"/>
      <c r="R1423" s="98"/>
      <c r="S1423" s="90"/>
      <c r="T1423" s="99"/>
    </row>
    <row r="1424" spans="1:20" s="94" customFormat="1" x14ac:dyDescent="0.3">
      <c r="A1424" s="96"/>
      <c r="B1424" s="96"/>
      <c r="C1424" s="87"/>
      <c r="D1424" s="97"/>
      <c r="E1424" s="83"/>
      <c r="F1424" s="83"/>
      <c r="G1424" s="84"/>
      <c r="H1424" s="86" t="e">
        <f>IF(I1424="fora",0%,G1424/QUÓRUM!$C$6)</f>
        <v>#DIV/0!</v>
      </c>
      <c r="I1424" s="87"/>
      <c r="J1424" s="88"/>
      <c r="K1424" s="88"/>
      <c r="L1424" s="89"/>
      <c r="M1424" s="89"/>
      <c r="N1424" s="90"/>
      <c r="O1424" s="90"/>
      <c r="P1424" s="90"/>
      <c r="Q1424" s="87"/>
      <c r="R1424" s="98"/>
      <c r="S1424" s="90"/>
      <c r="T1424" s="99"/>
    </row>
    <row r="1425" spans="1:20" s="94" customFormat="1" x14ac:dyDescent="0.3">
      <c r="A1425" s="96"/>
      <c r="B1425" s="96"/>
      <c r="C1425" s="87"/>
      <c r="D1425" s="97"/>
      <c r="E1425" s="83"/>
      <c r="F1425" s="83"/>
      <c r="G1425" s="84"/>
      <c r="H1425" s="86" t="e">
        <f>IF(I1425="fora",0%,G1425/QUÓRUM!$C$6)</f>
        <v>#DIV/0!</v>
      </c>
      <c r="I1425" s="87"/>
      <c r="J1425" s="88"/>
      <c r="K1425" s="88"/>
      <c r="L1425" s="89"/>
      <c r="M1425" s="89"/>
      <c r="N1425" s="90"/>
      <c r="O1425" s="90"/>
      <c r="P1425" s="90"/>
      <c r="Q1425" s="87"/>
      <c r="R1425" s="98"/>
      <c r="S1425" s="90"/>
      <c r="T1425" s="99"/>
    </row>
    <row r="1426" spans="1:20" s="94" customFormat="1" x14ac:dyDescent="0.3">
      <c r="A1426" s="96"/>
      <c r="B1426" s="96"/>
      <c r="C1426" s="87"/>
      <c r="D1426" s="97"/>
      <c r="E1426" s="83"/>
      <c r="F1426" s="83"/>
      <c r="G1426" s="84"/>
      <c r="H1426" s="86" t="e">
        <f>IF(I1426="fora",0%,G1426/QUÓRUM!$C$6)</f>
        <v>#DIV/0!</v>
      </c>
      <c r="I1426" s="87"/>
      <c r="J1426" s="88"/>
      <c r="K1426" s="88"/>
      <c r="L1426" s="89"/>
      <c r="M1426" s="89"/>
      <c r="N1426" s="90"/>
      <c r="O1426" s="90"/>
      <c r="P1426" s="90"/>
      <c r="Q1426" s="87"/>
      <c r="R1426" s="98"/>
      <c r="S1426" s="90"/>
      <c r="T1426" s="99"/>
    </row>
    <row r="1427" spans="1:20" s="94" customFormat="1" x14ac:dyDescent="0.3">
      <c r="A1427" s="96"/>
      <c r="B1427" s="96"/>
      <c r="C1427" s="87"/>
      <c r="D1427" s="97"/>
      <c r="E1427" s="83"/>
      <c r="F1427" s="83"/>
      <c r="G1427" s="84"/>
      <c r="H1427" s="86" t="e">
        <f>IF(I1427="fora",0%,G1427/QUÓRUM!$C$6)</f>
        <v>#DIV/0!</v>
      </c>
      <c r="I1427" s="87"/>
      <c r="J1427" s="88"/>
      <c r="K1427" s="88"/>
      <c r="L1427" s="89"/>
      <c r="M1427" s="89"/>
      <c r="N1427" s="90"/>
      <c r="O1427" s="90"/>
      <c r="P1427" s="90"/>
      <c r="Q1427" s="87"/>
      <c r="R1427" s="98"/>
      <c r="S1427" s="90"/>
      <c r="T1427" s="99"/>
    </row>
    <row r="1428" spans="1:20" s="94" customFormat="1" x14ac:dyDescent="0.3">
      <c r="A1428" s="96"/>
      <c r="B1428" s="96"/>
      <c r="C1428" s="87"/>
      <c r="D1428" s="97"/>
      <c r="E1428" s="83"/>
      <c r="F1428" s="83"/>
      <c r="G1428" s="84"/>
      <c r="H1428" s="86" t="e">
        <f>IF(I1428="fora",0%,G1428/QUÓRUM!$C$6)</f>
        <v>#DIV/0!</v>
      </c>
      <c r="I1428" s="87"/>
      <c r="J1428" s="88"/>
      <c r="K1428" s="88"/>
      <c r="L1428" s="89"/>
      <c r="M1428" s="89"/>
      <c r="N1428" s="90"/>
      <c r="O1428" s="90"/>
      <c r="P1428" s="90"/>
      <c r="Q1428" s="87"/>
      <c r="R1428" s="98"/>
      <c r="S1428" s="90"/>
      <c r="T1428" s="99"/>
    </row>
    <row r="1429" spans="1:20" s="94" customFormat="1" x14ac:dyDescent="0.3">
      <c r="A1429" s="96"/>
      <c r="B1429" s="96"/>
      <c r="C1429" s="87"/>
      <c r="D1429" s="97"/>
      <c r="E1429" s="83"/>
      <c r="F1429" s="83"/>
      <c r="G1429" s="84"/>
      <c r="H1429" s="86" t="e">
        <f>IF(I1429="fora",0%,G1429/QUÓRUM!$C$6)</f>
        <v>#DIV/0!</v>
      </c>
      <c r="I1429" s="87"/>
      <c r="J1429" s="88"/>
      <c r="K1429" s="88"/>
      <c r="L1429" s="89"/>
      <c r="M1429" s="89"/>
      <c r="N1429" s="90"/>
      <c r="O1429" s="90"/>
      <c r="P1429" s="90"/>
      <c r="Q1429" s="87"/>
      <c r="R1429" s="98"/>
      <c r="S1429" s="90"/>
      <c r="T1429" s="99"/>
    </row>
    <row r="1430" spans="1:20" s="94" customFormat="1" x14ac:dyDescent="0.3">
      <c r="A1430" s="96"/>
      <c r="B1430" s="96"/>
      <c r="C1430" s="87"/>
      <c r="D1430" s="97"/>
      <c r="E1430" s="83"/>
      <c r="F1430" s="83"/>
      <c r="G1430" s="84"/>
      <c r="H1430" s="86" t="e">
        <f>IF(I1430="fora",0%,G1430/QUÓRUM!$C$6)</f>
        <v>#DIV/0!</v>
      </c>
      <c r="I1430" s="87"/>
      <c r="J1430" s="88"/>
      <c r="K1430" s="88"/>
      <c r="L1430" s="89"/>
      <c r="M1430" s="89"/>
      <c r="N1430" s="90"/>
      <c r="O1430" s="90"/>
      <c r="P1430" s="90"/>
      <c r="Q1430" s="87"/>
      <c r="R1430" s="98"/>
      <c r="S1430" s="90"/>
      <c r="T1430" s="99"/>
    </row>
    <row r="1431" spans="1:20" s="94" customFormat="1" x14ac:dyDescent="0.3">
      <c r="A1431" s="96"/>
      <c r="B1431" s="96"/>
      <c r="C1431" s="87"/>
      <c r="D1431" s="97"/>
      <c r="E1431" s="83"/>
      <c r="F1431" s="83"/>
      <c r="G1431" s="84"/>
      <c r="H1431" s="86" t="e">
        <f>IF(I1431="fora",0%,G1431/QUÓRUM!$C$6)</f>
        <v>#DIV/0!</v>
      </c>
      <c r="I1431" s="87"/>
      <c r="J1431" s="88"/>
      <c r="K1431" s="88"/>
      <c r="L1431" s="89"/>
      <c r="M1431" s="89"/>
      <c r="N1431" s="90"/>
      <c r="O1431" s="90"/>
      <c r="P1431" s="90"/>
      <c r="Q1431" s="87"/>
      <c r="R1431" s="98"/>
      <c r="S1431" s="90"/>
      <c r="T1431" s="99"/>
    </row>
    <row r="1432" spans="1:20" s="94" customFormat="1" x14ac:dyDescent="0.3">
      <c r="A1432" s="96"/>
      <c r="B1432" s="96"/>
      <c r="C1432" s="87"/>
      <c r="D1432" s="97"/>
      <c r="E1432" s="83"/>
      <c r="F1432" s="83"/>
      <c r="G1432" s="84"/>
      <c r="H1432" s="86" t="e">
        <f>IF(I1432="fora",0%,G1432/QUÓRUM!$C$6)</f>
        <v>#DIV/0!</v>
      </c>
      <c r="I1432" s="87"/>
      <c r="J1432" s="88"/>
      <c r="K1432" s="88"/>
      <c r="L1432" s="89"/>
      <c r="M1432" s="89"/>
      <c r="N1432" s="90"/>
      <c r="O1432" s="90"/>
      <c r="P1432" s="90"/>
      <c r="Q1432" s="87"/>
      <c r="R1432" s="98"/>
      <c r="S1432" s="90"/>
      <c r="T1432" s="99"/>
    </row>
    <row r="1433" spans="1:20" s="94" customFormat="1" x14ac:dyDescent="0.3">
      <c r="A1433" s="96"/>
      <c r="B1433" s="96"/>
      <c r="C1433" s="87"/>
      <c r="D1433" s="97"/>
      <c r="E1433" s="83"/>
      <c r="F1433" s="83"/>
      <c r="G1433" s="84"/>
      <c r="H1433" s="86" t="e">
        <f>IF(I1433="fora",0%,G1433/QUÓRUM!$C$6)</f>
        <v>#DIV/0!</v>
      </c>
      <c r="I1433" s="87"/>
      <c r="J1433" s="88"/>
      <c r="K1433" s="88"/>
      <c r="L1433" s="89"/>
      <c r="M1433" s="89"/>
      <c r="N1433" s="90"/>
      <c r="O1433" s="90"/>
      <c r="P1433" s="90"/>
      <c r="Q1433" s="87"/>
      <c r="R1433" s="98"/>
      <c r="S1433" s="90"/>
      <c r="T1433" s="99"/>
    </row>
    <row r="1434" spans="1:20" s="94" customFormat="1" x14ac:dyDescent="0.3">
      <c r="A1434" s="96"/>
      <c r="B1434" s="96"/>
      <c r="C1434" s="87"/>
      <c r="D1434" s="97"/>
      <c r="E1434" s="83"/>
      <c r="F1434" s="83"/>
      <c r="G1434" s="84"/>
      <c r="H1434" s="86" t="e">
        <f>IF(I1434="fora",0%,G1434/QUÓRUM!$C$6)</f>
        <v>#DIV/0!</v>
      </c>
      <c r="I1434" s="87"/>
      <c r="J1434" s="88"/>
      <c r="K1434" s="88"/>
      <c r="L1434" s="89"/>
      <c r="M1434" s="89"/>
      <c r="N1434" s="90"/>
      <c r="O1434" s="90"/>
      <c r="P1434" s="90"/>
      <c r="Q1434" s="87"/>
      <c r="R1434" s="98"/>
      <c r="S1434" s="90"/>
      <c r="T1434" s="99"/>
    </row>
    <row r="1435" spans="1:20" s="94" customFormat="1" x14ac:dyDescent="0.3">
      <c r="A1435" s="96"/>
      <c r="B1435" s="96"/>
      <c r="C1435" s="87"/>
      <c r="D1435" s="97"/>
      <c r="E1435" s="83"/>
      <c r="F1435" s="83"/>
      <c r="G1435" s="84"/>
      <c r="H1435" s="86" t="e">
        <f>IF(I1435="fora",0%,G1435/QUÓRUM!$C$6)</f>
        <v>#DIV/0!</v>
      </c>
      <c r="I1435" s="87"/>
      <c r="J1435" s="88"/>
      <c r="K1435" s="88"/>
      <c r="L1435" s="89"/>
      <c r="M1435" s="89"/>
      <c r="N1435" s="90"/>
      <c r="O1435" s="90"/>
      <c r="P1435" s="90"/>
      <c r="Q1435" s="87"/>
      <c r="R1435" s="98"/>
      <c r="S1435" s="90"/>
      <c r="T1435" s="99"/>
    </row>
    <row r="1436" spans="1:20" s="94" customFormat="1" x14ac:dyDescent="0.3">
      <c r="A1436" s="96"/>
      <c r="B1436" s="96"/>
      <c r="C1436" s="87"/>
      <c r="D1436" s="97"/>
      <c r="E1436" s="83"/>
      <c r="F1436" s="83"/>
      <c r="G1436" s="84"/>
      <c r="H1436" s="86" t="e">
        <f>IF(I1436="fora",0%,G1436/QUÓRUM!$C$6)</f>
        <v>#DIV/0!</v>
      </c>
      <c r="I1436" s="87"/>
      <c r="J1436" s="88"/>
      <c r="K1436" s="88"/>
      <c r="L1436" s="89"/>
      <c r="M1436" s="89"/>
      <c r="N1436" s="90"/>
      <c r="O1436" s="90"/>
      <c r="P1436" s="90"/>
      <c r="Q1436" s="87"/>
      <c r="R1436" s="98"/>
      <c r="S1436" s="90"/>
      <c r="T1436" s="99"/>
    </row>
    <row r="1437" spans="1:20" s="94" customFormat="1" x14ac:dyDescent="0.3">
      <c r="A1437" s="96"/>
      <c r="B1437" s="96"/>
      <c r="C1437" s="87"/>
      <c r="D1437" s="97"/>
      <c r="E1437" s="83"/>
      <c r="F1437" s="83"/>
      <c r="G1437" s="84"/>
      <c r="H1437" s="86" t="e">
        <f>IF(I1437="fora",0%,G1437/QUÓRUM!$C$6)</f>
        <v>#DIV/0!</v>
      </c>
      <c r="I1437" s="87"/>
      <c r="J1437" s="88"/>
      <c r="K1437" s="88"/>
      <c r="L1437" s="89"/>
      <c r="M1437" s="89"/>
      <c r="N1437" s="90"/>
      <c r="O1437" s="90"/>
      <c r="P1437" s="90"/>
      <c r="Q1437" s="87"/>
      <c r="R1437" s="98"/>
      <c r="S1437" s="90"/>
      <c r="T1437" s="99"/>
    </row>
    <row r="1438" spans="1:20" s="94" customFormat="1" x14ac:dyDescent="0.3">
      <c r="A1438" s="96"/>
      <c r="B1438" s="96"/>
      <c r="C1438" s="87"/>
      <c r="D1438" s="97"/>
      <c r="E1438" s="83"/>
      <c r="F1438" s="83"/>
      <c r="G1438" s="84"/>
      <c r="H1438" s="86" t="e">
        <f>IF(I1438="fora",0%,G1438/QUÓRUM!$C$6)</f>
        <v>#DIV/0!</v>
      </c>
      <c r="I1438" s="87"/>
      <c r="J1438" s="88"/>
      <c r="K1438" s="88"/>
      <c r="L1438" s="89"/>
      <c r="M1438" s="89"/>
      <c r="N1438" s="90"/>
      <c r="O1438" s="90"/>
      <c r="P1438" s="90"/>
      <c r="Q1438" s="87"/>
      <c r="R1438" s="98"/>
      <c r="S1438" s="90"/>
      <c r="T1438" s="99"/>
    </row>
    <row r="1439" spans="1:20" s="94" customFormat="1" x14ac:dyDescent="0.3">
      <c r="A1439" s="96"/>
      <c r="B1439" s="96"/>
      <c r="C1439" s="87"/>
      <c r="D1439" s="97"/>
      <c r="E1439" s="83"/>
      <c r="F1439" s="83"/>
      <c r="G1439" s="84"/>
      <c r="H1439" s="86" t="e">
        <f>IF(I1439="fora",0%,G1439/QUÓRUM!$C$6)</f>
        <v>#DIV/0!</v>
      </c>
      <c r="I1439" s="87"/>
      <c r="J1439" s="88"/>
      <c r="K1439" s="88"/>
      <c r="L1439" s="89"/>
      <c r="M1439" s="89"/>
      <c r="N1439" s="90"/>
      <c r="O1439" s="90"/>
      <c r="P1439" s="90"/>
      <c r="Q1439" s="87"/>
      <c r="R1439" s="98"/>
      <c r="S1439" s="90"/>
      <c r="T1439" s="99"/>
    </row>
    <row r="1440" spans="1:20" s="94" customFormat="1" x14ac:dyDescent="0.3">
      <c r="A1440" s="96"/>
      <c r="B1440" s="96"/>
      <c r="C1440" s="87"/>
      <c r="D1440" s="97"/>
      <c r="E1440" s="83"/>
      <c r="F1440" s="83"/>
      <c r="G1440" s="84"/>
      <c r="H1440" s="86" t="e">
        <f>IF(I1440="fora",0%,G1440/QUÓRUM!$C$6)</f>
        <v>#DIV/0!</v>
      </c>
      <c r="I1440" s="87"/>
      <c r="J1440" s="88"/>
      <c r="K1440" s="88"/>
      <c r="L1440" s="89"/>
      <c r="M1440" s="89"/>
      <c r="N1440" s="90"/>
      <c r="O1440" s="90"/>
      <c r="P1440" s="90"/>
      <c r="Q1440" s="87"/>
      <c r="R1440" s="98"/>
      <c r="S1440" s="90"/>
      <c r="T1440" s="99"/>
    </row>
    <row r="1441" spans="1:20" s="94" customFormat="1" x14ac:dyDescent="0.3">
      <c r="A1441" s="96"/>
      <c r="B1441" s="96"/>
      <c r="C1441" s="87"/>
      <c r="D1441" s="97"/>
      <c r="E1441" s="83"/>
      <c r="F1441" s="83"/>
      <c r="G1441" s="84"/>
      <c r="H1441" s="86" t="e">
        <f>IF(I1441="fora",0%,G1441/QUÓRUM!$C$6)</f>
        <v>#DIV/0!</v>
      </c>
      <c r="I1441" s="87"/>
      <c r="J1441" s="88"/>
      <c r="K1441" s="88"/>
      <c r="L1441" s="89"/>
      <c r="M1441" s="89"/>
      <c r="N1441" s="90"/>
      <c r="O1441" s="90"/>
      <c r="P1441" s="90"/>
      <c r="Q1441" s="87"/>
      <c r="R1441" s="98"/>
      <c r="S1441" s="90"/>
      <c r="T1441" s="99"/>
    </row>
    <row r="1442" spans="1:20" s="94" customFormat="1" x14ac:dyDescent="0.3">
      <c r="A1442" s="96"/>
      <c r="B1442" s="96"/>
      <c r="C1442" s="87"/>
      <c r="D1442" s="97"/>
      <c r="E1442" s="83"/>
      <c r="F1442" s="83"/>
      <c r="G1442" s="84"/>
      <c r="H1442" s="86" t="e">
        <f>IF(I1442="fora",0%,G1442/QUÓRUM!$C$6)</f>
        <v>#DIV/0!</v>
      </c>
      <c r="I1442" s="87"/>
      <c r="J1442" s="88"/>
      <c r="K1442" s="88"/>
      <c r="L1442" s="89"/>
      <c r="M1442" s="89"/>
      <c r="N1442" s="90"/>
      <c r="O1442" s="90"/>
      <c r="P1442" s="90"/>
      <c r="Q1442" s="87"/>
      <c r="R1442" s="98"/>
      <c r="S1442" s="90"/>
      <c r="T1442" s="99"/>
    </row>
    <row r="1443" spans="1:20" s="94" customFormat="1" x14ac:dyDescent="0.3">
      <c r="A1443" s="96"/>
      <c r="B1443" s="96"/>
      <c r="C1443" s="87"/>
      <c r="D1443" s="97"/>
      <c r="E1443" s="83"/>
      <c r="F1443" s="83"/>
      <c r="G1443" s="84"/>
      <c r="H1443" s="86" t="e">
        <f>IF(I1443="fora",0%,G1443/QUÓRUM!$C$6)</f>
        <v>#DIV/0!</v>
      </c>
      <c r="I1443" s="87"/>
      <c r="J1443" s="88"/>
      <c r="K1443" s="88"/>
      <c r="L1443" s="89"/>
      <c r="M1443" s="89"/>
      <c r="N1443" s="90"/>
      <c r="O1443" s="90"/>
      <c r="P1443" s="90"/>
      <c r="Q1443" s="87"/>
      <c r="R1443" s="98"/>
      <c r="S1443" s="90"/>
      <c r="T1443" s="99"/>
    </row>
    <row r="1444" spans="1:20" s="94" customFormat="1" x14ac:dyDescent="0.3">
      <c r="A1444" s="96"/>
      <c r="B1444" s="96"/>
      <c r="C1444" s="87"/>
      <c r="D1444" s="97"/>
      <c r="E1444" s="83"/>
      <c r="F1444" s="83"/>
      <c r="G1444" s="84"/>
      <c r="H1444" s="86" t="e">
        <f>IF(I1444="fora",0%,G1444/QUÓRUM!$C$6)</f>
        <v>#DIV/0!</v>
      </c>
      <c r="I1444" s="87"/>
      <c r="J1444" s="88"/>
      <c r="K1444" s="88"/>
      <c r="L1444" s="89"/>
      <c r="M1444" s="89"/>
      <c r="N1444" s="90"/>
      <c r="O1444" s="90"/>
      <c r="P1444" s="90"/>
      <c r="Q1444" s="87"/>
      <c r="R1444" s="98"/>
      <c r="S1444" s="90"/>
      <c r="T1444" s="99"/>
    </row>
    <row r="1445" spans="1:20" s="94" customFormat="1" x14ac:dyDescent="0.3">
      <c r="A1445" s="96"/>
      <c r="B1445" s="96"/>
      <c r="C1445" s="87"/>
      <c r="D1445" s="97"/>
      <c r="E1445" s="83"/>
      <c r="F1445" s="83"/>
      <c r="G1445" s="84"/>
      <c r="H1445" s="86" t="e">
        <f>IF(I1445="fora",0%,G1445/QUÓRUM!$C$6)</f>
        <v>#DIV/0!</v>
      </c>
      <c r="I1445" s="87"/>
      <c r="J1445" s="88"/>
      <c r="K1445" s="88"/>
      <c r="L1445" s="89"/>
      <c r="M1445" s="89"/>
      <c r="N1445" s="90"/>
      <c r="O1445" s="90"/>
      <c r="P1445" s="90"/>
      <c r="Q1445" s="87"/>
      <c r="R1445" s="98"/>
      <c r="S1445" s="90"/>
      <c r="T1445" s="99"/>
    </row>
    <row r="1446" spans="1:20" s="94" customFormat="1" x14ac:dyDescent="0.3">
      <c r="A1446" s="96"/>
      <c r="B1446" s="96"/>
      <c r="C1446" s="87"/>
      <c r="D1446" s="97"/>
      <c r="E1446" s="83"/>
      <c r="F1446" s="83"/>
      <c r="G1446" s="84"/>
      <c r="H1446" s="86" t="e">
        <f>IF(I1446="fora",0%,G1446/QUÓRUM!$C$6)</f>
        <v>#DIV/0!</v>
      </c>
      <c r="I1446" s="87"/>
      <c r="J1446" s="88"/>
      <c r="K1446" s="88"/>
      <c r="L1446" s="89"/>
      <c r="M1446" s="89"/>
      <c r="N1446" s="90"/>
      <c r="O1446" s="90"/>
      <c r="P1446" s="90"/>
      <c r="Q1446" s="87"/>
      <c r="R1446" s="98"/>
      <c r="S1446" s="90"/>
      <c r="T1446" s="99"/>
    </row>
    <row r="1447" spans="1:20" s="94" customFormat="1" x14ac:dyDescent="0.3">
      <c r="A1447" s="96"/>
      <c r="B1447" s="96"/>
      <c r="C1447" s="87"/>
      <c r="D1447" s="97"/>
      <c r="E1447" s="83"/>
      <c r="F1447" s="83"/>
      <c r="G1447" s="84"/>
      <c r="H1447" s="86" t="e">
        <f>IF(I1447="fora",0%,G1447/QUÓRUM!$C$6)</f>
        <v>#DIV/0!</v>
      </c>
      <c r="I1447" s="87"/>
      <c r="J1447" s="88"/>
      <c r="K1447" s="88"/>
      <c r="L1447" s="89"/>
      <c r="M1447" s="89"/>
      <c r="N1447" s="90"/>
      <c r="O1447" s="90"/>
      <c r="P1447" s="90"/>
      <c r="Q1447" s="87"/>
      <c r="R1447" s="98"/>
      <c r="S1447" s="90"/>
      <c r="T1447" s="99"/>
    </row>
    <row r="1448" spans="1:20" s="94" customFormat="1" x14ac:dyDescent="0.3">
      <c r="A1448" s="96"/>
      <c r="B1448" s="96"/>
      <c r="C1448" s="87"/>
      <c r="D1448" s="97"/>
      <c r="E1448" s="83"/>
      <c r="F1448" s="83"/>
      <c r="G1448" s="84"/>
      <c r="H1448" s="86" t="e">
        <f>IF(I1448="fora",0%,G1448/QUÓRUM!$C$6)</f>
        <v>#DIV/0!</v>
      </c>
      <c r="I1448" s="87"/>
      <c r="J1448" s="88"/>
      <c r="K1448" s="88"/>
      <c r="L1448" s="89"/>
      <c r="M1448" s="89"/>
      <c r="N1448" s="90"/>
      <c r="O1448" s="90"/>
      <c r="P1448" s="90"/>
      <c r="Q1448" s="87"/>
      <c r="R1448" s="98"/>
      <c r="S1448" s="90"/>
      <c r="T1448" s="99"/>
    </row>
    <row r="1449" spans="1:20" s="94" customFormat="1" x14ac:dyDescent="0.3">
      <c r="A1449" s="96"/>
      <c r="B1449" s="96"/>
      <c r="C1449" s="87"/>
      <c r="D1449" s="97"/>
      <c r="E1449" s="83"/>
      <c r="F1449" s="83"/>
      <c r="G1449" s="84"/>
      <c r="H1449" s="86" t="e">
        <f>IF(I1449="fora",0%,G1449/QUÓRUM!$C$6)</f>
        <v>#DIV/0!</v>
      </c>
      <c r="I1449" s="87"/>
      <c r="J1449" s="88"/>
      <c r="K1449" s="88"/>
      <c r="L1449" s="89"/>
      <c r="M1449" s="89"/>
      <c r="N1449" s="90"/>
      <c r="O1449" s="90"/>
      <c r="P1449" s="90"/>
      <c r="Q1449" s="87"/>
      <c r="R1449" s="98"/>
      <c r="S1449" s="90"/>
      <c r="T1449" s="99"/>
    </row>
    <row r="1450" spans="1:20" s="94" customFormat="1" x14ac:dyDescent="0.3">
      <c r="A1450" s="96"/>
      <c r="B1450" s="96"/>
      <c r="C1450" s="87"/>
      <c r="D1450" s="97"/>
      <c r="E1450" s="83"/>
      <c r="F1450" s="83"/>
      <c r="G1450" s="84"/>
      <c r="H1450" s="86" t="e">
        <f>IF(I1450="fora",0%,G1450/QUÓRUM!$C$6)</f>
        <v>#DIV/0!</v>
      </c>
      <c r="I1450" s="87"/>
      <c r="J1450" s="88"/>
      <c r="K1450" s="88"/>
      <c r="L1450" s="89"/>
      <c r="M1450" s="89"/>
      <c r="N1450" s="90"/>
      <c r="O1450" s="90"/>
      <c r="P1450" s="90"/>
      <c r="Q1450" s="87"/>
      <c r="R1450" s="98"/>
      <c r="S1450" s="90"/>
      <c r="T1450" s="99"/>
    </row>
    <row r="1451" spans="1:20" s="94" customFormat="1" x14ac:dyDescent="0.3">
      <c r="A1451" s="96"/>
      <c r="B1451" s="96"/>
      <c r="C1451" s="87"/>
      <c r="D1451" s="97"/>
      <c r="E1451" s="83"/>
      <c r="F1451" s="83"/>
      <c r="G1451" s="84"/>
      <c r="H1451" s="86" t="e">
        <f>IF(I1451="fora",0%,G1451/QUÓRUM!$C$6)</f>
        <v>#DIV/0!</v>
      </c>
      <c r="I1451" s="87"/>
      <c r="J1451" s="88"/>
      <c r="K1451" s="88"/>
      <c r="L1451" s="89"/>
      <c r="M1451" s="89"/>
      <c r="N1451" s="90"/>
      <c r="O1451" s="90"/>
      <c r="P1451" s="90"/>
      <c r="Q1451" s="87"/>
      <c r="R1451" s="98"/>
      <c r="S1451" s="90"/>
      <c r="T1451" s="99"/>
    </row>
    <row r="1452" spans="1:20" s="94" customFormat="1" x14ac:dyDescent="0.3">
      <c r="A1452" s="96"/>
      <c r="B1452" s="96"/>
      <c r="C1452" s="87"/>
      <c r="D1452" s="97"/>
      <c r="E1452" s="83"/>
      <c r="F1452" s="83"/>
      <c r="G1452" s="84"/>
      <c r="H1452" s="86" t="e">
        <f>IF(I1452="fora",0%,G1452/QUÓRUM!$C$6)</f>
        <v>#DIV/0!</v>
      </c>
      <c r="I1452" s="87"/>
      <c r="J1452" s="88"/>
      <c r="K1452" s="88"/>
      <c r="L1452" s="89"/>
      <c r="M1452" s="89"/>
      <c r="N1452" s="90"/>
      <c r="O1452" s="90"/>
      <c r="P1452" s="90"/>
      <c r="Q1452" s="87"/>
      <c r="R1452" s="98"/>
      <c r="S1452" s="90"/>
      <c r="T1452" s="99"/>
    </row>
    <row r="1453" spans="1:20" s="94" customFormat="1" x14ac:dyDescent="0.3">
      <c r="A1453" s="96"/>
      <c r="B1453" s="96"/>
      <c r="C1453" s="87"/>
      <c r="D1453" s="97"/>
      <c r="E1453" s="83"/>
      <c r="F1453" s="83"/>
      <c r="G1453" s="84"/>
      <c r="H1453" s="86" t="e">
        <f>IF(I1453="fora",0%,G1453/QUÓRUM!$C$6)</f>
        <v>#DIV/0!</v>
      </c>
      <c r="I1453" s="87"/>
      <c r="J1453" s="88"/>
      <c r="K1453" s="88"/>
      <c r="L1453" s="89"/>
      <c r="M1453" s="89"/>
      <c r="N1453" s="90"/>
      <c r="O1453" s="90"/>
      <c r="P1453" s="90"/>
      <c r="Q1453" s="87"/>
      <c r="R1453" s="98"/>
      <c r="S1453" s="90"/>
      <c r="T1453" s="99"/>
    </row>
    <row r="1454" spans="1:20" s="94" customFormat="1" x14ac:dyDescent="0.3">
      <c r="A1454" s="96"/>
      <c r="B1454" s="96"/>
      <c r="C1454" s="87"/>
      <c r="D1454" s="97"/>
      <c r="E1454" s="83"/>
      <c r="F1454" s="83"/>
      <c r="G1454" s="84"/>
      <c r="H1454" s="86" t="e">
        <f>IF(I1454="fora",0%,G1454/QUÓRUM!$C$6)</f>
        <v>#DIV/0!</v>
      </c>
      <c r="I1454" s="87"/>
      <c r="J1454" s="88"/>
      <c r="K1454" s="88"/>
      <c r="L1454" s="89"/>
      <c r="M1454" s="89"/>
      <c r="N1454" s="90"/>
      <c r="O1454" s="90"/>
      <c r="P1454" s="90"/>
      <c r="Q1454" s="87"/>
      <c r="R1454" s="98"/>
      <c r="S1454" s="90"/>
      <c r="T1454" s="99"/>
    </row>
    <row r="1455" spans="1:20" s="94" customFormat="1" x14ac:dyDescent="0.3">
      <c r="A1455" s="96"/>
      <c r="B1455" s="96"/>
      <c r="C1455" s="87"/>
      <c r="D1455" s="97"/>
      <c r="E1455" s="83"/>
      <c r="F1455" s="83"/>
      <c r="G1455" s="84"/>
      <c r="H1455" s="86" t="e">
        <f>IF(I1455="fora",0%,G1455/QUÓRUM!$C$6)</f>
        <v>#DIV/0!</v>
      </c>
      <c r="I1455" s="87"/>
      <c r="J1455" s="88"/>
      <c r="K1455" s="88"/>
      <c r="L1455" s="89"/>
      <c r="M1455" s="89"/>
      <c r="N1455" s="90"/>
      <c r="O1455" s="90"/>
      <c r="P1455" s="90"/>
      <c r="Q1455" s="87"/>
      <c r="R1455" s="98"/>
      <c r="S1455" s="90"/>
      <c r="T1455" s="99"/>
    </row>
    <row r="1456" spans="1:20" s="94" customFormat="1" x14ac:dyDescent="0.3">
      <c r="A1456" s="96"/>
      <c r="B1456" s="96"/>
      <c r="C1456" s="87"/>
      <c r="D1456" s="97"/>
      <c r="E1456" s="83"/>
      <c r="F1456" s="83"/>
      <c r="G1456" s="84"/>
      <c r="H1456" s="86" t="e">
        <f>IF(I1456="fora",0%,G1456/QUÓRUM!$C$6)</f>
        <v>#DIV/0!</v>
      </c>
      <c r="I1456" s="87"/>
      <c r="J1456" s="88"/>
      <c r="K1456" s="88"/>
      <c r="L1456" s="89"/>
      <c r="M1456" s="89"/>
      <c r="N1456" s="90"/>
      <c r="O1456" s="90"/>
      <c r="P1456" s="90"/>
      <c r="Q1456" s="87"/>
      <c r="R1456" s="98"/>
      <c r="S1456" s="90"/>
      <c r="T1456" s="99"/>
    </row>
    <row r="1457" spans="1:20" s="94" customFormat="1" x14ac:dyDescent="0.3">
      <c r="A1457" s="96"/>
      <c r="B1457" s="96"/>
      <c r="C1457" s="87"/>
      <c r="D1457" s="97"/>
      <c r="E1457" s="83"/>
      <c r="F1457" s="83"/>
      <c r="G1457" s="84"/>
      <c r="H1457" s="86" t="e">
        <f>IF(I1457="fora",0%,G1457/QUÓRUM!$C$6)</f>
        <v>#DIV/0!</v>
      </c>
      <c r="I1457" s="87"/>
      <c r="J1457" s="88"/>
      <c r="K1457" s="88"/>
      <c r="L1457" s="89"/>
      <c r="M1457" s="89"/>
      <c r="N1457" s="90"/>
      <c r="O1457" s="90"/>
      <c r="P1457" s="90"/>
      <c r="Q1457" s="87"/>
      <c r="R1457" s="98"/>
      <c r="S1457" s="90"/>
      <c r="T1457" s="99"/>
    </row>
    <row r="1458" spans="1:20" s="94" customFormat="1" x14ac:dyDescent="0.3">
      <c r="A1458" s="96"/>
      <c r="B1458" s="96"/>
      <c r="C1458" s="87"/>
      <c r="D1458" s="97"/>
      <c r="E1458" s="83"/>
      <c r="F1458" s="83"/>
      <c r="G1458" s="84"/>
      <c r="H1458" s="86" t="e">
        <f>IF(I1458="fora",0%,G1458/QUÓRUM!$C$6)</f>
        <v>#DIV/0!</v>
      </c>
      <c r="I1458" s="87"/>
      <c r="J1458" s="88"/>
      <c r="K1458" s="88"/>
      <c r="L1458" s="89"/>
      <c r="M1458" s="89"/>
      <c r="N1458" s="90"/>
      <c r="O1458" s="90"/>
      <c r="P1458" s="90"/>
      <c r="Q1458" s="87"/>
      <c r="R1458" s="98"/>
      <c r="S1458" s="90"/>
      <c r="T1458" s="99"/>
    </row>
    <row r="1459" spans="1:20" s="94" customFormat="1" x14ac:dyDescent="0.3">
      <c r="A1459" s="96"/>
      <c r="B1459" s="96"/>
      <c r="C1459" s="87"/>
      <c r="D1459" s="97"/>
      <c r="E1459" s="83"/>
      <c r="F1459" s="83"/>
      <c r="G1459" s="84"/>
      <c r="H1459" s="86" t="e">
        <f>IF(I1459="fora",0%,G1459/QUÓRUM!$C$6)</f>
        <v>#DIV/0!</v>
      </c>
      <c r="I1459" s="87"/>
      <c r="J1459" s="88"/>
      <c r="K1459" s="88"/>
      <c r="L1459" s="89"/>
      <c r="M1459" s="89"/>
      <c r="N1459" s="90"/>
      <c r="O1459" s="90"/>
      <c r="P1459" s="90"/>
      <c r="Q1459" s="87"/>
      <c r="R1459" s="98"/>
      <c r="S1459" s="90"/>
      <c r="T1459" s="99"/>
    </row>
    <row r="1460" spans="1:20" s="94" customFormat="1" x14ac:dyDescent="0.3">
      <c r="A1460" s="96"/>
      <c r="B1460" s="96"/>
      <c r="C1460" s="87"/>
      <c r="D1460" s="97"/>
      <c r="E1460" s="83"/>
      <c r="F1460" s="83"/>
      <c r="G1460" s="84"/>
      <c r="H1460" s="86" t="e">
        <f>IF(I1460="fora",0%,G1460/QUÓRUM!$C$6)</f>
        <v>#DIV/0!</v>
      </c>
      <c r="I1460" s="87"/>
      <c r="J1460" s="88"/>
      <c r="K1460" s="88"/>
      <c r="L1460" s="89"/>
      <c r="M1460" s="89"/>
      <c r="N1460" s="90"/>
      <c r="O1460" s="90"/>
      <c r="P1460" s="90"/>
      <c r="Q1460" s="87"/>
      <c r="R1460" s="98"/>
      <c r="S1460" s="90"/>
      <c r="T1460" s="99"/>
    </row>
    <row r="1461" spans="1:20" s="94" customFormat="1" x14ac:dyDescent="0.3">
      <c r="A1461" s="96"/>
      <c r="B1461" s="96"/>
      <c r="C1461" s="87"/>
      <c r="D1461" s="97"/>
      <c r="E1461" s="83"/>
      <c r="F1461" s="83"/>
      <c r="G1461" s="84"/>
      <c r="H1461" s="86" t="e">
        <f>IF(I1461="fora",0%,G1461/QUÓRUM!$C$6)</f>
        <v>#DIV/0!</v>
      </c>
      <c r="I1461" s="87"/>
      <c r="J1461" s="88"/>
      <c r="K1461" s="88"/>
      <c r="L1461" s="89"/>
      <c r="M1461" s="89"/>
      <c r="N1461" s="90"/>
      <c r="O1461" s="90"/>
      <c r="P1461" s="90"/>
      <c r="Q1461" s="87"/>
      <c r="R1461" s="98"/>
      <c r="S1461" s="90"/>
      <c r="T1461" s="99"/>
    </row>
    <row r="1462" spans="1:20" s="94" customFormat="1" x14ac:dyDescent="0.3">
      <c r="A1462" s="96"/>
      <c r="B1462" s="96"/>
      <c r="C1462" s="87"/>
      <c r="D1462" s="97"/>
      <c r="E1462" s="83"/>
      <c r="F1462" s="83"/>
      <c r="G1462" s="84"/>
      <c r="H1462" s="86" t="e">
        <f>IF(I1462="fora",0%,G1462/QUÓRUM!$C$6)</f>
        <v>#DIV/0!</v>
      </c>
      <c r="I1462" s="87"/>
      <c r="J1462" s="88"/>
      <c r="K1462" s="88"/>
      <c r="L1462" s="89"/>
      <c r="M1462" s="89"/>
      <c r="N1462" s="90"/>
      <c r="O1462" s="90"/>
      <c r="P1462" s="90"/>
      <c r="Q1462" s="87"/>
      <c r="R1462" s="98"/>
      <c r="S1462" s="90"/>
      <c r="T1462" s="99"/>
    </row>
    <row r="1463" spans="1:20" s="94" customFormat="1" x14ac:dyDescent="0.3">
      <c r="A1463" s="96"/>
      <c r="B1463" s="96"/>
      <c r="C1463" s="87"/>
      <c r="D1463" s="97"/>
      <c r="E1463" s="83"/>
      <c r="F1463" s="83"/>
      <c r="G1463" s="84"/>
      <c r="H1463" s="86" t="e">
        <f>IF(I1463="fora",0%,G1463/QUÓRUM!$C$6)</f>
        <v>#DIV/0!</v>
      </c>
      <c r="I1463" s="87"/>
      <c r="J1463" s="88"/>
      <c r="K1463" s="88"/>
      <c r="L1463" s="89"/>
      <c r="M1463" s="89"/>
      <c r="N1463" s="90"/>
      <c r="O1463" s="90"/>
      <c r="P1463" s="90"/>
      <c r="Q1463" s="87"/>
      <c r="R1463" s="98"/>
      <c r="S1463" s="90"/>
      <c r="T1463" s="99"/>
    </row>
    <row r="1464" spans="1:20" s="94" customFormat="1" x14ac:dyDescent="0.3">
      <c r="A1464" s="96"/>
      <c r="B1464" s="96"/>
      <c r="C1464" s="87"/>
      <c r="D1464" s="97"/>
      <c r="E1464" s="83"/>
      <c r="F1464" s="83"/>
      <c r="G1464" s="84"/>
      <c r="H1464" s="86" t="e">
        <f>IF(I1464="fora",0%,G1464/QUÓRUM!$C$6)</f>
        <v>#DIV/0!</v>
      </c>
      <c r="I1464" s="87"/>
      <c r="J1464" s="88"/>
      <c r="K1464" s="88"/>
      <c r="L1464" s="89"/>
      <c r="M1464" s="89"/>
      <c r="N1464" s="90"/>
      <c r="O1464" s="90"/>
      <c r="P1464" s="90"/>
      <c r="Q1464" s="87"/>
      <c r="R1464" s="98"/>
      <c r="S1464" s="90"/>
      <c r="T1464" s="99"/>
    </row>
    <row r="1465" spans="1:20" s="94" customFormat="1" x14ac:dyDescent="0.3">
      <c r="A1465" s="96"/>
      <c r="B1465" s="96"/>
      <c r="C1465" s="87"/>
      <c r="D1465" s="97"/>
      <c r="E1465" s="83"/>
      <c r="F1465" s="83"/>
      <c r="G1465" s="84"/>
      <c r="H1465" s="86" t="e">
        <f>IF(I1465="fora",0%,G1465/QUÓRUM!$C$6)</f>
        <v>#DIV/0!</v>
      </c>
      <c r="I1465" s="87"/>
      <c r="J1465" s="88"/>
      <c r="K1465" s="88"/>
      <c r="L1465" s="89"/>
      <c r="M1465" s="89"/>
      <c r="N1465" s="90"/>
      <c r="O1465" s="90"/>
      <c r="P1465" s="90"/>
      <c r="Q1465" s="87"/>
      <c r="R1465" s="98"/>
      <c r="S1465" s="90"/>
      <c r="T1465" s="99"/>
    </row>
    <row r="1466" spans="1:20" s="94" customFormat="1" x14ac:dyDescent="0.3">
      <c r="A1466" s="96"/>
      <c r="B1466" s="96"/>
      <c r="C1466" s="87"/>
      <c r="D1466" s="97"/>
      <c r="E1466" s="83"/>
      <c r="F1466" s="83"/>
      <c r="G1466" s="84"/>
      <c r="H1466" s="86" t="e">
        <f>IF(I1466="fora",0%,G1466/QUÓRUM!$C$6)</f>
        <v>#DIV/0!</v>
      </c>
      <c r="I1466" s="87"/>
      <c r="J1466" s="88"/>
      <c r="K1466" s="88"/>
      <c r="L1466" s="89"/>
      <c r="M1466" s="89"/>
      <c r="N1466" s="90"/>
      <c r="O1466" s="90"/>
      <c r="P1466" s="90"/>
      <c r="Q1466" s="87"/>
      <c r="R1466" s="98"/>
      <c r="S1466" s="90"/>
      <c r="T1466" s="99"/>
    </row>
    <row r="1467" spans="1:20" s="94" customFormat="1" x14ac:dyDescent="0.3">
      <c r="A1467" s="96"/>
      <c r="B1467" s="96"/>
      <c r="C1467" s="87"/>
      <c r="D1467" s="97"/>
      <c r="E1467" s="83"/>
      <c r="F1467" s="83"/>
      <c r="G1467" s="84"/>
      <c r="H1467" s="86" t="e">
        <f>IF(I1467="fora",0%,G1467/QUÓRUM!$C$6)</f>
        <v>#DIV/0!</v>
      </c>
      <c r="I1467" s="87"/>
      <c r="J1467" s="88"/>
      <c r="K1467" s="88"/>
      <c r="L1467" s="89"/>
      <c r="M1467" s="89"/>
      <c r="N1467" s="90"/>
      <c r="O1467" s="90"/>
      <c r="P1467" s="90"/>
      <c r="Q1467" s="87"/>
      <c r="R1467" s="98"/>
      <c r="S1467" s="90"/>
      <c r="T1467" s="99"/>
    </row>
    <row r="1468" spans="1:20" s="94" customFormat="1" x14ac:dyDescent="0.3">
      <c r="A1468" s="96"/>
      <c r="B1468" s="96"/>
      <c r="C1468" s="87"/>
      <c r="D1468" s="97"/>
      <c r="E1468" s="83"/>
      <c r="F1468" s="83"/>
      <c r="G1468" s="84"/>
      <c r="H1468" s="86" t="e">
        <f>IF(I1468="fora",0%,G1468/QUÓRUM!$C$6)</f>
        <v>#DIV/0!</v>
      </c>
      <c r="I1468" s="87"/>
      <c r="J1468" s="88"/>
      <c r="K1468" s="88"/>
      <c r="L1468" s="89"/>
      <c r="M1468" s="89"/>
      <c r="N1468" s="90"/>
      <c r="O1468" s="90"/>
      <c r="P1468" s="90"/>
      <c r="Q1468" s="87"/>
      <c r="R1468" s="98"/>
      <c r="S1468" s="90"/>
      <c r="T1468" s="99"/>
    </row>
    <row r="1469" spans="1:20" s="94" customFormat="1" x14ac:dyDescent="0.3">
      <c r="A1469" s="96"/>
      <c r="B1469" s="96"/>
      <c r="C1469" s="87"/>
      <c r="D1469" s="97"/>
      <c r="E1469" s="83"/>
      <c r="F1469" s="83"/>
      <c r="G1469" s="84"/>
      <c r="H1469" s="86" t="e">
        <f>IF(I1469="fora",0%,G1469/QUÓRUM!$C$6)</f>
        <v>#DIV/0!</v>
      </c>
      <c r="I1469" s="87"/>
      <c r="J1469" s="88"/>
      <c r="K1469" s="88"/>
      <c r="L1469" s="89"/>
      <c r="M1469" s="89"/>
      <c r="N1469" s="90"/>
      <c r="O1469" s="90"/>
      <c r="P1469" s="90"/>
      <c r="Q1469" s="87"/>
      <c r="R1469" s="98"/>
      <c r="S1469" s="90"/>
      <c r="T1469" s="99"/>
    </row>
    <row r="1470" spans="1:20" s="94" customFormat="1" x14ac:dyDescent="0.3">
      <c r="A1470" s="96"/>
      <c r="B1470" s="96"/>
      <c r="C1470" s="87"/>
      <c r="D1470" s="97"/>
      <c r="E1470" s="83"/>
      <c r="F1470" s="83"/>
      <c r="G1470" s="84"/>
      <c r="H1470" s="86" t="e">
        <f>IF(I1470="fora",0%,G1470/QUÓRUM!$C$6)</f>
        <v>#DIV/0!</v>
      </c>
      <c r="I1470" s="87"/>
      <c r="J1470" s="88"/>
      <c r="K1470" s="88"/>
      <c r="L1470" s="89"/>
      <c r="M1470" s="89"/>
      <c r="N1470" s="90"/>
      <c r="O1470" s="90"/>
      <c r="P1470" s="90"/>
      <c r="Q1470" s="87"/>
      <c r="R1470" s="98"/>
      <c r="S1470" s="90"/>
      <c r="T1470" s="99"/>
    </row>
    <row r="1471" spans="1:20" s="94" customFormat="1" x14ac:dyDescent="0.3">
      <c r="A1471" s="96"/>
      <c r="B1471" s="96"/>
      <c r="C1471" s="87"/>
      <c r="D1471" s="97"/>
      <c r="E1471" s="83"/>
      <c r="F1471" s="83"/>
      <c r="G1471" s="84"/>
      <c r="H1471" s="86" t="e">
        <f>IF(I1471="fora",0%,G1471/QUÓRUM!$C$6)</f>
        <v>#DIV/0!</v>
      </c>
      <c r="I1471" s="87"/>
      <c r="J1471" s="88"/>
      <c r="K1471" s="88"/>
      <c r="L1471" s="89"/>
      <c r="M1471" s="89"/>
      <c r="N1471" s="90"/>
      <c r="O1471" s="90"/>
      <c r="P1471" s="90"/>
      <c r="Q1471" s="87"/>
      <c r="R1471" s="98"/>
      <c r="S1471" s="90"/>
      <c r="T1471" s="99"/>
    </row>
    <row r="1472" spans="1:20" s="94" customFormat="1" x14ac:dyDescent="0.3">
      <c r="A1472" s="96"/>
      <c r="B1472" s="96"/>
      <c r="C1472" s="87"/>
      <c r="D1472" s="97"/>
      <c r="E1472" s="83"/>
      <c r="F1472" s="83"/>
      <c r="G1472" s="84"/>
      <c r="H1472" s="86" t="e">
        <f>IF(I1472="fora",0%,G1472/QUÓRUM!$C$6)</f>
        <v>#DIV/0!</v>
      </c>
      <c r="I1472" s="87"/>
      <c r="J1472" s="88"/>
      <c r="K1472" s="88"/>
      <c r="L1472" s="89"/>
      <c r="M1472" s="89"/>
      <c r="N1472" s="90"/>
      <c r="O1472" s="90"/>
      <c r="P1472" s="90"/>
      <c r="Q1472" s="87"/>
      <c r="R1472" s="98"/>
      <c r="S1472" s="90"/>
      <c r="T1472" s="99"/>
    </row>
    <row r="1473" spans="1:20" s="94" customFormat="1" x14ac:dyDescent="0.3">
      <c r="A1473" s="96"/>
      <c r="B1473" s="96"/>
      <c r="C1473" s="87"/>
      <c r="D1473" s="97"/>
      <c r="E1473" s="83"/>
      <c r="F1473" s="83"/>
      <c r="G1473" s="84"/>
      <c r="H1473" s="86" t="e">
        <f>IF(I1473="fora",0%,G1473/QUÓRUM!$C$6)</f>
        <v>#DIV/0!</v>
      </c>
      <c r="I1473" s="87"/>
      <c r="J1473" s="88"/>
      <c r="K1473" s="88"/>
      <c r="L1473" s="89"/>
      <c r="M1473" s="89"/>
      <c r="N1473" s="90"/>
      <c r="O1473" s="90"/>
      <c r="P1473" s="90"/>
      <c r="Q1473" s="87"/>
      <c r="R1473" s="98"/>
      <c r="S1473" s="90"/>
      <c r="T1473" s="99"/>
    </row>
    <row r="1474" spans="1:20" s="94" customFormat="1" x14ac:dyDescent="0.3">
      <c r="A1474" s="96"/>
      <c r="B1474" s="96"/>
      <c r="C1474" s="87"/>
      <c r="D1474" s="97"/>
      <c r="E1474" s="83"/>
      <c r="F1474" s="83"/>
      <c r="G1474" s="84"/>
      <c r="H1474" s="86" t="e">
        <f>IF(I1474="fora",0%,G1474/QUÓRUM!$C$6)</f>
        <v>#DIV/0!</v>
      </c>
      <c r="I1474" s="87"/>
      <c r="J1474" s="88"/>
      <c r="K1474" s="88"/>
      <c r="L1474" s="89"/>
      <c r="M1474" s="89"/>
      <c r="N1474" s="90"/>
      <c r="O1474" s="90"/>
      <c r="P1474" s="90"/>
      <c r="Q1474" s="87"/>
      <c r="R1474" s="98"/>
      <c r="S1474" s="90"/>
      <c r="T1474" s="99"/>
    </row>
    <row r="1475" spans="1:20" s="94" customFormat="1" x14ac:dyDescent="0.3">
      <c r="A1475" s="96"/>
      <c r="B1475" s="96"/>
      <c r="C1475" s="87"/>
      <c r="D1475" s="97"/>
      <c r="E1475" s="83"/>
      <c r="F1475" s="83"/>
      <c r="G1475" s="84"/>
      <c r="H1475" s="86" t="e">
        <f>IF(I1475="fora",0%,G1475/QUÓRUM!$C$6)</f>
        <v>#DIV/0!</v>
      </c>
      <c r="I1475" s="87"/>
      <c r="J1475" s="88"/>
      <c r="K1475" s="88"/>
      <c r="L1475" s="89"/>
      <c r="M1475" s="89"/>
      <c r="N1475" s="90"/>
      <c r="O1475" s="90"/>
      <c r="P1475" s="90"/>
      <c r="Q1475" s="87"/>
      <c r="R1475" s="98"/>
      <c r="S1475" s="90"/>
      <c r="T1475" s="99"/>
    </row>
    <row r="1476" spans="1:20" s="94" customFormat="1" x14ac:dyDescent="0.3">
      <c r="A1476" s="96"/>
      <c r="B1476" s="96"/>
      <c r="C1476" s="87"/>
      <c r="D1476" s="97"/>
      <c r="E1476" s="83"/>
      <c r="F1476" s="83"/>
      <c r="G1476" s="84"/>
      <c r="H1476" s="86" t="e">
        <f>IF(I1476="fora",0%,G1476/QUÓRUM!$C$6)</f>
        <v>#DIV/0!</v>
      </c>
      <c r="I1476" s="87"/>
      <c r="J1476" s="88"/>
      <c r="K1476" s="88"/>
      <c r="L1476" s="89"/>
      <c r="M1476" s="89"/>
      <c r="N1476" s="90"/>
      <c r="O1476" s="90"/>
      <c r="P1476" s="90"/>
      <c r="Q1476" s="87"/>
      <c r="R1476" s="98"/>
      <c r="S1476" s="90"/>
      <c r="T1476" s="99"/>
    </row>
    <row r="1477" spans="1:20" s="94" customFormat="1" x14ac:dyDescent="0.3">
      <c r="A1477" s="96"/>
      <c r="B1477" s="96"/>
      <c r="C1477" s="87"/>
      <c r="D1477" s="97"/>
      <c r="E1477" s="83"/>
      <c r="F1477" s="83"/>
      <c r="G1477" s="84"/>
      <c r="H1477" s="86" t="e">
        <f>IF(I1477="fora",0%,G1477/QUÓRUM!$C$6)</f>
        <v>#DIV/0!</v>
      </c>
      <c r="I1477" s="87"/>
      <c r="J1477" s="88"/>
      <c r="K1477" s="88"/>
      <c r="L1477" s="89"/>
      <c r="M1477" s="89"/>
      <c r="N1477" s="90"/>
      <c r="O1477" s="90"/>
      <c r="P1477" s="90"/>
      <c r="Q1477" s="87"/>
      <c r="R1477" s="98"/>
      <c r="S1477" s="90"/>
      <c r="T1477" s="99"/>
    </row>
    <row r="1478" spans="1:20" s="94" customFormat="1" x14ac:dyDescent="0.3">
      <c r="A1478" s="96"/>
      <c r="B1478" s="96"/>
      <c r="C1478" s="87"/>
      <c r="D1478" s="97"/>
      <c r="E1478" s="83"/>
      <c r="F1478" s="83"/>
      <c r="G1478" s="84"/>
      <c r="H1478" s="86" t="e">
        <f>IF(I1478="fora",0%,G1478/QUÓRUM!$C$6)</f>
        <v>#DIV/0!</v>
      </c>
      <c r="I1478" s="87"/>
      <c r="J1478" s="88"/>
      <c r="K1478" s="88"/>
      <c r="L1478" s="89"/>
      <c r="M1478" s="89"/>
      <c r="N1478" s="90"/>
      <c r="O1478" s="90"/>
      <c r="P1478" s="90"/>
      <c r="Q1478" s="87"/>
      <c r="R1478" s="98"/>
      <c r="S1478" s="90"/>
      <c r="T1478" s="99"/>
    </row>
    <row r="1479" spans="1:20" s="94" customFormat="1" x14ac:dyDescent="0.3">
      <c r="A1479" s="96"/>
      <c r="B1479" s="96"/>
      <c r="C1479" s="87"/>
      <c r="D1479" s="97"/>
      <c r="E1479" s="83"/>
      <c r="F1479" s="83"/>
      <c r="G1479" s="84"/>
      <c r="H1479" s="86" t="e">
        <f>IF(I1479="fora",0%,G1479/QUÓRUM!$C$6)</f>
        <v>#DIV/0!</v>
      </c>
      <c r="I1479" s="87"/>
      <c r="J1479" s="88"/>
      <c r="K1479" s="88"/>
      <c r="L1479" s="89"/>
      <c r="M1479" s="89"/>
      <c r="N1479" s="90"/>
      <c r="O1479" s="90"/>
      <c r="P1479" s="90"/>
      <c r="Q1479" s="87"/>
      <c r="R1479" s="98"/>
      <c r="S1479" s="90"/>
      <c r="T1479" s="99"/>
    </row>
    <row r="1480" spans="1:20" s="94" customFormat="1" x14ac:dyDescent="0.3">
      <c r="A1480" s="96"/>
      <c r="B1480" s="96"/>
      <c r="C1480" s="87"/>
      <c r="D1480" s="97"/>
      <c r="E1480" s="83"/>
      <c r="F1480" s="83"/>
      <c r="G1480" s="84"/>
      <c r="H1480" s="86" t="e">
        <f>IF(I1480="fora",0%,G1480/QUÓRUM!$C$6)</f>
        <v>#DIV/0!</v>
      </c>
      <c r="I1480" s="87"/>
      <c r="J1480" s="88"/>
      <c r="K1480" s="88"/>
      <c r="L1480" s="89"/>
      <c r="M1480" s="89"/>
      <c r="N1480" s="90"/>
      <c r="O1480" s="90"/>
      <c r="P1480" s="90"/>
      <c r="Q1480" s="87"/>
      <c r="R1480" s="98"/>
      <c r="S1480" s="90"/>
      <c r="T1480" s="99"/>
    </row>
    <row r="1481" spans="1:20" s="94" customFormat="1" x14ac:dyDescent="0.3">
      <c r="A1481" s="96"/>
      <c r="B1481" s="96"/>
      <c r="C1481" s="87"/>
      <c r="D1481" s="97"/>
      <c r="E1481" s="83"/>
      <c r="F1481" s="83"/>
      <c r="G1481" s="84"/>
      <c r="H1481" s="86" t="e">
        <f>IF(I1481="fora",0%,G1481/QUÓRUM!$C$6)</f>
        <v>#DIV/0!</v>
      </c>
      <c r="I1481" s="87"/>
      <c r="J1481" s="88"/>
      <c r="K1481" s="88"/>
      <c r="L1481" s="89"/>
      <c r="M1481" s="89"/>
      <c r="N1481" s="90"/>
      <c r="O1481" s="90"/>
      <c r="P1481" s="90"/>
      <c r="Q1481" s="87"/>
      <c r="R1481" s="98"/>
      <c r="S1481" s="90"/>
      <c r="T1481" s="99"/>
    </row>
    <row r="1482" spans="1:20" s="94" customFormat="1" x14ac:dyDescent="0.3">
      <c r="A1482" s="96"/>
      <c r="B1482" s="96"/>
      <c r="C1482" s="87"/>
      <c r="D1482" s="97"/>
      <c r="E1482" s="83"/>
      <c r="F1482" s="83"/>
      <c r="G1482" s="84"/>
      <c r="H1482" s="86" t="e">
        <f>IF(I1482="fora",0%,G1482/QUÓRUM!$C$6)</f>
        <v>#DIV/0!</v>
      </c>
      <c r="I1482" s="87"/>
      <c r="J1482" s="88"/>
      <c r="K1482" s="88"/>
      <c r="L1482" s="89"/>
      <c r="M1482" s="89"/>
      <c r="N1482" s="90"/>
      <c r="O1482" s="90"/>
      <c r="P1482" s="90"/>
      <c r="Q1482" s="87"/>
      <c r="R1482" s="98"/>
      <c r="S1482" s="90"/>
      <c r="T1482" s="99"/>
    </row>
    <row r="1483" spans="1:20" s="94" customFormat="1" x14ac:dyDescent="0.3">
      <c r="A1483" s="96"/>
      <c r="B1483" s="96"/>
      <c r="C1483" s="87"/>
      <c r="D1483" s="97"/>
      <c r="E1483" s="83"/>
      <c r="F1483" s="83"/>
      <c r="G1483" s="84"/>
      <c r="H1483" s="86" t="e">
        <f>IF(I1483="fora",0%,G1483/QUÓRUM!$C$6)</f>
        <v>#DIV/0!</v>
      </c>
      <c r="I1483" s="87"/>
      <c r="J1483" s="88"/>
      <c r="K1483" s="88"/>
      <c r="L1483" s="89"/>
      <c r="M1483" s="89"/>
      <c r="N1483" s="90"/>
      <c r="O1483" s="90"/>
      <c r="P1483" s="90"/>
      <c r="Q1483" s="87"/>
      <c r="R1483" s="98"/>
      <c r="S1483" s="90"/>
      <c r="T1483" s="99"/>
    </row>
    <row r="1484" spans="1:20" s="94" customFormat="1" x14ac:dyDescent="0.3">
      <c r="A1484" s="96"/>
      <c r="B1484" s="96"/>
      <c r="C1484" s="87"/>
      <c r="D1484" s="97"/>
      <c r="E1484" s="83"/>
      <c r="F1484" s="83"/>
      <c r="G1484" s="84"/>
      <c r="H1484" s="86" t="e">
        <f>IF(I1484="fora",0%,G1484/QUÓRUM!$C$6)</f>
        <v>#DIV/0!</v>
      </c>
      <c r="I1484" s="87"/>
      <c r="J1484" s="88"/>
      <c r="K1484" s="88"/>
      <c r="L1484" s="89"/>
      <c r="M1484" s="89"/>
      <c r="N1484" s="90"/>
      <c r="O1484" s="90"/>
      <c r="P1484" s="90"/>
      <c r="Q1484" s="87"/>
      <c r="R1484" s="98"/>
      <c r="S1484" s="90"/>
      <c r="T1484" s="99"/>
    </row>
    <row r="1485" spans="1:20" s="94" customFormat="1" x14ac:dyDescent="0.3">
      <c r="A1485" s="96"/>
      <c r="B1485" s="96"/>
      <c r="C1485" s="87"/>
      <c r="D1485" s="97"/>
      <c r="E1485" s="83"/>
      <c r="F1485" s="83"/>
      <c r="G1485" s="84"/>
      <c r="H1485" s="86" t="e">
        <f>IF(I1485="fora",0%,G1485/QUÓRUM!$C$6)</f>
        <v>#DIV/0!</v>
      </c>
      <c r="I1485" s="87"/>
      <c r="J1485" s="88"/>
      <c r="K1485" s="88"/>
      <c r="L1485" s="89"/>
      <c r="M1485" s="89"/>
      <c r="N1485" s="90"/>
      <c r="O1485" s="90"/>
      <c r="P1485" s="90"/>
      <c r="Q1485" s="87"/>
      <c r="R1485" s="98"/>
      <c r="S1485" s="90"/>
      <c r="T1485" s="99"/>
    </row>
    <row r="1486" spans="1:20" s="94" customFormat="1" x14ac:dyDescent="0.3">
      <c r="A1486" s="96"/>
      <c r="B1486" s="96"/>
      <c r="C1486" s="87"/>
      <c r="D1486" s="97"/>
      <c r="E1486" s="83"/>
      <c r="F1486" s="83"/>
      <c r="G1486" s="84"/>
      <c r="H1486" s="86" t="e">
        <f>IF(I1486="fora",0%,G1486/QUÓRUM!$C$6)</f>
        <v>#DIV/0!</v>
      </c>
      <c r="I1486" s="87"/>
      <c r="J1486" s="88"/>
      <c r="K1486" s="88"/>
      <c r="L1486" s="89"/>
      <c r="M1486" s="89"/>
      <c r="N1486" s="90"/>
      <c r="O1486" s="90"/>
      <c r="P1486" s="90"/>
      <c r="Q1486" s="87"/>
      <c r="R1486" s="98"/>
      <c r="S1486" s="90"/>
      <c r="T1486" s="99"/>
    </row>
    <row r="1487" spans="1:20" s="94" customFormat="1" x14ac:dyDescent="0.3">
      <c r="A1487" s="96"/>
      <c r="B1487" s="96"/>
      <c r="C1487" s="87"/>
      <c r="D1487" s="97"/>
      <c r="E1487" s="83"/>
      <c r="F1487" s="83"/>
      <c r="G1487" s="84"/>
      <c r="H1487" s="86" t="e">
        <f>IF(I1487="fora",0%,G1487/QUÓRUM!$C$6)</f>
        <v>#DIV/0!</v>
      </c>
      <c r="I1487" s="87"/>
      <c r="J1487" s="88"/>
      <c r="K1487" s="88"/>
      <c r="L1487" s="89"/>
      <c r="M1487" s="89"/>
      <c r="N1487" s="90"/>
      <c r="O1487" s="90"/>
      <c r="P1487" s="90"/>
      <c r="Q1487" s="87"/>
      <c r="R1487" s="98"/>
      <c r="S1487" s="90"/>
      <c r="T1487" s="99"/>
    </row>
    <row r="1488" spans="1:20" s="94" customFormat="1" x14ac:dyDescent="0.3">
      <c r="A1488" s="96"/>
      <c r="B1488" s="96"/>
      <c r="C1488" s="87"/>
      <c r="D1488" s="97"/>
      <c r="E1488" s="83"/>
      <c r="F1488" s="83"/>
      <c r="G1488" s="84"/>
      <c r="H1488" s="86" t="e">
        <f>IF(I1488="fora",0%,G1488/QUÓRUM!$C$6)</f>
        <v>#DIV/0!</v>
      </c>
      <c r="I1488" s="87"/>
      <c r="J1488" s="88"/>
      <c r="K1488" s="88"/>
      <c r="L1488" s="89"/>
      <c r="M1488" s="89"/>
      <c r="N1488" s="90"/>
      <c r="O1488" s="90"/>
      <c r="P1488" s="90"/>
      <c r="Q1488" s="87"/>
      <c r="R1488" s="98"/>
      <c r="S1488" s="90"/>
      <c r="T1488" s="99"/>
    </row>
    <row r="1489" spans="1:20" s="94" customFormat="1" x14ac:dyDescent="0.3">
      <c r="A1489" s="96"/>
      <c r="B1489" s="96"/>
      <c r="C1489" s="87"/>
      <c r="D1489" s="97"/>
      <c r="E1489" s="83"/>
      <c r="F1489" s="83"/>
      <c r="G1489" s="84"/>
      <c r="H1489" s="86" t="e">
        <f>IF(I1489="fora",0%,G1489/QUÓRUM!$C$6)</f>
        <v>#DIV/0!</v>
      </c>
      <c r="I1489" s="87"/>
      <c r="J1489" s="88"/>
      <c r="K1489" s="88"/>
      <c r="L1489" s="89"/>
      <c r="M1489" s="89"/>
      <c r="N1489" s="90"/>
      <c r="O1489" s="90"/>
      <c r="P1489" s="90"/>
      <c r="Q1489" s="87"/>
      <c r="R1489" s="98"/>
      <c r="S1489" s="90"/>
      <c r="T1489" s="99"/>
    </row>
    <row r="1490" spans="1:20" s="94" customFormat="1" x14ac:dyDescent="0.3">
      <c r="A1490" s="96"/>
      <c r="B1490" s="96"/>
      <c r="C1490" s="87"/>
      <c r="D1490" s="97"/>
      <c r="E1490" s="83"/>
      <c r="F1490" s="83"/>
      <c r="G1490" s="84"/>
      <c r="H1490" s="86" t="e">
        <f>IF(I1490="fora",0%,G1490/QUÓRUM!$C$6)</f>
        <v>#DIV/0!</v>
      </c>
      <c r="I1490" s="87"/>
      <c r="J1490" s="88"/>
      <c r="K1490" s="88"/>
      <c r="L1490" s="89"/>
      <c r="M1490" s="89"/>
      <c r="N1490" s="90"/>
      <c r="O1490" s="90"/>
      <c r="P1490" s="90"/>
      <c r="Q1490" s="87"/>
      <c r="R1490" s="98"/>
      <c r="S1490" s="90"/>
      <c r="T1490" s="99"/>
    </row>
    <row r="1491" spans="1:20" s="94" customFormat="1" x14ac:dyDescent="0.3">
      <c r="A1491" s="96"/>
      <c r="B1491" s="96"/>
      <c r="C1491" s="87"/>
      <c r="D1491" s="97"/>
      <c r="E1491" s="83"/>
      <c r="F1491" s="83"/>
      <c r="G1491" s="84"/>
      <c r="H1491" s="86" t="e">
        <f>IF(I1491="fora",0%,G1491/QUÓRUM!$C$6)</f>
        <v>#DIV/0!</v>
      </c>
      <c r="I1491" s="87"/>
      <c r="J1491" s="88"/>
      <c r="K1491" s="88"/>
      <c r="L1491" s="89"/>
      <c r="M1491" s="89"/>
      <c r="N1491" s="90"/>
      <c r="O1491" s="90"/>
      <c r="P1491" s="90"/>
      <c r="Q1491" s="87"/>
      <c r="R1491" s="98"/>
      <c r="S1491" s="90"/>
      <c r="T1491" s="99"/>
    </row>
    <row r="1492" spans="1:20" s="94" customFormat="1" x14ac:dyDescent="0.3">
      <c r="A1492" s="96"/>
      <c r="B1492" s="96"/>
      <c r="C1492" s="87"/>
      <c r="D1492" s="97"/>
      <c r="E1492" s="83"/>
      <c r="F1492" s="83"/>
      <c r="G1492" s="84"/>
      <c r="H1492" s="86" t="e">
        <f>IF(I1492="fora",0%,G1492/QUÓRUM!$C$6)</f>
        <v>#DIV/0!</v>
      </c>
      <c r="I1492" s="87"/>
      <c r="J1492" s="88"/>
      <c r="K1492" s="88"/>
      <c r="L1492" s="89"/>
      <c r="M1492" s="89"/>
      <c r="N1492" s="90"/>
      <c r="O1492" s="90"/>
      <c r="P1492" s="90"/>
      <c r="Q1492" s="87"/>
      <c r="R1492" s="98"/>
      <c r="S1492" s="90"/>
      <c r="T1492" s="99"/>
    </row>
    <row r="1493" spans="1:20" s="94" customFormat="1" x14ac:dyDescent="0.3">
      <c r="A1493" s="96"/>
      <c r="B1493" s="96"/>
      <c r="C1493" s="87"/>
      <c r="D1493" s="97"/>
      <c r="E1493" s="83"/>
      <c r="F1493" s="83"/>
      <c r="G1493" s="84"/>
      <c r="H1493" s="86" t="e">
        <f>IF(I1493="fora",0%,G1493/QUÓRUM!$C$6)</f>
        <v>#DIV/0!</v>
      </c>
      <c r="I1493" s="87"/>
      <c r="J1493" s="88"/>
      <c r="K1493" s="88"/>
      <c r="L1493" s="89"/>
      <c r="M1493" s="89"/>
      <c r="N1493" s="90"/>
      <c r="O1493" s="90"/>
      <c r="P1493" s="90"/>
      <c r="Q1493" s="87"/>
      <c r="R1493" s="98"/>
      <c r="S1493" s="90"/>
      <c r="T1493" s="99"/>
    </row>
    <row r="1494" spans="1:20" s="94" customFormat="1" x14ac:dyDescent="0.3">
      <c r="A1494" s="96"/>
      <c r="B1494" s="96"/>
      <c r="C1494" s="87"/>
      <c r="D1494" s="97"/>
      <c r="E1494" s="83"/>
      <c r="F1494" s="83"/>
      <c r="G1494" s="84"/>
      <c r="H1494" s="86" t="e">
        <f>IF(I1494="fora",0%,G1494/QUÓRUM!$C$6)</f>
        <v>#DIV/0!</v>
      </c>
      <c r="I1494" s="87"/>
      <c r="J1494" s="88"/>
      <c r="K1494" s="88"/>
      <c r="L1494" s="89"/>
      <c r="M1494" s="89"/>
      <c r="N1494" s="90"/>
      <c r="O1494" s="90"/>
      <c r="P1494" s="90"/>
      <c r="Q1494" s="87"/>
      <c r="R1494" s="98"/>
      <c r="S1494" s="90"/>
      <c r="T1494" s="99"/>
    </row>
    <row r="1495" spans="1:20" s="94" customFormat="1" x14ac:dyDescent="0.3">
      <c r="A1495" s="96"/>
      <c r="B1495" s="96"/>
      <c r="C1495" s="87"/>
      <c r="D1495" s="97"/>
      <c r="E1495" s="83"/>
      <c r="F1495" s="83"/>
      <c r="G1495" s="84"/>
      <c r="H1495" s="86" t="e">
        <f>IF(I1495="fora",0%,G1495/QUÓRUM!$C$6)</f>
        <v>#DIV/0!</v>
      </c>
      <c r="I1495" s="87"/>
      <c r="J1495" s="88"/>
      <c r="K1495" s="88"/>
      <c r="L1495" s="89"/>
      <c r="M1495" s="89"/>
      <c r="N1495" s="90"/>
      <c r="O1495" s="90"/>
      <c r="P1495" s="90"/>
      <c r="Q1495" s="87"/>
      <c r="R1495" s="98"/>
      <c r="S1495" s="90"/>
      <c r="T1495" s="99"/>
    </row>
    <row r="1496" spans="1:20" s="94" customFormat="1" x14ac:dyDescent="0.3">
      <c r="A1496" s="96"/>
      <c r="B1496" s="96"/>
      <c r="C1496" s="87"/>
      <c r="D1496" s="97"/>
      <c r="E1496" s="83"/>
      <c r="F1496" s="83"/>
      <c r="G1496" s="84"/>
      <c r="H1496" s="86" t="e">
        <f>IF(I1496="fora",0%,G1496/QUÓRUM!$C$6)</f>
        <v>#DIV/0!</v>
      </c>
      <c r="I1496" s="87"/>
      <c r="J1496" s="88"/>
      <c r="K1496" s="88"/>
      <c r="L1496" s="89"/>
      <c r="M1496" s="89"/>
      <c r="N1496" s="90"/>
      <c r="O1496" s="90"/>
      <c r="P1496" s="90"/>
      <c r="Q1496" s="87"/>
      <c r="R1496" s="98"/>
      <c r="S1496" s="90"/>
      <c r="T1496" s="99"/>
    </row>
    <row r="1497" spans="1:20" s="94" customFormat="1" x14ac:dyDescent="0.3">
      <c r="A1497" s="96"/>
      <c r="B1497" s="96"/>
      <c r="C1497" s="87"/>
      <c r="D1497" s="97"/>
      <c r="E1497" s="83"/>
      <c r="F1497" s="83"/>
      <c r="G1497" s="84"/>
      <c r="H1497" s="86" t="e">
        <f>IF(I1497="fora",0%,G1497/QUÓRUM!$C$6)</f>
        <v>#DIV/0!</v>
      </c>
      <c r="I1497" s="87"/>
      <c r="J1497" s="88"/>
      <c r="K1497" s="88"/>
      <c r="L1497" s="89"/>
      <c r="M1497" s="89"/>
      <c r="N1497" s="90"/>
      <c r="O1497" s="90"/>
      <c r="P1497" s="90"/>
      <c r="Q1497" s="87"/>
      <c r="R1497" s="98"/>
      <c r="S1497" s="90"/>
      <c r="T1497" s="99"/>
    </row>
    <row r="1498" spans="1:20" s="94" customFormat="1" x14ac:dyDescent="0.3">
      <c r="A1498" s="96"/>
      <c r="B1498" s="96"/>
      <c r="C1498" s="87"/>
      <c r="D1498" s="97"/>
      <c r="E1498" s="83"/>
      <c r="F1498" s="83"/>
      <c r="G1498" s="84"/>
      <c r="H1498" s="86" t="e">
        <f>IF(I1498="fora",0%,G1498/QUÓRUM!$C$6)</f>
        <v>#DIV/0!</v>
      </c>
      <c r="I1498" s="87"/>
      <c r="J1498" s="88"/>
      <c r="K1498" s="88"/>
      <c r="L1498" s="89"/>
      <c r="M1498" s="89"/>
      <c r="N1498" s="90"/>
      <c r="O1498" s="90"/>
      <c r="P1498" s="90"/>
      <c r="Q1498" s="87"/>
      <c r="R1498" s="98"/>
      <c r="S1498" s="90"/>
      <c r="T1498" s="99"/>
    </row>
    <row r="1499" spans="1:20" s="94" customFormat="1" x14ac:dyDescent="0.3">
      <c r="A1499" s="96"/>
      <c r="B1499" s="96"/>
      <c r="C1499" s="87"/>
      <c r="D1499" s="97"/>
      <c r="E1499" s="83"/>
      <c r="F1499" s="83"/>
      <c r="G1499" s="84"/>
      <c r="H1499" s="86" t="e">
        <f>IF(I1499="fora",0%,G1499/QUÓRUM!$C$6)</f>
        <v>#DIV/0!</v>
      </c>
      <c r="I1499" s="87"/>
      <c r="J1499" s="88"/>
      <c r="K1499" s="88"/>
      <c r="L1499" s="89"/>
      <c r="M1499" s="89"/>
      <c r="N1499" s="90"/>
      <c r="O1499" s="90"/>
      <c r="P1499" s="90"/>
      <c r="Q1499" s="87"/>
      <c r="R1499" s="98"/>
      <c r="S1499" s="90"/>
      <c r="T1499" s="99"/>
    </row>
    <row r="1500" spans="1:20" s="94" customFormat="1" x14ac:dyDescent="0.3">
      <c r="A1500" s="96"/>
      <c r="B1500" s="96"/>
      <c r="C1500" s="87"/>
      <c r="D1500" s="97"/>
      <c r="E1500" s="83"/>
      <c r="F1500" s="83"/>
      <c r="G1500" s="84"/>
      <c r="H1500" s="86" t="e">
        <f>IF(I1500="fora",0%,G1500/QUÓRUM!$C$6)</f>
        <v>#DIV/0!</v>
      </c>
      <c r="I1500" s="87"/>
      <c r="J1500" s="88"/>
      <c r="K1500" s="88"/>
      <c r="L1500" s="89"/>
      <c r="M1500" s="89"/>
      <c r="N1500" s="90"/>
      <c r="O1500" s="90"/>
      <c r="P1500" s="90"/>
      <c r="Q1500" s="87"/>
      <c r="R1500" s="98"/>
      <c r="S1500" s="90"/>
      <c r="T1500" s="99"/>
    </row>
    <row r="1501" spans="1:20" s="94" customFormat="1" x14ac:dyDescent="0.3">
      <c r="A1501" s="96"/>
      <c r="B1501" s="96"/>
      <c r="C1501" s="87"/>
      <c r="D1501" s="97"/>
      <c r="E1501" s="83"/>
      <c r="F1501" s="83"/>
      <c r="G1501" s="84"/>
      <c r="H1501" s="86" t="e">
        <f>IF(I1501="fora",0%,G1501/QUÓRUM!$C$6)</f>
        <v>#DIV/0!</v>
      </c>
      <c r="I1501" s="87"/>
      <c r="J1501" s="88"/>
      <c r="K1501" s="88"/>
      <c r="L1501" s="89"/>
      <c r="M1501" s="89"/>
      <c r="N1501" s="90"/>
      <c r="O1501" s="90"/>
      <c r="P1501" s="90"/>
      <c r="Q1501" s="87"/>
      <c r="R1501" s="98"/>
      <c r="S1501" s="90"/>
      <c r="T1501" s="99"/>
    </row>
    <row r="1502" spans="1:20" s="94" customFormat="1" x14ac:dyDescent="0.3">
      <c r="A1502" s="96"/>
      <c r="B1502" s="96"/>
      <c r="C1502" s="87"/>
      <c r="D1502" s="97"/>
      <c r="E1502" s="83"/>
      <c r="F1502" s="83"/>
      <c r="G1502" s="84"/>
      <c r="H1502" s="86" t="e">
        <f>IF(I1502="fora",0%,G1502/QUÓRUM!$C$6)</f>
        <v>#DIV/0!</v>
      </c>
      <c r="I1502" s="87"/>
      <c r="J1502" s="88"/>
      <c r="K1502" s="88"/>
      <c r="L1502" s="89"/>
      <c r="M1502" s="89"/>
      <c r="N1502" s="90"/>
      <c r="O1502" s="90"/>
      <c r="P1502" s="90"/>
      <c r="Q1502" s="87"/>
      <c r="R1502" s="98"/>
      <c r="S1502" s="90"/>
      <c r="T1502" s="99"/>
    </row>
    <row r="1503" spans="1:20" s="94" customFormat="1" x14ac:dyDescent="0.3">
      <c r="A1503" s="96"/>
      <c r="B1503" s="96"/>
      <c r="C1503" s="87"/>
      <c r="D1503" s="97"/>
      <c r="E1503" s="83"/>
      <c r="F1503" s="83"/>
      <c r="G1503" s="84"/>
      <c r="H1503" s="86" t="e">
        <f>IF(I1503="fora",0%,G1503/QUÓRUM!$C$6)</f>
        <v>#DIV/0!</v>
      </c>
      <c r="I1503" s="87"/>
      <c r="J1503" s="88"/>
      <c r="K1503" s="88"/>
      <c r="L1503" s="89"/>
      <c r="M1503" s="89"/>
      <c r="N1503" s="90"/>
      <c r="O1503" s="90"/>
      <c r="P1503" s="90"/>
      <c r="Q1503" s="87"/>
      <c r="R1503" s="98"/>
      <c r="S1503" s="90"/>
      <c r="T1503" s="99"/>
    </row>
    <row r="1504" spans="1:20" s="94" customFormat="1" x14ac:dyDescent="0.3">
      <c r="A1504" s="96"/>
      <c r="B1504" s="96"/>
      <c r="C1504" s="87"/>
      <c r="D1504" s="97"/>
      <c r="E1504" s="83"/>
      <c r="F1504" s="83"/>
      <c r="G1504" s="84"/>
      <c r="H1504" s="86" t="e">
        <f>IF(I1504="fora",0%,G1504/QUÓRUM!$C$6)</f>
        <v>#DIV/0!</v>
      </c>
      <c r="I1504" s="87"/>
      <c r="J1504" s="88"/>
      <c r="K1504" s="88"/>
      <c r="L1504" s="89"/>
      <c r="M1504" s="89"/>
      <c r="N1504" s="90"/>
      <c r="O1504" s="90"/>
      <c r="P1504" s="90"/>
      <c r="Q1504" s="87"/>
      <c r="R1504" s="98"/>
      <c r="S1504" s="90"/>
      <c r="T1504" s="99"/>
    </row>
    <row r="1505" spans="1:20" s="94" customFormat="1" x14ac:dyDescent="0.3">
      <c r="A1505" s="96"/>
      <c r="B1505" s="96"/>
      <c r="C1505" s="87"/>
      <c r="D1505" s="97"/>
      <c r="E1505" s="83"/>
      <c r="F1505" s="83"/>
      <c r="G1505" s="84"/>
      <c r="H1505" s="86" t="e">
        <f>IF(I1505="fora",0%,G1505/QUÓRUM!$C$6)</f>
        <v>#DIV/0!</v>
      </c>
      <c r="I1505" s="87"/>
      <c r="J1505" s="88"/>
      <c r="K1505" s="88"/>
      <c r="L1505" s="89"/>
      <c r="M1505" s="89"/>
      <c r="N1505" s="90"/>
      <c r="O1505" s="90"/>
      <c r="P1505" s="90"/>
      <c r="Q1505" s="87"/>
      <c r="R1505" s="98"/>
      <c r="S1505" s="90"/>
      <c r="T1505" s="99"/>
    </row>
    <row r="1506" spans="1:20" s="94" customFormat="1" x14ac:dyDescent="0.3">
      <c r="A1506" s="96"/>
      <c r="B1506" s="96"/>
      <c r="C1506" s="87"/>
      <c r="D1506" s="97"/>
      <c r="E1506" s="83"/>
      <c r="F1506" s="83"/>
      <c r="G1506" s="84"/>
      <c r="H1506" s="86" t="e">
        <f>IF(I1506="fora",0%,G1506/QUÓRUM!$C$6)</f>
        <v>#DIV/0!</v>
      </c>
      <c r="I1506" s="87"/>
      <c r="J1506" s="88"/>
      <c r="K1506" s="88"/>
      <c r="L1506" s="89"/>
      <c r="M1506" s="89"/>
      <c r="N1506" s="90"/>
      <c r="O1506" s="90"/>
      <c r="P1506" s="90"/>
      <c r="Q1506" s="87"/>
      <c r="R1506" s="98"/>
      <c r="S1506" s="90"/>
      <c r="T1506" s="99"/>
    </row>
    <row r="1507" spans="1:20" s="94" customFormat="1" x14ac:dyDescent="0.3">
      <c r="A1507" s="96"/>
      <c r="B1507" s="96"/>
      <c r="C1507" s="87"/>
      <c r="D1507" s="97"/>
      <c r="E1507" s="83"/>
      <c r="F1507" s="83"/>
      <c r="G1507" s="84"/>
      <c r="H1507" s="86" t="e">
        <f>IF(I1507="fora",0%,G1507/QUÓRUM!$C$6)</f>
        <v>#DIV/0!</v>
      </c>
      <c r="I1507" s="87"/>
      <c r="J1507" s="88"/>
      <c r="K1507" s="88"/>
      <c r="L1507" s="89"/>
      <c r="M1507" s="89"/>
      <c r="N1507" s="90"/>
      <c r="O1507" s="90"/>
      <c r="P1507" s="90"/>
      <c r="Q1507" s="87"/>
      <c r="R1507" s="98"/>
      <c r="S1507" s="90"/>
      <c r="T1507" s="99"/>
    </row>
    <row r="1508" spans="1:20" s="94" customFormat="1" x14ac:dyDescent="0.3">
      <c r="A1508" s="96"/>
      <c r="B1508" s="96"/>
      <c r="C1508" s="87"/>
      <c r="D1508" s="97"/>
      <c r="E1508" s="83"/>
      <c r="F1508" s="83"/>
      <c r="G1508" s="84"/>
      <c r="H1508" s="86" t="e">
        <f>IF(I1508="fora",0%,G1508/QUÓRUM!$C$6)</f>
        <v>#DIV/0!</v>
      </c>
      <c r="I1508" s="87"/>
      <c r="J1508" s="88"/>
      <c r="K1508" s="88"/>
      <c r="L1508" s="89"/>
      <c r="M1508" s="89"/>
      <c r="N1508" s="90"/>
      <c r="O1508" s="90"/>
      <c r="P1508" s="90"/>
      <c r="Q1508" s="87"/>
      <c r="R1508" s="98"/>
      <c r="S1508" s="90"/>
      <c r="T1508" s="99"/>
    </row>
    <row r="1509" spans="1:20" s="94" customFormat="1" x14ac:dyDescent="0.3">
      <c r="A1509" s="96"/>
      <c r="B1509" s="96"/>
      <c r="C1509" s="87"/>
      <c r="D1509" s="97"/>
      <c r="E1509" s="83"/>
      <c r="F1509" s="83"/>
      <c r="G1509" s="84"/>
      <c r="H1509" s="86" t="e">
        <f>IF(I1509="fora",0%,G1509/QUÓRUM!$C$6)</f>
        <v>#DIV/0!</v>
      </c>
      <c r="I1509" s="87"/>
      <c r="J1509" s="88"/>
      <c r="K1509" s="88"/>
      <c r="L1509" s="89"/>
      <c r="M1509" s="89"/>
      <c r="N1509" s="90"/>
      <c r="O1509" s="90"/>
      <c r="P1509" s="90"/>
      <c r="Q1509" s="87"/>
      <c r="R1509" s="98"/>
      <c r="S1509" s="90"/>
      <c r="T1509" s="99"/>
    </row>
    <row r="1510" spans="1:20" s="94" customFormat="1" x14ac:dyDescent="0.3">
      <c r="A1510" s="96"/>
      <c r="B1510" s="96"/>
      <c r="C1510" s="87"/>
      <c r="D1510" s="97"/>
      <c r="E1510" s="83"/>
      <c r="F1510" s="83"/>
      <c r="G1510" s="84"/>
      <c r="H1510" s="86" t="e">
        <f>IF(I1510="fora",0%,G1510/QUÓRUM!$C$6)</f>
        <v>#DIV/0!</v>
      </c>
      <c r="I1510" s="87"/>
      <c r="J1510" s="88"/>
      <c r="K1510" s="88"/>
      <c r="L1510" s="89"/>
      <c r="M1510" s="89"/>
      <c r="N1510" s="90"/>
      <c r="O1510" s="90"/>
      <c r="P1510" s="90"/>
      <c r="Q1510" s="87"/>
      <c r="R1510" s="98"/>
      <c r="S1510" s="90"/>
      <c r="T1510" s="99"/>
    </row>
    <row r="1511" spans="1:20" s="94" customFormat="1" x14ac:dyDescent="0.3">
      <c r="A1511" s="96"/>
      <c r="B1511" s="96"/>
      <c r="C1511" s="87"/>
      <c r="D1511" s="97"/>
      <c r="E1511" s="83"/>
      <c r="F1511" s="83"/>
      <c r="G1511" s="84"/>
      <c r="H1511" s="86" t="e">
        <f>IF(I1511="fora",0%,G1511/QUÓRUM!$C$6)</f>
        <v>#DIV/0!</v>
      </c>
      <c r="I1511" s="87"/>
      <c r="J1511" s="88"/>
      <c r="K1511" s="88"/>
      <c r="L1511" s="89"/>
      <c r="M1511" s="89"/>
      <c r="N1511" s="90"/>
      <c r="O1511" s="90"/>
      <c r="P1511" s="90"/>
      <c r="Q1511" s="87"/>
      <c r="R1511" s="98"/>
      <c r="S1511" s="90"/>
      <c r="T1511" s="99"/>
    </row>
    <row r="1512" spans="1:20" s="94" customFormat="1" x14ac:dyDescent="0.3">
      <c r="A1512" s="96"/>
      <c r="B1512" s="96"/>
      <c r="C1512" s="87"/>
      <c r="D1512" s="97"/>
      <c r="E1512" s="83"/>
      <c r="F1512" s="83"/>
      <c r="G1512" s="84"/>
      <c r="H1512" s="86" t="e">
        <f>IF(I1512="fora",0%,G1512/QUÓRUM!$C$6)</f>
        <v>#DIV/0!</v>
      </c>
      <c r="I1512" s="87"/>
      <c r="J1512" s="88"/>
      <c r="K1512" s="88"/>
      <c r="L1512" s="89"/>
      <c r="M1512" s="89"/>
      <c r="N1512" s="90"/>
      <c r="O1512" s="90"/>
      <c r="P1512" s="90"/>
      <c r="Q1512" s="87"/>
      <c r="R1512" s="98"/>
      <c r="S1512" s="90"/>
      <c r="T1512" s="99"/>
    </row>
    <row r="1513" spans="1:20" s="94" customFormat="1" x14ac:dyDescent="0.3">
      <c r="A1513" s="96"/>
      <c r="B1513" s="96"/>
      <c r="C1513" s="87"/>
      <c r="D1513" s="97"/>
      <c r="E1513" s="83"/>
      <c r="F1513" s="83"/>
      <c r="G1513" s="84"/>
      <c r="H1513" s="86" t="e">
        <f>IF(I1513="fora",0%,G1513/QUÓRUM!$C$6)</f>
        <v>#DIV/0!</v>
      </c>
      <c r="I1513" s="87"/>
      <c r="J1513" s="88"/>
      <c r="K1513" s="88"/>
      <c r="L1513" s="89"/>
      <c r="M1513" s="89"/>
      <c r="N1513" s="90"/>
      <c r="O1513" s="90"/>
      <c r="P1513" s="90"/>
      <c r="Q1513" s="87"/>
      <c r="R1513" s="98"/>
      <c r="S1513" s="90"/>
      <c r="T1513" s="99"/>
    </row>
    <row r="1514" spans="1:20" s="94" customFormat="1" x14ac:dyDescent="0.3">
      <c r="A1514" s="96"/>
      <c r="B1514" s="96"/>
      <c r="C1514" s="87"/>
      <c r="D1514" s="97"/>
      <c r="E1514" s="83"/>
      <c r="F1514" s="83"/>
      <c r="G1514" s="84"/>
      <c r="H1514" s="86" t="e">
        <f>IF(I1514="fora",0%,G1514/QUÓRUM!$C$6)</f>
        <v>#DIV/0!</v>
      </c>
      <c r="I1514" s="87"/>
      <c r="J1514" s="88"/>
      <c r="K1514" s="88"/>
      <c r="L1514" s="89"/>
      <c r="M1514" s="89"/>
      <c r="N1514" s="90"/>
      <c r="O1514" s="90"/>
      <c r="P1514" s="90"/>
      <c r="Q1514" s="87"/>
      <c r="R1514" s="98"/>
      <c r="S1514" s="90"/>
      <c r="T1514" s="99"/>
    </row>
    <row r="1515" spans="1:20" s="94" customFormat="1" x14ac:dyDescent="0.3">
      <c r="A1515" s="96"/>
      <c r="B1515" s="96"/>
      <c r="C1515" s="87"/>
      <c r="D1515" s="97"/>
      <c r="E1515" s="83"/>
      <c r="F1515" s="83"/>
      <c r="G1515" s="84"/>
      <c r="H1515" s="86" t="e">
        <f>IF(I1515="fora",0%,G1515/QUÓRUM!$C$6)</f>
        <v>#DIV/0!</v>
      </c>
      <c r="I1515" s="87"/>
      <c r="J1515" s="88"/>
      <c r="K1515" s="88"/>
      <c r="L1515" s="89"/>
      <c r="M1515" s="89"/>
      <c r="N1515" s="90"/>
      <c r="O1515" s="90"/>
      <c r="P1515" s="90"/>
      <c r="Q1515" s="87"/>
      <c r="R1515" s="98"/>
      <c r="S1515" s="90"/>
      <c r="T1515" s="99"/>
    </row>
    <row r="1516" spans="1:20" s="94" customFormat="1" x14ac:dyDescent="0.3">
      <c r="A1516" s="96"/>
      <c r="B1516" s="96"/>
      <c r="C1516" s="87"/>
      <c r="D1516" s="97"/>
      <c r="E1516" s="83"/>
      <c r="F1516" s="83"/>
      <c r="G1516" s="84"/>
      <c r="H1516" s="86" t="e">
        <f>IF(I1516="fora",0%,G1516/QUÓRUM!$C$6)</f>
        <v>#DIV/0!</v>
      </c>
      <c r="I1516" s="87"/>
      <c r="J1516" s="88"/>
      <c r="K1516" s="88"/>
      <c r="L1516" s="89"/>
      <c r="M1516" s="89"/>
      <c r="N1516" s="90"/>
      <c r="O1516" s="90"/>
      <c r="P1516" s="90"/>
      <c r="Q1516" s="87"/>
      <c r="R1516" s="98"/>
      <c r="S1516" s="90"/>
      <c r="T1516" s="99"/>
    </row>
    <row r="1517" spans="1:20" s="94" customFormat="1" x14ac:dyDescent="0.3">
      <c r="A1517" s="96"/>
      <c r="B1517" s="96"/>
      <c r="C1517" s="87"/>
      <c r="D1517" s="97"/>
      <c r="E1517" s="83"/>
      <c r="F1517" s="83"/>
      <c r="G1517" s="84"/>
      <c r="H1517" s="86" t="e">
        <f>IF(I1517="fora",0%,G1517/QUÓRUM!$C$6)</f>
        <v>#DIV/0!</v>
      </c>
      <c r="I1517" s="87"/>
      <c r="J1517" s="88"/>
      <c r="K1517" s="88"/>
      <c r="L1517" s="89"/>
      <c r="M1517" s="89"/>
      <c r="N1517" s="90"/>
      <c r="O1517" s="90"/>
      <c r="P1517" s="90"/>
      <c r="Q1517" s="87"/>
      <c r="R1517" s="98"/>
      <c r="S1517" s="90"/>
      <c r="T1517" s="99"/>
    </row>
    <row r="1518" spans="1:20" s="94" customFormat="1" x14ac:dyDescent="0.3">
      <c r="A1518" s="96"/>
      <c r="B1518" s="96"/>
      <c r="C1518" s="87"/>
      <c r="D1518" s="97"/>
      <c r="E1518" s="83"/>
      <c r="F1518" s="83"/>
      <c r="G1518" s="84"/>
      <c r="H1518" s="86" t="e">
        <f>IF(I1518="fora",0%,G1518/QUÓRUM!$C$6)</f>
        <v>#DIV/0!</v>
      </c>
      <c r="I1518" s="87"/>
      <c r="J1518" s="88"/>
      <c r="K1518" s="88"/>
      <c r="L1518" s="89"/>
      <c r="M1518" s="89"/>
      <c r="N1518" s="90"/>
      <c r="O1518" s="90"/>
      <c r="P1518" s="90"/>
      <c r="Q1518" s="87"/>
      <c r="R1518" s="98"/>
      <c r="S1518" s="90"/>
      <c r="T1518" s="99"/>
    </row>
    <row r="1519" spans="1:20" s="94" customFormat="1" x14ac:dyDescent="0.3">
      <c r="A1519" s="96"/>
      <c r="B1519" s="96"/>
      <c r="C1519" s="87"/>
      <c r="D1519" s="97"/>
      <c r="E1519" s="83"/>
      <c r="F1519" s="83"/>
      <c r="G1519" s="84"/>
      <c r="H1519" s="86" t="e">
        <f>IF(I1519="fora",0%,G1519/QUÓRUM!$C$6)</f>
        <v>#DIV/0!</v>
      </c>
      <c r="I1519" s="87"/>
      <c r="J1519" s="88"/>
      <c r="K1519" s="88"/>
      <c r="L1519" s="89"/>
      <c r="M1519" s="89"/>
      <c r="N1519" s="90"/>
      <c r="O1519" s="90"/>
      <c r="P1519" s="90"/>
      <c r="Q1519" s="87"/>
      <c r="R1519" s="98"/>
      <c r="S1519" s="90"/>
      <c r="T1519" s="99"/>
    </row>
    <row r="1520" spans="1:20" s="94" customFormat="1" x14ac:dyDescent="0.3">
      <c r="A1520" s="96"/>
      <c r="B1520" s="96"/>
      <c r="C1520" s="87"/>
      <c r="D1520" s="97"/>
      <c r="E1520" s="83"/>
      <c r="F1520" s="83"/>
      <c r="G1520" s="84"/>
      <c r="H1520" s="86" t="e">
        <f>IF(I1520="fora",0%,G1520/QUÓRUM!$C$6)</f>
        <v>#DIV/0!</v>
      </c>
      <c r="I1520" s="87"/>
      <c r="J1520" s="88"/>
      <c r="K1520" s="88"/>
      <c r="L1520" s="89"/>
      <c r="M1520" s="89"/>
      <c r="N1520" s="90"/>
      <c r="O1520" s="90"/>
      <c r="P1520" s="90"/>
      <c r="Q1520" s="87"/>
      <c r="R1520" s="98"/>
      <c r="S1520" s="90"/>
      <c r="T1520" s="99"/>
    </row>
    <row r="1521" spans="1:20" s="94" customFormat="1" x14ac:dyDescent="0.3">
      <c r="A1521" s="96"/>
      <c r="B1521" s="96"/>
      <c r="C1521" s="87"/>
      <c r="D1521" s="97"/>
      <c r="E1521" s="83"/>
      <c r="F1521" s="83"/>
      <c r="G1521" s="84"/>
      <c r="H1521" s="86" t="e">
        <f>IF(I1521="fora",0%,G1521/QUÓRUM!$C$6)</f>
        <v>#DIV/0!</v>
      </c>
      <c r="I1521" s="87"/>
      <c r="J1521" s="88"/>
      <c r="K1521" s="88"/>
      <c r="L1521" s="89"/>
      <c r="M1521" s="89"/>
      <c r="N1521" s="90"/>
      <c r="O1521" s="90"/>
      <c r="P1521" s="90"/>
      <c r="Q1521" s="87"/>
      <c r="R1521" s="98"/>
      <c r="S1521" s="90"/>
      <c r="T1521" s="99"/>
    </row>
    <row r="1522" spans="1:20" s="94" customFormat="1" x14ac:dyDescent="0.3">
      <c r="A1522" s="96"/>
      <c r="B1522" s="96"/>
      <c r="C1522" s="87"/>
      <c r="D1522" s="97"/>
      <c r="E1522" s="83"/>
      <c r="F1522" s="83"/>
      <c r="G1522" s="84"/>
      <c r="H1522" s="86" t="e">
        <f>IF(I1522="fora",0%,G1522/QUÓRUM!$C$6)</f>
        <v>#DIV/0!</v>
      </c>
      <c r="I1522" s="87"/>
      <c r="J1522" s="88"/>
      <c r="K1522" s="88"/>
      <c r="L1522" s="89"/>
      <c r="M1522" s="89"/>
      <c r="N1522" s="90"/>
      <c r="O1522" s="90"/>
      <c r="P1522" s="90"/>
      <c r="Q1522" s="87"/>
      <c r="R1522" s="98"/>
      <c r="S1522" s="90"/>
      <c r="T1522" s="99"/>
    </row>
    <row r="1523" spans="1:20" s="94" customFormat="1" x14ac:dyDescent="0.3">
      <c r="A1523" s="96"/>
      <c r="B1523" s="96"/>
      <c r="C1523" s="87"/>
      <c r="D1523" s="97"/>
      <c r="E1523" s="83"/>
      <c r="F1523" s="83"/>
      <c r="G1523" s="84"/>
      <c r="H1523" s="86" t="e">
        <f>IF(I1523="fora",0%,G1523/QUÓRUM!$C$6)</f>
        <v>#DIV/0!</v>
      </c>
      <c r="I1523" s="87"/>
      <c r="J1523" s="88"/>
      <c r="K1523" s="88"/>
      <c r="L1523" s="89"/>
      <c r="M1523" s="89"/>
      <c r="N1523" s="90"/>
      <c r="O1523" s="90"/>
      <c r="P1523" s="90"/>
      <c r="Q1523" s="87"/>
      <c r="R1523" s="98"/>
      <c r="S1523" s="90"/>
      <c r="T1523" s="99"/>
    </row>
    <row r="1524" spans="1:20" s="94" customFormat="1" x14ac:dyDescent="0.3">
      <c r="A1524" s="96"/>
      <c r="B1524" s="96"/>
      <c r="C1524" s="87"/>
      <c r="D1524" s="97"/>
      <c r="E1524" s="83"/>
      <c r="F1524" s="83"/>
      <c r="G1524" s="84"/>
      <c r="H1524" s="86" t="e">
        <f>IF(I1524="fora",0%,G1524/QUÓRUM!$C$6)</f>
        <v>#DIV/0!</v>
      </c>
      <c r="I1524" s="87"/>
      <c r="J1524" s="88"/>
      <c r="K1524" s="88"/>
      <c r="L1524" s="89"/>
      <c r="M1524" s="89"/>
      <c r="N1524" s="90"/>
      <c r="O1524" s="90"/>
      <c r="P1524" s="90"/>
      <c r="Q1524" s="87"/>
      <c r="R1524" s="98"/>
      <c r="S1524" s="90"/>
      <c r="T1524" s="99"/>
    </row>
    <row r="1525" spans="1:20" s="94" customFormat="1" x14ac:dyDescent="0.3">
      <c r="A1525" s="96"/>
      <c r="B1525" s="96"/>
      <c r="C1525" s="87"/>
      <c r="D1525" s="97"/>
      <c r="E1525" s="83"/>
      <c r="F1525" s="83"/>
      <c r="G1525" s="84"/>
      <c r="H1525" s="86" t="e">
        <f>IF(I1525="fora",0%,G1525/QUÓRUM!$C$6)</f>
        <v>#DIV/0!</v>
      </c>
      <c r="I1525" s="87"/>
      <c r="J1525" s="88"/>
      <c r="K1525" s="88"/>
      <c r="L1525" s="89"/>
      <c r="M1525" s="89"/>
      <c r="N1525" s="90"/>
      <c r="O1525" s="90"/>
      <c r="P1525" s="90"/>
      <c r="Q1525" s="87"/>
      <c r="R1525" s="98"/>
      <c r="S1525" s="90"/>
      <c r="T1525" s="99"/>
    </row>
    <row r="1526" spans="1:20" s="94" customFormat="1" x14ac:dyDescent="0.3">
      <c r="A1526" s="96"/>
      <c r="B1526" s="96"/>
      <c r="C1526" s="87"/>
      <c r="D1526" s="97"/>
      <c r="E1526" s="83"/>
      <c r="F1526" s="83"/>
      <c r="G1526" s="84"/>
      <c r="H1526" s="86" t="e">
        <f>IF(I1526="fora",0%,G1526/QUÓRUM!$C$6)</f>
        <v>#DIV/0!</v>
      </c>
      <c r="I1526" s="87"/>
      <c r="J1526" s="88"/>
      <c r="K1526" s="88"/>
      <c r="L1526" s="89"/>
      <c r="M1526" s="89"/>
      <c r="N1526" s="90"/>
      <c r="O1526" s="90"/>
      <c r="P1526" s="90"/>
      <c r="Q1526" s="87"/>
      <c r="R1526" s="98"/>
      <c r="S1526" s="90"/>
      <c r="T1526" s="99"/>
    </row>
    <row r="1527" spans="1:20" s="94" customFormat="1" x14ac:dyDescent="0.3">
      <c r="A1527" s="96"/>
      <c r="B1527" s="96"/>
      <c r="C1527" s="87"/>
      <c r="D1527" s="97"/>
      <c r="E1527" s="83"/>
      <c r="F1527" s="83"/>
      <c r="G1527" s="84"/>
      <c r="H1527" s="86" t="e">
        <f>IF(I1527="fora",0%,G1527/QUÓRUM!$C$6)</f>
        <v>#DIV/0!</v>
      </c>
      <c r="I1527" s="87"/>
      <c r="J1527" s="88"/>
      <c r="K1527" s="88"/>
      <c r="L1527" s="89"/>
      <c r="M1527" s="89"/>
      <c r="N1527" s="90"/>
      <c r="O1527" s="90"/>
      <c r="P1527" s="90"/>
      <c r="Q1527" s="87"/>
      <c r="R1527" s="98"/>
      <c r="S1527" s="90"/>
      <c r="T1527" s="99"/>
    </row>
    <row r="1528" spans="1:20" s="94" customFormat="1" x14ac:dyDescent="0.3">
      <c r="A1528" s="96"/>
      <c r="B1528" s="96"/>
      <c r="C1528" s="87"/>
      <c r="D1528" s="97"/>
      <c r="E1528" s="83"/>
      <c r="F1528" s="83"/>
      <c r="G1528" s="84"/>
      <c r="H1528" s="86" t="e">
        <f>IF(I1528="fora",0%,G1528/QUÓRUM!$C$6)</f>
        <v>#DIV/0!</v>
      </c>
      <c r="I1528" s="87"/>
      <c r="J1528" s="88"/>
      <c r="K1528" s="88"/>
      <c r="L1528" s="89"/>
      <c r="M1528" s="89"/>
      <c r="N1528" s="90"/>
      <c r="O1528" s="90"/>
      <c r="P1528" s="90"/>
      <c r="Q1528" s="87"/>
      <c r="R1528" s="98"/>
      <c r="S1528" s="90"/>
      <c r="T1528" s="99"/>
    </row>
    <row r="1529" spans="1:20" s="94" customFormat="1" x14ac:dyDescent="0.3">
      <c r="A1529" s="96"/>
      <c r="B1529" s="96"/>
      <c r="C1529" s="87"/>
      <c r="D1529" s="97"/>
      <c r="E1529" s="83"/>
      <c r="F1529" s="83"/>
      <c r="G1529" s="84"/>
      <c r="H1529" s="86" t="e">
        <f>IF(I1529="fora",0%,G1529/QUÓRUM!$C$6)</f>
        <v>#DIV/0!</v>
      </c>
      <c r="I1529" s="87"/>
      <c r="J1529" s="88"/>
      <c r="K1529" s="88"/>
      <c r="L1529" s="89"/>
      <c r="M1529" s="89"/>
      <c r="N1529" s="90"/>
      <c r="O1529" s="90"/>
      <c r="P1529" s="90"/>
      <c r="Q1529" s="87"/>
      <c r="R1529" s="98"/>
      <c r="S1529" s="90"/>
      <c r="T1529" s="99"/>
    </row>
    <row r="1530" spans="1:20" s="94" customFormat="1" x14ac:dyDescent="0.3">
      <c r="A1530" s="96"/>
      <c r="B1530" s="96"/>
      <c r="C1530" s="87"/>
      <c r="D1530" s="97"/>
      <c r="E1530" s="83"/>
      <c r="F1530" s="83"/>
      <c r="G1530" s="84"/>
      <c r="H1530" s="86" t="e">
        <f>IF(I1530="fora",0%,G1530/QUÓRUM!$C$6)</f>
        <v>#DIV/0!</v>
      </c>
      <c r="I1530" s="87"/>
      <c r="J1530" s="88"/>
      <c r="K1530" s="88"/>
      <c r="L1530" s="89"/>
      <c r="M1530" s="89"/>
      <c r="N1530" s="90"/>
      <c r="O1530" s="90"/>
      <c r="P1530" s="90"/>
      <c r="Q1530" s="87"/>
      <c r="R1530" s="98"/>
      <c r="S1530" s="90"/>
      <c r="T1530" s="99"/>
    </row>
    <row r="1531" spans="1:20" s="94" customFormat="1" x14ac:dyDescent="0.3">
      <c r="A1531" s="96"/>
      <c r="B1531" s="96"/>
      <c r="C1531" s="87"/>
      <c r="D1531" s="97"/>
      <c r="E1531" s="83"/>
      <c r="F1531" s="83"/>
      <c r="G1531" s="84"/>
      <c r="H1531" s="86" t="e">
        <f>IF(I1531="fora",0%,G1531/QUÓRUM!$C$6)</f>
        <v>#DIV/0!</v>
      </c>
      <c r="I1531" s="87"/>
      <c r="J1531" s="88"/>
      <c r="K1531" s="88"/>
      <c r="L1531" s="89"/>
      <c r="M1531" s="89"/>
      <c r="N1531" s="90"/>
      <c r="O1531" s="90"/>
      <c r="P1531" s="90"/>
      <c r="Q1531" s="87"/>
      <c r="R1531" s="98"/>
      <c r="S1531" s="90"/>
      <c r="T1531" s="99"/>
    </row>
    <row r="1532" spans="1:20" s="94" customFormat="1" x14ac:dyDescent="0.3">
      <c r="A1532" s="96"/>
      <c r="B1532" s="96"/>
      <c r="C1532" s="87"/>
      <c r="D1532" s="97"/>
      <c r="E1532" s="83"/>
      <c r="F1532" s="83"/>
      <c r="G1532" s="84"/>
      <c r="H1532" s="86" t="e">
        <f>IF(I1532="fora",0%,G1532/QUÓRUM!$C$6)</f>
        <v>#DIV/0!</v>
      </c>
      <c r="I1532" s="87"/>
      <c r="J1532" s="88"/>
      <c r="K1532" s="88"/>
      <c r="L1532" s="89"/>
      <c r="M1532" s="89"/>
      <c r="N1532" s="90"/>
      <c r="O1532" s="90"/>
      <c r="P1532" s="90"/>
      <c r="Q1532" s="87"/>
      <c r="R1532" s="98"/>
      <c r="S1532" s="90"/>
      <c r="T1532" s="99"/>
    </row>
    <row r="1533" spans="1:20" s="94" customFormat="1" x14ac:dyDescent="0.3">
      <c r="A1533" s="96"/>
      <c r="B1533" s="96"/>
      <c r="C1533" s="87"/>
      <c r="D1533" s="97"/>
      <c r="E1533" s="83"/>
      <c r="F1533" s="83"/>
      <c r="G1533" s="84"/>
      <c r="H1533" s="86" t="e">
        <f>IF(I1533="fora",0%,G1533/QUÓRUM!$C$6)</f>
        <v>#DIV/0!</v>
      </c>
      <c r="I1533" s="87"/>
      <c r="J1533" s="88"/>
      <c r="K1533" s="88"/>
      <c r="L1533" s="89"/>
      <c r="M1533" s="89"/>
      <c r="N1533" s="90"/>
      <c r="O1533" s="90"/>
      <c r="P1533" s="90"/>
      <c r="Q1533" s="87"/>
      <c r="R1533" s="98"/>
      <c r="S1533" s="90"/>
      <c r="T1533" s="99"/>
    </row>
    <row r="1534" spans="1:20" s="94" customFormat="1" x14ac:dyDescent="0.3">
      <c r="A1534" s="96"/>
      <c r="B1534" s="96"/>
      <c r="C1534" s="87"/>
      <c r="D1534" s="97"/>
      <c r="E1534" s="83"/>
      <c r="F1534" s="83"/>
      <c r="G1534" s="84"/>
      <c r="H1534" s="86" t="e">
        <f>IF(I1534="fora",0%,G1534/QUÓRUM!$C$6)</f>
        <v>#DIV/0!</v>
      </c>
      <c r="I1534" s="87"/>
      <c r="J1534" s="88"/>
      <c r="K1534" s="88"/>
      <c r="L1534" s="89"/>
      <c r="M1534" s="89"/>
      <c r="N1534" s="90"/>
      <c r="O1534" s="90"/>
      <c r="P1534" s="90"/>
      <c r="Q1534" s="87"/>
      <c r="R1534" s="98"/>
      <c r="S1534" s="90"/>
      <c r="T1534" s="99"/>
    </row>
    <row r="1535" spans="1:20" s="94" customFormat="1" x14ac:dyDescent="0.3">
      <c r="A1535" s="96"/>
      <c r="B1535" s="96"/>
      <c r="C1535" s="87"/>
      <c r="D1535" s="97"/>
      <c r="E1535" s="83"/>
      <c r="F1535" s="83"/>
      <c r="G1535" s="84"/>
      <c r="H1535" s="86" t="e">
        <f>IF(I1535="fora",0%,G1535/QUÓRUM!$C$6)</f>
        <v>#DIV/0!</v>
      </c>
      <c r="I1535" s="87"/>
      <c r="J1535" s="88"/>
      <c r="K1535" s="88"/>
      <c r="L1535" s="89"/>
      <c r="M1535" s="89"/>
      <c r="N1535" s="90"/>
      <c r="O1535" s="90"/>
      <c r="P1535" s="90"/>
      <c r="Q1535" s="87"/>
      <c r="R1535" s="98"/>
      <c r="S1535" s="90"/>
      <c r="T1535" s="99"/>
    </row>
    <row r="1536" spans="1:20" s="94" customFormat="1" x14ac:dyDescent="0.3">
      <c r="A1536" s="96"/>
      <c r="B1536" s="96"/>
      <c r="C1536" s="87"/>
      <c r="D1536" s="97"/>
      <c r="E1536" s="83"/>
      <c r="F1536" s="83"/>
      <c r="G1536" s="84"/>
      <c r="H1536" s="86" t="e">
        <f>IF(I1536="fora",0%,G1536/QUÓRUM!$C$6)</f>
        <v>#DIV/0!</v>
      </c>
      <c r="I1536" s="87"/>
      <c r="J1536" s="88"/>
      <c r="K1536" s="88"/>
      <c r="L1536" s="89"/>
      <c r="M1536" s="89"/>
      <c r="N1536" s="90"/>
      <c r="O1536" s="90"/>
      <c r="P1536" s="90"/>
      <c r="Q1536" s="87"/>
      <c r="R1536" s="98"/>
      <c r="S1536" s="90"/>
      <c r="T1536" s="99"/>
    </row>
    <row r="1537" spans="1:20" s="94" customFormat="1" x14ac:dyDescent="0.3">
      <c r="A1537" s="96"/>
      <c r="B1537" s="96"/>
      <c r="C1537" s="87"/>
      <c r="D1537" s="97"/>
      <c r="E1537" s="83"/>
      <c r="F1537" s="83"/>
      <c r="G1537" s="84"/>
      <c r="H1537" s="86" t="e">
        <f>IF(I1537="fora",0%,G1537/QUÓRUM!$C$6)</f>
        <v>#DIV/0!</v>
      </c>
      <c r="I1537" s="87"/>
      <c r="J1537" s="88"/>
      <c r="K1537" s="88"/>
      <c r="L1537" s="89"/>
      <c r="M1537" s="89"/>
      <c r="N1537" s="90"/>
      <c r="O1537" s="90"/>
      <c r="P1537" s="90"/>
      <c r="Q1537" s="87"/>
      <c r="R1537" s="98"/>
      <c r="S1537" s="90"/>
      <c r="T1537" s="99"/>
    </row>
    <row r="1538" spans="1:20" s="94" customFormat="1" x14ac:dyDescent="0.3">
      <c r="A1538" s="96"/>
      <c r="B1538" s="96"/>
      <c r="C1538" s="87"/>
      <c r="D1538" s="97"/>
      <c r="E1538" s="83"/>
      <c r="F1538" s="83"/>
      <c r="G1538" s="84"/>
      <c r="H1538" s="86" t="e">
        <f>IF(I1538="fora",0%,G1538/QUÓRUM!$C$6)</f>
        <v>#DIV/0!</v>
      </c>
      <c r="I1538" s="87"/>
      <c r="J1538" s="88"/>
      <c r="K1538" s="88"/>
      <c r="L1538" s="89"/>
      <c r="M1538" s="89"/>
      <c r="N1538" s="90"/>
      <c r="O1538" s="90"/>
      <c r="P1538" s="90"/>
      <c r="Q1538" s="87"/>
      <c r="R1538" s="98"/>
      <c r="S1538" s="90"/>
      <c r="T1538" s="99"/>
    </row>
    <row r="1539" spans="1:20" s="94" customFormat="1" x14ac:dyDescent="0.3">
      <c r="A1539" s="96"/>
      <c r="B1539" s="96"/>
      <c r="C1539" s="87"/>
      <c r="D1539" s="97"/>
      <c r="E1539" s="83"/>
      <c r="F1539" s="83"/>
      <c r="G1539" s="84"/>
      <c r="H1539" s="86" t="e">
        <f>IF(I1539="fora",0%,G1539/QUÓRUM!$C$6)</f>
        <v>#DIV/0!</v>
      </c>
      <c r="I1539" s="87"/>
      <c r="J1539" s="88"/>
      <c r="K1539" s="88"/>
      <c r="L1539" s="89"/>
      <c r="M1539" s="89"/>
      <c r="N1539" s="90"/>
      <c r="O1539" s="90"/>
      <c r="P1539" s="90"/>
      <c r="Q1539" s="87"/>
      <c r="R1539" s="98"/>
      <c r="S1539" s="90"/>
      <c r="T1539" s="99"/>
    </row>
    <row r="1540" spans="1:20" s="94" customFormat="1" x14ac:dyDescent="0.3">
      <c r="A1540" s="96"/>
      <c r="B1540" s="96"/>
      <c r="C1540" s="87"/>
      <c r="D1540" s="97"/>
      <c r="E1540" s="83"/>
      <c r="F1540" s="83"/>
      <c r="G1540" s="84"/>
      <c r="H1540" s="86" t="e">
        <f>IF(I1540="fora",0%,G1540/QUÓRUM!$C$6)</f>
        <v>#DIV/0!</v>
      </c>
      <c r="I1540" s="87"/>
      <c r="J1540" s="88"/>
      <c r="K1540" s="88"/>
      <c r="L1540" s="89"/>
      <c r="M1540" s="89"/>
      <c r="N1540" s="90"/>
      <c r="O1540" s="90"/>
      <c r="P1540" s="90"/>
      <c r="Q1540" s="87"/>
      <c r="R1540" s="98"/>
      <c r="S1540" s="90"/>
      <c r="T1540" s="99"/>
    </row>
    <row r="1541" spans="1:20" s="94" customFormat="1" x14ac:dyDescent="0.3">
      <c r="A1541" s="96"/>
      <c r="B1541" s="96"/>
      <c r="C1541" s="87"/>
      <c r="D1541" s="97"/>
      <c r="E1541" s="83"/>
      <c r="F1541" s="83"/>
      <c r="G1541" s="84"/>
      <c r="H1541" s="86" t="e">
        <f>IF(I1541="fora",0%,G1541/QUÓRUM!$C$6)</f>
        <v>#DIV/0!</v>
      </c>
      <c r="I1541" s="87"/>
      <c r="J1541" s="88"/>
      <c r="K1541" s="88"/>
      <c r="L1541" s="89"/>
      <c r="M1541" s="89"/>
      <c r="N1541" s="90"/>
      <c r="O1541" s="90"/>
      <c r="P1541" s="90"/>
      <c r="Q1541" s="87"/>
      <c r="R1541" s="98"/>
      <c r="S1541" s="90"/>
      <c r="T1541" s="99"/>
    </row>
    <row r="1542" spans="1:20" s="94" customFormat="1" x14ac:dyDescent="0.3">
      <c r="A1542" s="96"/>
      <c r="B1542" s="96"/>
      <c r="C1542" s="87"/>
      <c r="D1542" s="97"/>
      <c r="E1542" s="83"/>
      <c r="F1542" s="83"/>
      <c r="G1542" s="84"/>
      <c r="H1542" s="86" t="e">
        <f>IF(I1542="fora",0%,G1542/QUÓRUM!$C$6)</f>
        <v>#DIV/0!</v>
      </c>
      <c r="I1542" s="87"/>
      <c r="J1542" s="88"/>
      <c r="K1542" s="88"/>
      <c r="L1542" s="89"/>
      <c r="M1542" s="89"/>
      <c r="N1542" s="90"/>
      <c r="O1542" s="90"/>
      <c r="P1542" s="90"/>
      <c r="Q1542" s="87"/>
      <c r="R1542" s="98"/>
      <c r="S1542" s="90"/>
      <c r="T1542" s="99"/>
    </row>
    <row r="1543" spans="1:20" s="94" customFormat="1" x14ac:dyDescent="0.3">
      <c r="A1543" s="96"/>
      <c r="B1543" s="96"/>
      <c r="C1543" s="87"/>
      <c r="D1543" s="97"/>
      <c r="E1543" s="83"/>
      <c r="F1543" s="83"/>
      <c r="G1543" s="84"/>
      <c r="H1543" s="86" t="e">
        <f>IF(I1543="fora",0%,G1543/QUÓRUM!$C$6)</f>
        <v>#DIV/0!</v>
      </c>
      <c r="I1543" s="87"/>
      <c r="J1543" s="88"/>
      <c r="K1543" s="88"/>
      <c r="L1543" s="89"/>
      <c r="M1543" s="89"/>
      <c r="N1543" s="90"/>
      <c r="O1543" s="90"/>
      <c r="P1543" s="90"/>
      <c r="Q1543" s="87"/>
      <c r="R1543" s="98"/>
      <c r="S1543" s="90"/>
      <c r="T1543" s="99"/>
    </row>
    <row r="1544" spans="1:20" s="94" customFormat="1" x14ac:dyDescent="0.3">
      <c r="A1544" s="96"/>
      <c r="B1544" s="96"/>
      <c r="C1544" s="87"/>
      <c r="D1544" s="97"/>
      <c r="E1544" s="83"/>
      <c r="F1544" s="83"/>
      <c r="G1544" s="84"/>
      <c r="H1544" s="86" t="e">
        <f>IF(I1544="fora",0%,G1544/QUÓRUM!$C$6)</f>
        <v>#DIV/0!</v>
      </c>
      <c r="I1544" s="87"/>
      <c r="J1544" s="88"/>
      <c r="K1544" s="88"/>
      <c r="L1544" s="89"/>
      <c r="M1544" s="89"/>
      <c r="N1544" s="90"/>
      <c r="O1544" s="90"/>
      <c r="P1544" s="90"/>
      <c r="Q1544" s="87"/>
      <c r="R1544" s="98"/>
      <c r="S1544" s="90"/>
      <c r="T1544" s="99"/>
    </row>
    <row r="1545" spans="1:20" s="94" customFormat="1" x14ac:dyDescent="0.3">
      <c r="A1545" s="96"/>
      <c r="B1545" s="96"/>
      <c r="C1545" s="87"/>
      <c r="D1545" s="97"/>
      <c r="E1545" s="83"/>
      <c r="F1545" s="83"/>
      <c r="G1545" s="84"/>
      <c r="H1545" s="86" t="e">
        <f>IF(I1545="fora",0%,G1545/QUÓRUM!$C$6)</f>
        <v>#DIV/0!</v>
      </c>
      <c r="I1545" s="87"/>
      <c r="J1545" s="88"/>
      <c r="K1545" s="88"/>
      <c r="L1545" s="89"/>
      <c r="M1545" s="89"/>
      <c r="N1545" s="90"/>
      <c r="O1545" s="90"/>
      <c r="P1545" s="90"/>
      <c r="Q1545" s="87"/>
      <c r="R1545" s="98"/>
      <c r="S1545" s="90"/>
      <c r="T1545" s="99"/>
    </row>
    <row r="1546" spans="1:20" s="94" customFormat="1" x14ac:dyDescent="0.3">
      <c r="A1546" s="96"/>
      <c r="B1546" s="96"/>
      <c r="C1546" s="87"/>
      <c r="D1546" s="97"/>
      <c r="E1546" s="83"/>
      <c r="F1546" s="83"/>
      <c r="G1546" s="84"/>
      <c r="H1546" s="86" t="e">
        <f>IF(I1546="fora",0%,G1546/QUÓRUM!$C$6)</f>
        <v>#DIV/0!</v>
      </c>
      <c r="I1546" s="87"/>
      <c r="J1546" s="88"/>
      <c r="K1546" s="88"/>
      <c r="L1546" s="89"/>
      <c r="M1546" s="89"/>
      <c r="N1546" s="90"/>
      <c r="O1546" s="90"/>
      <c r="P1546" s="90"/>
      <c r="Q1546" s="87"/>
      <c r="R1546" s="98"/>
      <c r="S1546" s="90"/>
      <c r="T1546" s="99"/>
    </row>
    <row r="1547" spans="1:20" s="94" customFormat="1" x14ac:dyDescent="0.3">
      <c r="A1547" s="96"/>
      <c r="B1547" s="96"/>
      <c r="C1547" s="87"/>
      <c r="D1547" s="97"/>
      <c r="E1547" s="83"/>
      <c r="F1547" s="83"/>
      <c r="G1547" s="84"/>
      <c r="H1547" s="86" t="e">
        <f>IF(I1547="fora",0%,G1547/QUÓRUM!$C$6)</f>
        <v>#DIV/0!</v>
      </c>
      <c r="I1547" s="87"/>
      <c r="J1547" s="88"/>
      <c r="K1547" s="88"/>
      <c r="L1547" s="89"/>
      <c r="M1547" s="89"/>
      <c r="N1547" s="90"/>
      <c r="O1547" s="90"/>
      <c r="P1547" s="90"/>
      <c r="Q1547" s="87"/>
      <c r="R1547" s="98"/>
      <c r="S1547" s="90"/>
      <c r="T1547" s="99"/>
    </row>
    <row r="1548" spans="1:20" s="94" customFormat="1" x14ac:dyDescent="0.3">
      <c r="A1548" s="96"/>
      <c r="B1548" s="96"/>
      <c r="C1548" s="87"/>
      <c r="D1548" s="97"/>
      <c r="E1548" s="83"/>
      <c r="F1548" s="83"/>
      <c r="G1548" s="84"/>
      <c r="H1548" s="86" t="e">
        <f>IF(I1548="fora",0%,G1548/QUÓRUM!$C$6)</f>
        <v>#DIV/0!</v>
      </c>
      <c r="I1548" s="87"/>
      <c r="J1548" s="88"/>
      <c r="K1548" s="88"/>
      <c r="L1548" s="89"/>
      <c r="M1548" s="89"/>
      <c r="N1548" s="90"/>
      <c r="O1548" s="90"/>
      <c r="P1548" s="90"/>
      <c r="Q1548" s="87"/>
      <c r="R1548" s="98"/>
      <c r="S1548" s="90"/>
      <c r="T1548" s="99"/>
    </row>
    <row r="1549" spans="1:20" s="94" customFormat="1" x14ac:dyDescent="0.3">
      <c r="A1549" s="96"/>
      <c r="B1549" s="96"/>
      <c r="C1549" s="87"/>
      <c r="D1549" s="97"/>
      <c r="E1549" s="83"/>
      <c r="F1549" s="83"/>
      <c r="G1549" s="84"/>
      <c r="H1549" s="86" t="e">
        <f>IF(I1549="fora",0%,G1549/QUÓRUM!$C$6)</f>
        <v>#DIV/0!</v>
      </c>
      <c r="I1549" s="87"/>
      <c r="J1549" s="88"/>
      <c r="K1549" s="88"/>
      <c r="L1549" s="89"/>
      <c r="M1549" s="89"/>
      <c r="N1549" s="90"/>
      <c r="O1549" s="90"/>
      <c r="P1549" s="90"/>
      <c r="Q1549" s="87"/>
      <c r="R1549" s="98"/>
      <c r="S1549" s="90"/>
      <c r="T1549" s="99"/>
    </row>
    <row r="1550" spans="1:20" s="94" customFormat="1" x14ac:dyDescent="0.3">
      <c r="A1550" s="96"/>
      <c r="B1550" s="96"/>
      <c r="C1550" s="87"/>
      <c r="D1550" s="97"/>
      <c r="E1550" s="83"/>
      <c r="F1550" s="83"/>
      <c r="G1550" s="84"/>
      <c r="H1550" s="86" t="e">
        <f>IF(I1550="fora",0%,G1550/QUÓRUM!$C$6)</f>
        <v>#DIV/0!</v>
      </c>
      <c r="I1550" s="87"/>
      <c r="J1550" s="88"/>
      <c r="K1550" s="88"/>
      <c r="L1550" s="89"/>
      <c r="M1550" s="89"/>
      <c r="N1550" s="90"/>
      <c r="O1550" s="90"/>
      <c r="P1550" s="90"/>
      <c r="Q1550" s="87"/>
      <c r="R1550" s="98"/>
      <c r="S1550" s="90"/>
      <c r="T1550" s="99"/>
    </row>
    <row r="1551" spans="1:20" s="94" customFormat="1" x14ac:dyDescent="0.3">
      <c r="A1551" s="96"/>
      <c r="B1551" s="96"/>
      <c r="C1551" s="87"/>
      <c r="D1551" s="97"/>
      <c r="E1551" s="83"/>
      <c r="F1551" s="83"/>
      <c r="G1551" s="84"/>
      <c r="H1551" s="86" t="e">
        <f>IF(I1551="fora",0%,G1551/QUÓRUM!$C$6)</f>
        <v>#DIV/0!</v>
      </c>
      <c r="I1551" s="87"/>
      <c r="J1551" s="88"/>
      <c r="K1551" s="88"/>
      <c r="L1551" s="89"/>
      <c r="M1551" s="89"/>
      <c r="N1551" s="90"/>
      <c r="O1551" s="90"/>
      <c r="P1551" s="90"/>
      <c r="Q1551" s="87"/>
      <c r="R1551" s="98"/>
      <c r="S1551" s="90"/>
      <c r="T1551" s="99"/>
    </row>
    <row r="1552" spans="1:20" s="94" customFormat="1" x14ac:dyDescent="0.3">
      <c r="A1552" s="96"/>
      <c r="B1552" s="96"/>
      <c r="C1552" s="87"/>
      <c r="D1552" s="97"/>
      <c r="E1552" s="83"/>
      <c r="F1552" s="83"/>
      <c r="G1552" s="84"/>
      <c r="H1552" s="86" t="e">
        <f>IF(I1552="fora",0%,G1552/QUÓRUM!$C$6)</f>
        <v>#DIV/0!</v>
      </c>
      <c r="I1552" s="87"/>
      <c r="J1552" s="88"/>
      <c r="K1552" s="88"/>
      <c r="L1552" s="89"/>
      <c r="M1552" s="89"/>
      <c r="N1552" s="90"/>
      <c r="O1552" s="90"/>
      <c r="P1552" s="90"/>
      <c r="Q1552" s="87"/>
      <c r="R1552" s="98"/>
      <c r="S1552" s="90"/>
      <c r="T1552" s="99"/>
    </row>
    <row r="1553" spans="1:20" s="94" customFormat="1" x14ac:dyDescent="0.3">
      <c r="A1553" s="96"/>
      <c r="B1553" s="96"/>
      <c r="C1553" s="87"/>
      <c r="D1553" s="97"/>
      <c r="E1553" s="83"/>
      <c r="F1553" s="83"/>
      <c r="G1553" s="84"/>
      <c r="H1553" s="86" t="e">
        <f>IF(I1553="fora",0%,G1553/QUÓRUM!$C$6)</f>
        <v>#DIV/0!</v>
      </c>
      <c r="I1553" s="87"/>
      <c r="J1553" s="88"/>
      <c r="K1553" s="88"/>
      <c r="L1553" s="89"/>
      <c r="M1553" s="89"/>
      <c r="N1553" s="90"/>
      <c r="O1553" s="90"/>
      <c r="P1553" s="90"/>
      <c r="Q1553" s="87"/>
      <c r="R1553" s="98"/>
      <c r="S1553" s="90"/>
      <c r="T1553" s="99"/>
    </row>
    <row r="1554" spans="1:20" s="94" customFormat="1" x14ac:dyDescent="0.3">
      <c r="A1554" s="96"/>
      <c r="B1554" s="96"/>
      <c r="C1554" s="87"/>
      <c r="D1554" s="97"/>
      <c r="E1554" s="83"/>
      <c r="F1554" s="83"/>
      <c r="G1554" s="84"/>
      <c r="H1554" s="86" t="e">
        <f>IF(I1554="fora",0%,G1554/QUÓRUM!$C$6)</f>
        <v>#DIV/0!</v>
      </c>
      <c r="I1554" s="87"/>
      <c r="J1554" s="88"/>
      <c r="K1554" s="88"/>
      <c r="L1554" s="89"/>
      <c r="M1554" s="89"/>
      <c r="N1554" s="90"/>
      <c r="O1554" s="90"/>
      <c r="P1554" s="90"/>
      <c r="Q1554" s="87"/>
      <c r="R1554" s="98"/>
      <c r="S1554" s="90"/>
      <c r="T1554" s="99"/>
    </row>
    <row r="1555" spans="1:20" s="94" customFormat="1" x14ac:dyDescent="0.3">
      <c r="A1555" s="96"/>
      <c r="B1555" s="96"/>
      <c r="C1555" s="87"/>
      <c r="D1555" s="97"/>
      <c r="E1555" s="83"/>
      <c r="F1555" s="83"/>
      <c r="G1555" s="84"/>
      <c r="H1555" s="86" t="e">
        <f>IF(I1555="fora",0%,G1555/QUÓRUM!$C$6)</f>
        <v>#DIV/0!</v>
      </c>
      <c r="I1555" s="87"/>
      <c r="J1555" s="88"/>
      <c r="K1555" s="88"/>
      <c r="L1555" s="89"/>
      <c r="M1555" s="89"/>
      <c r="N1555" s="90"/>
      <c r="O1555" s="90"/>
      <c r="P1555" s="90"/>
      <c r="Q1555" s="87"/>
      <c r="R1555" s="98"/>
      <c r="S1555" s="90"/>
      <c r="T1555" s="99"/>
    </row>
    <row r="1556" spans="1:20" s="94" customFormat="1" x14ac:dyDescent="0.3">
      <c r="A1556" s="96"/>
      <c r="B1556" s="96"/>
      <c r="C1556" s="87"/>
      <c r="D1556" s="97"/>
      <c r="E1556" s="83"/>
      <c r="F1556" s="83"/>
      <c r="G1556" s="84"/>
      <c r="H1556" s="86" t="e">
        <f>IF(I1556="fora",0%,G1556/QUÓRUM!$C$6)</f>
        <v>#DIV/0!</v>
      </c>
      <c r="I1556" s="87"/>
      <c r="J1556" s="88"/>
      <c r="K1556" s="88"/>
      <c r="L1556" s="89"/>
      <c r="M1556" s="89"/>
      <c r="N1556" s="90"/>
      <c r="O1556" s="90"/>
      <c r="P1556" s="90"/>
      <c r="Q1556" s="87"/>
      <c r="R1556" s="98"/>
      <c r="S1556" s="90"/>
      <c r="T1556" s="99"/>
    </row>
    <row r="1557" spans="1:20" s="94" customFormat="1" x14ac:dyDescent="0.3">
      <c r="A1557" s="96"/>
      <c r="B1557" s="96"/>
      <c r="C1557" s="87"/>
      <c r="D1557" s="97"/>
      <c r="E1557" s="83"/>
      <c r="F1557" s="83"/>
      <c r="G1557" s="84"/>
      <c r="H1557" s="86" t="e">
        <f>IF(I1557="fora",0%,G1557/QUÓRUM!$C$6)</f>
        <v>#DIV/0!</v>
      </c>
      <c r="I1557" s="87"/>
      <c r="J1557" s="88"/>
      <c r="K1557" s="88"/>
      <c r="L1557" s="89"/>
      <c r="M1557" s="89"/>
      <c r="N1557" s="90"/>
      <c r="O1557" s="90"/>
      <c r="P1557" s="90"/>
      <c r="Q1557" s="87"/>
      <c r="R1557" s="98"/>
      <c r="S1557" s="90"/>
      <c r="T1557" s="99"/>
    </row>
    <row r="1558" spans="1:20" s="94" customFormat="1" x14ac:dyDescent="0.3">
      <c r="A1558" s="96"/>
      <c r="B1558" s="96"/>
      <c r="C1558" s="87"/>
      <c r="D1558" s="97"/>
      <c r="E1558" s="83"/>
      <c r="F1558" s="83"/>
      <c r="G1558" s="84"/>
      <c r="H1558" s="86" t="e">
        <f>IF(I1558="fora",0%,G1558/QUÓRUM!$C$6)</f>
        <v>#DIV/0!</v>
      </c>
      <c r="I1558" s="87"/>
      <c r="J1558" s="88"/>
      <c r="K1558" s="88"/>
      <c r="L1558" s="89"/>
      <c r="M1558" s="89"/>
      <c r="N1558" s="90"/>
      <c r="O1558" s="90"/>
      <c r="P1558" s="90"/>
      <c r="Q1558" s="87"/>
      <c r="R1558" s="98"/>
      <c r="S1558" s="90"/>
      <c r="T1558" s="99"/>
    </row>
    <row r="1559" spans="1:20" s="94" customFormat="1" x14ac:dyDescent="0.3">
      <c r="A1559" s="96"/>
      <c r="B1559" s="96"/>
      <c r="C1559" s="87"/>
      <c r="D1559" s="97"/>
      <c r="E1559" s="83"/>
      <c r="F1559" s="83"/>
      <c r="G1559" s="84"/>
      <c r="H1559" s="86" t="e">
        <f>IF(I1559="fora",0%,G1559/QUÓRUM!$C$6)</f>
        <v>#DIV/0!</v>
      </c>
      <c r="I1559" s="87"/>
      <c r="J1559" s="88"/>
      <c r="K1559" s="88"/>
      <c r="L1559" s="89"/>
      <c r="M1559" s="89"/>
      <c r="N1559" s="90"/>
      <c r="O1559" s="90"/>
      <c r="P1559" s="90"/>
      <c r="Q1559" s="87"/>
      <c r="R1559" s="98"/>
      <c r="S1559" s="90"/>
      <c r="T1559" s="99"/>
    </row>
    <row r="1560" spans="1:20" s="94" customFormat="1" x14ac:dyDescent="0.3">
      <c r="A1560" s="96"/>
      <c r="B1560" s="96"/>
      <c r="C1560" s="87"/>
      <c r="D1560" s="97"/>
      <c r="E1560" s="83"/>
      <c r="F1560" s="83"/>
      <c r="G1560" s="84"/>
      <c r="H1560" s="86" t="e">
        <f>IF(I1560="fora",0%,G1560/QUÓRUM!$C$6)</f>
        <v>#DIV/0!</v>
      </c>
      <c r="I1560" s="87"/>
      <c r="J1560" s="88"/>
      <c r="K1560" s="88"/>
      <c r="L1560" s="89"/>
      <c r="M1560" s="89"/>
      <c r="N1560" s="90"/>
      <c r="O1560" s="90"/>
      <c r="P1560" s="90"/>
      <c r="Q1560" s="87"/>
      <c r="R1560" s="98"/>
      <c r="S1560" s="90"/>
      <c r="T1560" s="99"/>
    </row>
    <row r="1561" spans="1:20" s="94" customFormat="1" x14ac:dyDescent="0.3">
      <c r="A1561" s="96"/>
      <c r="B1561" s="96"/>
      <c r="C1561" s="87"/>
      <c r="D1561" s="97"/>
      <c r="E1561" s="83"/>
      <c r="F1561" s="83"/>
      <c r="G1561" s="84"/>
      <c r="H1561" s="86" t="e">
        <f>IF(I1561="fora",0%,G1561/QUÓRUM!$C$6)</f>
        <v>#DIV/0!</v>
      </c>
      <c r="I1561" s="87"/>
      <c r="J1561" s="88"/>
      <c r="K1561" s="88"/>
      <c r="L1561" s="89"/>
      <c r="M1561" s="89"/>
      <c r="N1561" s="90"/>
      <c r="O1561" s="90"/>
      <c r="P1561" s="90"/>
      <c r="Q1561" s="87"/>
      <c r="R1561" s="98"/>
      <c r="S1561" s="90"/>
      <c r="T1561" s="99"/>
    </row>
    <row r="1562" spans="1:20" s="94" customFormat="1" x14ac:dyDescent="0.3">
      <c r="A1562" s="96"/>
      <c r="B1562" s="96"/>
      <c r="C1562" s="87"/>
      <c r="D1562" s="97"/>
      <c r="E1562" s="83"/>
      <c r="F1562" s="83"/>
      <c r="G1562" s="100"/>
      <c r="H1562" s="86" t="e">
        <f>IF(I1562="fora",0%,G1562/QUÓRUM!$C$6)</f>
        <v>#DIV/0!</v>
      </c>
      <c r="I1562" s="87"/>
      <c r="J1562" s="88"/>
      <c r="K1562" s="88"/>
      <c r="L1562" s="89"/>
      <c r="M1562" s="89"/>
      <c r="N1562" s="90"/>
      <c r="O1562" s="90"/>
      <c r="P1562" s="90"/>
      <c r="Q1562" s="87"/>
      <c r="R1562" s="98"/>
      <c r="S1562" s="90"/>
      <c r="T1562" s="99"/>
    </row>
    <row r="1563" spans="1:20" s="94" customFormat="1" x14ac:dyDescent="0.3">
      <c r="A1563" s="96"/>
      <c r="B1563" s="96"/>
      <c r="C1563" s="87"/>
      <c r="D1563" s="97"/>
      <c r="E1563" s="83"/>
      <c r="F1563" s="83"/>
      <c r="G1563" s="84"/>
      <c r="H1563" s="86" t="e">
        <f>IF(I1563="fora",0%,G1563/QUÓRUM!$C$6)</f>
        <v>#DIV/0!</v>
      </c>
      <c r="I1563" s="87"/>
      <c r="J1563" s="88"/>
      <c r="K1563" s="88"/>
      <c r="L1563" s="89"/>
      <c r="M1563" s="89"/>
      <c r="N1563" s="90"/>
      <c r="O1563" s="90"/>
      <c r="P1563" s="90"/>
      <c r="Q1563" s="87"/>
      <c r="R1563" s="98"/>
      <c r="S1563" s="90"/>
      <c r="T1563" s="99"/>
    </row>
    <row r="1564" spans="1:20" s="94" customFormat="1" x14ac:dyDescent="0.3">
      <c r="A1564" s="96"/>
      <c r="B1564" s="96"/>
      <c r="C1564" s="87"/>
      <c r="D1564" s="97"/>
      <c r="E1564" s="83"/>
      <c r="F1564" s="83"/>
      <c r="G1564" s="84"/>
      <c r="H1564" s="86" t="e">
        <f>IF(I1564="fora",0%,G1564/QUÓRUM!$C$6)</f>
        <v>#DIV/0!</v>
      </c>
      <c r="I1564" s="87"/>
      <c r="J1564" s="88"/>
      <c r="K1564" s="88"/>
      <c r="L1564" s="89"/>
      <c r="M1564" s="89"/>
      <c r="N1564" s="90"/>
      <c r="O1564" s="90"/>
      <c r="P1564" s="90"/>
      <c r="Q1564" s="87"/>
      <c r="R1564" s="98"/>
      <c r="S1564" s="90"/>
      <c r="T1564" s="99"/>
    </row>
    <row r="1565" spans="1:20" s="94" customFormat="1" x14ac:dyDescent="0.3">
      <c r="A1565" s="96"/>
      <c r="B1565" s="96"/>
      <c r="C1565" s="87"/>
      <c r="D1565" s="97"/>
      <c r="E1565" s="83"/>
      <c r="F1565" s="83"/>
      <c r="G1565" s="84"/>
      <c r="H1565" s="86" t="e">
        <f>IF(I1565="fora",0%,G1565/QUÓRUM!$C$6)</f>
        <v>#DIV/0!</v>
      </c>
      <c r="I1565" s="87"/>
      <c r="J1565" s="88"/>
      <c r="K1565" s="88"/>
      <c r="L1565" s="89"/>
      <c r="M1565" s="89"/>
      <c r="N1565" s="90"/>
      <c r="O1565" s="90"/>
      <c r="P1565" s="90"/>
      <c r="Q1565" s="87"/>
      <c r="R1565" s="98"/>
      <c r="S1565" s="90"/>
      <c r="T1565" s="99"/>
    </row>
    <row r="1566" spans="1:20" s="94" customFormat="1" x14ac:dyDescent="0.3">
      <c r="A1566" s="96"/>
      <c r="B1566" s="96"/>
      <c r="C1566" s="87"/>
      <c r="D1566" s="97"/>
      <c r="E1566" s="83"/>
      <c r="F1566" s="83"/>
      <c r="G1566" s="84"/>
      <c r="H1566" s="86" t="e">
        <f>IF(I1566="fora",0%,G1566/QUÓRUM!$C$6)</f>
        <v>#DIV/0!</v>
      </c>
      <c r="I1566" s="87"/>
      <c r="J1566" s="88"/>
      <c r="K1566" s="88"/>
      <c r="L1566" s="89"/>
      <c r="M1566" s="89"/>
      <c r="N1566" s="90"/>
      <c r="O1566" s="90"/>
      <c r="P1566" s="90"/>
      <c r="Q1566" s="87"/>
      <c r="R1566" s="98"/>
      <c r="S1566" s="90"/>
      <c r="T1566" s="99"/>
    </row>
    <row r="1567" spans="1:20" s="94" customFormat="1" x14ac:dyDescent="0.3">
      <c r="A1567" s="96"/>
      <c r="B1567" s="96"/>
      <c r="C1567" s="87"/>
      <c r="D1567" s="97"/>
      <c r="E1567" s="83"/>
      <c r="F1567" s="83"/>
      <c r="G1567" s="84"/>
      <c r="H1567" s="86" t="e">
        <f>IF(I1567="fora",0%,G1567/QUÓRUM!$C$6)</f>
        <v>#DIV/0!</v>
      </c>
      <c r="I1567" s="87"/>
      <c r="J1567" s="88"/>
      <c r="K1567" s="88"/>
      <c r="L1567" s="89"/>
      <c r="M1567" s="89"/>
      <c r="N1567" s="90"/>
      <c r="O1567" s="90"/>
      <c r="P1567" s="90"/>
      <c r="Q1567" s="87"/>
      <c r="R1567" s="98"/>
      <c r="S1567" s="90"/>
      <c r="T1567" s="99"/>
    </row>
    <row r="1568" spans="1:20" s="94" customFormat="1" x14ac:dyDescent="0.3">
      <c r="A1568" s="96"/>
      <c r="B1568" s="96"/>
      <c r="C1568" s="87"/>
      <c r="D1568" s="97"/>
      <c r="E1568" s="83"/>
      <c r="F1568" s="83"/>
      <c r="G1568" s="84"/>
      <c r="H1568" s="86" t="e">
        <f>IF(I1568="fora",0%,G1568/QUÓRUM!$C$6)</f>
        <v>#DIV/0!</v>
      </c>
      <c r="I1568" s="87"/>
      <c r="J1568" s="88"/>
      <c r="K1568" s="88"/>
      <c r="L1568" s="89"/>
      <c r="M1568" s="89"/>
      <c r="N1568" s="90"/>
      <c r="O1568" s="90"/>
      <c r="P1568" s="90"/>
      <c r="Q1568" s="87"/>
      <c r="R1568" s="98"/>
      <c r="S1568" s="90"/>
      <c r="T1568" s="99"/>
    </row>
    <row r="1569" spans="1:20" s="94" customFormat="1" x14ac:dyDescent="0.3">
      <c r="A1569" s="96"/>
      <c r="B1569" s="96"/>
      <c r="C1569" s="87"/>
      <c r="D1569" s="97"/>
      <c r="E1569" s="83"/>
      <c r="F1569" s="83"/>
      <c r="G1569" s="100"/>
      <c r="H1569" s="86" t="e">
        <f>IF(I1569="fora",0%,G1569/QUÓRUM!$C$6)</f>
        <v>#DIV/0!</v>
      </c>
      <c r="I1569" s="87"/>
      <c r="J1569" s="88"/>
      <c r="K1569" s="88"/>
      <c r="L1569" s="89"/>
      <c r="M1569" s="89"/>
      <c r="N1569" s="90"/>
      <c r="O1569" s="90"/>
      <c r="P1569" s="90"/>
      <c r="Q1569" s="87"/>
      <c r="R1569" s="98"/>
      <c r="S1569" s="90"/>
      <c r="T1569" s="99"/>
    </row>
    <row r="1570" spans="1:20" s="94" customFormat="1" x14ac:dyDescent="0.3">
      <c r="A1570" s="96"/>
      <c r="B1570" s="96"/>
      <c r="C1570" s="87"/>
      <c r="D1570" s="97"/>
      <c r="E1570" s="83"/>
      <c r="F1570" s="83"/>
      <c r="G1570" s="84"/>
      <c r="H1570" s="86" t="e">
        <f>IF(I1570="fora",0%,G1570/QUÓRUM!$C$6)</f>
        <v>#DIV/0!</v>
      </c>
      <c r="I1570" s="87"/>
      <c r="J1570" s="88"/>
      <c r="K1570" s="88"/>
      <c r="L1570" s="89"/>
      <c r="M1570" s="89"/>
      <c r="N1570" s="90"/>
      <c r="O1570" s="90"/>
      <c r="P1570" s="90"/>
      <c r="Q1570" s="87"/>
      <c r="R1570" s="98"/>
      <c r="S1570" s="90"/>
      <c r="T1570" s="99"/>
    </row>
    <row r="1571" spans="1:20" s="94" customFormat="1" x14ac:dyDescent="0.3">
      <c r="A1571" s="96"/>
      <c r="B1571" s="96"/>
      <c r="C1571" s="87"/>
      <c r="D1571" s="97"/>
      <c r="E1571" s="83"/>
      <c r="F1571" s="83"/>
      <c r="G1571" s="84"/>
      <c r="H1571" s="86" t="e">
        <f>IF(I1571="fora",0%,G1571/QUÓRUM!$C$6)</f>
        <v>#DIV/0!</v>
      </c>
      <c r="I1571" s="87"/>
      <c r="J1571" s="88"/>
      <c r="K1571" s="88"/>
      <c r="L1571" s="89"/>
      <c r="M1571" s="89"/>
      <c r="N1571" s="90"/>
      <c r="O1571" s="90"/>
      <c r="P1571" s="90"/>
      <c r="Q1571" s="87"/>
      <c r="R1571" s="98"/>
      <c r="S1571" s="90"/>
      <c r="T1571" s="99"/>
    </row>
    <row r="1572" spans="1:20" s="94" customFormat="1" x14ac:dyDescent="0.3">
      <c r="A1572" s="96"/>
      <c r="B1572" s="96"/>
      <c r="C1572" s="87"/>
      <c r="D1572" s="97"/>
      <c r="E1572" s="83"/>
      <c r="F1572" s="83"/>
      <c r="G1572" s="84"/>
      <c r="H1572" s="86" t="e">
        <f>IF(I1572="fora",0%,G1572/QUÓRUM!$C$6)</f>
        <v>#DIV/0!</v>
      </c>
      <c r="I1572" s="87"/>
      <c r="J1572" s="88"/>
      <c r="K1572" s="88"/>
      <c r="L1572" s="89"/>
      <c r="M1572" s="89"/>
      <c r="N1572" s="90"/>
      <c r="O1572" s="90"/>
      <c r="P1572" s="90"/>
      <c r="Q1572" s="87"/>
      <c r="R1572" s="98"/>
      <c r="S1572" s="90"/>
      <c r="T1572" s="99"/>
    </row>
    <row r="1573" spans="1:20" s="94" customFormat="1" x14ac:dyDescent="0.3">
      <c r="A1573" s="96"/>
      <c r="B1573" s="96"/>
      <c r="C1573" s="87"/>
      <c r="D1573" s="97"/>
      <c r="E1573" s="83"/>
      <c r="F1573" s="83"/>
      <c r="G1573" s="84"/>
      <c r="H1573" s="86" t="e">
        <f>IF(I1573="fora",0%,G1573/QUÓRUM!$C$6)</f>
        <v>#DIV/0!</v>
      </c>
      <c r="I1573" s="87"/>
      <c r="J1573" s="88"/>
      <c r="K1573" s="88"/>
      <c r="L1573" s="89"/>
      <c r="M1573" s="89"/>
      <c r="N1573" s="90"/>
      <c r="O1573" s="90"/>
      <c r="P1573" s="90"/>
      <c r="Q1573" s="87"/>
      <c r="R1573" s="98"/>
      <c r="S1573" s="90"/>
      <c r="T1573" s="99"/>
    </row>
    <row r="1574" spans="1:20" s="94" customFormat="1" x14ac:dyDescent="0.3">
      <c r="A1574" s="96"/>
      <c r="B1574" s="96"/>
      <c r="C1574" s="87"/>
      <c r="D1574" s="97"/>
      <c r="E1574" s="83"/>
      <c r="F1574" s="83"/>
      <c r="G1574" s="84"/>
      <c r="H1574" s="86" t="e">
        <f>IF(I1574="fora",0%,G1574/QUÓRUM!$C$6)</f>
        <v>#DIV/0!</v>
      </c>
      <c r="I1574" s="87"/>
      <c r="J1574" s="88"/>
      <c r="K1574" s="88"/>
      <c r="L1574" s="89"/>
      <c r="M1574" s="89"/>
      <c r="N1574" s="90"/>
      <c r="O1574" s="90"/>
      <c r="P1574" s="90"/>
      <c r="Q1574" s="87"/>
      <c r="R1574" s="98"/>
      <c r="S1574" s="90"/>
      <c r="T1574" s="99"/>
    </row>
    <row r="1575" spans="1:20" s="94" customFormat="1" x14ac:dyDescent="0.3">
      <c r="A1575" s="96"/>
      <c r="B1575" s="96"/>
      <c r="C1575" s="87"/>
      <c r="D1575" s="97"/>
      <c r="E1575" s="83"/>
      <c r="F1575" s="83"/>
      <c r="G1575" s="84"/>
      <c r="H1575" s="86" t="e">
        <f>IF(I1575="fora",0%,G1575/QUÓRUM!$C$6)</f>
        <v>#DIV/0!</v>
      </c>
      <c r="I1575" s="87"/>
      <c r="J1575" s="88"/>
      <c r="K1575" s="88"/>
      <c r="L1575" s="89"/>
      <c r="M1575" s="89"/>
      <c r="N1575" s="90"/>
      <c r="O1575" s="90"/>
      <c r="P1575" s="90"/>
      <c r="Q1575" s="87"/>
      <c r="R1575" s="98"/>
      <c r="S1575" s="90"/>
      <c r="T1575" s="99"/>
    </row>
    <row r="1576" spans="1:20" s="94" customFormat="1" x14ac:dyDescent="0.3">
      <c r="A1576" s="96"/>
      <c r="B1576" s="96"/>
      <c r="C1576" s="87"/>
      <c r="D1576" s="97"/>
      <c r="E1576" s="83"/>
      <c r="F1576" s="83"/>
      <c r="G1576" s="84"/>
      <c r="H1576" s="86" t="e">
        <f>IF(I1576="fora",0%,G1576/QUÓRUM!$C$6)</f>
        <v>#DIV/0!</v>
      </c>
      <c r="I1576" s="87"/>
      <c r="J1576" s="88"/>
      <c r="K1576" s="88"/>
      <c r="L1576" s="89"/>
      <c r="M1576" s="89"/>
      <c r="N1576" s="90"/>
      <c r="O1576" s="90"/>
      <c r="P1576" s="90"/>
      <c r="Q1576" s="87"/>
      <c r="R1576" s="98"/>
      <c r="S1576" s="90"/>
      <c r="T1576" s="99"/>
    </row>
    <row r="1577" spans="1:20" s="94" customFormat="1" x14ac:dyDescent="0.3">
      <c r="A1577" s="96"/>
      <c r="B1577" s="96"/>
      <c r="C1577" s="87"/>
      <c r="D1577" s="97"/>
      <c r="E1577" s="83"/>
      <c r="F1577" s="83"/>
      <c r="G1577" s="84"/>
      <c r="H1577" s="86" t="e">
        <f>IF(I1577="fora",0%,G1577/QUÓRUM!$C$6)</f>
        <v>#DIV/0!</v>
      </c>
      <c r="I1577" s="87"/>
      <c r="J1577" s="88"/>
      <c r="K1577" s="88"/>
      <c r="L1577" s="89"/>
      <c r="M1577" s="89"/>
      <c r="N1577" s="90"/>
      <c r="O1577" s="90"/>
      <c r="P1577" s="90"/>
      <c r="Q1577" s="87"/>
      <c r="R1577" s="98"/>
      <c r="S1577" s="90"/>
      <c r="T1577" s="99"/>
    </row>
    <row r="1578" spans="1:20" s="94" customFormat="1" x14ac:dyDescent="0.3">
      <c r="A1578" s="96"/>
      <c r="B1578" s="96"/>
      <c r="C1578" s="87"/>
      <c r="D1578" s="97"/>
      <c r="E1578" s="83"/>
      <c r="F1578" s="83"/>
      <c r="G1578" s="84"/>
      <c r="H1578" s="86" t="e">
        <f>IF(I1578="fora",0%,G1578/QUÓRUM!$C$6)</f>
        <v>#DIV/0!</v>
      </c>
      <c r="I1578" s="87"/>
      <c r="J1578" s="88"/>
      <c r="K1578" s="88"/>
      <c r="L1578" s="89"/>
      <c r="M1578" s="89"/>
      <c r="N1578" s="90"/>
      <c r="O1578" s="90"/>
      <c r="P1578" s="90"/>
      <c r="Q1578" s="87"/>
      <c r="R1578" s="98"/>
      <c r="S1578" s="90"/>
      <c r="T1578" s="99"/>
    </row>
    <row r="1579" spans="1:20" s="94" customFormat="1" x14ac:dyDescent="0.3">
      <c r="A1579" s="96"/>
      <c r="B1579" s="96"/>
      <c r="C1579" s="87"/>
      <c r="D1579" s="97"/>
      <c r="E1579" s="83"/>
      <c r="F1579" s="83"/>
      <c r="G1579" s="84"/>
      <c r="H1579" s="86" t="e">
        <f>IF(I1579="fora",0%,G1579/QUÓRUM!$C$6)</f>
        <v>#DIV/0!</v>
      </c>
      <c r="I1579" s="87"/>
      <c r="J1579" s="88"/>
      <c r="K1579" s="88"/>
      <c r="L1579" s="89"/>
      <c r="M1579" s="89"/>
      <c r="N1579" s="90"/>
      <c r="O1579" s="90"/>
      <c r="P1579" s="90"/>
      <c r="Q1579" s="87"/>
      <c r="R1579" s="98"/>
      <c r="S1579" s="90"/>
      <c r="T1579" s="99"/>
    </row>
    <row r="1580" spans="1:20" s="94" customFormat="1" x14ac:dyDescent="0.3">
      <c r="A1580" s="96"/>
      <c r="B1580" s="96"/>
      <c r="C1580" s="87"/>
      <c r="D1580" s="97"/>
      <c r="E1580" s="83"/>
      <c r="F1580" s="83"/>
      <c r="G1580" s="84"/>
      <c r="H1580" s="86" t="e">
        <f>IF(I1580="fora",0%,G1580/QUÓRUM!$C$6)</f>
        <v>#DIV/0!</v>
      </c>
      <c r="I1580" s="87"/>
      <c r="J1580" s="88"/>
      <c r="K1580" s="88"/>
      <c r="L1580" s="89"/>
      <c r="M1580" s="89"/>
      <c r="N1580" s="90"/>
      <c r="O1580" s="90"/>
      <c r="P1580" s="90"/>
      <c r="Q1580" s="87"/>
      <c r="R1580" s="98"/>
      <c r="S1580" s="90"/>
      <c r="T1580" s="99"/>
    </row>
    <row r="1581" spans="1:20" s="94" customFormat="1" x14ac:dyDescent="0.3">
      <c r="A1581" s="96"/>
      <c r="B1581" s="96"/>
      <c r="C1581" s="87"/>
      <c r="D1581" s="97"/>
      <c r="E1581" s="83"/>
      <c r="F1581" s="83"/>
      <c r="G1581" s="84"/>
      <c r="H1581" s="86" t="e">
        <f>IF(I1581="fora",0%,G1581/QUÓRUM!$C$6)</f>
        <v>#DIV/0!</v>
      </c>
      <c r="I1581" s="87"/>
      <c r="J1581" s="88"/>
      <c r="K1581" s="88"/>
      <c r="L1581" s="89"/>
      <c r="M1581" s="89"/>
      <c r="N1581" s="90"/>
      <c r="O1581" s="90"/>
      <c r="P1581" s="90"/>
      <c r="Q1581" s="87"/>
      <c r="R1581" s="98"/>
      <c r="S1581" s="90"/>
      <c r="T1581" s="99"/>
    </row>
    <row r="1582" spans="1:20" s="94" customFormat="1" x14ac:dyDescent="0.3">
      <c r="A1582" s="96"/>
      <c r="B1582" s="96"/>
      <c r="C1582" s="87"/>
      <c r="D1582" s="97"/>
      <c r="E1582" s="83"/>
      <c r="F1582" s="83"/>
      <c r="G1582" s="84"/>
      <c r="H1582" s="86" t="e">
        <f>IF(I1582="fora",0%,G1582/QUÓRUM!$C$6)</f>
        <v>#DIV/0!</v>
      </c>
      <c r="I1582" s="87"/>
      <c r="J1582" s="88"/>
      <c r="K1582" s="88"/>
      <c r="L1582" s="89"/>
      <c r="M1582" s="89"/>
      <c r="N1582" s="90"/>
      <c r="O1582" s="90"/>
      <c r="P1582" s="90"/>
      <c r="Q1582" s="87"/>
      <c r="R1582" s="98"/>
      <c r="S1582" s="90"/>
      <c r="T1582" s="99"/>
    </row>
    <row r="1583" spans="1:20" s="94" customFormat="1" x14ac:dyDescent="0.3">
      <c r="A1583" s="96"/>
      <c r="B1583" s="96"/>
      <c r="C1583" s="87"/>
      <c r="D1583" s="97"/>
      <c r="E1583" s="83"/>
      <c r="F1583" s="83"/>
      <c r="G1583" s="84"/>
      <c r="H1583" s="86" t="e">
        <f>IF(I1583="fora",0%,G1583/QUÓRUM!$C$6)</f>
        <v>#DIV/0!</v>
      </c>
      <c r="I1583" s="87"/>
      <c r="J1583" s="88"/>
      <c r="K1583" s="88"/>
      <c r="L1583" s="89"/>
      <c r="M1583" s="89"/>
      <c r="N1583" s="90"/>
      <c r="O1583" s="90"/>
      <c r="P1583" s="90"/>
      <c r="Q1583" s="87"/>
      <c r="R1583" s="98"/>
      <c r="S1583" s="90"/>
      <c r="T1583" s="99"/>
    </row>
    <row r="1584" spans="1:20" s="94" customFormat="1" x14ac:dyDescent="0.3">
      <c r="A1584" s="96"/>
      <c r="B1584" s="96"/>
      <c r="C1584" s="87"/>
      <c r="D1584" s="97"/>
      <c r="E1584" s="83"/>
      <c r="F1584" s="83"/>
      <c r="G1584" s="84"/>
      <c r="H1584" s="86" t="e">
        <f>IF(I1584="fora",0%,G1584/QUÓRUM!$C$6)</f>
        <v>#DIV/0!</v>
      </c>
      <c r="I1584" s="87"/>
      <c r="J1584" s="88"/>
      <c r="K1584" s="88"/>
      <c r="L1584" s="89"/>
      <c r="M1584" s="89"/>
      <c r="N1584" s="90"/>
      <c r="O1584" s="90"/>
      <c r="P1584" s="90"/>
      <c r="Q1584" s="87"/>
      <c r="R1584" s="98"/>
      <c r="S1584" s="90"/>
      <c r="T1584" s="99"/>
    </row>
    <row r="1585" spans="1:20" s="94" customFormat="1" x14ac:dyDescent="0.3">
      <c r="A1585" s="96"/>
      <c r="B1585" s="96"/>
      <c r="C1585" s="87"/>
      <c r="D1585" s="97"/>
      <c r="E1585" s="83"/>
      <c r="F1585" s="83"/>
      <c r="G1585" s="84"/>
      <c r="H1585" s="86" t="e">
        <f>IF(I1585="fora",0%,G1585/QUÓRUM!$C$6)</f>
        <v>#DIV/0!</v>
      </c>
      <c r="I1585" s="87"/>
      <c r="J1585" s="88"/>
      <c r="K1585" s="88"/>
      <c r="L1585" s="89"/>
      <c r="M1585" s="89"/>
      <c r="N1585" s="90"/>
      <c r="O1585" s="90"/>
      <c r="P1585" s="90"/>
      <c r="Q1585" s="87"/>
      <c r="R1585" s="98"/>
      <c r="S1585" s="90"/>
      <c r="T1585" s="99"/>
    </row>
    <row r="1586" spans="1:20" s="94" customFormat="1" x14ac:dyDescent="0.3">
      <c r="A1586" s="96"/>
      <c r="B1586" s="96"/>
      <c r="C1586" s="87"/>
      <c r="D1586" s="97"/>
      <c r="E1586" s="83"/>
      <c r="F1586" s="83"/>
      <c r="G1586" s="84"/>
      <c r="H1586" s="86" t="e">
        <f>IF(I1586="fora",0%,G1586/QUÓRUM!$C$6)</f>
        <v>#DIV/0!</v>
      </c>
      <c r="I1586" s="87"/>
      <c r="J1586" s="88"/>
      <c r="K1586" s="88"/>
      <c r="L1586" s="89"/>
      <c r="M1586" s="89"/>
      <c r="N1586" s="90"/>
      <c r="O1586" s="90"/>
      <c r="P1586" s="90"/>
      <c r="Q1586" s="87"/>
      <c r="R1586" s="98"/>
      <c r="S1586" s="90"/>
      <c r="T1586" s="99"/>
    </row>
    <row r="1587" spans="1:20" s="94" customFormat="1" x14ac:dyDescent="0.3">
      <c r="A1587" s="96"/>
      <c r="B1587" s="96"/>
      <c r="C1587" s="87"/>
      <c r="D1587" s="97"/>
      <c r="E1587" s="83"/>
      <c r="F1587" s="83"/>
      <c r="G1587" s="84"/>
      <c r="H1587" s="86" t="e">
        <f>IF(I1587="fora",0%,G1587/QUÓRUM!$C$6)</f>
        <v>#DIV/0!</v>
      </c>
      <c r="I1587" s="87"/>
      <c r="J1587" s="88"/>
      <c r="K1587" s="88"/>
      <c r="L1587" s="89"/>
      <c r="M1587" s="89"/>
      <c r="N1587" s="90"/>
      <c r="O1587" s="90"/>
      <c r="P1587" s="90"/>
      <c r="Q1587" s="87"/>
      <c r="R1587" s="98"/>
      <c r="S1587" s="90"/>
      <c r="T1587" s="99"/>
    </row>
    <row r="1588" spans="1:20" s="94" customFormat="1" x14ac:dyDescent="0.3">
      <c r="A1588" s="96"/>
      <c r="B1588" s="96"/>
      <c r="C1588" s="87"/>
      <c r="D1588" s="97"/>
      <c r="E1588" s="83"/>
      <c r="F1588" s="83"/>
      <c r="G1588" s="84"/>
      <c r="H1588" s="86" t="e">
        <f>IF(I1588="fora",0%,G1588/QUÓRUM!$C$6)</f>
        <v>#DIV/0!</v>
      </c>
      <c r="I1588" s="87"/>
      <c r="J1588" s="88"/>
      <c r="K1588" s="88"/>
      <c r="L1588" s="89"/>
      <c r="M1588" s="89"/>
      <c r="N1588" s="90"/>
      <c r="O1588" s="90"/>
      <c r="P1588" s="90"/>
      <c r="Q1588" s="87"/>
      <c r="R1588" s="98"/>
      <c r="S1588" s="90"/>
      <c r="T1588" s="99"/>
    </row>
    <row r="1589" spans="1:20" s="94" customFormat="1" x14ac:dyDescent="0.3">
      <c r="A1589" s="96"/>
      <c r="B1589" s="96"/>
      <c r="C1589" s="87"/>
      <c r="D1589" s="97"/>
      <c r="E1589" s="83"/>
      <c r="F1589" s="83"/>
      <c r="G1589" s="84"/>
      <c r="H1589" s="86" t="e">
        <f>IF(I1589="fora",0%,G1589/QUÓRUM!$C$6)</f>
        <v>#DIV/0!</v>
      </c>
      <c r="I1589" s="87"/>
      <c r="J1589" s="88"/>
      <c r="K1589" s="88"/>
      <c r="L1589" s="89"/>
      <c r="M1589" s="89"/>
      <c r="N1589" s="90"/>
      <c r="O1589" s="90"/>
      <c r="P1589" s="90"/>
      <c r="Q1589" s="87"/>
      <c r="R1589" s="98"/>
      <c r="S1589" s="90"/>
      <c r="T1589" s="99"/>
    </row>
    <row r="1590" spans="1:20" s="94" customFormat="1" x14ac:dyDescent="0.3">
      <c r="A1590" s="96"/>
      <c r="B1590" s="96"/>
      <c r="C1590" s="87"/>
      <c r="D1590" s="97"/>
      <c r="E1590" s="83"/>
      <c r="F1590" s="83"/>
      <c r="G1590" s="84"/>
      <c r="H1590" s="86" t="e">
        <f>IF(I1590="fora",0%,G1590/QUÓRUM!$C$6)</f>
        <v>#DIV/0!</v>
      </c>
      <c r="I1590" s="87"/>
      <c r="J1590" s="88"/>
      <c r="K1590" s="88"/>
      <c r="L1590" s="89"/>
      <c r="M1590" s="89"/>
      <c r="N1590" s="90"/>
      <c r="O1590" s="90"/>
      <c r="P1590" s="90"/>
      <c r="Q1590" s="87"/>
      <c r="R1590" s="98"/>
      <c r="S1590" s="90"/>
      <c r="T1590" s="99"/>
    </row>
    <row r="1591" spans="1:20" s="94" customFormat="1" x14ac:dyDescent="0.3">
      <c r="A1591" s="96"/>
      <c r="B1591" s="96"/>
      <c r="C1591" s="87"/>
      <c r="D1591" s="97"/>
      <c r="E1591" s="83"/>
      <c r="F1591" s="83"/>
      <c r="G1591" s="84"/>
      <c r="H1591" s="86" t="e">
        <f>IF(I1591="fora",0%,G1591/QUÓRUM!$C$6)</f>
        <v>#DIV/0!</v>
      </c>
      <c r="I1591" s="87"/>
      <c r="J1591" s="88"/>
      <c r="K1591" s="88"/>
      <c r="L1591" s="89"/>
      <c r="M1591" s="89"/>
      <c r="N1591" s="90"/>
      <c r="O1591" s="90"/>
      <c r="P1591" s="90"/>
      <c r="Q1591" s="87"/>
      <c r="R1591" s="98"/>
      <c r="S1591" s="90"/>
      <c r="T1591" s="99"/>
    </row>
    <row r="1592" spans="1:20" s="94" customFormat="1" x14ac:dyDescent="0.3">
      <c r="A1592" s="96"/>
      <c r="B1592" s="96"/>
      <c r="C1592" s="87"/>
      <c r="D1592" s="97"/>
      <c r="E1592" s="83"/>
      <c r="F1592" s="83"/>
      <c r="G1592" s="84"/>
      <c r="H1592" s="86" t="e">
        <f>IF(I1592="fora",0%,G1592/QUÓRUM!$C$6)</f>
        <v>#DIV/0!</v>
      </c>
      <c r="I1592" s="87"/>
      <c r="J1592" s="88"/>
      <c r="K1592" s="88"/>
      <c r="L1592" s="89"/>
      <c r="M1592" s="89"/>
      <c r="N1592" s="90"/>
      <c r="O1592" s="90"/>
      <c r="P1592" s="90"/>
      <c r="Q1592" s="87"/>
      <c r="R1592" s="98"/>
      <c r="S1592" s="90"/>
      <c r="T1592" s="99"/>
    </row>
    <row r="1593" spans="1:20" s="94" customFormat="1" x14ac:dyDescent="0.3">
      <c r="A1593" s="96"/>
      <c r="B1593" s="96"/>
      <c r="C1593" s="87"/>
      <c r="D1593" s="97"/>
      <c r="E1593" s="83"/>
      <c r="F1593" s="83"/>
      <c r="G1593" s="84"/>
      <c r="H1593" s="86" t="e">
        <f>IF(I1593="fora",0%,G1593/QUÓRUM!$C$6)</f>
        <v>#DIV/0!</v>
      </c>
      <c r="I1593" s="87"/>
      <c r="J1593" s="88"/>
      <c r="K1593" s="88"/>
      <c r="L1593" s="89"/>
      <c r="M1593" s="89"/>
      <c r="N1593" s="90"/>
      <c r="O1593" s="90"/>
      <c r="P1593" s="90"/>
      <c r="Q1593" s="87"/>
      <c r="R1593" s="98"/>
      <c r="S1593" s="90"/>
      <c r="T1593" s="99"/>
    </row>
    <row r="1594" spans="1:20" s="94" customFormat="1" x14ac:dyDescent="0.3">
      <c r="A1594" s="96"/>
      <c r="B1594" s="96"/>
      <c r="C1594" s="87"/>
      <c r="D1594" s="97"/>
      <c r="E1594" s="83"/>
      <c r="F1594" s="83"/>
      <c r="G1594" s="84"/>
      <c r="H1594" s="86" t="e">
        <f>IF(I1594="fora",0%,G1594/QUÓRUM!$C$6)</f>
        <v>#DIV/0!</v>
      </c>
      <c r="I1594" s="87"/>
      <c r="J1594" s="88"/>
      <c r="K1594" s="88"/>
      <c r="L1594" s="89"/>
      <c r="M1594" s="89"/>
      <c r="N1594" s="90"/>
      <c r="O1594" s="90"/>
      <c r="P1594" s="90"/>
      <c r="Q1594" s="87"/>
      <c r="R1594" s="98"/>
      <c r="S1594" s="90"/>
      <c r="T1594" s="99"/>
    </row>
    <row r="1595" spans="1:20" s="94" customFormat="1" x14ac:dyDescent="0.3">
      <c r="A1595" s="96"/>
      <c r="B1595" s="96"/>
      <c r="C1595" s="87"/>
      <c r="D1595" s="97"/>
      <c r="E1595" s="83"/>
      <c r="F1595" s="83"/>
      <c r="G1595" s="84"/>
      <c r="H1595" s="86" t="e">
        <f>IF(I1595="fora",0%,G1595/QUÓRUM!$C$6)</f>
        <v>#DIV/0!</v>
      </c>
      <c r="I1595" s="87"/>
      <c r="J1595" s="88"/>
      <c r="K1595" s="88"/>
      <c r="L1595" s="89"/>
      <c r="M1595" s="89"/>
      <c r="N1595" s="90"/>
      <c r="O1595" s="90"/>
      <c r="P1595" s="90"/>
      <c r="Q1595" s="87"/>
      <c r="R1595" s="98"/>
      <c r="S1595" s="90"/>
      <c r="T1595" s="99"/>
    </row>
    <row r="1596" spans="1:20" s="94" customFormat="1" x14ac:dyDescent="0.3">
      <c r="A1596" s="96"/>
      <c r="B1596" s="96"/>
      <c r="C1596" s="87"/>
      <c r="D1596" s="97"/>
      <c r="E1596" s="83"/>
      <c r="F1596" s="83"/>
      <c r="G1596" s="84"/>
      <c r="H1596" s="86" t="e">
        <f>IF(I1596="fora",0%,G1596/QUÓRUM!$C$6)</f>
        <v>#DIV/0!</v>
      </c>
      <c r="I1596" s="87"/>
      <c r="J1596" s="88"/>
      <c r="K1596" s="88"/>
      <c r="L1596" s="89"/>
      <c r="M1596" s="89"/>
      <c r="N1596" s="90"/>
      <c r="O1596" s="90"/>
      <c r="P1596" s="90"/>
      <c r="Q1596" s="87"/>
      <c r="R1596" s="98"/>
      <c r="S1596" s="90"/>
      <c r="T1596" s="99"/>
    </row>
    <row r="1597" spans="1:20" s="94" customFormat="1" x14ac:dyDescent="0.3">
      <c r="A1597" s="96"/>
      <c r="B1597" s="96"/>
      <c r="C1597" s="87"/>
      <c r="D1597" s="97"/>
      <c r="E1597" s="83"/>
      <c r="F1597" s="83"/>
      <c r="G1597" s="84"/>
      <c r="H1597" s="86" t="e">
        <f>IF(I1597="fora",0%,G1597/QUÓRUM!$C$6)</f>
        <v>#DIV/0!</v>
      </c>
      <c r="I1597" s="87"/>
      <c r="J1597" s="88"/>
      <c r="K1597" s="88"/>
      <c r="L1597" s="89"/>
      <c r="M1597" s="89"/>
      <c r="N1597" s="90"/>
      <c r="O1597" s="90"/>
      <c r="P1597" s="90"/>
      <c r="Q1597" s="87"/>
      <c r="R1597" s="98"/>
      <c r="S1597" s="90"/>
      <c r="T1597" s="99"/>
    </row>
    <row r="1598" spans="1:20" s="94" customFormat="1" x14ac:dyDescent="0.3">
      <c r="A1598" s="96"/>
      <c r="B1598" s="96"/>
      <c r="C1598" s="87"/>
      <c r="D1598" s="97"/>
      <c r="E1598" s="83"/>
      <c r="F1598" s="83"/>
      <c r="G1598" s="84"/>
      <c r="H1598" s="86" t="e">
        <f>IF(I1598="fora",0%,G1598/QUÓRUM!$C$6)</f>
        <v>#DIV/0!</v>
      </c>
      <c r="I1598" s="87"/>
      <c r="J1598" s="88"/>
      <c r="K1598" s="88"/>
      <c r="L1598" s="89"/>
      <c r="M1598" s="89"/>
      <c r="N1598" s="90"/>
      <c r="O1598" s="90"/>
      <c r="P1598" s="90"/>
      <c r="Q1598" s="87"/>
      <c r="R1598" s="98"/>
      <c r="S1598" s="90"/>
      <c r="T1598" s="99"/>
    </row>
    <row r="1599" spans="1:20" s="94" customFormat="1" x14ac:dyDescent="0.3">
      <c r="A1599" s="96"/>
      <c r="B1599" s="96"/>
      <c r="C1599" s="87"/>
      <c r="D1599" s="97"/>
      <c r="E1599" s="83"/>
      <c r="F1599" s="83"/>
      <c r="G1599" s="84"/>
      <c r="H1599" s="86" t="e">
        <f>IF(I1599="fora",0%,G1599/QUÓRUM!$C$6)</f>
        <v>#DIV/0!</v>
      </c>
      <c r="I1599" s="87"/>
      <c r="J1599" s="88"/>
      <c r="K1599" s="88"/>
      <c r="L1599" s="89"/>
      <c r="M1599" s="89"/>
      <c r="N1599" s="90"/>
      <c r="O1599" s="90"/>
      <c r="P1599" s="90"/>
      <c r="Q1599" s="87"/>
      <c r="R1599" s="98"/>
      <c r="S1599" s="90"/>
      <c r="T1599" s="99"/>
    </row>
    <row r="1600" spans="1:20" s="94" customFormat="1" x14ac:dyDescent="0.3">
      <c r="A1600" s="96"/>
      <c r="B1600" s="96"/>
      <c r="C1600" s="87"/>
      <c r="D1600" s="97"/>
      <c r="E1600" s="83"/>
      <c r="F1600" s="83"/>
      <c r="G1600" s="100"/>
      <c r="H1600" s="86" t="e">
        <f>IF(I1600="fora",0%,G1600/QUÓRUM!$C$6)</f>
        <v>#DIV/0!</v>
      </c>
      <c r="I1600" s="87"/>
      <c r="J1600" s="88"/>
      <c r="K1600" s="88"/>
      <c r="L1600" s="89"/>
      <c r="M1600" s="89"/>
      <c r="N1600" s="90"/>
      <c r="O1600" s="90"/>
      <c r="P1600" s="90"/>
      <c r="Q1600" s="87"/>
      <c r="R1600" s="98"/>
      <c r="S1600" s="90"/>
      <c r="T1600" s="99"/>
    </row>
    <row r="1601" spans="1:20" s="94" customFormat="1" x14ac:dyDescent="0.3">
      <c r="A1601" s="96"/>
      <c r="B1601" s="96"/>
      <c r="C1601" s="87"/>
      <c r="D1601" s="97"/>
      <c r="E1601" s="83"/>
      <c r="F1601" s="83"/>
      <c r="G1601" s="84"/>
      <c r="H1601" s="86" t="e">
        <f>IF(I1601="fora",0%,G1601/QUÓRUM!$C$6)</f>
        <v>#DIV/0!</v>
      </c>
      <c r="I1601" s="87"/>
      <c r="J1601" s="88"/>
      <c r="K1601" s="88"/>
      <c r="L1601" s="89"/>
      <c r="M1601" s="89"/>
      <c r="N1601" s="90"/>
      <c r="O1601" s="90"/>
      <c r="P1601" s="90"/>
      <c r="Q1601" s="87"/>
      <c r="R1601" s="98"/>
      <c r="S1601" s="90"/>
      <c r="T1601" s="99"/>
    </row>
    <row r="1602" spans="1:20" s="94" customFormat="1" x14ac:dyDescent="0.3">
      <c r="A1602" s="96"/>
      <c r="B1602" s="96"/>
      <c r="C1602" s="87"/>
      <c r="D1602" s="97"/>
      <c r="E1602" s="83"/>
      <c r="F1602" s="83"/>
      <c r="G1602" s="84"/>
      <c r="H1602" s="86" t="e">
        <f>IF(I1602="fora",0%,G1602/QUÓRUM!$C$6)</f>
        <v>#DIV/0!</v>
      </c>
      <c r="I1602" s="87"/>
      <c r="J1602" s="88"/>
      <c r="K1602" s="88"/>
      <c r="L1602" s="89"/>
      <c r="M1602" s="89"/>
      <c r="N1602" s="90"/>
      <c r="O1602" s="90"/>
      <c r="P1602" s="90"/>
      <c r="Q1602" s="87"/>
      <c r="R1602" s="98"/>
      <c r="S1602" s="90"/>
      <c r="T1602" s="99"/>
    </row>
    <row r="1603" spans="1:20" s="94" customFormat="1" x14ac:dyDescent="0.3">
      <c r="A1603" s="96"/>
      <c r="B1603" s="96"/>
      <c r="C1603" s="87"/>
      <c r="D1603" s="97"/>
      <c r="E1603" s="83"/>
      <c r="F1603" s="83"/>
      <c r="G1603" s="84"/>
      <c r="H1603" s="86" t="e">
        <f>IF(I1603="fora",0%,G1603/QUÓRUM!$C$6)</f>
        <v>#DIV/0!</v>
      </c>
      <c r="I1603" s="87"/>
      <c r="J1603" s="88"/>
      <c r="K1603" s="88"/>
      <c r="L1603" s="89"/>
      <c r="M1603" s="89"/>
      <c r="N1603" s="90"/>
      <c r="O1603" s="90"/>
      <c r="P1603" s="90"/>
      <c r="Q1603" s="87"/>
      <c r="R1603" s="98"/>
      <c r="S1603" s="90"/>
      <c r="T1603" s="99"/>
    </row>
    <row r="1604" spans="1:20" s="94" customFormat="1" x14ac:dyDescent="0.3">
      <c r="A1604" s="96"/>
      <c r="B1604" s="96"/>
      <c r="C1604" s="87"/>
      <c r="D1604" s="97"/>
      <c r="E1604" s="83"/>
      <c r="F1604" s="83"/>
      <c r="G1604" s="100"/>
      <c r="H1604" s="86" t="e">
        <f>IF(I1604="fora",0%,G1604/QUÓRUM!$C$6)</f>
        <v>#DIV/0!</v>
      </c>
      <c r="I1604" s="87"/>
      <c r="J1604" s="88"/>
      <c r="K1604" s="88"/>
      <c r="L1604" s="89"/>
      <c r="M1604" s="89"/>
      <c r="N1604" s="90"/>
      <c r="O1604" s="90"/>
      <c r="P1604" s="90"/>
      <c r="Q1604" s="87"/>
      <c r="R1604" s="98"/>
      <c r="S1604" s="90"/>
      <c r="T1604" s="99"/>
    </row>
    <row r="1605" spans="1:20" s="94" customFormat="1" x14ac:dyDescent="0.3">
      <c r="A1605" s="96"/>
      <c r="B1605" s="96"/>
      <c r="C1605" s="87"/>
      <c r="D1605" s="97"/>
      <c r="E1605" s="83"/>
      <c r="F1605" s="83"/>
      <c r="G1605" s="84"/>
      <c r="H1605" s="86" t="e">
        <f>IF(I1605="fora",0%,G1605/QUÓRUM!$C$6)</f>
        <v>#DIV/0!</v>
      </c>
      <c r="I1605" s="87"/>
      <c r="J1605" s="88"/>
      <c r="K1605" s="88"/>
      <c r="L1605" s="89"/>
      <c r="M1605" s="89"/>
      <c r="N1605" s="90"/>
      <c r="O1605" s="90"/>
      <c r="P1605" s="90"/>
      <c r="Q1605" s="87"/>
      <c r="R1605" s="98"/>
      <c r="S1605" s="90"/>
      <c r="T1605" s="99"/>
    </row>
    <row r="1606" spans="1:20" s="94" customFormat="1" x14ac:dyDescent="0.3">
      <c r="A1606" s="96"/>
      <c r="B1606" s="96"/>
      <c r="C1606" s="87"/>
      <c r="D1606" s="97"/>
      <c r="E1606" s="83"/>
      <c r="F1606" s="83"/>
      <c r="G1606" s="84"/>
      <c r="H1606" s="86" t="e">
        <f>IF(I1606="fora",0%,G1606/QUÓRUM!$C$6)</f>
        <v>#DIV/0!</v>
      </c>
      <c r="I1606" s="87"/>
      <c r="J1606" s="88"/>
      <c r="K1606" s="88"/>
      <c r="L1606" s="89"/>
      <c r="M1606" s="89"/>
      <c r="N1606" s="90"/>
      <c r="O1606" s="90"/>
      <c r="P1606" s="90"/>
      <c r="Q1606" s="87"/>
      <c r="R1606" s="98"/>
      <c r="S1606" s="90"/>
      <c r="T1606" s="99"/>
    </row>
    <row r="1607" spans="1:20" s="94" customFormat="1" x14ac:dyDescent="0.3">
      <c r="A1607" s="96"/>
      <c r="B1607" s="96"/>
      <c r="C1607" s="87"/>
      <c r="D1607" s="97"/>
      <c r="E1607" s="83"/>
      <c r="F1607" s="83"/>
      <c r="G1607" s="84"/>
      <c r="H1607" s="86" t="e">
        <f>IF(I1607="fora",0%,G1607/QUÓRUM!$C$6)</f>
        <v>#DIV/0!</v>
      </c>
      <c r="I1607" s="87"/>
      <c r="J1607" s="88"/>
      <c r="K1607" s="88"/>
      <c r="L1607" s="89"/>
      <c r="M1607" s="89"/>
      <c r="N1607" s="90"/>
      <c r="O1607" s="90"/>
      <c r="P1607" s="90"/>
      <c r="Q1607" s="87"/>
      <c r="R1607" s="98"/>
      <c r="S1607" s="90"/>
      <c r="T1607" s="99"/>
    </row>
    <row r="1608" spans="1:20" s="94" customFormat="1" x14ac:dyDescent="0.3">
      <c r="A1608" s="96"/>
      <c r="B1608" s="96"/>
      <c r="C1608" s="87"/>
      <c r="D1608" s="97"/>
      <c r="E1608" s="83"/>
      <c r="F1608" s="83"/>
      <c r="G1608" s="84"/>
      <c r="H1608" s="86" t="e">
        <f>IF(I1608="fora",0%,G1608/QUÓRUM!$C$6)</f>
        <v>#DIV/0!</v>
      </c>
      <c r="I1608" s="87"/>
      <c r="J1608" s="88"/>
      <c r="K1608" s="88"/>
      <c r="L1608" s="89"/>
      <c r="M1608" s="89"/>
      <c r="N1608" s="90"/>
      <c r="O1608" s="90"/>
      <c r="P1608" s="90"/>
      <c r="Q1608" s="87"/>
      <c r="R1608" s="98"/>
      <c r="S1608" s="90"/>
      <c r="T1608" s="99"/>
    </row>
    <row r="1609" spans="1:20" s="94" customFormat="1" x14ac:dyDescent="0.3">
      <c r="A1609" s="96"/>
      <c r="B1609" s="96"/>
      <c r="C1609" s="87"/>
      <c r="D1609" s="97"/>
      <c r="E1609" s="83"/>
      <c r="F1609" s="83"/>
      <c r="G1609" s="100"/>
      <c r="H1609" s="86" t="e">
        <f>IF(I1609="fora",0%,G1609/QUÓRUM!$C$6)</f>
        <v>#DIV/0!</v>
      </c>
      <c r="I1609" s="87"/>
      <c r="J1609" s="88"/>
      <c r="K1609" s="88"/>
      <c r="L1609" s="89"/>
      <c r="M1609" s="89"/>
      <c r="N1609" s="90"/>
      <c r="O1609" s="90"/>
      <c r="P1609" s="90"/>
      <c r="Q1609" s="87"/>
      <c r="R1609" s="98"/>
      <c r="S1609" s="90"/>
      <c r="T1609" s="99"/>
    </row>
    <row r="1610" spans="1:20" s="94" customFormat="1" x14ac:dyDescent="0.3">
      <c r="A1610" s="96"/>
      <c r="B1610" s="96"/>
      <c r="C1610" s="87"/>
      <c r="D1610" s="97"/>
      <c r="E1610" s="83"/>
      <c r="F1610" s="83"/>
      <c r="G1610" s="84"/>
      <c r="H1610" s="86" t="e">
        <f>IF(I1610="fora",0%,G1610/QUÓRUM!$C$6)</f>
        <v>#DIV/0!</v>
      </c>
      <c r="I1610" s="87"/>
      <c r="J1610" s="88"/>
      <c r="K1610" s="88"/>
      <c r="L1610" s="89"/>
      <c r="M1610" s="89"/>
      <c r="N1610" s="90"/>
      <c r="O1610" s="90"/>
      <c r="P1610" s="90"/>
      <c r="Q1610" s="87"/>
      <c r="R1610" s="98"/>
      <c r="S1610" s="90"/>
      <c r="T1610" s="99"/>
    </row>
    <row r="1611" spans="1:20" s="94" customFormat="1" x14ac:dyDescent="0.3">
      <c r="A1611" s="96"/>
      <c r="B1611" s="96"/>
      <c r="C1611" s="87"/>
      <c r="D1611" s="97"/>
      <c r="E1611" s="83"/>
      <c r="F1611" s="83"/>
      <c r="G1611" s="84"/>
      <c r="H1611" s="86" t="e">
        <f>IF(I1611="fora",0%,G1611/QUÓRUM!$C$6)</f>
        <v>#DIV/0!</v>
      </c>
      <c r="I1611" s="87"/>
      <c r="J1611" s="88"/>
      <c r="K1611" s="88"/>
      <c r="L1611" s="89"/>
      <c r="M1611" s="89"/>
      <c r="N1611" s="90"/>
      <c r="O1611" s="90"/>
      <c r="P1611" s="90"/>
      <c r="Q1611" s="87"/>
      <c r="R1611" s="98"/>
      <c r="S1611" s="90"/>
      <c r="T1611" s="99"/>
    </row>
    <row r="1612" spans="1:20" s="94" customFormat="1" x14ac:dyDescent="0.3">
      <c r="A1612" s="96"/>
      <c r="B1612" s="96"/>
      <c r="C1612" s="87"/>
      <c r="D1612" s="97"/>
      <c r="E1612" s="83"/>
      <c r="F1612" s="83"/>
      <c r="G1612" s="84"/>
      <c r="H1612" s="86" t="e">
        <f>IF(I1612="fora",0%,G1612/QUÓRUM!$C$6)</f>
        <v>#DIV/0!</v>
      </c>
      <c r="I1612" s="87"/>
      <c r="J1612" s="88"/>
      <c r="K1612" s="88"/>
      <c r="L1612" s="89"/>
      <c r="M1612" s="89"/>
      <c r="N1612" s="90"/>
      <c r="O1612" s="90"/>
      <c r="P1612" s="90"/>
      <c r="Q1612" s="87"/>
      <c r="R1612" s="98"/>
      <c r="S1612" s="90"/>
      <c r="T1612" s="99"/>
    </row>
    <row r="1613" spans="1:20" s="94" customFormat="1" x14ac:dyDescent="0.3">
      <c r="A1613" s="96"/>
      <c r="B1613" s="96"/>
      <c r="C1613" s="87"/>
      <c r="D1613" s="97"/>
      <c r="E1613" s="83"/>
      <c r="F1613" s="83"/>
      <c r="G1613" s="84"/>
      <c r="H1613" s="86" t="e">
        <f>IF(I1613="fora",0%,G1613/QUÓRUM!$C$6)</f>
        <v>#DIV/0!</v>
      </c>
      <c r="I1613" s="87"/>
      <c r="J1613" s="88"/>
      <c r="K1613" s="88"/>
      <c r="L1613" s="89"/>
      <c r="M1613" s="89"/>
      <c r="N1613" s="90"/>
      <c r="O1613" s="90"/>
      <c r="P1613" s="90"/>
      <c r="Q1613" s="87"/>
      <c r="R1613" s="98"/>
      <c r="S1613" s="90"/>
      <c r="T1613" s="99"/>
    </row>
    <row r="1614" spans="1:20" s="94" customFormat="1" x14ac:dyDescent="0.3">
      <c r="A1614" s="96"/>
      <c r="B1614" s="96"/>
      <c r="C1614" s="87"/>
      <c r="D1614" s="97"/>
      <c r="E1614" s="83"/>
      <c r="F1614" s="83"/>
      <c r="G1614" s="84"/>
      <c r="H1614" s="86" t="e">
        <f>IF(I1614="fora",0%,G1614/QUÓRUM!$C$6)</f>
        <v>#DIV/0!</v>
      </c>
      <c r="I1614" s="87"/>
      <c r="J1614" s="88"/>
      <c r="K1614" s="88"/>
      <c r="L1614" s="89"/>
      <c r="M1614" s="89"/>
      <c r="N1614" s="90"/>
      <c r="O1614" s="90"/>
      <c r="P1614" s="90"/>
      <c r="Q1614" s="87"/>
      <c r="R1614" s="98"/>
      <c r="S1614" s="90"/>
      <c r="T1614" s="99"/>
    </row>
    <row r="1615" spans="1:20" s="94" customFormat="1" x14ac:dyDescent="0.3">
      <c r="A1615" s="96"/>
      <c r="B1615" s="96"/>
      <c r="C1615" s="87"/>
      <c r="D1615" s="97"/>
      <c r="E1615" s="83"/>
      <c r="F1615" s="83"/>
      <c r="G1615" s="84"/>
      <c r="H1615" s="86" t="e">
        <f>IF(I1615="fora",0%,G1615/QUÓRUM!$C$6)</f>
        <v>#DIV/0!</v>
      </c>
      <c r="I1615" s="87"/>
      <c r="J1615" s="88"/>
      <c r="K1615" s="88"/>
      <c r="L1615" s="89"/>
      <c r="M1615" s="89"/>
      <c r="N1615" s="90"/>
      <c r="O1615" s="90"/>
      <c r="P1615" s="90"/>
      <c r="Q1615" s="87"/>
      <c r="R1615" s="98"/>
      <c r="S1615" s="90"/>
      <c r="T1615" s="99"/>
    </row>
    <row r="1616" spans="1:20" s="94" customFormat="1" x14ac:dyDescent="0.3">
      <c r="A1616" s="96"/>
      <c r="B1616" s="96"/>
      <c r="C1616" s="87"/>
      <c r="D1616" s="97"/>
      <c r="E1616" s="83"/>
      <c r="F1616" s="83"/>
      <c r="G1616" s="84"/>
      <c r="H1616" s="86" t="e">
        <f>IF(I1616="fora",0%,G1616/QUÓRUM!$C$6)</f>
        <v>#DIV/0!</v>
      </c>
      <c r="I1616" s="87"/>
      <c r="J1616" s="88"/>
      <c r="K1616" s="88"/>
      <c r="L1616" s="89"/>
      <c r="M1616" s="89"/>
      <c r="N1616" s="90"/>
      <c r="O1616" s="90"/>
      <c r="P1616" s="90"/>
      <c r="Q1616" s="87"/>
      <c r="R1616" s="98"/>
      <c r="S1616" s="90"/>
      <c r="T1616" s="99"/>
    </row>
    <row r="1617" spans="1:20" s="94" customFormat="1" x14ac:dyDescent="0.3">
      <c r="A1617" s="96"/>
      <c r="B1617" s="96"/>
      <c r="C1617" s="87"/>
      <c r="D1617" s="97"/>
      <c r="E1617" s="83"/>
      <c r="F1617" s="83"/>
      <c r="G1617" s="84"/>
      <c r="H1617" s="86" t="e">
        <f>IF(I1617="fora",0%,G1617/QUÓRUM!$C$6)</f>
        <v>#DIV/0!</v>
      </c>
      <c r="I1617" s="87"/>
      <c r="J1617" s="88"/>
      <c r="K1617" s="88"/>
      <c r="L1617" s="89"/>
      <c r="M1617" s="89"/>
      <c r="N1617" s="90"/>
      <c r="O1617" s="90"/>
      <c r="P1617" s="90"/>
      <c r="Q1617" s="87"/>
      <c r="R1617" s="98"/>
      <c r="S1617" s="90"/>
      <c r="T1617" s="99"/>
    </row>
    <row r="1618" spans="1:20" s="94" customFormat="1" x14ac:dyDescent="0.3">
      <c r="A1618" s="96"/>
      <c r="B1618" s="96"/>
      <c r="C1618" s="87"/>
      <c r="D1618" s="97"/>
      <c r="E1618" s="83"/>
      <c r="F1618" s="83"/>
      <c r="G1618" s="84"/>
      <c r="H1618" s="86" t="e">
        <f>IF(I1618="fora",0%,G1618/QUÓRUM!$C$6)</f>
        <v>#DIV/0!</v>
      </c>
      <c r="I1618" s="87"/>
      <c r="J1618" s="88"/>
      <c r="K1618" s="88"/>
      <c r="L1618" s="89"/>
      <c r="M1618" s="89"/>
      <c r="N1618" s="90"/>
      <c r="O1618" s="90"/>
      <c r="P1618" s="90"/>
      <c r="Q1618" s="87"/>
      <c r="R1618" s="98"/>
      <c r="S1618" s="90"/>
      <c r="T1618" s="99"/>
    </row>
    <row r="1619" spans="1:20" s="94" customFormat="1" x14ac:dyDescent="0.3">
      <c r="A1619" s="96"/>
      <c r="B1619" s="96"/>
      <c r="C1619" s="87"/>
      <c r="D1619" s="97"/>
      <c r="E1619" s="83"/>
      <c r="F1619" s="83"/>
      <c r="G1619" s="84"/>
      <c r="H1619" s="86" t="e">
        <f>IF(I1619="fora",0%,G1619/QUÓRUM!$C$6)</f>
        <v>#DIV/0!</v>
      </c>
      <c r="I1619" s="87"/>
      <c r="J1619" s="88"/>
      <c r="K1619" s="88"/>
      <c r="L1619" s="89"/>
      <c r="M1619" s="89"/>
      <c r="N1619" s="90"/>
      <c r="O1619" s="90"/>
      <c r="P1619" s="90"/>
      <c r="Q1619" s="87"/>
      <c r="R1619" s="98"/>
      <c r="S1619" s="90"/>
      <c r="T1619" s="99"/>
    </row>
    <row r="1620" spans="1:20" s="94" customFormat="1" x14ac:dyDescent="0.3">
      <c r="A1620" s="96"/>
      <c r="B1620" s="96"/>
      <c r="C1620" s="87"/>
      <c r="D1620" s="97"/>
      <c r="E1620" s="83"/>
      <c r="F1620" s="83"/>
      <c r="G1620" s="84"/>
      <c r="H1620" s="86" t="e">
        <f>IF(I1620="fora",0%,G1620/QUÓRUM!$C$6)</f>
        <v>#DIV/0!</v>
      </c>
      <c r="I1620" s="87"/>
      <c r="J1620" s="88"/>
      <c r="K1620" s="88"/>
      <c r="L1620" s="89"/>
      <c r="M1620" s="89"/>
      <c r="N1620" s="90"/>
      <c r="O1620" s="90"/>
      <c r="P1620" s="90"/>
      <c r="Q1620" s="87"/>
      <c r="R1620" s="98"/>
      <c r="S1620" s="90"/>
      <c r="T1620" s="99"/>
    </row>
    <row r="1621" spans="1:20" s="94" customFormat="1" x14ac:dyDescent="0.3">
      <c r="A1621" s="96"/>
      <c r="B1621" s="96"/>
      <c r="C1621" s="87"/>
      <c r="D1621" s="97"/>
      <c r="E1621" s="83"/>
      <c r="F1621" s="83"/>
      <c r="G1621" s="84"/>
      <c r="H1621" s="86" t="e">
        <f>IF(I1621="fora",0%,G1621/QUÓRUM!$C$6)</f>
        <v>#DIV/0!</v>
      </c>
      <c r="I1621" s="87"/>
      <c r="J1621" s="88"/>
      <c r="K1621" s="88"/>
      <c r="L1621" s="89"/>
      <c r="M1621" s="89"/>
      <c r="N1621" s="90"/>
      <c r="O1621" s="90"/>
      <c r="P1621" s="90"/>
      <c r="Q1621" s="87"/>
      <c r="R1621" s="98"/>
      <c r="S1621" s="90"/>
      <c r="T1621" s="99"/>
    </row>
    <row r="1622" spans="1:20" s="94" customFormat="1" x14ac:dyDescent="0.3">
      <c r="A1622" s="96"/>
      <c r="B1622" s="96"/>
      <c r="C1622" s="87"/>
      <c r="D1622" s="97"/>
      <c r="E1622" s="83"/>
      <c r="F1622" s="83"/>
      <c r="G1622" s="84"/>
      <c r="H1622" s="86" t="e">
        <f>IF(I1622="fora",0%,G1622/QUÓRUM!$C$6)</f>
        <v>#DIV/0!</v>
      </c>
      <c r="I1622" s="87"/>
      <c r="J1622" s="88"/>
      <c r="K1622" s="88"/>
      <c r="L1622" s="89"/>
      <c r="M1622" s="89"/>
      <c r="N1622" s="90"/>
      <c r="O1622" s="90"/>
      <c r="P1622" s="90"/>
      <c r="Q1622" s="87"/>
      <c r="R1622" s="98"/>
      <c r="S1622" s="90"/>
      <c r="T1622" s="99"/>
    </row>
    <row r="1623" spans="1:20" s="94" customFormat="1" x14ac:dyDescent="0.3">
      <c r="A1623" s="96"/>
      <c r="B1623" s="96"/>
      <c r="C1623" s="87"/>
      <c r="D1623" s="97"/>
      <c r="E1623" s="83"/>
      <c r="F1623" s="83"/>
      <c r="G1623" s="84"/>
      <c r="H1623" s="86" t="e">
        <f>IF(I1623="fora",0%,G1623/QUÓRUM!$C$6)</f>
        <v>#DIV/0!</v>
      </c>
      <c r="I1623" s="87"/>
      <c r="J1623" s="88"/>
      <c r="K1623" s="88"/>
      <c r="L1623" s="89"/>
      <c r="M1623" s="89"/>
      <c r="N1623" s="90"/>
      <c r="O1623" s="90"/>
      <c r="P1623" s="90"/>
      <c r="Q1623" s="87"/>
      <c r="R1623" s="98"/>
      <c r="S1623" s="90"/>
      <c r="T1623" s="99"/>
    </row>
    <row r="1624" spans="1:20" s="94" customFormat="1" x14ac:dyDescent="0.3">
      <c r="A1624" s="96"/>
      <c r="B1624" s="96"/>
      <c r="C1624" s="87"/>
      <c r="D1624" s="97"/>
      <c r="E1624" s="83"/>
      <c r="F1624" s="83"/>
      <c r="G1624" s="84"/>
      <c r="H1624" s="86" t="e">
        <f>IF(I1624="fora",0%,G1624/QUÓRUM!$C$6)</f>
        <v>#DIV/0!</v>
      </c>
      <c r="I1624" s="87"/>
      <c r="J1624" s="88"/>
      <c r="K1624" s="88"/>
      <c r="L1624" s="89"/>
      <c r="M1624" s="89"/>
      <c r="N1624" s="90"/>
      <c r="O1624" s="90"/>
      <c r="P1624" s="90"/>
      <c r="Q1624" s="87"/>
      <c r="R1624" s="98"/>
      <c r="S1624" s="90"/>
      <c r="T1624" s="99"/>
    </row>
    <row r="1625" spans="1:20" s="94" customFormat="1" x14ac:dyDescent="0.3">
      <c r="A1625" s="96"/>
      <c r="B1625" s="96"/>
      <c r="C1625" s="87"/>
      <c r="D1625" s="97"/>
      <c r="E1625" s="83"/>
      <c r="F1625" s="83"/>
      <c r="G1625" s="84"/>
      <c r="H1625" s="86" t="e">
        <f>IF(I1625="fora",0%,G1625/QUÓRUM!$C$6)</f>
        <v>#DIV/0!</v>
      </c>
      <c r="I1625" s="87"/>
      <c r="J1625" s="88"/>
      <c r="K1625" s="88"/>
      <c r="L1625" s="89"/>
      <c r="M1625" s="89"/>
      <c r="N1625" s="90"/>
      <c r="O1625" s="90"/>
      <c r="P1625" s="90"/>
      <c r="Q1625" s="87"/>
      <c r="R1625" s="98"/>
      <c r="S1625" s="90"/>
      <c r="T1625" s="99"/>
    </row>
    <row r="1626" spans="1:20" s="94" customFormat="1" x14ac:dyDescent="0.3">
      <c r="A1626" s="96"/>
      <c r="B1626" s="96"/>
      <c r="C1626" s="87"/>
      <c r="D1626" s="97"/>
      <c r="E1626" s="83"/>
      <c r="F1626" s="83"/>
      <c r="G1626" s="84"/>
      <c r="H1626" s="86" t="e">
        <f>IF(I1626="fora",0%,G1626/QUÓRUM!$C$6)</f>
        <v>#DIV/0!</v>
      </c>
      <c r="I1626" s="87"/>
      <c r="J1626" s="88"/>
      <c r="K1626" s="88"/>
      <c r="L1626" s="89"/>
      <c r="M1626" s="89"/>
      <c r="N1626" s="90"/>
      <c r="O1626" s="90"/>
      <c r="P1626" s="90"/>
      <c r="Q1626" s="87"/>
      <c r="R1626" s="98"/>
      <c r="S1626" s="90"/>
      <c r="T1626" s="99"/>
    </row>
    <row r="1627" spans="1:20" s="94" customFormat="1" x14ac:dyDescent="0.3">
      <c r="A1627" s="96"/>
      <c r="B1627" s="96"/>
      <c r="C1627" s="87"/>
      <c r="D1627" s="97"/>
      <c r="E1627" s="83"/>
      <c r="F1627" s="83"/>
      <c r="G1627" s="84"/>
      <c r="H1627" s="86" t="e">
        <f>IF(I1627="fora",0%,G1627/QUÓRUM!$C$6)</f>
        <v>#DIV/0!</v>
      </c>
      <c r="I1627" s="87"/>
      <c r="J1627" s="88"/>
      <c r="K1627" s="88"/>
      <c r="L1627" s="89"/>
      <c r="M1627" s="89"/>
      <c r="N1627" s="90"/>
      <c r="O1627" s="90"/>
      <c r="P1627" s="90"/>
      <c r="Q1627" s="87"/>
      <c r="R1627" s="98"/>
      <c r="S1627" s="90"/>
      <c r="T1627" s="99"/>
    </row>
    <row r="1628" spans="1:20" s="94" customFormat="1" x14ac:dyDescent="0.3">
      <c r="A1628" s="96"/>
      <c r="B1628" s="96"/>
      <c r="C1628" s="87"/>
      <c r="D1628" s="97"/>
      <c r="E1628" s="83"/>
      <c r="F1628" s="83"/>
      <c r="G1628" s="84"/>
      <c r="H1628" s="86" t="e">
        <f>IF(I1628="fora",0%,G1628/QUÓRUM!$C$6)</f>
        <v>#DIV/0!</v>
      </c>
      <c r="I1628" s="87"/>
      <c r="J1628" s="88"/>
      <c r="K1628" s="88"/>
      <c r="L1628" s="89"/>
      <c r="M1628" s="89"/>
      <c r="N1628" s="90"/>
      <c r="O1628" s="90"/>
      <c r="P1628" s="90"/>
      <c r="Q1628" s="87"/>
      <c r="R1628" s="98"/>
      <c r="S1628" s="90"/>
      <c r="T1628" s="99"/>
    </row>
    <row r="1629" spans="1:20" s="94" customFormat="1" x14ac:dyDescent="0.3">
      <c r="A1629" s="96"/>
      <c r="B1629" s="96"/>
      <c r="C1629" s="87"/>
      <c r="D1629" s="97"/>
      <c r="E1629" s="83"/>
      <c r="F1629" s="83"/>
      <c r="G1629" s="84"/>
      <c r="H1629" s="86" t="e">
        <f>IF(I1629="fora",0%,G1629/QUÓRUM!$C$6)</f>
        <v>#DIV/0!</v>
      </c>
      <c r="I1629" s="87"/>
      <c r="J1629" s="88"/>
      <c r="K1629" s="88"/>
      <c r="L1629" s="89"/>
      <c r="M1629" s="89"/>
      <c r="N1629" s="90"/>
      <c r="O1629" s="90"/>
      <c r="P1629" s="90"/>
      <c r="Q1629" s="87"/>
      <c r="R1629" s="98"/>
      <c r="S1629" s="90"/>
      <c r="T1629" s="99"/>
    </row>
    <row r="1630" spans="1:20" s="94" customFormat="1" x14ac:dyDescent="0.3">
      <c r="A1630" s="96"/>
      <c r="B1630" s="96"/>
      <c r="C1630" s="87"/>
      <c r="D1630" s="97"/>
      <c r="E1630" s="83"/>
      <c r="F1630" s="83"/>
      <c r="G1630" s="84"/>
      <c r="H1630" s="86" t="e">
        <f>IF(I1630="fora",0%,G1630/QUÓRUM!$C$6)</f>
        <v>#DIV/0!</v>
      </c>
      <c r="I1630" s="87"/>
      <c r="J1630" s="88"/>
      <c r="K1630" s="88"/>
      <c r="L1630" s="89"/>
      <c r="M1630" s="89"/>
      <c r="N1630" s="90"/>
      <c r="O1630" s="90"/>
      <c r="P1630" s="90"/>
      <c r="Q1630" s="87"/>
      <c r="R1630" s="98"/>
      <c r="S1630" s="90"/>
      <c r="T1630" s="99"/>
    </row>
    <row r="1631" spans="1:20" s="94" customFormat="1" x14ac:dyDescent="0.3">
      <c r="A1631" s="96"/>
      <c r="B1631" s="96"/>
      <c r="C1631" s="87"/>
      <c r="D1631" s="97"/>
      <c r="E1631" s="83"/>
      <c r="F1631" s="83"/>
      <c r="G1631" s="84"/>
      <c r="H1631" s="86" t="e">
        <f>IF(I1631="fora",0%,G1631/QUÓRUM!$C$6)</f>
        <v>#DIV/0!</v>
      </c>
      <c r="I1631" s="87"/>
      <c r="J1631" s="88"/>
      <c r="K1631" s="88"/>
      <c r="L1631" s="89"/>
      <c r="M1631" s="89"/>
      <c r="N1631" s="90"/>
      <c r="O1631" s="90"/>
      <c r="P1631" s="90"/>
      <c r="Q1631" s="87"/>
      <c r="R1631" s="98"/>
      <c r="S1631" s="90"/>
      <c r="T1631" s="99"/>
    </row>
    <row r="1632" spans="1:20" s="94" customFormat="1" x14ac:dyDescent="0.3">
      <c r="A1632" s="96"/>
      <c r="B1632" s="96"/>
      <c r="C1632" s="87"/>
      <c r="D1632" s="97"/>
      <c r="E1632" s="83"/>
      <c r="F1632" s="83"/>
      <c r="G1632" s="84"/>
      <c r="H1632" s="86" t="e">
        <f>IF(I1632="fora",0%,G1632/QUÓRUM!$C$6)</f>
        <v>#DIV/0!</v>
      </c>
      <c r="I1632" s="87"/>
      <c r="J1632" s="88"/>
      <c r="K1632" s="88"/>
      <c r="L1632" s="89"/>
      <c r="M1632" s="89"/>
      <c r="N1632" s="90"/>
      <c r="O1632" s="90"/>
      <c r="P1632" s="90"/>
      <c r="Q1632" s="87"/>
      <c r="R1632" s="98"/>
      <c r="S1632" s="90"/>
      <c r="T1632" s="99"/>
    </row>
    <row r="1633" spans="1:20" s="94" customFormat="1" x14ac:dyDescent="0.3">
      <c r="A1633" s="96"/>
      <c r="B1633" s="96"/>
      <c r="C1633" s="87"/>
      <c r="D1633" s="97"/>
      <c r="E1633" s="83"/>
      <c r="F1633" s="83"/>
      <c r="G1633" s="84"/>
      <c r="H1633" s="86" t="e">
        <f>IF(I1633="fora",0%,G1633/QUÓRUM!$C$6)</f>
        <v>#DIV/0!</v>
      </c>
      <c r="I1633" s="87"/>
      <c r="J1633" s="88"/>
      <c r="K1633" s="88"/>
      <c r="L1633" s="89"/>
      <c r="M1633" s="89"/>
      <c r="N1633" s="90"/>
      <c r="O1633" s="90"/>
      <c r="P1633" s="90"/>
      <c r="Q1633" s="87"/>
      <c r="R1633" s="98"/>
      <c r="S1633" s="90"/>
      <c r="T1633" s="99"/>
    </row>
    <row r="1634" spans="1:20" s="94" customFormat="1" x14ac:dyDescent="0.3">
      <c r="A1634" s="96"/>
      <c r="B1634" s="96"/>
      <c r="C1634" s="87"/>
      <c r="D1634" s="97"/>
      <c r="E1634" s="83"/>
      <c r="F1634" s="83"/>
      <c r="G1634" s="84"/>
      <c r="H1634" s="86" t="e">
        <f>IF(I1634="fora",0%,G1634/QUÓRUM!$C$6)</f>
        <v>#DIV/0!</v>
      </c>
      <c r="I1634" s="87"/>
      <c r="J1634" s="88"/>
      <c r="K1634" s="88"/>
      <c r="L1634" s="89"/>
      <c r="M1634" s="89"/>
      <c r="N1634" s="90"/>
      <c r="O1634" s="90"/>
      <c r="P1634" s="90"/>
      <c r="Q1634" s="87"/>
      <c r="R1634" s="98"/>
      <c r="S1634" s="90"/>
      <c r="T1634" s="99"/>
    </row>
    <row r="1635" spans="1:20" s="94" customFormat="1" x14ac:dyDescent="0.3">
      <c r="A1635" s="96"/>
      <c r="B1635" s="96"/>
      <c r="C1635" s="87"/>
      <c r="D1635" s="97"/>
      <c r="E1635" s="83"/>
      <c r="F1635" s="83"/>
      <c r="G1635" s="84"/>
      <c r="H1635" s="86" t="e">
        <f>IF(I1635="fora",0%,G1635/QUÓRUM!$C$6)</f>
        <v>#DIV/0!</v>
      </c>
      <c r="I1635" s="87"/>
      <c r="J1635" s="88"/>
      <c r="K1635" s="88"/>
      <c r="L1635" s="89"/>
      <c r="M1635" s="89"/>
      <c r="N1635" s="90"/>
      <c r="O1635" s="90"/>
      <c r="P1635" s="90"/>
      <c r="Q1635" s="87"/>
      <c r="R1635" s="98"/>
      <c r="S1635" s="90"/>
      <c r="T1635" s="99"/>
    </row>
    <row r="1636" spans="1:20" s="94" customFormat="1" x14ac:dyDescent="0.3">
      <c r="A1636" s="96"/>
      <c r="B1636" s="96"/>
      <c r="C1636" s="87"/>
      <c r="D1636" s="97"/>
      <c r="E1636" s="83"/>
      <c r="F1636" s="83"/>
      <c r="G1636" s="84"/>
      <c r="H1636" s="86" t="e">
        <f>IF(I1636="fora",0%,G1636/QUÓRUM!$C$6)</f>
        <v>#DIV/0!</v>
      </c>
      <c r="I1636" s="87"/>
      <c r="J1636" s="88"/>
      <c r="K1636" s="88"/>
      <c r="L1636" s="89"/>
      <c r="M1636" s="89"/>
      <c r="N1636" s="90"/>
      <c r="O1636" s="90"/>
      <c r="P1636" s="90"/>
      <c r="Q1636" s="87"/>
      <c r="R1636" s="98"/>
      <c r="S1636" s="90"/>
      <c r="T1636" s="99"/>
    </row>
    <row r="1637" spans="1:20" s="94" customFormat="1" x14ac:dyDescent="0.3">
      <c r="A1637" s="96"/>
      <c r="B1637" s="96"/>
      <c r="C1637" s="87"/>
      <c r="D1637" s="97"/>
      <c r="E1637" s="83"/>
      <c r="F1637" s="83"/>
      <c r="G1637" s="84"/>
      <c r="H1637" s="86" t="e">
        <f>IF(I1637="fora",0%,G1637/QUÓRUM!$C$6)</f>
        <v>#DIV/0!</v>
      </c>
      <c r="I1637" s="87"/>
      <c r="J1637" s="88"/>
      <c r="K1637" s="88"/>
      <c r="L1637" s="89"/>
      <c r="M1637" s="89"/>
      <c r="N1637" s="90"/>
      <c r="O1637" s="90"/>
      <c r="P1637" s="90"/>
      <c r="Q1637" s="87"/>
      <c r="R1637" s="98"/>
      <c r="S1637" s="90"/>
      <c r="T1637" s="99"/>
    </row>
    <row r="1638" spans="1:20" s="94" customFormat="1" x14ac:dyDescent="0.3">
      <c r="A1638" s="96"/>
      <c r="B1638" s="96"/>
      <c r="C1638" s="87"/>
      <c r="D1638" s="97"/>
      <c r="E1638" s="83"/>
      <c r="F1638" s="83"/>
      <c r="G1638" s="84"/>
      <c r="H1638" s="86" t="e">
        <f>IF(I1638="fora",0%,G1638/QUÓRUM!$C$6)</f>
        <v>#DIV/0!</v>
      </c>
      <c r="I1638" s="87"/>
      <c r="J1638" s="88"/>
      <c r="K1638" s="88"/>
      <c r="L1638" s="89"/>
      <c r="M1638" s="89"/>
      <c r="N1638" s="90"/>
      <c r="O1638" s="90"/>
      <c r="P1638" s="90"/>
      <c r="Q1638" s="87"/>
      <c r="R1638" s="98"/>
      <c r="S1638" s="90"/>
      <c r="T1638" s="99"/>
    </row>
    <row r="1639" spans="1:20" s="94" customFormat="1" x14ac:dyDescent="0.3">
      <c r="A1639" s="96"/>
      <c r="B1639" s="96"/>
      <c r="C1639" s="87"/>
      <c r="D1639" s="97"/>
      <c r="E1639" s="83"/>
      <c r="F1639" s="83"/>
      <c r="G1639" s="84"/>
      <c r="H1639" s="86" t="e">
        <f>IF(I1639="fora",0%,G1639/QUÓRUM!$C$6)</f>
        <v>#DIV/0!</v>
      </c>
      <c r="I1639" s="87"/>
      <c r="J1639" s="88"/>
      <c r="K1639" s="88"/>
      <c r="L1639" s="89"/>
      <c r="M1639" s="89"/>
      <c r="N1639" s="90"/>
      <c r="O1639" s="90"/>
      <c r="P1639" s="90"/>
      <c r="Q1639" s="87"/>
      <c r="R1639" s="98"/>
      <c r="S1639" s="90"/>
      <c r="T1639" s="99"/>
    </row>
    <row r="1640" spans="1:20" s="94" customFormat="1" x14ac:dyDescent="0.3">
      <c r="A1640" s="96"/>
      <c r="B1640" s="96"/>
      <c r="C1640" s="87"/>
      <c r="D1640" s="97"/>
      <c r="E1640" s="83"/>
      <c r="F1640" s="83"/>
      <c r="G1640" s="84"/>
      <c r="H1640" s="86" t="e">
        <f>IF(I1640="fora",0%,G1640/QUÓRUM!$C$6)</f>
        <v>#DIV/0!</v>
      </c>
      <c r="I1640" s="87"/>
      <c r="J1640" s="88"/>
      <c r="K1640" s="88"/>
      <c r="L1640" s="89"/>
      <c r="M1640" s="89"/>
      <c r="N1640" s="90"/>
      <c r="O1640" s="90"/>
      <c r="P1640" s="90"/>
      <c r="Q1640" s="87"/>
      <c r="R1640" s="98"/>
      <c r="S1640" s="90"/>
      <c r="T1640" s="99"/>
    </row>
    <row r="1641" spans="1:20" s="94" customFormat="1" x14ac:dyDescent="0.3">
      <c r="A1641" s="96"/>
      <c r="B1641" s="96"/>
      <c r="C1641" s="87"/>
      <c r="D1641" s="97"/>
      <c r="E1641" s="83"/>
      <c r="F1641" s="83"/>
      <c r="G1641" s="84"/>
      <c r="H1641" s="86" t="e">
        <f>IF(I1641="fora",0%,G1641/QUÓRUM!$C$6)</f>
        <v>#DIV/0!</v>
      </c>
      <c r="I1641" s="87"/>
      <c r="J1641" s="88"/>
      <c r="K1641" s="88"/>
      <c r="L1641" s="89"/>
      <c r="M1641" s="89"/>
      <c r="N1641" s="90"/>
      <c r="O1641" s="90"/>
      <c r="P1641" s="90"/>
      <c r="Q1641" s="87"/>
      <c r="R1641" s="98"/>
      <c r="S1641" s="90"/>
      <c r="T1641" s="99"/>
    </row>
    <row r="1642" spans="1:20" s="94" customFormat="1" x14ac:dyDescent="0.3">
      <c r="A1642" s="96"/>
      <c r="B1642" s="96"/>
      <c r="C1642" s="87"/>
      <c r="D1642" s="97"/>
      <c r="E1642" s="83"/>
      <c r="F1642" s="83"/>
      <c r="G1642" s="84"/>
      <c r="H1642" s="86" t="e">
        <f>IF(I1642="fora",0%,G1642/QUÓRUM!$C$6)</f>
        <v>#DIV/0!</v>
      </c>
      <c r="I1642" s="87"/>
      <c r="J1642" s="88"/>
      <c r="K1642" s="88"/>
      <c r="L1642" s="89"/>
      <c r="M1642" s="89"/>
      <c r="N1642" s="90"/>
      <c r="O1642" s="90"/>
      <c r="P1642" s="90"/>
      <c r="Q1642" s="87"/>
      <c r="R1642" s="98"/>
      <c r="S1642" s="90"/>
      <c r="T1642" s="99"/>
    </row>
    <row r="1643" spans="1:20" s="94" customFormat="1" x14ac:dyDescent="0.3">
      <c r="A1643" s="96"/>
      <c r="B1643" s="96"/>
      <c r="C1643" s="87"/>
      <c r="D1643" s="97"/>
      <c r="E1643" s="83"/>
      <c r="F1643" s="83"/>
      <c r="G1643" s="84"/>
      <c r="H1643" s="86" t="e">
        <f>IF(I1643="fora",0%,G1643/QUÓRUM!$C$6)</f>
        <v>#DIV/0!</v>
      </c>
      <c r="I1643" s="87"/>
      <c r="J1643" s="88"/>
      <c r="K1643" s="88"/>
      <c r="L1643" s="89"/>
      <c r="M1643" s="89"/>
      <c r="N1643" s="90"/>
      <c r="O1643" s="90"/>
      <c r="P1643" s="90"/>
      <c r="Q1643" s="87"/>
      <c r="R1643" s="98"/>
      <c r="S1643" s="90"/>
      <c r="T1643" s="99"/>
    </row>
    <row r="1644" spans="1:20" s="94" customFormat="1" x14ac:dyDescent="0.3">
      <c r="A1644" s="96"/>
      <c r="B1644" s="96"/>
      <c r="C1644" s="87"/>
      <c r="D1644" s="97"/>
      <c r="E1644" s="83"/>
      <c r="F1644" s="83"/>
      <c r="G1644" s="84"/>
      <c r="H1644" s="86" t="e">
        <f>IF(I1644="fora",0%,G1644/QUÓRUM!$C$6)</f>
        <v>#DIV/0!</v>
      </c>
      <c r="I1644" s="87"/>
      <c r="J1644" s="88"/>
      <c r="K1644" s="88"/>
      <c r="L1644" s="89"/>
      <c r="M1644" s="89"/>
      <c r="N1644" s="90"/>
      <c r="O1644" s="90"/>
      <c r="P1644" s="90"/>
      <c r="Q1644" s="87"/>
      <c r="R1644" s="98"/>
      <c r="S1644" s="90"/>
      <c r="T1644" s="99"/>
    </row>
    <row r="1645" spans="1:20" s="94" customFormat="1" x14ac:dyDescent="0.3">
      <c r="A1645" s="96"/>
      <c r="B1645" s="96"/>
      <c r="C1645" s="87"/>
      <c r="D1645" s="97"/>
      <c r="E1645" s="83"/>
      <c r="F1645" s="83"/>
      <c r="G1645" s="84"/>
      <c r="H1645" s="86" t="e">
        <f>IF(I1645="fora",0%,G1645/QUÓRUM!$C$6)</f>
        <v>#DIV/0!</v>
      </c>
      <c r="I1645" s="87"/>
      <c r="J1645" s="88"/>
      <c r="K1645" s="88"/>
      <c r="L1645" s="89"/>
      <c r="M1645" s="89"/>
      <c r="N1645" s="90"/>
      <c r="O1645" s="90"/>
      <c r="P1645" s="90"/>
      <c r="Q1645" s="87"/>
      <c r="R1645" s="98"/>
      <c r="S1645" s="90"/>
      <c r="T1645" s="99"/>
    </row>
    <row r="1646" spans="1:20" s="94" customFormat="1" x14ac:dyDescent="0.3">
      <c r="A1646" s="96"/>
      <c r="B1646" s="96"/>
      <c r="C1646" s="87"/>
      <c r="D1646" s="97"/>
      <c r="E1646" s="83"/>
      <c r="F1646" s="83"/>
      <c r="G1646" s="84"/>
      <c r="H1646" s="86" t="e">
        <f>IF(I1646="fora",0%,G1646/QUÓRUM!$C$6)</f>
        <v>#DIV/0!</v>
      </c>
      <c r="I1646" s="87"/>
      <c r="J1646" s="88"/>
      <c r="K1646" s="88"/>
      <c r="L1646" s="89"/>
      <c r="M1646" s="89"/>
      <c r="N1646" s="90"/>
      <c r="O1646" s="90"/>
      <c r="P1646" s="90"/>
      <c r="Q1646" s="87"/>
      <c r="R1646" s="98"/>
      <c r="S1646" s="90"/>
      <c r="T1646" s="99"/>
    </row>
    <row r="1647" spans="1:20" s="94" customFormat="1" x14ac:dyDescent="0.3">
      <c r="A1647" s="96"/>
      <c r="B1647" s="96"/>
      <c r="C1647" s="87"/>
      <c r="D1647" s="97"/>
      <c r="E1647" s="83"/>
      <c r="F1647" s="83"/>
      <c r="G1647" s="84"/>
      <c r="H1647" s="86" t="e">
        <f>IF(I1647="fora",0%,G1647/QUÓRUM!$C$6)</f>
        <v>#DIV/0!</v>
      </c>
      <c r="I1647" s="87"/>
      <c r="J1647" s="88"/>
      <c r="K1647" s="88"/>
      <c r="L1647" s="89"/>
      <c r="M1647" s="89"/>
      <c r="N1647" s="90"/>
      <c r="O1647" s="90"/>
      <c r="P1647" s="90"/>
      <c r="Q1647" s="87"/>
      <c r="R1647" s="98"/>
      <c r="S1647" s="90"/>
      <c r="T1647" s="99"/>
    </row>
    <row r="1648" spans="1:20" s="94" customFormat="1" x14ac:dyDescent="0.3">
      <c r="A1648" s="96"/>
      <c r="B1648" s="96"/>
      <c r="C1648" s="87"/>
      <c r="D1648" s="97"/>
      <c r="E1648" s="83"/>
      <c r="F1648" s="83"/>
      <c r="G1648" s="84"/>
      <c r="H1648" s="86" t="e">
        <f>IF(I1648="fora",0%,G1648/QUÓRUM!$C$6)</f>
        <v>#DIV/0!</v>
      </c>
      <c r="I1648" s="87"/>
      <c r="J1648" s="88"/>
      <c r="K1648" s="88"/>
      <c r="L1648" s="89"/>
      <c r="M1648" s="89"/>
      <c r="N1648" s="90"/>
      <c r="O1648" s="90"/>
      <c r="P1648" s="90"/>
      <c r="Q1648" s="87"/>
      <c r="R1648" s="98"/>
      <c r="S1648" s="90"/>
      <c r="T1648" s="99"/>
    </row>
    <row r="1649" spans="1:20" s="94" customFormat="1" x14ac:dyDescent="0.3">
      <c r="A1649" s="96"/>
      <c r="B1649" s="96"/>
      <c r="C1649" s="87"/>
      <c r="D1649" s="97"/>
      <c r="E1649" s="83"/>
      <c r="F1649" s="83"/>
      <c r="G1649" s="84"/>
      <c r="H1649" s="86" t="e">
        <f>IF(I1649="fora",0%,G1649/QUÓRUM!$C$6)</f>
        <v>#DIV/0!</v>
      </c>
      <c r="I1649" s="87"/>
      <c r="J1649" s="88"/>
      <c r="K1649" s="88"/>
      <c r="L1649" s="89"/>
      <c r="M1649" s="89"/>
      <c r="N1649" s="90"/>
      <c r="O1649" s="90"/>
      <c r="P1649" s="90"/>
      <c r="Q1649" s="87"/>
      <c r="R1649" s="98"/>
      <c r="S1649" s="90"/>
      <c r="T1649" s="99"/>
    </row>
    <row r="1650" spans="1:20" s="94" customFormat="1" x14ac:dyDescent="0.3">
      <c r="A1650" s="96"/>
      <c r="B1650" s="96"/>
      <c r="C1650" s="87"/>
      <c r="D1650" s="97"/>
      <c r="E1650" s="83"/>
      <c r="F1650" s="83"/>
      <c r="G1650" s="84"/>
      <c r="H1650" s="86" t="e">
        <f>IF(I1650="fora",0%,G1650/QUÓRUM!$C$6)</f>
        <v>#DIV/0!</v>
      </c>
      <c r="I1650" s="87"/>
      <c r="J1650" s="88"/>
      <c r="K1650" s="88"/>
      <c r="L1650" s="89"/>
      <c r="M1650" s="89"/>
      <c r="N1650" s="90"/>
      <c r="O1650" s="90"/>
      <c r="P1650" s="90"/>
      <c r="Q1650" s="87"/>
      <c r="R1650" s="98"/>
      <c r="S1650" s="90"/>
      <c r="T1650" s="99"/>
    </row>
    <row r="1651" spans="1:20" s="94" customFormat="1" x14ac:dyDescent="0.3">
      <c r="A1651" s="96"/>
      <c r="B1651" s="96"/>
      <c r="C1651" s="87"/>
      <c r="D1651" s="97"/>
      <c r="E1651" s="83"/>
      <c r="F1651" s="83"/>
      <c r="G1651" s="84"/>
      <c r="H1651" s="86" t="e">
        <f>IF(I1651="fora",0%,G1651/QUÓRUM!$C$6)</f>
        <v>#DIV/0!</v>
      </c>
      <c r="I1651" s="87"/>
      <c r="J1651" s="88"/>
      <c r="K1651" s="88"/>
      <c r="L1651" s="89"/>
      <c r="M1651" s="89"/>
      <c r="N1651" s="90"/>
      <c r="O1651" s="90"/>
      <c r="P1651" s="90"/>
      <c r="Q1651" s="87"/>
      <c r="R1651" s="98"/>
      <c r="S1651" s="90"/>
      <c r="T1651" s="99"/>
    </row>
    <row r="1652" spans="1:20" s="94" customFormat="1" x14ac:dyDescent="0.3">
      <c r="A1652" s="96"/>
      <c r="B1652" s="96"/>
      <c r="C1652" s="87"/>
      <c r="D1652" s="97"/>
      <c r="E1652" s="83"/>
      <c r="F1652" s="83"/>
      <c r="G1652" s="84"/>
      <c r="H1652" s="86" t="e">
        <f>IF(I1652="fora",0%,G1652/QUÓRUM!$C$6)</f>
        <v>#DIV/0!</v>
      </c>
      <c r="I1652" s="87"/>
      <c r="J1652" s="88"/>
      <c r="K1652" s="88"/>
      <c r="L1652" s="89"/>
      <c r="M1652" s="89"/>
      <c r="N1652" s="90"/>
      <c r="O1652" s="90"/>
      <c r="P1652" s="90"/>
      <c r="Q1652" s="87"/>
      <c r="R1652" s="98"/>
      <c r="S1652" s="90"/>
      <c r="T1652" s="99"/>
    </row>
    <row r="1653" spans="1:20" s="94" customFormat="1" x14ac:dyDescent="0.3">
      <c r="A1653" s="96"/>
      <c r="B1653" s="96"/>
      <c r="C1653" s="87"/>
      <c r="D1653" s="97"/>
      <c r="E1653" s="83"/>
      <c r="F1653" s="83"/>
      <c r="G1653" s="84"/>
      <c r="H1653" s="86" t="e">
        <f>IF(I1653="fora",0%,G1653/QUÓRUM!$C$6)</f>
        <v>#DIV/0!</v>
      </c>
      <c r="I1653" s="87"/>
      <c r="J1653" s="88"/>
      <c r="K1653" s="88"/>
      <c r="L1653" s="89"/>
      <c r="M1653" s="89"/>
      <c r="N1653" s="90"/>
      <c r="O1653" s="90"/>
      <c r="P1653" s="90"/>
      <c r="Q1653" s="87"/>
      <c r="R1653" s="98"/>
      <c r="S1653" s="90"/>
      <c r="T1653" s="99"/>
    </row>
    <row r="1654" spans="1:20" s="94" customFormat="1" x14ac:dyDescent="0.3">
      <c r="A1654" s="96"/>
      <c r="B1654" s="96"/>
      <c r="C1654" s="87"/>
      <c r="D1654" s="97"/>
      <c r="E1654" s="83"/>
      <c r="F1654" s="83"/>
      <c r="G1654" s="84"/>
      <c r="H1654" s="86" t="e">
        <f>IF(I1654="fora",0%,G1654/QUÓRUM!$C$6)</f>
        <v>#DIV/0!</v>
      </c>
      <c r="I1654" s="87"/>
      <c r="J1654" s="88"/>
      <c r="K1654" s="88"/>
      <c r="L1654" s="89"/>
      <c r="M1654" s="89"/>
      <c r="N1654" s="90"/>
      <c r="O1654" s="90"/>
      <c r="P1654" s="90"/>
      <c r="Q1654" s="87"/>
      <c r="R1654" s="98"/>
      <c r="S1654" s="90"/>
      <c r="T1654" s="99"/>
    </row>
    <row r="1655" spans="1:20" s="94" customFormat="1" x14ac:dyDescent="0.3">
      <c r="A1655" s="96"/>
      <c r="B1655" s="96"/>
      <c r="C1655" s="87"/>
      <c r="D1655" s="97"/>
      <c r="E1655" s="83"/>
      <c r="F1655" s="83"/>
      <c r="G1655" s="84"/>
      <c r="H1655" s="86" t="e">
        <f>IF(I1655="fora",0%,G1655/QUÓRUM!$C$6)</f>
        <v>#DIV/0!</v>
      </c>
      <c r="I1655" s="87"/>
      <c r="J1655" s="88"/>
      <c r="K1655" s="88"/>
      <c r="L1655" s="89"/>
      <c r="M1655" s="89"/>
      <c r="N1655" s="90"/>
      <c r="O1655" s="90"/>
      <c r="P1655" s="90"/>
      <c r="Q1655" s="87"/>
      <c r="R1655" s="98"/>
      <c r="S1655" s="90"/>
      <c r="T1655" s="99"/>
    </row>
    <row r="1656" spans="1:20" s="94" customFormat="1" x14ac:dyDescent="0.3">
      <c r="A1656" s="96"/>
      <c r="B1656" s="96"/>
      <c r="C1656" s="87"/>
      <c r="D1656" s="97"/>
      <c r="E1656" s="83"/>
      <c r="F1656" s="83"/>
      <c r="G1656" s="84"/>
      <c r="H1656" s="86" t="e">
        <f>IF(I1656="fora",0%,G1656/QUÓRUM!$C$6)</f>
        <v>#DIV/0!</v>
      </c>
      <c r="I1656" s="87"/>
      <c r="J1656" s="88"/>
      <c r="K1656" s="88"/>
      <c r="L1656" s="89"/>
      <c r="M1656" s="89"/>
      <c r="N1656" s="90"/>
      <c r="O1656" s="90"/>
      <c r="P1656" s="90"/>
      <c r="Q1656" s="87"/>
      <c r="R1656" s="98"/>
      <c r="S1656" s="90"/>
      <c r="T1656" s="99"/>
    </row>
    <row r="1657" spans="1:20" s="94" customFormat="1" x14ac:dyDescent="0.3">
      <c r="A1657" s="96"/>
      <c r="B1657" s="96"/>
      <c r="C1657" s="87"/>
      <c r="D1657" s="97"/>
      <c r="E1657" s="83"/>
      <c r="F1657" s="83"/>
      <c r="G1657" s="84"/>
      <c r="H1657" s="86" t="e">
        <f>IF(I1657="fora",0%,G1657/QUÓRUM!$C$6)</f>
        <v>#DIV/0!</v>
      </c>
      <c r="I1657" s="87"/>
      <c r="J1657" s="88"/>
      <c r="K1657" s="88"/>
      <c r="L1657" s="89"/>
      <c r="M1657" s="89"/>
      <c r="N1657" s="90"/>
      <c r="O1657" s="90"/>
      <c r="P1657" s="90"/>
      <c r="Q1657" s="87"/>
      <c r="R1657" s="98"/>
      <c r="S1657" s="90"/>
      <c r="T1657" s="99"/>
    </row>
    <row r="1658" spans="1:20" s="94" customFormat="1" x14ac:dyDescent="0.3">
      <c r="A1658" s="96"/>
      <c r="B1658" s="96"/>
      <c r="C1658" s="87"/>
      <c r="D1658" s="97"/>
      <c r="E1658" s="83"/>
      <c r="F1658" s="83"/>
      <c r="G1658" s="84"/>
      <c r="H1658" s="86" t="e">
        <f>IF(I1658="fora",0%,G1658/QUÓRUM!$C$6)</f>
        <v>#DIV/0!</v>
      </c>
      <c r="I1658" s="87"/>
      <c r="J1658" s="88"/>
      <c r="K1658" s="88"/>
      <c r="L1658" s="89"/>
      <c r="M1658" s="89"/>
      <c r="N1658" s="90"/>
      <c r="O1658" s="90"/>
      <c r="P1658" s="90"/>
      <c r="Q1658" s="87"/>
      <c r="R1658" s="98"/>
      <c r="S1658" s="90"/>
      <c r="T1658" s="99"/>
    </row>
    <row r="1659" spans="1:20" s="94" customFormat="1" x14ac:dyDescent="0.3">
      <c r="A1659" s="96"/>
      <c r="B1659" s="96"/>
      <c r="C1659" s="87"/>
      <c r="D1659" s="97"/>
      <c r="E1659" s="83"/>
      <c r="F1659" s="83"/>
      <c r="G1659" s="84"/>
      <c r="H1659" s="86" t="e">
        <f>IF(I1659="fora",0%,G1659/QUÓRUM!$C$6)</f>
        <v>#DIV/0!</v>
      </c>
      <c r="I1659" s="87"/>
      <c r="J1659" s="88"/>
      <c r="K1659" s="88"/>
      <c r="L1659" s="89"/>
      <c r="M1659" s="89"/>
      <c r="N1659" s="90"/>
      <c r="O1659" s="90"/>
      <c r="P1659" s="90"/>
      <c r="Q1659" s="87"/>
      <c r="R1659" s="98"/>
      <c r="S1659" s="90"/>
      <c r="T1659" s="99"/>
    </row>
    <row r="1660" spans="1:20" s="94" customFormat="1" x14ac:dyDescent="0.3">
      <c r="A1660" s="96"/>
      <c r="B1660" s="96"/>
      <c r="C1660" s="87"/>
      <c r="D1660" s="97"/>
      <c r="E1660" s="83"/>
      <c r="F1660" s="83"/>
      <c r="G1660" s="84"/>
      <c r="H1660" s="86" t="e">
        <f>IF(I1660="fora",0%,G1660/QUÓRUM!$C$6)</f>
        <v>#DIV/0!</v>
      </c>
      <c r="I1660" s="87"/>
      <c r="J1660" s="88"/>
      <c r="K1660" s="88"/>
      <c r="L1660" s="89"/>
      <c r="M1660" s="89"/>
      <c r="N1660" s="90"/>
      <c r="O1660" s="90"/>
      <c r="P1660" s="90"/>
      <c r="Q1660" s="87"/>
      <c r="R1660" s="98"/>
      <c r="S1660" s="90"/>
      <c r="T1660" s="99"/>
    </row>
    <row r="1661" spans="1:20" s="94" customFormat="1" x14ac:dyDescent="0.3">
      <c r="A1661" s="96"/>
      <c r="B1661" s="96"/>
      <c r="C1661" s="87"/>
      <c r="D1661" s="97"/>
      <c r="E1661" s="83"/>
      <c r="F1661" s="83"/>
      <c r="G1661" s="84"/>
      <c r="H1661" s="86" t="e">
        <f>IF(I1661="fora",0%,G1661/QUÓRUM!$C$6)</f>
        <v>#DIV/0!</v>
      </c>
      <c r="I1661" s="87"/>
      <c r="J1661" s="88"/>
      <c r="K1661" s="88"/>
      <c r="L1661" s="89"/>
      <c r="M1661" s="89"/>
      <c r="N1661" s="90"/>
      <c r="O1661" s="90"/>
      <c r="P1661" s="90"/>
      <c r="Q1661" s="87"/>
      <c r="R1661" s="98"/>
      <c r="S1661" s="90"/>
      <c r="T1661" s="99"/>
    </row>
    <row r="1662" spans="1:20" s="94" customFormat="1" x14ac:dyDescent="0.3">
      <c r="A1662" s="96"/>
      <c r="B1662" s="96"/>
      <c r="C1662" s="87"/>
      <c r="D1662" s="97"/>
      <c r="E1662" s="83"/>
      <c r="F1662" s="83"/>
      <c r="G1662" s="84"/>
      <c r="H1662" s="86" t="e">
        <f>IF(I1662="fora",0%,G1662/QUÓRUM!$C$6)</f>
        <v>#DIV/0!</v>
      </c>
      <c r="I1662" s="87"/>
      <c r="J1662" s="88"/>
      <c r="K1662" s="88"/>
      <c r="L1662" s="89"/>
      <c r="M1662" s="89"/>
      <c r="N1662" s="90"/>
      <c r="O1662" s="90"/>
      <c r="P1662" s="90"/>
      <c r="Q1662" s="87"/>
      <c r="R1662" s="98"/>
      <c r="S1662" s="90"/>
      <c r="T1662" s="99"/>
    </row>
    <row r="1663" spans="1:20" s="94" customFormat="1" x14ac:dyDescent="0.3">
      <c r="A1663" s="96"/>
      <c r="B1663" s="96"/>
      <c r="C1663" s="87"/>
      <c r="D1663" s="97"/>
      <c r="E1663" s="83"/>
      <c r="F1663" s="83"/>
      <c r="G1663" s="84"/>
      <c r="H1663" s="86" t="e">
        <f>IF(I1663="fora",0%,G1663/QUÓRUM!$C$6)</f>
        <v>#DIV/0!</v>
      </c>
      <c r="I1663" s="87"/>
      <c r="J1663" s="88"/>
      <c r="K1663" s="88"/>
      <c r="L1663" s="89"/>
      <c r="M1663" s="89"/>
      <c r="N1663" s="90"/>
      <c r="O1663" s="90"/>
      <c r="P1663" s="90"/>
      <c r="Q1663" s="87"/>
      <c r="R1663" s="98"/>
      <c r="S1663" s="90"/>
      <c r="T1663" s="99"/>
    </row>
    <row r="1664" spans="1:20" s="94" customFormat="1" x14ac:dyDescent="0.3">
      <c r="A1664" s="96"/>
      <c r="B1664" s="96"/>
      <c r="C1664" s="87"/>
      <c r="D1664" s="97"/>
      <c r="E1664" s="83"/>
      <c r="F1664" s="83"/>
      <c r="G1664" s="84"/>
      <c r="H1664" s="86" t="e">
        <f>IF(I1664="fora",0%,G1664/QUÓRUM!$C$6)</f>
        <v>#DIV/0!</v>
      </c>
      <c r="I1664" s="87"/>
      <c r="J1664" s="88"/>
      <c r="K1664" s="88"/>
      <c r="L1664" s="89"/>
      <c r="M1664" s="89"/>
      <c r="N1664" s="90"/>
      <c r="O1664" s="90"/>
      <c r="P1664" s="90"/>
      <c r="Q1664" s="87"/>
      <c r="R1664" s="98"/>
      <c r="S1664" s="90"/>
      <c r="T1664" s="99"/>
    </row>
    <row r="1665" spans="1:20" s="94" customFormat="1" x14ac:dyDescent="0.3">
      <c r="A1665" s="96"/>
      <c r="B1665" s="96"/>
      <c r="C1665" s="87"/>
      <c r="D1665" s="97"/>
      <c r="E1665" s="83"/>
      <c r="F1665" s="83"/>
      <c r="G1665" s="100"/>
      <c r="H1665" s="86" t="e">
        <f>IF(I1665="fora",0%,G1665/QUÓRUM!$C$6)</f>
        <v>#DIV/0!</v>
      </c>
      <c r="I1665" s="87"/>
      <c r="J1665" s="88"/>
      <c r="K1665" s="88"/>
      <c r="L1665" s="89"/>
      <c r="M1665" s="89"/>
      <c r="N1665" s="90"/>
      <c r="O1665" s="90"/>
      <c r="P1665" s="90"/>
      <c r="Q1665" s="87"/>
      <c r="R1665" s="98"/>
      <c r="S1665" s="90"/>
      <c r="T1665" s="99"/>
    </row>
    <row r="1666" spans="1:20" s="94" customFormat="1" x14ac:dyDescent="0.3">
      <c r="A1666" s="96"/>
      <c r="B1666" s="96"/>
      <c r="C1666" s="87"/>
      <c r="D1666" s="97"/>
      <c r="E1666" s="83"/>
      <c r="F1666" s="83"/>
      <c r="G1666" s="84"/>
      <c r="H1666" s="86" t="e">
        <f>IF(I1666="fora",0%,G1666/QUÓRUM!$C$6)</f>
        <v>#DIV/0!</v>
      </c>
      <c r="I1666" s="87"/>
      <c r="J1666" s="88"/>
      <c r="K1666" s="88"/>
      <c r="L1666" s="89"/>
      <c r="M1666" s="89"/>
      <c r="N1666" s="90"/>
      <c r="O1666" s="90"/>
      <c r="P1666" s="90"/>
      <c r="Q1666" s="87"/>
      <c r="R1666" s="98"/>
      <c r="S1666" s="90"/>
      <c r="T1666" s="99"/>
    </row>
    <row r="1667" spans="1:20" s="94" customFormat="1" x14ac:dyDescent="0.3">
      <c r="A1667" s="96"/>
      <c r="B1667" s="96"/>
      <c r="C1667" s="87"/>
      <c r="D1667" s="97"/>
      <c r="E1667" s="83"/>
      <c r="F1667" s="83"/>
      <c r="G1667" s="84"/>
      <c r="H1667" s="86" t="e">
        <f>IF(I1667="fora",0%,G1667/QUÓRUM!$C$6)</f>
        <v>#DIV/0!</v>
      </c>
      <c r="I1667" s="87"/>
      <c r="J1667" s="88"/>
      <c r="K1667" s="88"/>
      <c r="L1667" s="89"/>
      <c r="M1667" s="89"/>
      <c r="N1667" s="90"/>
      <c r="O1667" s="90"/>
      <c r="P1667" s="90"/>
      <c r="Q1667" s="87"/>
      <c r="R1667" s="98"/>
      <c r="S1667" s="90"/>
      <c r="T1667" s="99"/>
    </row>
    <row r="1668" spans="1:20" s="94" customFormat="1" x14ac:dyDescent="0.3">
      <c r="A1668" s="96"/>
      <c r="B1668" s="96"/>
      <c r="C1668" s="87"/>
      <c r="D1668" s="97"/>
      <c r="E1668" s="83"/>
      <c r="F1668" s="83"/>
      <c r="G1668" s="84"/>
      <c r="H1668" s="86" t="e">
        <f>IF(I1668="fora",0%,G1668/QUÓRUM!$C$6)</f>
        <v>#DIV/0!</v>
      </c>
      <c r="I1668" s="87"/>
      <c r="J1668" s="88"/>
      <c r="K1668" s="88"/>
      <c r="L1668" s="89"/>
      <c r="M1668" s="89"/>
      <c r="N1668" s="90"/>
      <c r="O1668" s="90"/>
      <c r="P1668" s="90"/>
      <c r="Q1668" s="87"/>
      <c r="R1668" s="98"/>
      <c r="S1668" s="90"/>
      <c r="T1668" s="99"/>
    </row>
    <row r="1669" spans="1:20" s="94" customFormat="1" x14ac:dyDescent="0.3">
      <c r="A1669" s="96"/>
      <c r="B1669" s="96"/>
      <c r="C1669" s="87"/>
      <c r="D1669" s="97"/>
      <c r="E1669" s="83"/>
      <c r="F1669" s="83"/>
      <c r="G1669" s="84"/>
      <c r="H1669" s="86" t="e">
        <f>IF(I1669="fora",0%,G1669/QUÓRUM!$C$6)</f>
        <v>#DIV/0!</v>
      </c>
      <c r="I1669" s="87"/>
      <c r="J1669" s="88"/>
      <c r="K1669" s="88"/>
      <c r="L1669" s="89"/>
      <c r="M1669" s="89"/>
      <c r="N1669" s="90"/>
      <c r="O1669" s="90"/>
      <c r="P1669" s="90"/>
      <c r="Q1669" s="87"/>
      <c r="R1669" s="98"/>
      <c r="S1669" s="90"/>
      <c r="T1669" s="99"/>
    </row>
    <row r="1670" spans="1:20" s="94" customFormat="1" x14ac:dyDescent="0.3">
      <c r="A1670" s="96"/>
      <c r="B1670" s="96"/>
      <c r="C1670" s="87"/>
      <c r="D1670" s="97"/>
      <c r="E1670" s="83"/>
      <c r="F1670" s="83"/>
      <c r="G1670" s="84"/>
      <c r="H1670" s="86" t="e">
        <f>IF(I1670="fora",0%,G1670/QUÓRUM!$C$6)</f>
        <v>#DIV/0!</v>
      </c>
      <c r="I1670" s="87"/>
      <c r="J1670" s="88"/>
      <c r="K1670" s="88"/>
      <c r="L1670" s="89"/>
      <c r="M1670" s="89"/>
      <c r="N1670" s="90"/>
      <c r="O1670" s="90"/>
      <c r="P1670" s="90"/>
      <c r="Q1670" s="87"/>
      <c r="R1670" s="98"/>
      <c r="S1670" s="90"/>
      <c r="T1670" s="99"/>
    </row>
    <row r="1671" spans="1:20" s="94" customFormat="1" x14ac:dyDescent="0.3">
      <c r="A1671" s="96"/>
      <c r="B1671" s="96"/>
      <c r="C1671" s="87"/>
      <c r="D1671" s="97"/>
      <c r="E1671" s="83"/>
      <c r="F1671" s="83"/>
      <c r="G1671" s="84"/>
      <c r="H1671" s="86" t="e">
        <f>IF(I1671="fora",0%,G1671/QUÓRUM!$C$6)</f>
        <v>#DIV/0!</v>
      </c>
      <c r="I1671" s="87"/>
      <c r="J1671" s="88"/>
      <c r="K1671" s="88"/>
      <c r="L1671" s="89"/>
      <c r="M1671" s="89"/>
      <c r="N1671" s="90"/>
      <c r="O1671" s="90"/>
      <c r="P1671" s="90"/>
      <c r="Q1671" s="87"/>
      <c r="R1671" s="98"/>
      <c r="S1671" s="90"/>
      <c r="T1671" s="99"/>
    </row>
    <row r="1672" spans="1:20" s="94" customFormat="1" x14ac:dyDescent="0.3">
      <c r="A1672" s="96"/>
      <c r="B1672" s="96"/>
      <c r="C1672" s="87"/>
      <c r="D1672" s="97"/>
      <c r="E1672" s="83"/>
      <c r="F1672" s="83"/>
      <c r="G1672" s="84"/>
      <c r="H1672" s="86" t="e">
        <f>IF(I1672="fora",0%,G1672/QUÓRUM!$C$6)</f>
        <v>#DIV/0!</v>
      </c>
      <c r="I1672" s="87"/>
      <c r="J1672" s="88"/>
      <c r="K1672" s="88"/>
      <c r="L1672" s="89"/>
      <c r="M1672" s="89"/>
      <c r="N1672" s="90"/>
      <c r="O1672" s="90"/>
      <c r="P1672" s="90"/>
      <c r="Q1672" s="87"/>
      <c r="R1672" s="98"/>
      <c r="S1672" s="90"/>
      <c r="T1672" s="99"/>
    </row>
    <row r="1673" spans="1:20" s="94" customFormat="1" x14ac:dyDescent="0.3">
      <c r="A1673" s="96"/>
      <c r="B1673" s="96"/>
      <c r="C1673" s="87"/>
      <c r="D1673" s="97"/>
      <c r="E1673" s="83"/>
      <c r="F1673" s="83"/>
      <c r="G1673" s="84"/>
      <c r="H1673" s="86" t="e">
        <f>IF(I1673="fora",0%,G1673/QUÓRUM!$C$6)</f>
        <v>#DIV/0!</v>
      </c>
      <c r="I1673" s="87"/>
      <c r="J1673" s="88"/>
      <c r="K1673" s="88"/>
      <c r="L1673" s="89"/>
      <c r="M1673" s="89"/>
      <c r="N1673" s="90"/>
      <c r="O1673" s="90"/>
      <c r="P1673" s="90"/>
      <c r="Q1673" s="87"/>
      <c r="R1673" s="98"/>
      <c r="S1673" s="90"/>
      <c r="T1673" s="99"/>
    </row>
    <row r="1674" spans="1:20" s="94" customFormat="1" x14ac:dyDescent="0.3">
      <c r="A1674" s="96"/>
      <c r="B1674" s="96"/>
      <c r="C1674" s="87"/>
      <c r="D1674" s="97"/>
      <c r="E1674" s="83"/>
      <c r="F1674" s="83"/>
      <c r="G1674" s="84"/>
      <c r="H1674" s="86" t="e">
        <f>IF(I1674="fora",0%,G1674/QUÓRUM!$C$6)</f>
        <v>#DIV/0!</v>
      </c>
      <c r="I1674" s="87"/>
      <c r="J1674" s="88"/>
      <c r="K1674" s="88"/>
      <c r="L1674" s="89"/>
      <c r="M1674" s="89"/>
      <c r="N1674" s="90"/>
      <c r="O1674" s="90"/>
      <c r="P1674" s="90"/>
      <c r="Q1674" s="87"/>
      <c r="R1674" s="98"/>
      <c r="S1674" s="90"/>
      <c r="T1674" s="99"/>
    </row>
    <row r="1675" spans="1:20" s="94" customFormat="1" x14ac:dyDescent="0.3">
      <c r="A1675" s="96"/>
      <c r="B1675" s="96"/>
      <c r="C1675" s="87"/>
      <c r="D1675" s="97"/>
      <c r="E1675" s="83"/>
      <c r="F1675" s="83"/>
      <c r="G1675" s="84"/>
      <c r="H1675" s="86" t="e">
        <f>IF(I1675="fora",0%,G1675/QUÓRUM!$C$6)</f>
        <v>#DIV/0!</v>
      </c>
      <c r="I1675" s="87"/>
      <c r="J1675" s="88"/>
      <c r="K1675" s="88"/>
      <c r="L1675" s="89"/>
      <c r="M1675" s="89"/>
      <c r="N1675" s="90"/>
      <c r="O1675" s="90"/>
      <c r="P1675" s="90"/>
      <c r="Q1675" s="87"/>
      <c r="R1675" s="98"/>
      <c r="S1675" s="90"/>
      <c r="T1675" s="99"/>
    </row>
    <row r="1676" spans="1:20" s="94" customFormat="1" x14ac:dyDescent="0.3">
      <c r="A1676" s="96"/>
      <c r="B1676" s="96"/>
      <c r="C1676" s="87"/>
      <c r="D1676" s="97"/>
      <c r="E1676" s="83"/>
      <c r="F1676" s="83"/>
      <c r="G1676" s="84"/>
      <c r="H1676" s="86" t="e">
        <f>IF(I1676="fora",0%,G1676/QUÓRUM!$C$6)</f>
        <v>#DIV/0!</v>
      </c>
      <c r="I1676" s="87"/>
      <c r="J1676" s="88"/>
      <c r="K1676" s="88"/>
      <c r="L1676" s="89"/>
      <c r="M1676" s="89"/>
      <c r="N1676" s="90"/>
      <c r="O1676" s="90"/>
      <c r="P1676" s="90"/>
      <c r="Q1676" s="87"/>
      <c r="R1676" s="98"/>
      <c r="S1676" s="90"/>
      <c r="T1676" s="99"/>
    </row>
    <row r="1677" spans="1:20" s="94" customFormat="1" x14ac:dyDescent="0.3">
      <c r="A1677" s="96"/>
      <c r="B1677" s="96"/>
      <c r="C1677" s="87"/>
      <c r="D1677" s="97"/>
      <c r="E1677" s="83"/>
      <c r="F1677" s="83"/>
      <c r="G1677" s="84"/>
      <c r="H1677" s="86" t="e">
        <f>IF(I1677="fora",0%,G1677/QUÓRUM!$C$6)</f>
        <v>#DIV/0!</v>
      </c>
      <c r="I1677" s="87"/>
      <c r="J1677" s="88"/>
      <c r="K1677" s="88"/>
      <c r="L1677" s="89"/>
      <c r="M1677" s="89"/>
      <c r="N1677" s="90"/>
      <c r="O1677" s="90"/>
      <c r="P1677" s="90"/>
      <c r="Q1677" s="87"/>
      <c r="R1677" s="98"/>
      <c r="S1677" s="90"/>
      <c r="T1677" s="99"/>
    </row>
    <row r="1678" spans="1:20" s="94" customFormat="1" x14ac:dyDescent="0.3">
      <c r="A1678" s="96"/>
      <c r="B1678" s="96"/>
      <c r="C1678" s="87"/>
      <c r="D1678" s="97"/>
      <c r="E1678" s="83"/>
      <c r="F1678" s="83"/>
      <c r="G1678" s="84"/>
      <c r="H1678" s="86" t="e">
        <f>IF(I1678="fora",0%,G1678/QUÓRUM!$C$6)</f>
        <v>#DIV/0!</v>
      </c>
      <c r="I1678" s="87"/>
      <c r="J1678" s="88"/>
      <c r="K1678" s="88"/>
      <c r="L1678" s="89"/>
      <c r="M1678" s="89"/>
      <c r="N1678" s="90"/>
      <c r="O1678" s="90"/>
      <c r="P1678" s="90"/>
      <c r="Q1678" s="87"/>
      <c r="R1678" s="98"/>
      <c r="S1678" s="90"/>
      <c r="T1678" s="99"/>
    </row>
    <row r="1679" spans="1:20" s="94" customFormat="1" x14ac:dyDescent="0.3">
      <c r="A1679" s="96"/>
      <c r="B1679" s="96"/>
      <c r="C1679" s="87"/>
      <c r="D1679" s="97"/>
      <c r="E1679" s="83"/>
      <c r="F1679" s="83"/>
      <c r="G1679" s="84"/>
      <c r="H1679" s="86" t="e">
        <f>IF(I1679="fora",0%,G1679/QUÓRUM!$C$6)</f>
        <v>#DIV/0!</v>
      </c>
      <c r="I1679" s="87"/>
      <c r="J1679" s="88"/>
      <c r="K1679" s="88"/>
      <c r="L1679" s="89"/>
      <c r="M1679" s="89"/>
      <c r="N1679" s="90"/>
      <c r="O1679" s="90"/>
      <c r="P1679" s="90"/>
      <c r="Q1679" s="87"/>
      <c r="R1679" s="98"/>
      <c r="S1679" s="90"/>
      <c r="T1679" s="99"/>
    </row>
    <row r="1680" spans="1:20" s="94" customFormat="1" x14ac:dyDescent="0.3">
      <c r="A1680" s="96"/>
      <c r="B1680" s="96"/>
      <c r="C1680" s="87"/>
      <c r="D1680" s="97"/>
      <c r="E1680" s="83"/>
      <c r="F1680" s="83"/>
      <c r="G1680" s="84"/>
      <c r="H1680" s="86" t="e">
        <f>IF(I1680="fora",0%,G1680/QUÓRUM!$C$6)</f>
        <v>#DIV/0!</v>
      </c>
      <c r="I1680" s="87"/>
      <c r="J1680" s="88"/>
      <c r="K1680" s="88"/>
      <c r="L1680" s="89"/>
      <c r="M1680" s="89"/>
      <c r="N1680" s="90"/>
      <c r="O1680" s="90"/>
      <c r="P1680" s="90"/>
      <c r="Q1680" s="87"/>
      <c r="R1680" s="98"/>
      <c r="S1680" s="90"/>
      <c r="T1680" s="99"/>
    </row>
    <row r="1681" spans="1:20" s="94" customFormat="1" x14ac:dyDescent="0.3">
      <c r="A1681" s="96"/>
      <c r="B1681" s="96"/>
      <c r="C1681" s="87"/>
      <c r="D1681" s="97"/>
      <c r="E1681" s="83"/>
      <c r="F1681" s="83"/>
      <c r="G1681" s="84"/>
      <c r="H1681" s="86" t="e">
        <f>IF(I1681="fora",0%,G1681/QUÓRUM!$C$6)</f>
        <v>#DIV/0!</v>
      </c>
      <c r="I1681" s="87"/>
      <c r="J1681" s="88"/>
      <c r="K1681" s="88"/>
      <c r="L1681" s="89"/>
      <c r="M1681" s="89"/>
      <c r="N1681" s="90"/>
      <c r="O1681" s="90"/>
      <c r="P1681" s="90"/>
      <c r="Q1681" s="87"/>
      <c r="R1681" s="98"/>
      <c r="S1681" s="90"/>
      <c r="T1681" s="99"/>
    </row>
    <row r="1682" spans="1:20" s="94" customFormat="1" x14ac:dyDescent="0.3">
      <c r="A1682" s="96"/>
      <c r="B1682" s="96"/>
      <c r="C1682" s="87"/>
      <c r="D1682" s="97"/>
      <c r="E1682" s="83"/>
      <c r="F1682" s="83"/>
      <c r="G1682" s="84"/>
      <c r="H1682" s="86" t="e">
        <f>IF(I1682="fora",0%,G1682/QUÓRUM!$C$6)</f>
        <v>#DIV/0!</v>
      </c>
      <c r="I1682" s="87"/>
      <c r="J1682" s="88"/>
      <c r="K1682" s="88"/>
      <c r="L1682" s="89"/>
      <c r="M1682" s="89"/>
      <c r="N1682" s="90"/>
      <c r="O1682" s="90"/>
      <c r="P1682" s="90"/>
      <c r="Q1682" s="87"/>
      <c r="R1682" s="98"/>
      <c r="S1682" s="90"/>
      <c r="T1682" s="99"/>
    </row>
    <row r="1683" spans="1:20" s="94" customFormat="1" x14ac:dyDescent="0.3">
      <c r="A1683" s="96"/>
      <c r="B1683" s="96"/>
      <c r="C1683" s="87"/>
      <c r="D1683" s="97"/>
      <c r="E1683" s="83"/>
      <c r="F1683" s="83"/>
      <c r="G1683" s="84"/>
      <c r="H1683" s="86" t="e">
        <f>IF(I1683="fora",0%,G1683/QUÓRUM!$C$6)</f>
        <v>#DIV/0!</v>
      </c>
      <c r="I1683" s="87"/>
      <c r="J1683" s="88"/>
      <c r="K1683" s="88"/>
      <c r="L1683" s="89"/>
      <c r="M1683" s="89"/>
      <c r="N1683" s="90"/>
      <c r="O1683" s="90"/>
      <c r="P1683" s="90"/>
      <c r="Q1683" s="87"/>
      <c r="R1683" s="98"/>
      <c r="S1683" s="90"/>
      <c r="T1683" s="99"/>
    </row>
    <row r="1684" spans="1:20" s="94" customFormat="1" x14ac:dyDescent="0.3">
      <c r="A1684" s="96"/>
      <c r="B1684" s="96"/>
      <c r="C1684" s="87"/>
      <c r="D1684" s="97"/>
      <c r="E1684" s="83"/>
      <c r="F1684" s="83"/>
      <c r="G1684" s="84"/>
      <c r="H1684" s="86" t="e">
        <f>IF(I1684="fora",0%,G1684/QUÓRUM!$C$6)</f>
        <v>#DIV/0!</v>
      </c>
      <c r="I1684" s="87"/>
      <c r="J1684" s="88"/>
      <c r="K1684" s="88"/>
      <c r="L1684" s="89"/>
      <c r="M1684" s="89"/>
      <c r="N1684" s="90"/>
      <c r="O1684" s="90"/>
      <c r="P1684" s="90"/>
      <c r="Q1684" s="87"/>
      <c r="R1684" s="98"/>
      <c r="S1684" s="90"/>
      <c r="T1684" s="99"/>
    </row>
    <row r="1685" spans="1:20" s="94" customFormat="1" x14ac:dyDescent="0.3">
      <c r="A1685" s="96"/>
      <c r="B1685" s="96"/>
      <c r="C1685" s="87"/>
      <c r="D1685" s="97"/>
      <c r="E1685" s="83"/>
      <c r="F1685" s="83"/>
      <c r="G1685" s="84"/>
      <c r="H1685" s="86" t="e">
        <f>IF(I1685="fora",0%,G1685/QUÓRUM!$C$6)</f>
        <v>#DIV/0!</v>
      </c>
      <c r="I1685" s="87"/>
      <c r="J1685" s="88"/>
      <c r="K1685" s="88"/>
      <c r="L1685" s="89"/>
      <c r="M1685" s="89"/>
      <c r="N1685" s="90"/>
      <c r="O1685" s="90"/>
      <c r="P1685" s="90"/>
      <c r="Q1685" s="87"/>
      <c r="R1685" s="98"/>
      <c r="S1685" s="90"/>
      <c r="T1685" s="99"/>
    </row>
    <row r="1686" spans="1:20" s="94" customFormat="1" x14ac:dyDescent="0.3">
      <c r="A1686" s="96"/>
      <c r="B1686" s="96"/>
      <c r="C1686" s="87"/>
      <c r="D1686" s="97"/>
      <c r="E1686" s="83"/>
      <c r="F1686" s="83"/>
      <c r="G1686" s="84"/>
      <c r="H1686" s="86" t="e">
        <f>IF(I1686="fora",0%,G1686/QUÓRUM!$C$6)</f>
        <v>#DIV/0!</v>
      </c>
      <c r="I1686" s="87"/>
      <c r="J1686" s="88"/>
      <c r="K1686" s="88"/>
      <c r="L1686" s="89"/>
      <c r="M1686" s="89"/>
      <c r="N1686" s="90"/>
      <c r="O1686" s="90"/>
      <c r="P1686" s="90"/>
      <c r="Q1686" s="87"/>
      <c r="R1686" s="98"/>
      <c r="S1686" s="90"/>
      <c r="T1686" s="99"/>
    </row>
    <row r="1687" spans="1:20" s="94" customFormat="1" x14ac:dyDescent="0.3">
      <c r="A1687" s="96"/>
      <c r="B1687" s="96"/>
      <c r="C1687" s="87"/>
      <c r="D1687" s="97"/>
      <c r="E1687" s="83"/>
      <c r="F1687" s="83"/>
      <c r="G1687" s="84"/>
      <c r="H1687" s="86" t="e">
        <f>IF(I1687="fora",0%,G1687/QUÓRUM!$C$6)</f>
        <v>#DIV/0!</v>
      </c>
      <c r="I1687" s="87"/>
      <c r="J1687" s="88"/>
      <c r="K1687" s="88"/>
      <c r="L1687" s="89"/>
      <c r="M1687" s="89"/>
      <c r="N1687" s="90"/>
      <c r="O1687" s="90"/>
      <c r="P1687" s="90"/>
      <c r="Q1687" s="87"/>
      <c r="R1687" s="98"/>
      <c r="S1687" s="90"/>
      <c r="T1687" s="99"/>
    </row>
    <row r="1688" spans="1:20" s="94" customFormat="1" x14ac:dyDescent="0.3">
      <c r="A1688" s="96"/>
      <c r="B1688" s="96"/>
      <c r="C1688" s="87"/>
      <c r="D1688" s="97"/>
      <c r="E1688" s="83"/>
      <c r="F1688" s="83"/>
      <c r="G1688" s="84"/>
      <c r="H1688" s="86" t="e">
        <f>IF(I1688="fora",0%,G1688/QUÓRUM!$C$6)</f>
        <v>#DIV/0!</v>
      </c>
      <c r="I1688" s="87"/>
      <c r="J1688" s="88"/>
      <c r="K1688" s="88"/>
      <c r="L1688" s="89"/>
      <c r="M1688" s="89"/>
      <c r="N1688" s="90"/>
      <c r="O1688" s="90"/>
      <c r="P1688" s="90"/>
      <c r="Q1688" s="87"/>
      <c r="R1688" s="98"/>
      <c r="S1688" s="90"/>
      <c r="T1688" s="99"/>
    </row>
    <row r="1689" spans="1:20" s="94" customFormat="1" x14ac:dyDescent="0.3">
      <c r="A1689" s="96"/>
      <c r="B1689" s="96"/>
      <c r="C1689" s="87"/>
      <c r="D1689" s="97"/>
      <c r="E1689" s="83"/>
      <c r="F1689" s="83"/>
      <c r="G1689" s="84"/>
      <c r="H1689" s="86" t="e">
        <f>IF(I1689="fora",0%,G1689/QUÓRUM!$C$6)</f>
        <v>#DIV/0!</v>
      </c>
      <c r="I1689" s="87"/>
      <c r="J1689" s="88"/>
      <c r="K1689" s="88"/>
      <c r="L1689" s="89"/>
      <c r="M1689" s="89"/>
      <c r="N1689" s="90"/>
      <c r="O1689" s="90"/>
      <c r="P1689" s="90"/>
      <c r="Q1689" s="87"/>
      <c r="R1689" s="98"/>
      <c r="S1689" s="90"/>
      <c r="T1689" s="99"/>
    </row>
    <row r="1690" spans="1:20" s="94" customFormat="1" x14ac:dyDescent="0.3">
      <c r="A1690" s="96"/>
      <c r="B1690" s="96"/>
      <c r="C1690" s="87"/>
      <c r="D1690" s="97"/>
      <c r="E1690" s="83"/>
      <c r="F1690" s="83"/>
      <c r="G1690" s="84"/>
      <c r="H1690" s="86" t="e">
        <f>IF(I1690="fora",0%,G1690/QUÓRUM!$C$6)</f>
        <v>#DIV/0!</v>
      </c>
      <c r="I1690" s="87"/>
      <c r="J1690" s="88"/>
      <c r="K1690" s="88"/>
      <c r="L1690" s="89"/>
      <c r="M1690" s="89"/>
      <c r="N1690" s="90"/>
      <c r="O1690" s="90"/>
      <c r="P1690" s="90"/>
      <c r="Q1690" s="87"/>
      <c r="R1690" s="98"/>
      <c r="S1690" s="90"/>
      <c r="T1690" s="99"/>
    </row>
    <row r="1691" spans="1:20" s="94" customFormat="1" x14ac:dyDescent="0.3">
      <c r="A1691" s="96"/>
      <c r="B1691" s="96"/>
      <c r="C1691" s="87"/>
      <c r="D1691" s="97"/>
      <c r="E1691" s="83"/>
      <c r="F1691" s="83"/>
      <c r="G1691" s="84"/>
      <c r="H1691" s="86" t="e">
        <f>IF(I1691="fora",0%,G1691/QUÓRUM!$C$6)</f>
        <v>#DIV/0!</v>
      </c>
      <c r="I1691" s="87"/>
      <c r="J1691" s="88"/>
      <c r="K1691" s="88"/>
      <c r="L1691" s="89"/>
      <c r="M1691" s="89"/>
      <c r="N1691" s="90"/>
      <c r="O1691" s="90"/>
      <c r="P1691" s="90"/>
      <c r="Q1691" s="87"/>
      <c r="R1691" s="98"/>
      <c r="S1691" s="90"/>
      <c r="T1691" s="99"/>
    </row>
    <row r="1692" spans="1:20" s="94" customFormat="1" x14ac:dyDescent="0.3">
      <c r="A1692" s="96"/>
      <c r="B1692" s="96"/>
      <c r="C1692" s="87"/>
      <c r="D1692" s="97"/>
      <c r="E1692" s="83"/>
      <c r="F1692" s="83"/>
      <c r="G1692" s="84"/>
      <c r="H1692" s="86" t="e">
        <f>IF(I1692="fora",0%,G1692/QUÓRUM!$C$6)</f>
        <v>#DIV/0!</v>
      </c>
      <c r="I1692" s="87"/>
      <c r="J1692" s="88"/>
      <c r="K1692" s="88"/>
      <c r="L1692" s="89"/>
      <c r="M1692" s="89"/>
      <c r="N1692" s="90"/>
      <c r="O1692" s="90"/>
      <c r="P1692" s="90"/>
      <c r="Q1692" s="87"/>
      <c r="R1692" s="98"/>
      <c r="S1692" s="90"/>
      <c r="T1692" s="99"/>
    </row>
    <row r="1693" spans="1:20" s="94" customFormat="1" x14ac:dyDescent="0.3">
      <c r="A1693" s="96"/>
      <c r="B1693" s="96"/>
      <c r="C1693" s="87"/>
      <c r="D1693" s="97"/>
      <c r="E1693" s="83"/>
      <c r="F1693" s="83"/>
      <c r="G1693" s="84"/>
      <c r="H1693" s="86" t="e">
        <f>IF(I1693="fora",0%,G1693/QUÓRUM!$C$6)</f>
        <v>#DIV/0!</v>
      </c>
      <c r="I1693" s="87"/>
      <c r="J1693" s="88"/>
      <c r="K1693" s="88"/>
      <c r="L1693" s="89"/>
      <c r="M1693" s="89"/>
      <c r="N1693" s="90"/>
      <c r="O1693" s="90"/>
      <c r="P1693" s="90"/>
      <c r="Q1693" s="87"/>
      <c r="R1693" s="98"/>
      <c r="S1693" s="90"/>
      <c r="T1693" s="99"/>
    </row>
    <row r="1694" spans="1:20" s="94" customFormat="1" x14ac:dyDescent="0.3">
      <c r="A1694" s="96"/>
      <c r="B1694" s="96"/>
      <c r="C1694" s="87"/>
      <c r="D1694" s="97"/>
      <c r="E1694" s="83"/>
      <c r="F1694" s="83"/>
      <c r="G1694" s="84"/>
      <c r="H1694" s="86" t="e">
        <f>IF(I1694="fora",0%,G1694/QUÓRUM!$C$6)</f>
        <v>#DIV/0!</v>
      </c>
      <c r="I1694" s="87"/>
      <c r="J1694" s="88"/>
      <c r="K1694" s="88"/>
      <c r="L1694" s="89"/>
      <c r="M1694" s="89"/>
      <c r="N1694" s="90"/>
      <c r="O1694" s="90"/>
      <c r="P1694" s="90"/>
      <c r="Q1694" s="87"/>
      <c r="R1694" s="98"/>
      <c r="S1694" s="90"/>
      <c r="T1694" s="99"/>
    </row>
    <row r="1695" spans="1:20" s="94" customFormat="1" x14ac:dyDescent="0.3">
      <c r="A1695" s="96"/>
      <c r="B1695" s="96"/>
      <c r="C1695" s="87"/>
      <c r="D1695" s="97"/>
      <c r="E1695" s="83"/>
      <c r="F1695" s="83"/>
      <c r="G1695" s="84"/>
      <c r="H1695" s="86" t="e">
        <f>IF(I1695="fora",0%,G1695/QUÓRUM!$C$6)</f>
        <v>#DIV/0!</v>
      </c>
      <c r="I1695" s="87"/>
      <c r="J1695" s="88"/>
      <c r="K1695" s="88"/>
      <c r="L1695" s="89"/>
      <c r="M1695" s="89"/>
      <c r="N1695" s="90"/>
      <c r="O1695" s="90"/>
      <c r="P1695" s="90"/>
      <c r="Q1695" s="87"/>
      <c r="R1695" s="98"/>
      <c r="S1695" s="90"/>
      <c r="T1695" s="99"/>
    </row>
    <row r="1696" spans="1:20" s="94" customFormat="1" x14ac:dyDescent="0.3">
      <c r="A1696" s="96"/>
      <c r="B1696" s="96"/>
      <c r="C1696" s="87"/>
      <c r="D1696" s="97"/>
      <c r="E1696" s="83"/>
      <c r="F1696" s="83"/>
      <c r="G1696" s="84"/>
      <c r="H1696" s="86" t="e">
        <f>IF(I1696="fora",0%,G1696/QUÓRUM!$C$6)</f>
        <v>#DIV/0!</v>
      </c>
      <c r="I1696" s="87"/>
      <c r="J1696" s="88"/>
      <c r="K1696" s="88"/>
      <c r="L1696" s="89"/>
      <c r="M1696" s="89"/>
      <c r="N1696" s="90"/>
      <c r="O1696" s="90"/>
      <c r="P1696" s="90"/>
      <c r="Q1696" s="87"/>
      <c r="R1696" s="98"/>
      <c r="S1696" s="90"/>
      <c r="T1696" s="99"/>
    </row>
    <row r="1697" spans="1:20" s="94" customFormat="1" x14ac:dyDescent="0.3">
      <c r="A1697" s="96"/>
      <c r="B1697" s="96"/>
      <c r="C1697" s="87"/>
      <c r="D1697" s="97"/>
      <c r="E1697" s="83"/>
      <c r="F1697" s="83"/>
      <c r="G1697" s="84"/>
      <c r="H1697" s="86" t="e">
        <f>IF(I1697="fora",0%,G1697/QUÓRUM!$C$6)</f>
        <v>#DIV/0!</v>
      </c>
      <c r="I1697" s="87"/>
      <c r="J1697" s="88"/>
      <c r="K1697" s="88"/>
      <c r="L1697" s="89"/>
      <c r="M1697" s="89"/>
      <c r="N1697" s="90"/>
      <c r="O1697" s="90"/>
      <c r="P1697" s="90"/>
      <c r="Q1697" s="87"/>
      <c r="R1697" s="98"/>
      <c r="S1697" s="90"/>
      <c r="T1697" s="99"/>
    </row>
    <row r="1698" spans="1:20" s="94" customFormat="1" x14ac:dyDescent="0.3">
      <c r="A1698" s="96"/>
      <c r="B1698" s="96"/>
      <c r="C1698" s="87"/>
      <c r="D1698" s="97"/>
      <c r="E1698" s="83"/>
      <c r="F1698" s="83"/>
      <c r="G1698" s="100"/>
      <c r="H1698" s="86" t="e">
        <f>IF(I1698="fora",0%,G1698/QUÓRUM!$C$6)</f>
        <v>#DIV/0!</v>
      </c>
      <c r="I1698" s="87"/>
      <c r="J1698" s="88"/>
      <c r="K1698" s="88"/>
      <c r="L1698" s="89"/>
      <c r="M1698" s="89"/>
      <c r="N1698" s="90"/>
      <c r="O1698" s="90"/>
      <c r="P1698" s="90"/>
      <c r="Q1698" s="87"/>
      <c r="R1698" s="98"/>
      <c r="S1698" s="90"/>
      <c r="T1698" s="99"/>
    </row>
    <row r="1699" spans="1:20" s="94" customFormat="1" x14ac:dyDescent="0.3">
      <c r="A1699" s="96"/>
      <c r="B1699" s="96"/>
      <c r="C1699" s="87"/>
      <c r="D1699" s="97"/>
      <c r="E1699" s="83"/>
      <c r="F1699" s="83"/>
      <c r="G1699" s="84"/>
      <c r="H1699" s="86" t="e">
        <f>IF(I1699="fora",0%,G1699/QUÓRUM!$C$6)</f>
        <v>#DIV/0!</v>
      </c>
      <c r="I1699" s="87"/>
      <c r="J1699" s="88"/>
      <c r="K1699" s="88"/>
      <c r="L1699" s="89"/>
      <c r="M1699" s="89"/>
      <c r="N1699" s="90"/>
      <c r="O1699" s="90"/>
      <c r="P1699" s="90"/>
      <c r="Q1699" s="87"/>
      <c r="R1699" s="98"/>
      <c r="S1699" s="90"/>
      <c r="T1699" s="99"/>
    </row>
    <row r="1700" spans="1:20" s="94" customFormat="1" x14ac:dyDescent="0.3">
      <c r="A1700" s="96"/>
      <c r="B1700" s="96"/>
      <c r="C1700" s="87"/>
      <c r="D1700" s="97"/>
      <c r="E1700" s="83"/>
      <c r="F1700" s="83"/>
      <c r="G1700" s="84"/>
      <c r="H1700" s="86" t="e">
        <f>IF(I1700="fora",0%,G1700/QUÓRUM!$C$6)</f>
        <v>#DIV/0!</v>
      </c>
      <c r="I1700" s="87"/>
      <c r="J1700" s="88"/>
      <c r="K1700" s="88"/>
      <c r="L1700" s="89"/>
      <c r="M1700" s="89"/>
      <c r="N1700" s="90"/>
      <c r="O1700" s="90"/>
      <c r="P1700" s="90"/>
      <c r="Q1700" s="87"/>
      <c r="R1700" s="98"/>
      <c r="S1700" s="90"/>
      <c r="T1700" s="99"/>
    </row>
    <row r="1701" spans="1:20" s="94" customFormat="1" x14ac:dyDescent="0.3">
      <c r="A1701" s="96"/>
      <c r="B1701" s="96"/>
      <c r="C1701" s="87"/>
      <c r="D1701" s="97"/>
      <c r="E1701" s="83"/>
      <c r="F1701" s="83"/>
      <c r="G1701" s="84"/>
      <c r="H1701" s="86" t="e">
        <f>IF(I1701="fora",0%,G1701/QUÓRUM!$C$6)</f>
        <v>#DIV/0!</v>
      </c>
      <c r="I1701" s="87"/>
      <c r="J1701" s="88"/>
      <c r="K1701" s="88"/>
      <c r="L1701" s="89"/>
      <c r="M1701" s="89"/>
      <c r="N1701" s="90"/>
      <c r="O1701" s="90"/>
      <c r="P1701" s="90"/>
      <c r="Q1701" s="87"/>
      <c r="R1701" s="98"/>
      <c r="S1701" s="90"/>
      <c r="T1701" s="99"/>
    </row>
    <row r="1702" spans="1:20" s="94" customFormat="1" x14ac:dyDescent="0.3">
      <c r="A1702" s="96"/>
      <c r="B1702" s="96"/>
      <c r="C1702" s="87"/>
      <c r="D1702" s="97"/>
      <c r="E1702" s="83"/>
      <c r="F1702" s="83"/>
      <c r="G1702" s="84"/>
      <c r="H1702" s="86" t="e">
        <f>IF(I1702="fora",0%,G1702/QUÓRUM!$C$6)</f>
        <v>#DIV/0!</v>
      </c>
      <c r="I1702" s="87"/>
      <c r="J1702" s="88"/>
      <c r="K1702" s="88"/>
      <c r="L1702" s="89"/>
      <c r="M1702" s="89"/>
      <c r="N1702" s="90"/>
      <c r="O1702" s="90"/>
      <c r="P1702" s="90"/>
      <c r="Q1702" s="87"/>
      <c r="R1702" s="98"/>
      <c r="S1702" s="90"/>
      <c r="T1702" s="99"/>
    </row>
    <row r="1703" spans="1:20" s="94" customFormat="1" x14ac:dyDescent="0.3">
      <c r="A1703" s="96"/>
      <c r="B1703" s="96"/>
      <c r="C1703" s="87"/>
      <c r="D1703" s="97"/>
      <c r="E1703" s="83"/>
      <c r="F1703" s="83"/>
      <c r="G1703" s="84"/>
      <c r="H1703" s="86" t="e">
        <f>IF(I1703="fora",0%,G1703/QUÓRUM!$C$6)</f>
        <v>#DIV/0!</v>
      </c>
      <c r="I1703" s="87"/>
      <c r="J1703" s="88"/>
      <c r="K1703" s="88"/>
      <c r="L1703" s="89"/>
      <c r="M1703" s="89"/>
      <c r="N1703" s="90"/>
      <c r="O1703" s="90"/>
      <c r="P1703" s="90"/>
      <c r="Q1703" s="87"/>
      <c r="R1703" s="98"/>
      <c r="S1703" s="90"/>
      <c r="T1703" s="99"/>
    </row>
    <row r="1704" spans="1:20" s="94" customFormat="1" x14ac:dyDescent="0.3">
      <c r="A1704" s="96"/>
      <c r="B1704" s="96"/>
      <c r="C1704" s="87"/>
      <c r="D1704" s="97"/>
      <c r="E1704" s="83"/>
      <c r="F1704" s="83"/>
      <c r="G1704" s="84"/>
      <c r="H1704" s="86" t="e">
        <f>IF(I1704="fora",0%,G1704/QUÓRUM!$C$6)</f>
        <v>#DIV/0!</v>
      </c>
      <c r="I1704" s="87"/>
      <c r="J1704" s="88"/>
      <c r="K1704" s="88"/>
      <c r="L1704" s="89"/>
      <c r="M1704" s="89"/>
      <c r="N1704" s="90"/>
      <c r="O1704" s="90"/>
      <c r="P1704" s="90"/>
      <c r="Q1704" s="87"/>
      <c r="R1704" s="98"/>
      <c r="S1704" s="90"/>
      <c r="T1704" s="99"/>
    </row>
    <row r="1705" spans="1:20" s="94" customFormat="1" x14ac:dyDescent="0.3">
      <c r="A1705" s="96"/>
      <c r="B1705" s="96"/>
      <c r="C1705" s="87"/>
      <c r="D1705" s="97"/>
      <c r="E1705" s="83"/>
      <c r="F1705" s="83"/>
      <c r="G1705" s="84"/>
      <c r="H1705" s="86" t="e">
        <f>IF(I1705="fora",0%,G1705/QUÓRUM!$C$6)</f>
        <v>#DIV/0!</v>
      </c>
      <c r="I1705" s="87"/>
      <c r="J1705" s="88"/>
      <c r="K1705" s="88"/>
      <c r="L1705" s="89"/>
      <c r="M1705" s="89"/>
      <c r="N1705" s="90"/>
      <c r="O1705" s="90"/>
      <c r="P1705" s="90"/>
      <c r="Q1705" s="87"/>
      <c r="R1705" s="98"/>
      <c r="S1705" s="90"/>
      <c r="T1705" s="99"/>
    </row>
    <row r="1706" spans="1:20" s="94" customFormat="1" x14ac:dyDescent="0.3">
      <c r="A1706" s="96"/>
      <c r="B1706" s="96"/>
      <c r="C1706" s="87"/>
      <c r="D1706" s="97"/>
      <c r="E1706" s="83"/>
      <c r="F1706" s="83"/>
      <c r="G1706" s="84"/>
      <c r="H1706" s="86" t="e">
        <f>IF(I1706="fora",0%,G1706/QUÓRUM!$C$6)</f>
        <v>#DIV/0!</v>
      </c>
      <c r="I1706" s="87"/>
      <c r="J1706" s="88"/>
      <c r="K1706" s="88"/>
      <c r="L1706" s="89"/>
      <c r="M1706" s="89"/>
      <c r="N1706" s="90"/>
      <c r="O1706" s="90"/>
      <c r="P1706" s="90"/>
      <c r="Q1706" s="87"/>
      <c r="R1706" s="98"/>
      <c r="S1706" s="90"/>
      <c r="T1706" s="99"/>
    </row>
    <row r="1707" spans="1:20" s="94" customFormat="1" x14ac:dyDescent="0.3">
      <c r="A1707" s="96"/>
      <c r="B1707" s="96"/>
      <c r="C1707" s="87"/>
      <c r="D1707" s="97"/>
      <c r="E1707" s="83"/>
      <c r="F1707" s="83"/>
      <c r="G1707" s="84"/>
      <c r="H1707" s="86" t="e">
        <f>IF(I1707="fora",0%,G1707/QUÓRUM!$C$6)</f>
        <v>#DIV/0!</v>
      </c>
      <c r="I1707" s="87"/>
      <c r="J1707" s="88"/>
      <c r="K1707" s="88"/>
      <c r="L1707" s="89"/>
      <c r="M1707" s="89"/>
      <c r="N1707" s="90"/>
      <c r="O1707" s="90"/>
      <c r="P1707" s="90"/>
      <c r="Q1707" s="87"/>
      <c r="R1707" s="98"/>
      <c r="S1707" s="90"/>
      <c r="T1707" s="99"/>
    </row>
    <row r="1708" spans="1:20" s="94" customFormat="1" x14ac:dyDescent="0.3">
      <c r="A1708" s="96"/>
      <c r="B1708" s="96"/>
      <c r="C1708" s="87"/>
      <c r="D1708" s="97"/>
      <c r="E1708" s="83"/>
      <c r="F1708" s="83"/>
      <c r="G1708" s="84"/>
      <c r="H1708" s="86" t="e">
        <f>IF(I1708="fora",0%,G1708/QUÓRUM!$C$6)</f>
        <v>#DIV/0!</v>
      </c>
      <c r="I1708" s="87"/>
      <c r="J1708" s="88"/>
      <c r="K1708" s="88"/>
      <c r="L1708" s="89"/>
      <c r="M1708" s="89"/>
      <c r="N1708" s="90"/>
      <c r="O1708" s="90"/>
      <c r="P1708" s="90"/>
      <c r="Q1708" s="87"/>
      <c r="R1708" s="98"/>
      <c r="S1708" s="90"/>
      <c r="T1708" s="99"/>
    </row>
    <row r="1709" spans="1:20" s="94" customFormat="1" x14ac:dyDescent="0.3">
      <c r="A1709" s="96"/>
      <c r="B1709" s="96"/>
      <c r="C1709" s="87"/>
      <c r="D1709" s="97"/>
      <c r="E1709" s="83"/>
      <c r="F1709" s="83"/>
      <c r="G1709" s="84"/>
      <c r="H1709" s="86" t="e">
        <f>IF(I1709="fora",0%,G1709/QUÓRUM!$C$6)</f>
        <v>#DIV/0!</v>
      </c>
      <c r="I1709" s="87"/>
      <c r="J1709" s="88"/>
      <c r="K1709" s="88"/>
      <c r="L1709" s="89"/>
      <c r="M1709" s="89"/>
      <c r="N1709" s="90"/>
      <c r="O1709" s="90"/>
      <c r="P1709" s="90"/>
      <c r="Q1709" s="87"/>
      <c r="R1709" s="98"/>
      <c r="S1709" s="90"/>
      <c r="T1709" s="99"/>
    </row>
    <row r="1710" spans="1:20" s="94" customFormat="1" x14ac:dyDescent="0.3">
      <c r="A1710" s="96"/>
      <c r="B1710" s="96"/>
      <c r="C1710" s="87"/>
      <c r="D1710" s="97"/>
      <c r="E1710" s="83"/>
      <c r="F1710" s="83"/>
      <c r="G1710" s="84"/>
      <c r="H1710" s="86" t="e">
        <f>IF(I1710="fora",0%,G1710/QUÓRUM!$C$6)</f>
        <v>#DIV/0!</v>
      </c>
      <c r="I1710" s="87"/>
      <c r="J1710" s="88"/>
      <c r="K1710" s="88"/>
      <c r="L1710" s="89"/>
      <c r="M1710" s="89"/>
      <c r="N1710" s="90"/>
      <c r="O1710" s="90"/>
      <c r="P1710" s="90"/>
      <c r="Q1710" s="87"/>
      <c r="R1710" s="98"/>
      <c r="S1710" s="90"/>
      <c r="T1710" s="99"/>
    </row>
    <row r="1711" spans="1:20" s="94" customFormat="1" x14ac:dyDescent="0.3">
      <c r="A1711" s="96"/>
      <c r="B1711" s="96"/>
      <c r="C1711" s="87"/>
      <c r="D1711" s="97"/>
      <c r="E1711" s="83"/>
      <c r="F1711" s="83"/>
      <c r="G1711" s="84"/>
      <c r="H1711" s="86" t="e">
        <f>IF(I1711="fora",0%,G1711/QUÓRUM!$C$6)</f>
        <v>#DIV/0!</v>
      </c>
      <c r="I1711" s="87"/>
      <c r="J1711" s="88"/>
      <c r="K1711" s="88"/>
      <c r="L1711" s="89"/>
      <c r="M1711" s="89"/>
      <c r="N1711" s="90"/>
      <c r="O1711" s="90"/>
      <c r="P1711" s="90"/>
      <c r="Q1711" s="87"/>
      <c r="R1711" s="98"/>
      <c r="S1711" s="90"/>
      <c r="T1711" s="99"/>
    </row>
    <row r="1712" spans="1:20" s="94" customFormat="1" x14ac:dyDescent="0.3">
      <c r="A1712" s="96"/>
      <c r="B1712" s="96"/>
      <c r="C1712" s="87"/>
      <c r="D1712" s="97"/>
      <c r="E1712" s="83"/>
      <c r="F1712" s="83"/>
      <c r="G1712" s="84"/>
      <c r="H1712" s="86" t="e">
        <f>IF(I1712="fora",0%,G1712/QUÓRUM!$C$6)</f>
        <v>#DIV/0!</v>
      </c>
      <c r="I1712" s="87"/>
      <c r="J1712" s="88"/>
      <c r="K1712" s="88"/>
      <c r="L1712" s="89"/>
      <c r="M1712" s="89"/>
      <c r="N1712" s="90"/>
      <c r="O1712" s="90"/>
      <c r="P1712" s="90"/>
      <c r="Q1712" s="87"/>
      <c r="R1712" s="98"/>
      <c r="S1712" s="90"/>
      <c r="T1712" s="99"/>
    </row>
    <row r="1713" spans="1:20" s="94" customFormat="1" x14ac:dyDescent="0.3">
      <c r="A1713" s="96"/>
      <c r="B1713" s="96"/>
      <c r="C1713" s="87"/>
      <c r="D1713" s="97"/>
      <c r="E1713" s="83"/>
      <c r="F1713" s="83"/>
      <c r="G1713" s="84"/>
      <c r="H1713" s="86" t="e">
        <f>IF(I1713="fora",0%,G1713/QUÓRUM!$C$6)</f>
        <v>#DIV/0!</v>
      </c>
      <c r="I1713" s="87"/>
      <c r="J1713" s="88"/>
      <c r="K1713" s="88"/>
      <c r="L1713" s="89"/>
      <c r="M1713" s="89"/>
      <c r="N1713" s="90"/>
      <c r="O1713" s="90"/>
      <c r="P1713" s="90"/>
      <c r="Q1713" s="87"/>
      <c r="R1713" s="98"/>
      <c r="S1713" s="90"/>
      <c r="T1713" s="99"/>
    </row>
    <row r="1714" spans="1:20" s="94" customFormat="1" x14ac:dyDescent="0.3">
      <c r="A1714" s="96"/>
      <c r="B1714" s="96"/>
      <c r="C1714" s="87"/>
      <c r="D1714" s="97"/>
      <c r="E1714" s="83"/>
      <c r="F1714" s="83"/>
      <c r="G1714" s="100"/>
      <c r="H1714" s="86" t="e">
        <f>IF(I1714="fora",0%,G1714/QUÓRUM!$C$6)</f>
        <v>#DIV/0!</v>
      </c>
      <c r="I1714" s="87"/>
      <c r="J1714" s="88"/>
      <c r="K1714" s="88"/>
      <c r="L1714" s="89"/>
      <c r="M1714" s="89"/>
      <c r="N1714" s="90"/>
      <c r="O1714" s="90"/>
      <c r="P1714" s="90"/>
      <c r="Q1714" s="87"/>
      <c r="R1714" s="98"/>
      <c r="S1714" s="90"/>
      <c r="T1714" s="99"/>
    </row>
    <row r="1715" spans="1:20" s="94" customFormat="1" x14ac:dyDescent="0.3">
      <c r="A1715" s="96"/>
      <c r="B1715" s="96"/>
      <c r="C1715" s="87"/>
      <c r="D1715" s="97"/>
      <c r="E1715" s="83"/>
      <c r="F1715" s="83"/>
      <c r="G1715" s="84"/>
      <c r="H1715" s="86" t="e">
        <f>IF(I1715="fora",0%,G1715/QUÓRUM!$C$6)</f>
        <v>#DIV/0!</v>
      </c>
      <c r="I1715" s="87"/>
      <c r="J1715" s="88"/>
      <c r="K1715" s="88"/>
      <c r="L1715" s="89"/>
      <c r="M1715" s="89"/>
      <c r="N1715" s="90"/>
      <c r="O1715" s="90"/>
      <c r="P1715" s="90"/>
      <c r="Q1715" s="87"/>
      <c r="R1715" s="98"/>
      <c r="S1715" s="90"/>
      <c r="T1715" s="99"/>
    </row>
    <row r="1716" spans="1:20" s="94" customFormat="1" x14ac:dyDescent="0.3">
      <c r="A1716" s="96"/>
      <c r="B1716" s="96"/>
      <c r="C1716" s="87"/>
      <c r="D1716" s="97"/>
      <c r="E1716" s="83"/>
      <c r="F1716" s="83"/>
      <c r="G1716" s="84"/>
      <c r="H1716" s="86" t="e">
        <f>IF(I1716="fora",0%,G1716/QUÓRUM!$C$6)</f>
        <v>#DIV/0!</v>
      </c>
      <c r="I1716" s="87"/>
      <c r="J1716" s="88"/>
      <c r="K1716" s="88"/>
      <c r="L1716" s="89"/>
      <c r="M1716" s="89"/>
      <c r="N1716" s="90"/>
      <c r="O1716" s="90"/>
      <c r="P1716" s="90"/>
      <c r="Q1716" s="87"/>
      <c r="R1716" s="98"/>
      <c r="S1716" s="90"/>
      <c r="T1716" s="99"/>
    </row>
    <row r="1717" spans="1:20" s="94" customFormat="1" x14ac:dyDescent="0.3">
      <c r="A1717" s="96"/>
      <c r="B1717" s="96"/>
      <c r="C1717" s="87"/>
      <c r="D1717" s="97"/>
      <c r="E1717" s="83"/>
      <c r="F1717" s="83"/>
      <c r="G1717" s="84"/>
      <c r="H1717" s="86" t="e">
        <f>IF(I1717="fora",0%,G1717/QUÓRUM!$C$6)</f>
        <v>#DIV/0!</v>
      </c>
      <c r="I1717" s="87"/>
      <c r="J1717" s="88"/>
      <c r="K1717" s="88"/>
      <c r="L1717" s="89"/>
      <c r="M1717" s="89"/>
      <c r="N1717" s="90"/>
      <c r="O1717" s="90"/>
      <c r="P1717" s="90"/>
      <c r="Q1717" s="87"/>
      <c r="R1717" s="98"/>
      <c r="S1717" s="90"/>
      <c r="T1717" s="99"/>
    </row>
    <row r="1718" spans="1:20" s="94" customFormat="1" x14ac:dyDescent="0.3">
      <c r="A1718" s="96"/>
      <c r="B1718" s="96"/>
      <c r="C1718" s="87"/>
      <c r="D1718" s="97"/>
      <c r="E1718" s="83"/>
      <c r="F1718" s="83"/>
      <c r="G1718" s="84"/>
      <c r="H1718" s="86" t="e">
        <f>IF(I1718="fora",0%,G1718/QUÓRUM!$C$6)</f>
        <v>#DIV/0!</v>
      </c>
      <c r="I1718" s="87"/>
      <c r="J1718" s="88"/>
      <c r="K1718" s="88"/>
      <c r="L1718" s="89"/>
      <c r="M1718" s="89"/>
      <c r="N1718" s="90"/>
      <c r="O1718" s="90"/>
      <c r="P1718" s="90"/>
      <c r="Q1718" s="87"/>
      <c r="R1718" s="98"/>
      <c r="S1718" s="90"/>
      <c r="T1718" s="99"/>
    </row>
    <row r="1719" spans="1:20" s="94" customFormat="1" x14ac:dyDescent="0.3">
      <c r="A1719" s="96"/>
      <c r="B1719" s="96"/>
      <c r="C1719" s="87"/>
      <c r="D1719" s="97"/>
      <c r="E1719" s="83"/>
      <c r="F1719" s="83"/>
      <c r="G1719" s="100"/>
      <c r="H1719" s="86" t="e">
        <f>IF(I1719="fora",0%,G1719/QUÓRUM!$C$6)</f>
        <v>#DIV/0!</v>
      </c>
      <c r="I1719" s="87"/>
      <c r="J1719" s="88"/>
      <c r="K1719" s="88"/>
      <c r="L1719" s="89"/>
      <c r="M1719" s="89"/>
      <c r="N1719" s="90"/>
      <c r="O1719" s="90"/>
      <c r="P1719" s="90"/>
      <c r="Q1719" s="87"/>
      <c r="R1719" s="98"/>
      <c r="S1719" s="90"/>
      <c r="T1719" s="99"/>
    </row>
    <row r="1720" spans="1:20" s="94" customFormat="1" x14ac:dyDescent="0.3">
      <c r="A1720" s="96"/>
      <c r="B1720" s="96"/>
      <c r="C1720" s="87"/>
      <c r="D1720" s="97"/>
      <c r="E1720" s="83"/>
      <c r="F1720" s="83"/>
      <c r="G1720" s="84"/>
      <c r="H1720" s="86" t="e">
        <f>IF(I1720="fora",0%,G1720/QUÓRUM!$C$6)</f>
        <v>#DIV/0!</v>
      </c>
      <c r="I1720" s="87"/>
      <c r="J1720" s="88"/>
      <c r="K1720" s="88"/>
      <c r="L1720" s="89"/>
      <c r="M1720" s="89"/>
      <c r="N1720" s="90"/>
      <c r="O1720" s="90"/>
      <c r="P1720" s="90"/>
      <c r="Q1720" s="87"/>
      <c r="R1720" s="98"/>
      <c r="S1720" s="90"/>
      <c r="T1720" s="99"/>
    </row>
    <row r="1721" spans="1:20" s="94" customFormat="1" x14ac:dyDescent="0.3">
      <c r="A1721" s="96"/>
      <c r="B1721" s="96"/>
      <c r="C1721" s="87"/>
      <c r="D1721" s="97"/>
      <c r="E1721" s="83"/>
      <c r="F1721" s="83"/>
      <c r="G1721" s="84"/>
      <c r="H1721" s="86" t="e">
        <f>IF(I1721="fora",0%,G1721/QUÓRUM!$C$6)</f>
        <v>#DIV/0!</v>
      </c>
      <c r="I1721" s="87"/>
      <c r="J1721" s="88"/>
      <c r="K1721" s="88"/>
      <c r="L1721" s="89"/>
      <c r="M1721" s="89"/>
      <c r="N1721" s="90"/>
      <c r="O1721" s="90"/>
      <c r="P1721" s="90"/>
      <c r="Q1721" s="87"/>
      <c r="R1721" s="98"/>
      <c r="S1721" s="90"/>
      <c r="T1721" s="99"/>
    </row>
    <row r="1722" spans="1:20" s="94" customFormat="1" x14ac:dyDescent="0.3">
      <c r="A1722" s="96"/>
      <c r="B1722" s="96"/>
      <c r="C1722" s="87"/>
      <c r="D1722" s="97"/>
      <c r="E1722" s="83"/>
      <c r="F1722" s="83"/>
      <c r="G1722" s="84"/>
      <c r="H1722" s="86" t="e">
        <f>IF(I1722="fora",0%,G1722/QUÓRUM!$C$6)</f>
        <v>#DIV/0!</v>
      </c>
      <c r="I1722" s="87"/>
      <c r="J1722" s="88"/>
      <c r="K1722" s="88"/>
      <c r="L1722" s="89"/>
      <c r="M1722" s="89"/>
      <c r="N1722" s="90"/>
      <c r="O1722" s="90"/>
      <c r="P1722" s="90"/>
      <c r="Q1722" s="87"/>
      <c r="R1722" s="98"/>
      <c r="S1722" s="90"/>
      <c r="T1722" s="99"/>
    </row>
    <row r="1723" spans="1:20" s="94" customFormat="1" x14ac:dyDescent="0.3">
      <c r="A1723" s="96"/>
      <c r="B1723" s="96"/>
      <c r="C1723" s="87"/>
      <c r="D1723" s="97"/>
      <c r="E1723" s="83"/>
      <c r="F1723" s="83"/>
      <c r="G1723" s="84"/>
      <c r="H1723" s="86" t="e">
        <f>IF(I1723="fora",0%,G1723/QUÓRUM!$C$6)</f>
        <v>#DIV/0!</v>
      </c>
      <c r="I1723" s="87"/>
      <c r="J1723" s="88"/>
      <c r="K1723" s="88"/>
      <c r="L1723" s="89"/>
      <c r="M1723" s="89"/>
      <c r="N1723" s="90"/>
      <c r="O1723" s="90"/>
      <c r="P1723" s="90"/>
      <c r="Q1723" s="87"/>
      <c r="R1723" s="98"/>
      <c r="S1723" s="90"/>
      <c r="T1723" s="99"/>
    </row>
    <row r="1724" spans="1:20" s="94" customFormat="1" x14ac:dyDescent="0.3">
      <c r="A1724" s="96"/>
      <c r="B1724" s="96"/>
      <c r="C1724" s="87"/>
      <c r="D1724" s="97"/>
      <c r="E1724" s="83"/>
      <c r="F1724" s="83"/>
      <c r="G1724" s="84"/>
      <c r="H1724" s="86" t="e">
        <f>IF(I1724="fora",0%,G1724/QUÓRUM!$C$6)</f>
        <v>#DIV/0!</v>
      </c>
      <c r="I1724" s="87"/>
      <c r="J1724" s="88"/>
      <c r="K1724" s="88"/>
      <c r="L1724" s="89"/>
      <c r="M1724" s="89"/>
      <c r="N1724" s="90"/>
      <c r="O1724" s="90"/>
      <c r="P1724" s="90"/>
      <c r="Q1724" s="87"/>
      <c r="R1724" s="98"/>
      <c r="S1724" s="90"/>
      <c r="T1724" s="99"/>
    </row>
    <row r="1725" spans="1:20" s="94" customFormat="1" x14ac:dyDescent="0.3">
      <c r="A1725" s="96"/>
      <c r="B1725" s="96"/>
      <c r="C1725" s="87"/>
      <c r="D1725" s="97"/>
      <c r="E1725" s="83"/>
      <c r="F1725" s="83"/>
      <c r="G1725" s="84"/>
      <c r="H1725" s="86" t="e">
        <f>IF(I1725="fora",0%,G1725/QUÓRUM!$C$6)</f>
        <v>#DIV/0!</v>
      </c>
      <c r="I1725" s="87"/>
      <c r="J1725" s="88"/>
      <c r="K1725" s="88"/>
      <c r="L1725" s="89"/>
      <c r="M1725" s="89"/>
      <c r="N1725" s="90"/>
      <c r="O1725" s="90"/>
      <c r="P1725" s="90"/>
      <c r="Q1725" s="87"/>
      <c r="R1725" s="98"/>
      <c r="S1725" s="90"/>
      <c r="T1725" s="99"/>
    </row>
    <row r="1726" spans="1:20" s="94" customFormat="1" x14ac:dyDescent="0.3">
      <c r="A1726" s="96"/>
      <c r="B1726" s="96"/>
      <c r="C1726" s="87"/>
      <c r="D1726" s="97"/>
      <c r="E1726" s="83"/>
      <c r="F1726" s="83"/>
      <c r="G1726" s="100"/>
      <c r="H1726" s="86" t="e">
        <f>IF(I1726="fora",0%,G1726/QUÓRUM!$C$6)</f>
        <v>#DIV/0!</v>
      </c>
      <c r="I1726" s="87"/>
      <c r="J1726" s="88"/>
      <c r="K1726" s="88"/>
      <c r="L1726" s="89"/>
      <c r="M1726" s="89"/>
      <c r="N1726" s="90"/>
      <c r="O1726" s="90"/>
      <c r="P1726" s="90"/>
      <c r="Q1726" s="87"/>
      <c r="R1726" s="98"/>
      <c r="S1726" s="90"/>
      <c r="T1726" s="99"/>
    </row>
    <row r="1727" spans="1:20" s="94" customFormat="1" x14ac:dyDescent="0.3">
      <c r="A1727" s="96"/>
      <c r="B1727" s="96"/>
      <c r="C1727" s="87"/>
      <c r="D1727" s="97"/>
      <c r="E1727" s="83"/>
      <c r="F1727" s="83"/>
      <c r="G1727" s="84"/>
      <c r="H1727" s="86" t="e">
        <f>IF(I1727="fora",0%,G1727/QUÓRUM!$C$6)</f>
        <v>#DIV/0!</v>
      </c>
      <c r="I1727" s="87"/>
      <c r="J1727" s="88"/>
      <c r="K1727" s="88"/>
      <c r="L1727" s="89"/>
      <c r="M1727" s="89"/>
      <c r="N1727" s="90"/>
      <c r="O1727" s="90"/>
      <c r="P1727" s="90"/>
      <c r="Q1727" s="87"/>
      <c r="R1727" s="98"/>
      <c r="S1727" s="90"/>
      <c r="T1727" s="99"/>
    </row>
    <row r="1728" spans="1:20" s="94" customFormat="1" x14ac:dyDescent="0.3">
      <c r="A1728" s="96"/>
      <c r="B1728" s="96"/>
      <c r="C1728" s="87"/>
      <c r="D1728" s="97"/>
      <c r="E1728" s="83"/>
      <c r="F1728" s="83"/>
      <c r="G1728" s="84"/>
      <c r="H1728" s="86" t="e">
        <f>IF(I1728="fora",0%,G1728/QUÓRUM!$C$6)</f>
        <v>#DIV/0!</v>
      </c>
      <c r="I1728" s="87"/>
      <c r="J1728" s="88"/>
      <c r="K1728" s="88"/>
      <c r="L1728" s="89"/>
      <c r="M1728" s="89"/>
      <c r="N1728" s="90"/>
      <c r="O1728" s="90"/>
      <c r="P1728" s="90"/>
      <c r="Q1728" s="87"/>
      <c r="R1728" s="98"/>
      <c r="S1728" s="90"/>
      <c r="T1728" s="99"/>
    </row>
    <row r="1729" spans="1:20" s="94" customFormat="1" x14ac:dyDescent="0.3">
      <c r="A1729" s="96"/>
      <c r="B1729" s="96"/>
      <c r="C1729" s="87"/>
      <c r="D1729" s="97"/>
      <c r="E1729" s="83"/>
      <c r="F1729" s="83"/>
      <c r="G1729" s="84"/>
      <c r="H1729" s="86" t="e">
        <f>IF(I1729="fora",0%,G1729/QUÓRUM!$C$6)</f>
        <v>#DIV/0!</v>
      </c>
      <c r="I1729" s="87"/>
      <c r="J1729" s="88"/>
      <c r="K1729" s="88"/>
      <c r="L1729" s="89"/>
      <c r="M1729" s="89"/>
      <c r="N1729" s="90"/>
      <c r="O1729" s="90"/>
      <c r="P1729" s="90"/>
      <c r="Q1729" s="87"/>
      <c r="R1729" s="98"/>
      <c r="S1729" s="90"/>
      <c r="T1729" s="99"/>
    </row>
    <row r="1730" spans="1:20" s="94" customFormat="1" x14ac:dyDescent="0.3">
      <c r="A1730" s="96"/>
      <c r="B1730" s="96"/>
      <c r="C1730" s="87"/>
      <c r="D1730" s="97"/>
      <c r="E1730" s="83"/>
      <c r="F1730" s="83"/>
      <c r="G1730" s="84"/>
      <c r="H1730" s="86" t="e">
        <f>IF(I1730="fora",0%,G1730/QUÓRUM!$C$6)</f>
        <v>#DIV/0!</v>
      </c>
      <c r="I1730" s="87"/>
      <c r="J1730" s="88"/>
      <c r="K1730" s="88"/>
      <c r="L1730" s="89"/>
      <c r="M1730" s="89"/>
      <c r="N1730" s="90"/>
      <c r="O1730" s="90"/>
      <c r="P1730" s="90"/>
      <c r="Q1730" s="87"/>
      <c r="R1730" s="98"/>
      <c r="S1730" s="90"/>
      <c r="T1730" s="99"/>
    </row>
    <row r="1731" spans="1:20" s="94" customFormat="1" x14ac:dyDescent="0.3">
      <c r="A1731" s="96"/>
      <c r="B1731" s="96"/>
      <c r="C1731" s="87"/>
      <c r="D1731" s="97"/>
      <c r="E1731" s="83"/>
      <c r="F1731" s="83"/>
      <c r="G1731" s="84"/>
      <c r="H1731" s="86" t="e">
        <f>IF(I1731="fora",0%,G1731/QUÓRUM!$C$6)</f>
        <v>#DIV/0!</v>
      </c>
      <c r="I1731" s="87"/>
      <c r="J1731" s="88"/>
      <c r="K1731" s="88"/>
      <c r="L1731" s="89"/>
      <c r="M1731" s="89"/>
      <c r="N1731" s="90"/>
      <c r="O1731" s="90"/>
      <c r="P1731" s="90"/>
      <c r="Q1731" s="87"/>
      <c r="R1731" s="98"/>
      <c r="S1731" s="90"/>
      <c r="T1731" s="99"/>
    </row>
    <row r="1732" spans="1:20" s="94" customFormat="1" x14ac:dyDescent="0.3">
      <c r="A1732" s="96"/>
      <c r="B1732" s="96"/>
      <c r="C1732" s="87"/>
      <c r="D1732" s="97"/>
      <c r="E1732" s="83"/>
      <c r="F1732" s="83"/>
      <c r="G1732" s="84"/>
      <c r="H1732" s="86" t="e">
        <f>IF(I1732="fora",0%,G1732/QUÓRUM!$C$6)</f>
        <v>#DIV/0!</v>
      </c>
      <c r="I1732" s="87"/>
      <c r="J1732" s="88"/>
      <c r="K1732" s="88"/>
      <c r="L1732" s="89"/>
      <c r="M1732" s="89"/>
      <c r="N1732" s="90"/>
      <c r="O1732" s="90"/>
      <c r="P1732" s="90"/>
      <c r="Q1732" s="87"/>
      <c r="R1732" s="98"/>
      <c r="S1732" s="90"/>
      <c r="T1732" s="99"/>
    </row>
    <row r="1733" spans="1:20" s="94" customFormat="1" x14ac:dyDescent="0.3">
      <c r="A1733" s="96"/>
      <c r="B1733" s="96"/>
      <c r="C1733" s="87"/>
      <c r="D1733" s="97"/>
      <c r="E1733" s="83"/>
      <c r="F1733" s="83"/>
      <c r="G1733" s="84"/>
      <c r="H1733" s="86" t="e">
        <f>IF(I1733="fora",0%,G1733/QUÓRUM!$C$6)</f>
        <v>#DIV/0!</v>
      </c>
      <c r="I1733" s="87"/>
      <c r="J1733" s="88"/>
      <c r="K1733" s="88"/>
      <c r="L1733" s="89"/>
      <c r="M1733" s="89"/>
      <c r="N1733" s="90"/>
      <c r="O1733" s="90"/>
      <c r="P1733" s="90"/>
      <c r="Q1733" s="87"/>
      <c r="R1733" s="98"/>
      <c r="S1733" s="90"/>
      <c r="T1733" s="99"/>
    </row>
    <row r="1734" spans="1:20" s="94" customFormat="1" x14ac:dyDescent="0.3">
      <c r="A1734" s="96"/>
      <c r="B1734" s="96"/>
      <c r="C1734" s="87"/>
      <c r="D1734" s="97"/>
      <c r="E1734" s="83"/>
      <c r="F1734" s="83"/>
      <c r="G1734" s="84"/>
      <c r="H1734" s="86" t="e">
        <f>IF(I1734="fora",0%,G1734/QUÓRUM!$C$6)</f>
        <v>#DIV/0!</v>
      </c>
      <c r="I1734" s="87"/>
      <c r="J1734" s="88"/>
      <c r="K1734" s="88"/>
      <c r="L1734" s="89"/>
      <c r="M1734" s="89"/>
      <c r="N1734" s="90"/>
      <c r="O1734" s="90"/>
      <c r="P1734" s="90"/>
      <c r="Q1734" s="87"/>
      <c r="R1734" s="98"/>
      <c r="S1734" s="90"/>
      <c r="T1734" s="99"/>
    </row>
    <row r="1735" spans="1:20" s="94" customFormat="1" x14ac:dyDescent="0.3">
      <c r="A1735" s="96"/>
      <c r="B1735" s="96"/>
      <c r="C1735" s="87"/>
      <c r="D1735" s="97"/>
      <c r="E1735" s="83"/>
      <c r="F1735" s="83"/>
      <c r="G1735" s="84"/>
      <c r="H1735" s="86" t="e">
        <f>IF(I1735="fora",0%,G1735/QUÓRUM!$C$6)</f>
        <v>#DIV/0!</v>
      </c>
      <c r="I1735" s="87"/>
      <c r="J1735" s="88"/>
      <c r="K1735" s="88"/>
      <c r="L1735" s="89"/>
      <c r="M1735" s="89"/>
      <c r="N1735" s="90"/>
      <c r="O1735" s="90"/>
      <c r="P1735" s="90"/>
      <c r="Q1735" s="87"/>
      <c r="R1735" s="98"/>
      <c r="S1735" s="90"/>
      <c r="T1735" s="99"/>
    </row>
    <row r="1736" spans="1:20" s="94" customFormat="1" x14ac:dyDescent="0.3">
      <c r="A1736" s="96"/>
      <c r="B1736" s="96"/>
      <c r="C1736" s="87"/>
      <c r="D1736" s="97"/>
      <c r="E1736" s="83"/>
      <c r="F1736" s="83"/>
      <c r="G1736" s="84"/>
      <c r="H1736" s="86" t="e">
        <f>IF(I1736="fora",0%,G1736/QUÓRUM!$C$6)</f>
        <v>#DIV/0!</v>
      </c>
      <c r="I1736" s="87"/>
      <c r="J1736" s="88"/>
      <c r="K1736" s="88"/>
      <c r="L1736" s="89"/>
      <c r="M1736" s="89"/>
      <c r="N1736" s="90"/>
      <c r="O1736" s="90"/>
      <c r="P1736" s="90"/>
      <c r="Q1736" s="87"/>
      <c r="R1736" s="98"/>
      <c r="S1736" s="90"/>
      <c r="T1736" s="99"/>
    </row>
    <row r="1737" spans="1:20" s="94" customFormat="1" x14ac:dyDescent="0.3">
      <c r="A1737" s="96"/>
      <c r="B1737" s="96"/>
      <c r="C1737" s="87"/>
      <c r="D1737" s="97"/>
      <c r="E1737" s="83"/>
      <c r="F1737" s="83"/>
      <c r="G1737" s="84"/>
      <c r="H1737" s="86" t="e">
        <f>IF(I1737="fora",0%,G1737/QUÓRUM!$C$6)</f>
        <v>#DIV/0!</v>
      </c>
      <c r="I1737" s="87"/>
      <c r="J1737" s="88"/>
      <c r="K1737" s="88"/>
      <c r="L1737" s="89"/>
      <c r="M1737" s="89"/>
      <c r="N1737" s="90"/>
      <c r="O1737" s="90"/>
      <c r="P1737" s="90"/>
      <c r="Q1737" s="87"/>
      <c r="R1737" s="98"/>
      <c r="S1737" s="90"/>
      <c r="T1737" s="99"/>
    </row>
    <row r="1738" spans="1:20" s="94" customFormat="1" x14ac:dyDescent="0.3">
      <c r="A1738" s="96"/>
      <c r="B1738" s="96"/>
      <c r="C1738" s="87"/>
      <c r="D1738" s="97"/>
      <c r="E1738" s="83"/>
      <c r="F1738" s="83"/>
      <c r="G1738" s="84"/>
      <c r="H1738" s="86" t="e">
        <f>IF(I1738="fora",0%,G1738/QUÓRUM!$C$6)</f>
        <v>#DIV/0!</v>
      </c>
      <c r="I1738" s="87"/>
      <c r="J1738" s="88"/>
      <c r="K1738" s="88"/>
      <c r="L1738" s="89"/>
      <c r="M1738" s="89"/>
      <c r="N1738" s="90"/>
      <c r="O1738" s="90"/>
      <c r="P1738" s="90"/>
      <c r="Q1738" s="87"/>
      <c r="R1738" s="98"/>
      <c r="S1738" s="90"/>
      <c r="T1738" s="99"/>
    </row>
    <row r="1739" spans="1:20" s="94" customFormat="1" x14ac:dyDescent="0.3">
      <c r="A1739" s="96"/>
      <c r="B1739" s="96"/>
      <c r="C1739" s="87"/>
      <c r="D1739" s="97"/>
      <c r="E1739" s="83"/>
      <c r="F1739" s="83"/>
      <c r="G1739" s="84"/>
      <c r="H1739" s="86" t="e">
        <f>IF(I1739="fora",0%,G1739/QUÓRUM!$C$6)</f>
        <v>#DIV/0!</v>
      </c>
      <c r="I1739" s="87"/>
      <c r="J1739" s="88"/>
      <c r="K1739" s="88"/>
      <c r="L1739" s="89"/>
      <c r="M1739" s="89"/>
      <c r="N1739" s="90"/>
      <c r="O1739" s="90"/>
      <c r="P1739" s="90"/>
      <c r="Q1739" s="87"/>
      <c r="R1739" s="98"/>
      <c r="S1739" s="90"/>
      <c r="T1739" s="99"/>
    </row>
    <row r="1740" spans="1:20" s="94" customFormat="1" x14ac:dyDescent="0.3">
      <c r="A1740" s="96"/>
      <c r="B1740" s="96"/>
      <c r="C1740" s="87"/>
      <c r="D1740" s="97"/>
      <c r="E1740" s="83"/>
      <c r="F1740" s="83"/>
      <c r="G1740" s="84"/>
      <c r="H1740" s="86" t="e">
        <f>IF(I1740="fora",0%,G1740/QUÓRUM!$C$6)</f>
        <v>#DIV/0!</v>
      </c>
      <c r="I1740" s="87"/>
      <c r="J1740" s="88"/>
      <c r="K1740" s="88"/>
      <c r="L1740" s="89"/>
      <c r="M1740" s="89"/>
      <c r="N1740" s="90"/>
      <c r="O1740" s="90"/>
      <c r="P1740" s="90"/>
      <c r="Q1740" s="87"/>
      <c r="R1740" s="98"/>
      <c r="S1740" s="90"/>
      <c r="T1740" s="99"/>
    </row>
    <row r="1741" spans="1:20" s="94" customFormat="1" x14ac:dyDescent="0.3">
      <c r="A1741" s="96"/>
      <c r="B1741" s="96"/>
      <c r="C1741" s="87"/>
      <c r="D1741" s="97"/>
      <c r="E1741" s="83"/>
      <c r="F1741" s="83"/>
      <c r="G1741" s="84"/>
      <c r="H1741" s="86" t="e">
        <f>IF(I1741="fora",0%,G1741/QUÓRUM!$C$6)</f>
        <v>#DIV/0!</v>
      </c>
      <c r="I1741" s="87"/>
      <c r="J1741" s="88"/>
      <c r="K1741" s="88"/>
      <c r="L1741" s="89"/>
      <c r="M1741" s="89"/>
      <c r="N1741" s="90"/>
      <c r="O1741" s="90"/>
      <c r="P1741" s="90"/>
      <c r="Q1741" s="87"/>
      <c r="R1741" s="98"/>
      <c r="S1741" s="90"/>
      <c r="T1741" s="99"/>
    </row>
    <row r="1742" spans="1:20" s="94" customFormat="1" x14ac:dyDescent="0.3">
      <c r="A1742" s="96"/>
      <c r="B1742" s="96"/>
      <c r="C1742" s="87"/>
      <c r="D1742" s="97"/>
      <c r="E1742" s="83"/>
      <c r="F1742" s="83"/>
      <c r="G1742" s="84"/>
      <c r="H1742" s="86" t="e">
        <f>IF(I1742="fora",0%,G1742/QUÓRUM!$C$6)</f>
        <v>#DIV/0!</v>
      </c>
      <c r="I1742" s="87"/>
      <c r="J1742" s="88"/>
      <c r="K1742" s="88"/>
      <c r="L1742" s="89"/>
      <c r="M1742" s="89"/>
      <c r="N1742" s="90"/>
      <c r="O1742" s="90"/>
      <c r="P1742" s="90"/>
      <c r="Q1742" s="87"/>
      <c r="R1742" s="98"/>
      <c r="S1742" s="90"/>
      <c r="T1742" s="99"/>
    </row>
    <row r="1743" spans="1:20" s="94" customFormat="1" x14ac:dyDescent="0.3">
      <c r="A1743" s="96"/>
      <c r="B1743" s="96"/>
      <c r="C1743" s="87"/>
      <c r="D1743" s="97"/>
      <c r="E1743" s="83"/>
      <c r="F1743" s="83"/>
      <c r="G1743" s="84"/>
      <c r="H1743" s="86" t="e">
        <f>IF(I1743="fora",0%,G1743/QUÓRUM!$C$6)</f>
        <v>#DIV/0!</v>
      </c>
      <c r="I1743" s="87"/>
      <c r="J1743" s="88"/>
      <c r="K1743" s="88"/>
      <c r="L1743" s="89"/>
      <c r="M1743" s="89"/>
      <c r="N1743" s="90"/>
      <c r="O1743" s="90"/>
      <c r="P1743" s="90"/>
      <c r="Q1743" s="87"/>
      <c r="R1743" s="98"/>
      <c r="S1743" s="90"/>
      <c r="T1743" s="99"/>
    </row>
    <row r="1744" spans="1:20" s="94" customFormat="1" x14ac:dyDescent="0.3">
      <c r="A1744" s="96"/>
      <c r="B1744" s="96"/>
      <c r="C1744" s="87"/>
      <c r="D1744" s="97"/>
      <c r="E1744" s="83"/>
      <c r="F1744" s="83"/>
      <c r="G1744" s="84"/>
      <c r="H1744" s="86" t="e">
        <f>IF(I1744="fora",0%,G1744/QUÓRUM!$C$6)</f>
        <v>#DIV/0!</v>
      </c>
      <c r="I1744" s="87"/>
      <c r="J1744" s="88"/>
      <c r="K1744" s="88"/>
      <c r="L1744" s="89"/>
      <c r="M1744" s="89"/>
      <c r="N1744" s="90"/>
      <c r="O1744" s="90"/>
      <c r="P1744" s="90"/>
      <c r="Q1744" s="87"/>
      <c r="R1744" s="98"/>
      <c r="S1744" s="90"/>
      <c r="T1744" s="99"/>
    </row>
    <row r="1745" spans="1:20" s="94" customFormat="1" x14ac:dyDescent="0.3">
      <c r="A1745" s="96"/>
      <c r="B1745" s="96"/>
      <c r="C1745" s="87"/>
      <c r="D1745" s="97"/>
      <c r="E1745" s="83"/>
      <c r="F1745" s="83"/>
      <c r="G1745" s="84"/>
      <c r="H1745" s="86" t="e">
        <f>IF(I1745="fora",0%,G1745/QUÓRUM!$C$6)</f>
        <v>#DIV/0!</v>
      </c>
      <c r="I1745" s="87"/>
      <c r="J1745" s="88"/>
      <c r="K1745" s="88"/>
      <c r="L1745" s="89"/>
      <c r="M1745" s="89"/>
      <c r="N1745" s="90"/>
      <c r="O1745" s="90"/>
      <c r="P1745" s="90"/>
      <c r="Q1745" s="87"/>
      <c r="R1745" s="98"/>
      <c r="S1745" s="90"/>
      <c r="T1745" s="99"/>
    </row>
    <row r="1746" spans="1:20" s="94" customFormat="1" x14ac:dyDescent="0.3">
      <c r="A1746" s="96"/>
      <c r="B1746" s="96"/>
      <c r="C1746" s="87"/>
      <c r="D1746" s="97"/>
      <c r="E1746" s="83"/>
      <c r="F1746" s="83"/>
      <c r="G1746" s="84"/>
      <c r="H1746" s="86" t="e">
        <f>IF(I1746="fora",0%,G1746/QUÓRUM!$C$6)</f>
        <v>#DIV/0!</v>
      </c>
      <c r="I1746" s="87"/>
      <c r="J1746" s="88"/>
      <c r="K1746" s="88"/>
      <c r="L1746" s="89"/>
      <c r="M1746" s="89"/>
      <c r="N1746" s="90"/>
      <c r="O1746" s="90"/>
      <c r="P1746" s="90"/>
      <c r="Q1746" s="87"/>
      <c r="R1746" s="98"/>
      <c r="S1746" s="90"/>
      <c r="T1746" s="99"/>
    </row>
    <row r="1747" spans="1:20" s="94" customFormat="1" x14ac:dyDescent="0.3">
      <c r="A1747" s="96"/>
      <c r="B1747" s="96"/>
      <c r="C1747" s="87"/>
      <c r="D1747" s="97"/>
      <c r="E1747" s="83"/>
      <c r="F1747" s="83"/>
      <c r="G1747" s="84"/>
      <c r="H1747" s="86" t="e">
        <f>IF(I1747="fora",0%,G1747/QUÓRUM!$C$6)</f>
        <v>#DIV/0!</v>
      </c>
      <c r="I1747" s="87"/>
      <c r="J1747" s="88"/>
      <c r="K1747" s="88"/>
      <c r="L1747" s="89"/>
      <c r="M1747" s="89"/>
      <c r="N1747" s="90"/>
      <c r="O1747" s="90"/>
      <c r="P1747" s="90"/>
      <c r="Q1747" s="87"/>
      <c r="R1747" s="98"/>
      <c r="S1747" s="90"/>
      <c r="T1747" s="99"/>
    </row>
    <row r="1748" spans="1:20" s="94" customFormat="1" x14ac:dyDescent="0.3">
      <c r="A1748" s="96"/>
      <c r="B1748" s="96"/>
      <c r="C1748" s="87"/>
      <c r="D1748" s="97"/>
      <c r="E1748" s="83"/>
      <c r="F1748" s="83"/>
      <c r="G1748" s="84"/>
      <c r="H1748" s="86" t="e">
        <f>IF(I1748="fora",0%,G1748/QUÓRUM!$C$6)</f>
        <v>#DIV/0!</v>
      </c>
      <c r="I1748" s="87"/>
      <c r="J1748" s="88"/>
      <c r="K1748" s="88"/>
      <c r="L1748" s="89"/>
      <c r="M1748" s="89"/>
      <c r="N1748" s="90"/>
      <c r="O1748" s="90"/>
      <c r="P1748" s="90"/>
      <c r="Q1748" s="87"/>
      <c r="R1748" s="98"/>
      <c r="S1748" s="90"/>
      <c r="T1748" s="99"/>
    </row>
    <row r="1749" spans="1:20" s="94" customFormat="1" x14ac:dyDescent="0.3">
      <c r="A1749" s="96"/>
      <c r="B1749" s="96"/>
      <c r="C1749" s="87"/>
      <c r="D1749" s="97"/>
      <c r="E1749" s="83"/>
      <c r="F1749" s="83"/>
      <c r="G1749" s="84"/>
      <c r="H1749" s="86" t="e">
        <f>IF(I1749="fora",0%,G1749/QUÓRUM!$C$6)</f>
        <v>#DIV/0!</v>
      </c>
      <c r="I1749" s="87"/>
      <c r="J1749" s="88"/>
      <c r="K1749" s="88"/>
      <c r="L1749" s="89"/>
      <c r="M1749" s="89"/>
      <c r="N1749" s="90"/>
      <c r="O1749" s="90"/>
      <c r="P1749" s="90"/>
      <c r="Q1749" s="87"/>
      <c r="R1749" s="98"/>
      <c r="S1749" s="90"/>
      <c r="T1749" s="99"/>
    </row>
    <row r="1750" spans="1:20" s="94" customFormat="1" x14ac:dyDescent="0.3">
      <c r="A1750" s="96"/>
      <c r="B1750" s="96"/>
      <c r="C1750" s="87"/>
      <c r="D1750" s="97"/>
      <c r="E1750" s="83"/>
      <c r="F1750" s="83"/>
      <c r="G1750" s="84"/>
      <c r="H1750" s="86" t="e">
        <f>IF(I1750="fora",0%,G1750/QUÓRUM!$C$6)</f>
        <v>#DIV/0!</v>
      </c>
      <c r="I1750" s="87"/>
      <c r="J1750" s="88"/>
      <c r="K1750" s="88"/>
      <c r="L1750" s="89"/>
      <c r="M1750" s="89"/>
      <c r="N1750" s="90"/>
      <c r="O1750" s="90"/>
      <c r="P1750" s="90"/>
      <c r="Q1750" s="87"/>
      <c r="R1750" s="98"/>
      <c r="S1750" s="90"/>
      <c r="T1750" s="99"/>
    </row>
    <row r="1751" spans="1:20" s="94" customFormat="1" x14ac:dyDescent="0.3">
      <c r="A1751" s="96"/>
      <c r="B1751" s="96"/>
      <c r="C1751" s="87"/>
      <c r="D1751" s="97"/>
      <c r="E1751" s="83"/>
      <c r="F1751" s="83"/>
      <c r="G1751" s="84"/>
      <c r="H1751" s="86" t="e">
        <f>IF(I1751="fora",0%,G1751/QUÓRUM!$C$6)</f>
        <v>#DIV/0!</v>
      </c>
      <c r="I1751" s="87"/>
      <c r="J1751" s="88"/>
      <c r="K1751" s="88"/>
      <c r="L1751" s="89"/>
      <c r="M1751" s="89"/>
      <c r="N1751" s="90"/>
      <c r="O1751" s="90"/>
      <c r="P1751" s="90"/>
      <c r="Q1751" s="87"/>
      <c r="R1751" s="98"/>
      <c r="S1751" s="90"/>
      <c r="T1751" s="99"/>
    </row>
    <row r="1752" spans="1:20" s="94" customFormat="1" x14ac:dyDescent="0.3">
      <c r="A1752" s="96"/>
      <c r="B1752" s="96"/>
      <c r="C1752" s="87"/>
      <c r="D1752" s="97"/>
      <c r="E1752" s="83"/>
      <c r="F1752" s="83"/>
      <c r="G1752" s="84"/>
      <c r="H1752" s="86" t="e">
        <f>IF(I1752="fora",0%,G1752/QUÓRUM!$C$6)</f>
        <v>#DIV/0!</v>
      </c>
      <c r="I1752" s="87"/>
      <c r="J1752" s="88"/>
      <c r="K1752" s="88"/>
      <c r="L1752" s="89"/>
      <c r="M1752" s="89"/>
      <c r="N1752" s="90"/>
      <c r="O1752" s="90"/>
      <c r="P1752" s="90"/>
      <c r="Q1752" s="87"/>
      <c r="R1752" s="98"/>
      <c r="S1752" s="90"/>
      <c r="T1752" s="99"/>
    </row>
    <row r="1753" spans="1:20" s="94" customFormat="1" x14ac:dyDescent="0.3">
      <c r="A1753" s="96"/>
      <c r="B1753" s="96"/>
      <c r="C1753" s="87"/>
      <c r="D1753" s="97"/>
      <c r="E1753" s="83"/>
      <c r="F1753" s="83"/>
      <c r="G1753" s="84"/>
      <c r="H1753" s="86" t="e">
        <f>IF(I1753="fora",0%,G1753/QUÓRUM!$C$6)</f>
        <v>#DIV/0!</v>
      </c>
      <c r="I1753" s="87"/>
      <c r="J1753" s="88"/>
      <c r="K1753" s="88"/>
      <c r="L1753" s="89"/>
      <c r="M1753" s="89"/>
      <c r="N1753" s="90"/>
      <c r="O1753" s="90"/>
      <c r="P1753" s="90"/>
      <c r="Q1753" s="87"/>
      <c r="R1753" s="98"/>
      <c r="S1753" s="90"/>
      <c r="T1753" s="99"/>
    </row>
    <row r="1754" spans="1:20" s="94" customFormat="1" x14ac:dyDescent="0.3">
      <c r="A1754" s="96"/>
      <c r="B1754" s="96"/>
      <c r="C1754" s="87"/>
      <c r="D1754" s="97"/>
      <c r="E1754" s="83"/>
      <c r="F1754" s="83"/>
      <c r="G1754" s="84"/>
      <c r="H1754" s="86" t="e">
        <f>IF(I1754="fora",0%,G1754/QUÓRUM!$C$6)</f>
        <v>#DIV/0!</v>
      </c>
      <c r="I1754" s="87"/>
      <c r="J1754" s="88"/>
      <c r="K1754" s="88"/>
      <c r="L1754" s="89"/>
      <c r="M1754" s="89"/>
      <c r="N1754" s="90"/>
      <c r="O1754" s="90"/>
      <c r="P1754" s="90"/>
      <c r="Q1754" s="87"/>
      <c r="R1754" s="98"/>
      <c r="S1754" s="90"/>
      <c r="T1754" s="99"/>
    </row>
    <row r="1755" spans="1:20" s="94" customFormat="1" x14ac:dyDescent="0.3">
      <c r="A1755" s="96"/>
      <c r="B1755" s="96"/>
      <c r="C1755" s="87"/>
      <c r="D1755" s="97"/>
      <c r="E1755" s="83"/>
      <c r="F1755" s="83"/>
      <c r="G1755" s="84"/>
      <c r="H1755" s="86" t="e">
        <f>IF(I1755="fora",0%,G1755/QUÓRUM!$C$6)</f>
        <v>#DIV/0!</v>
      </c>
      <c r="I1755" s="87"/>
      <c r="J1755" s="88"/>
      <c r="K1755" s="88"/>
      <c r="L1755" s="89"/>
      <c r="M1755" s="89"/>
      <c r="N1755" s="90"/>
      <c r="O1755" s="90"/>
      <c r="P1755" s="90"/>
      <c r="Q1755" s="87"/>
      <c r="R1755" s="98"/>
      <c r="S1755" s="90"/>
      <c r="T1755" s="99"/>
    </row>
    <row r="1756" spans="1:20" s="94" customFormat="1" x14ac:dyDescent="0.3">
      <c r="A1756" s="96"/>
      <c r="B1756" s="96"/>
      <c r="C1756" s="87"/>
      <c r="D1756" s="97"/>
      <c r="E1756" s="83"/>
      <c r="F1756" s="83"/>
      <c r="G1756" s="84"/>
      <c r="H1756" s="86" t="e">
        <f>IF(I1756="fora",0%,G1756/QUÓRUM!$C$6)</f>
        <v>#DIV/0!</v>
      </c>
      <c r="I1756" s="87"/>
      <c r="J1756" s="88"/>
      <c r="K1756" s="88"/>
      <c r="L1756" s="89"/>
      <c r="M1756" s="89"/>
      <c r="N1756" s="90"/>
      <c r="O1756" s="90"/>
      <c r="P1756" s="90"/>
      <c r="Q1756" s="87"/>
      <c r="R1756" s="98"/>
      <c r="S1756" s="90"/>
      <c r="T1756" s="99"/>
    </row>
    <row r="1757" spans="1:20" s="94" customFormat="1" x14ac:dyDescent="0.3">
      <c r="A1757" s="96"/>
      <c r="B1757" s="96"/>
      <c r="C1757" s="87"/>
      <c r="D1757" s="97"/>
      <c r="E1757" s="83"/>
      <c r="F1757" s="83"/>
      <c r="G1757" s="84"/>
      <c r="H1757" s="86" t="e">
        <f>IF(I1757="fora",0%,G1757/QUÓRUM!$C$6)</f>
        <v>#DIV/0!</v>
      </c>
      <c r="I1757" s="87"/>
      <c r="J1757" s="88"/>
      <c r="K1757" s="88"/>
      <c r="L1757" s="89"/>
      <c r="M1757" s="89"/>
      <c r="N1757" s="90"/>
      <c r="O1757" s="90"/>
      <c r="P1757" s="90"/>
      <c r="Q1757" s="87"/>
      <c r="R1757" s="98"/>
      <c r="S1757" s="90"/>
      <c r="T1757" s="99"/>
    </row>
    <row r="1758" spans="1:20" s="94" customFormat="1" x14ac:dyDescent="0.3">
      <c r="A1758" s="96"/>
      <c r="B1758" s="96"/>
      <c r="C1758" s="87"/>
      <c r="D1758" s="97"/>
      <c r="E1758" s="83"/>
      <c r="F1758" s="83"/>
      <c r="G1758" s="84"/>
      <c r="H1758" s="86" t="e">
        <f>IF(I1758="fora",0%,G1758/QUÓRUM!$C$6)</f>
        <v>#DIV/0!</v>
      </c>
      <c r="I1758" s="87"/>
      <c r="J1758" s="88"/>
      <c r="K1758" s="88"/>
      <c r="L1758" s="89"/>
      <c r="M1758" s="89"/>
      <c r="N1758" s="90"/>
      <c r="O1758" s="90"/>
      <c r="P1758" s="90"/>
      <c r="Q1758" s="87"/>
      <c r="R1758" s="98"/>
      <c r="S1758" s="90"/>
      <c r="T1758" s="99"/>
    </row>
    <row r="1759" spans="1:20" s="94" customFormat="1" x14ac:dyDescent="0.3">
      <c r="A1759" s="96"/>
      <c r="B1759" s="96"/>
      <c r="C1759" s="87"/>
      <c r="D1759" s="97"/>
      <c r="E1759" s="83"/>
      <c r="F1759" s="83"/>
      <c r="G1759" s="84"/>
      <c r="H1759" s="86" t="e">
        <f>IF(I1759="fora",0%,G1759/QUÓRUM!$C$6)</f>
        <v>#DIV/0!</v>
      </c>
      <c r="I1759" s="87"/>
      <c r="J1759" s="88"/>
      <c r="K1759" s="88"/>
      <c r="L1759" s="89"/>
      <c r="M1759" s="89"/>
      <c r="N1759" s="90"/>
      <c r="O1759" s="90"/>
      <c r="P1759" s="90"/>
      <c r="Q1759" s="87"/>
      <c r="R1759" s="98"/>
      <c r="S1759" s="90"/>
      <c r="T1759" s="99"/>
    </row>
    <row r="1760" spans="1:20" s="94" customFormat="1" x14ac:dyDescent="0.3">
      <c r="A1760" s="96"/>
      <c r="B1760" s="96"/>
      <c r="C1760" s="87"/>
      <c r="D1760" s="97"/>
      <c r="E1760" s="83"/>
      <c r="F1760" s="83"/>
      <c r="G1760" s="84"/>
      <c r="H1760" s="86" t="e">
        <f>IF(I1760="fora",0%,G1760/QUÓRUM!$C$6)</f>
        <v>#DIV/0!</v>
      </c>
      <c r="I1760" s="87"/>
      <c r="J1760" s="88"/>
      <c r="K1760" s="88"/>
      <c r="L1760" s="89"/>
      <c r="M1760" s="89"/>
      <c r="N1760" s="90"/>
      <c r="O1760" s="90"/>
      <c r="P1760" s="90"/>
      <c r="Q1760" s="87"/>
      <c r="R1760" s="98"/>
      <c r="S1760" s="90"/>
      <c r="T1760" s="99"/>
    </row>
    <row r="1761" spans="1:20" s="94" customFormat="1" x14ac:dyDescent="0.3">
      <c r="A1761" s="96"/>
      <c r="B1761" s="96"/>
      <c r="C1761" s="87"/>
      <c r="D1761" s="97"/>
      <c r="E1761" s="83"/>
      <c r="F1761" s="83"/>
      <c r="G1761" s="84"/>
      <c r="H1761" s="86" t="e">
        <f>IF(I1761="fora",0%,G1761/QUÓRUM!$C$6)</f>
        <v>#DIV/0!</v>
      </c>
      <c r="I1761" s="87"/>
      <c r="J1761" s="88"/>
      <c r="K1761" s="88"/>
      <c r="L1761" s="89"/>
      <c r="M1761" s="89"/>
      <c r="N1761" s="90"/>
      <c r="O1761" s="90"/>
      <c r="P1761" s="90"/>
      <c r="Q1761" s="87"/>
      <c r="R1761" s="98"/>
      <c r="S1761" s="90"/>
      <c r="T1761" s="99"/>
    </row>
    <row r="1762" spans="1:20" s="94" customFormat="1" x14ac:dyDescent="0.3">
      <c r="A1762" s="96"/>
      <c r="B1762" s="96"/>
      <c r="C1762" s="87"/>
      <c r="D1762" s="97"/>
      <c r="E1762" s="83"/>
      <c r="F1762" s="83"/>
      <c r="G1762" s="84"/>
      <c r="H1762" s="86" t="e">
        <f>IF(I1762="fora",0%,G1762/QUÓRUM!$C$6)</f>
        <v>#DIV/0!</v>
      </c>
      <c r="I1762" s="87"/>
      <c r="J1762" s="88"/>
      <c r="K1762" s="88"/>
      <c r="L1762" s="89"/>
      <c r="M1762" s="89"/>
      <c r="N1762" s="90"/>
      <c r="O1762" s="90"/>
      <c r="P1762" s="90"/>
      <c r="Q1762" s="87"/>
      <c r="R1762" s="98"/>
      <c r="S1762" s="90"/>
      <c r="T1762" s="99"/>
    </row>
    <row r="1763" spans="1:20" s="94" customFormat="1" x14ac:dyDescent="0.3">
      <c r="A1763" s="96"/>
      <c r="B1763" s="96"/>
      <c r="C1763" s="87"/>
      <c r="D1763" s="97"/>
      <c r="E1763" s="83"/>
      <c r="F1763" s="83"/>
      <c r="G1763" s="84"/>
      <c r="H1763" s="86" t="e">
        <f>IF(I1763="fora",0%,G1763/QUÓRUM!$C$6)</f>
        <v>#DIV/0!</v>
      </c>
      <c r="I1763" s="87"/>
      <c r="J1763" s="88"/>
      <c r="K1763" s="88"/>
      <c r="L1763" s="89"/>
      <c r="M1763" s="89"/>
      <c r="N1763" s="90"/>
      <c r="O1763" s="90"/>
      <c r="P1763" s="90"/>
      <c r="Q1763" s="87"/>
      <c r="R1763" s="98"/>
      <c r="S1763" s="90"/>
      <c r="T1763" s="99"/>
    </row>
    <row r="1764" spans="1:20" s="94" customFormat="1" x14ac:dyDescent="0.3">
      <c r="A1764" s="96"/>
      <c r="B1764" s="96"/>
      <c r="C1764" s="87"/>
      <c r="D1764" s="97"/>
      <c r="E1764" s="83"/>
      <c r="F1764" s="83"/>
      <c r="G1764" s="84"/>
      <c r="H1764" s="86" t="e">
        <f>IF(I1764="fora",0%,G1764/QUÓRUM!$C$6)</f>
        <v>#DIV/0!</v>
      </c>
      <c r="I1764" s="87"/>
      <c r="J1764" s="88"/>
      <c r="K1764" s="88"/>
      <c r="L1764" s="89"/>
      <c r="M1764" s="89"/>
      <c r="N1764" s="90"/>
      <c r="O1764" s="90"/>
      <c r="P1764" s="90"/>
      <c r="Q1764" s="87"/>
      <c r="R1764" s="98"/>
      <c r="S1764" s="90"/>
      <c r="T1764" s="99"/>
    </row>
    <row r="1765" spans="1:20" s="94" customFormat="1" x14ac:dyDescent="0.3">
      <c r="A1765" s="96"/>
      <c r="B1765" s="96"/>
      <c r="C1765" s="87"/>
      <c r="D1765" s="97"/>
      <c r="E1765" s="83"/>
      <c r="F1765" s="83"/>
      <c r="G1765" s="84"/>
      <c r="H1765" s="86" t="e">
        <f>IF(I1765="fora",0%,G1765/QUÓRUM!$C$6)</f>
        <v>#DIV/0!</v>
      </c>
      <c r="I1765" s="87"/>
      <c r="J1765" s="88"/>
      <c r="K1765" s="88"/>
      <c r="L1765" s="89"/>
      <c r="M1765" s="89"/>
      <c r="N1765" s="90"/>
      <c r="O1765" s="90"/>
      <c r="P1765" s="90"/>
      <c r="Q1765" s="87"/>
      <c r="R1765" s="98"/>
      <c r="S1765" s="90"/>
      <c r="T1765" s="99"/>
    </row>
    <row r="1766" spans="1:20" s="94" customFormat="1" x14ac:dyDescent="0.3">
      <c r="A1766" s="96"/>
      <c r="B1766" s="96"/>
      <c r="C1766" s="87"/>
      <c r="D1766" s="97"/>
      <c r="E1766" s="83"/>
      <c r="F1766" s="83"/>
      <c r="G1766" s="84"/>
      <c r="H1766" s="86" t="e">
        <f>IF(I1766="fora",0%,G1766/QUÓRUM!$C$6)</f>
        <v>#DIV/0!</v>
      </c>
      <c r="I1766" s="87"/>
      <c r="J1766" s="88"/>
      <c r="K1766" s="88"/>
      <c r="L1766" s="89"/>
      <c r="M1766" s="89"/>
      <c r="N1766" s="90"/>
      <c r="O1766" s="90"/>
      <c r="P1766" s="90"/>
      <c r="Q1766" s="87"/>
      <c r="R1766" s="98"/>
      <c r="S1766" s="90"/>
      <c r="T1766" s="99"/>
    </row>
    <row r="1767" spans="1:20" s="94" customFormat="1" x14ac:dyDescent="0.3">
      <c r="A1767" s="96"/>
      <c r="B1767" s="96"/>
      <c r="C1767" s="87"/>
      <c r="D1767" s="97"/>
      <c r="E1767" s="83"/>
      <c r="F1767" s="83"/>
      <c r="G1767" s="84"/>
      <c r="H1767" s="86" t="e">
        <f>IF(I1767="fora",0%,G1767/QUÓRUM!$C$6)</f>
        <v>#DIV/0!</v>
      </c>
      <c r="I1767" s="87"/>
      <c r="J1767" s="88"/>
      <c r="K1767" s="88"/>
      <c r="L1767" s="89"/>
      <c r="M1767" s="89"/>
      <c r="N1767" s="90"/>
      <c r="O1767" s="90"/>
      <c r="P1767" s="90"/>
      <c r="Q1767" s="87"/>
      <c r="R1767" s="98"/>
      <c r="S1767" s="90"/>
      <c r="T1767" s="99"/>
    </row>
    <row r="1768" spans="1:20" s="94" customFormat="1" x14ac:dyDescent="0.3">
      <c r="A1768" s="96"/>
      <c r="B1768" s="96"/>
      <c r="C1768" s="87"/>
      <c r="D1768" s="97"/>
      <c r="E1768" s="83"/>
      <c r="F1768" s="83"/>
      <c r="G1768" s="84"/>
      <c r="H1768" s="86" t="e">
        <f>IF(I1768="fora",0%,G1768/QUÓRUM!$C$6)</f>
        <v>#DIV/0!</v>
      </c>
      <c r="I1768" s="87"/>
      <c r="J1768" s="88"/>
      <c r="K1768" s="88"/>
      <c r="L1768" s="89"/>
      <c r="M1768" s="89"/>
      <c r="N1768" s="90"/>
      <c r="O1768" s="90"/>
      <c r="P1768" s="90"/>
      <c r="Q1768" s="87"/>
      <c r="R1768" s="98"/>
      <c r="S1768" s="90"/>
      <c r="T1768" s="99"/>
    </row>
    <row r="1769" spans="1:20" s="94" customFormat="1" x14ac:dyDescent="0.3">
      <c r="A1769" s="96"/>
      <c r="B1769" s="96"/>
      <c r="C1769" s="87"/>
      <c r="D1769" s="97"/>
      <c r="E1769" s="83"/>
      <c r="F1769" s="83"/>
      <c r="G1769" s="84"/>
      <c r="H1769" s="86" t="e">
        <f>IF(I1769="fora",0%,G1769/QUÓRUM!$C$6)</f>
        <v>#DIV/0!</v>
      </c>
      <c r="I1769" s="87"/>
      <c r="J1769" s="88"/>
      <c r="K1769" s="88"/>
      <c r="L1769" s="89"/>
      <c r="M1769" s="89"/>
      <c r="N1769" s="90"/>
      <c r="O1769" s="90"/>
      <c r="P1769" s="90"/>
      <c r="Q1769" s="87"/>
      <c r="R1769" s="98"/>
      <c r="S1769" s="90"/>
      <c r="T1769" s="99"/>
    </row>
    <row r="1770" spans="1:20" s="94" customFormat="1" x14ac:dyDescent="0.3">
      <c r="A1770" s="96"/>
      <c r="B1770" s="96"/>
      <c r="C1770" s="87"/>
      <c r="D1770" s="97"/>
      <c r="E1770" s="83"/>
      <c r="F1770" s="83"/>
      <c r="G1770" s="84"/>
      <c r="H1770" s="86" t="e">
        <f>IF(I1770="fora",0%,G1770/QUÓRUM!$C$6)</f>
        <v>#DIV/0!</v>
      </c>
      <c r="I1770" s="87"/>
      <c r="J1770" s="88"/>
      <c r="K1770" s="88"/>
      <c r="L1770" s="89"/>
      <c r="M1770" s="89"/>
      <c r="N1770" s="90"/>
      <c r="O1770" s="90"/>
      <c r="P1770" s="90"/>
      <c r="Q1770" s="87"/>
      <c r="R1770" s="98"/>
      <c r="S1770" s="90"/>
      <c r="T1770" s="99"/>
    </row>
    <row r="1771" spans="1:20" s="94" customFormat="1" x14ac:dyDescent="0.3">
      <c r="A1771" s="96"/>
      <c r="B1771" s="96"/>
      <c r="C1771" s="87"/>
      <c r="D1771" s="97"/>
      <c r="E1771" s="83"/>
      <c r="F1771" s="83"/>
      <c r="G1771" s="84"/>
      <c r="H1771" s="86" t="e">
        <f>IF(I1771="fora",0%,G1771/QUÓRUM!$C$6)</f>
        <v>#DIV/0!</v>
      </c>
      <c r="I1771" s="87"/>
      <c r="J1771" s="88"/>
      <c r="K1771" s="88"/>
      <c r="L1771" s="89"/>
      <c r="M1771" s="89"/>
      <c r="N1771" s="90"/>
      <c r="O1771" s="90"/>
      <c r="P1771" s="90"/>
      <c r="Q1771" s="87"/>
      <c r="R1771" s="98"/>
      <c r="S1771" s="90"/>
      <c r="T1771" s="99"/>
    </row>
    <row r="1772" spans="1:20" s="94" customFormat="1" x14ac:dyDescent="0.3">
      <c r="A1772" s="96"/>
      <c r="B1772" s="96"/>
      <c r="C1772" s="87"/>
      <c r="D1772" s="97"/>
      <c r="E1772" s="83"/>
      <c r="F1772" s="83"/>
      <c r="G1772" s="84"/>
      <c r="H1772" s="86" t="e">
        <f>IF(I1772="fora",0%,G1772/QUÓRUM!$C$6)</f>
        <v>#DIV/0!</v>
      </c>
      <c r="I1772" s="87"/>
      <c r="J1772" s="88"/>
      <c r="K1772" s="88"/>
      <c r="L1772" s="89"/>
      <c r="M1772" s="89"/>
      <c r="N1772" s="90"/>
      <c r="O1772" s="90"/>
      <c r="P1772" s="90"/>
      <c r="Q1772" s="87"/>
      <c r="R1772" s="98"/>
      <c r="S1772" s="90"/>
      <c r="T1772" s="99"/>
    </row>
    <row r="1773" spans="1:20" s="94" customFormat="1" x14ac:dyDescent="0.3">
      <c r="A1773" s="96"/>
      <c r="B1773" s="96"/>
      <c r="C1773" s="87"/>
      <c r="D1773" s="97"/>
      <c r="E1773" s="83"/>
      <c r="F1773" s="83"/>
      <c r="G1773" s="84"/>
      <c r="H1773" s="86" t="e">
        <f>IF(I1773="fora",0%,G1773/QUÓRUM!$C$6)</f>
        <v>#DIV/0!</v>
      </c>
      <c r="I1773" s="87"/>
      <c r="J1773" s="88"/>
      <c r="K1773" s="88"/>
      <c r="L1773" s="89"/>
      <c r="M1773" s="89"/>
      <c r="N1773" s="90"/>
      <c r="O1773" s="90"/>
      <c r="P1773" s="90"/>
      <c r="Q1773" s="87"/>
      <c r="R1773" s="98"/>
      <c r="S1773" s="90"/>
      <c r="T1773" s="99"/>
    </row>
    <row r="1774" spans="1:20" s="94" customFormat="1" x14ac:dyDescent="0.3">
      <c r="A1774" s="96"/>
      <c r="B1774" s="96"/>
      <c r="C1774" s="87"/>
      <c r="D1774" s="97"/>
      <c r="E1774" s="83"/>
      <c r="F1774" s="83"/>
      <c r="G1774" s="84"/>
      <c r="H1774" s="86" t="e">
        <f>IF(I1774="fora",0%,G1774/QUÓRUM!$C$6)</f>
        <v>#DIV/0!</v>
      </c>
      <c r="I1774" s="87"/>
      <c r="J1774" s="88"/>
      <c r="K1774" s="88"/>
      <c r="L1774" s="89"/>
      <c r="M1774" s="89"/>
      <c r="N1774" s="90"/>
      <c r="O1774" s="90"/>
      <c r="P1774" s="90"/>
      <c r="Q1774" s="87"/>
      <c r="R1774" s="98"/>
      <c r="S1774" s="90"/>
      <c r="T1774" s="99"/>
    </row>
    <row r="1775" spans="1:20" s="94" customFormat="1" x14ac:dyDescent="0.3">
      <c r="A1775" s="96"/>
      <c r="B1775" s="96"/>
      <c r="C1775" s="87"/>
      <c r="D1775" s="97"/>
      <c r="E1775" s="83"/>
      <c r="F1775" s="83"/>
      <c r="G1775" s="84"/>
      <c r="H1775" s="86" t="e">
        <f>IF(I1775="fora",0%,G1775/QUÓRUM!$C$6)</f>
        <v>#DIV/0!</v>
      </c>
      <c r="I1775" s="87"/>
      <c r="J1775" s="88"/>
      <c r="K1775" s="88"/>
      <c r="L1775" s="89"/>
      <c r="M1775" s="89"/>
      <c r="N1775" s="90"/>
      <c r="O1775" s="90"/>
      <c r="P1775" s="90"/>
      <c r="Q1775" s="87"/>
      <c r="R1775" s="98"/>
      <c r="S1775" s="90"/>
      <c r="T1775" s="99"/>
    </row>
    <row r="1776" spans="1:20" s="94" customFormat="1" x14ac:dyDescent="0.3">
      <c r="A1776" s="96"/>
      <c r="B1776" s="96"/>
      <c r="C1776" s="87"/>
      <c r="D1776" s="97"/>
      <c r="E1776" s="83"/>
      <c r="F1776" s="83"/>
      <c r="G1776" s="84"/>
      <c r="H1776" s="86" t="e">
        <f>IF(I1776="fora",0%,G1776/QUÓRUM!$C$6)</f>
        <v>#DIV/0!</v>
      </c>
      <c r="I1776" s="87"/>
      <c r="J1776" s="88"/>
      <c r="K1776" s="88"/>
      <c r="L1776" s="89"/>
      <c r="M1776" s="89"/>
      <c r="N1776" s="90"/>
      <c r="O1776" s="90"/>
      <c r="P1776" s="90"/>
      <c r="Q1776" s="87"/>
      <c r="R1776" s="98"/>
      <c r="S1776" s="90"/>
      <c r="T1776" s="99"/>
    </row>
    <row r="1777" spans="1:20" s="94" customFormat="1" x14ac:dyDescent="0.3">
      <c r="A1777" s="96"/>
      <c r="B1777" s="96"/>
      <c r="C1777" s="87"/>
      <c r="D1777" s="97"/>
      <c r="E1777" s="83"/>
      <c r="F1777" s="83"/>
      <c r="G1777" s="100"/>
      <c r="H1777" s="86" t="e">
        <f>IF(I1777="fora",0%,G1777/QUÓRUM!$C$6)</f>
        <v>#DIV/0!</v>
      </c>
      <c r="I1777" s="87"/>
      <c r="J1777" s="88"/>
      <c r="K1777" s="88"/>
      <c r="L1777" s="89"/>
      <c r="M1777" s="89"/>
      <c r="N1777" s="90"/>
      <c r="O1777" s="90"/>
      <c r="P1777" s="90"/>
      <c r="Q1777" s="87"/>
      <c r="R1777" s="98"/>
      <c r="S1777" s="90"/>
      <c r="T1777" s="99"/>
    </row>
    <row r="1778" spans="1:20" s="94" customFormat="1" x14ac:dyDescent="0.3">
      <c r="A1778" s="96"/>
      <c r="B1778" s="96"/>
      <c r="C1778" s="87"/>
      <c r="D1778" s="97"/>
      <c r="E1778" s="83"/>
      <c r="F1778" s="83"/>
      <c r="G1778" s="84"/>
      <c r="H1778" s="86" t="e">
        <f>IF(I1778="fora",0%,G1778/QUÓRUM!$C$6)</f>
        <v>#DIV/0!</v>
      </c>
      <c r="I1778" s="87"/>
      <c r="J1778" s="88"/>
      <c r="K1778" s="88"/>
      <c r="L1778" s="89"/>
      <c r="M1778" s="89"/>
      <c r="N1778" s="90"/>
      <c r="O1778" s="90"/>
      <c r="P1778" s="90"/>
      <c r="Q1778" s="87"/>
      <c r="R1778" s="98"/>
      <c r="S1778" s="90"/>
      <c r="T1778" s="99"/>
    </row>
    <row r="1779" spans="1:20" s="94" customFormat="1" x14ac:dyDescent="0.3">
      <c r="A1779" s="96"/>
      <c r="B1779" s="96"/>
      <c r="C1779" s="87"/>
      <c r="D1779" s="97"/>
      <c r="E1779" s="83"/>
      <c r="F1779" s="83"/>
      <c r="G1779" s="84"/>
      <c r="H1779" s="86" t="e">
        <f>IF(I1779="fora",0%,G1779/QUÓRUM!$C$6)</f>
        <v>#DIV/0!</v>
      </c>
      <c r="I1779" s="87"/>
      <c r="J1779" s="88"/>
      <c r="K1779" s="88"/>
      <c r="L1779" s="89"/>
      <c r="M1779" s="89"/>
      <c r="N1779" s="90"/>
      <c r="O1779" s="90"/>
      <c r="P1779" s="90"/>
      <c r="Q1779" s="87"/>
      <c r="R1779" s="98"/>
      <c r="S1779" s="90"/>
      <c r="T1779" s="99"/>
    </row>
    <row r="1780" spans="1:20" s="94" customFormat="1" x14ac:dyDescent="0.3">
      <c r="A1780" s="96"/>
      <c r="B1780" s="96"/>
      <c r="C1780" s="87"/>
      <c r="D1780" s="97"/>
      <c r="E1780" s="83"/>
      <c r="F1780" s="83"/>
      <c r="G1780" s="84"/>
      <c r="H1780" s="86" t="e">
        <f>IF(I1780="fora",0%,G1780/QUÓRUM!$C$6)</f>
        <v>#DIV/0!</v>
      </c>
      <c r="I1780" s="87"/>
      <c r="J1780" s="88"/>
      <c r="K1780" s="88"/>
      <c r="L1780" s="89"/>
      <c r="M1780" s="89"/>
      <c r="N1780" s="90"/>
      <c r="O1780" s="90"/>
      <c r="P1780" s="90"/>
      <c r="Q1780" s="87"/>
      <c r="R1780" s="98"/>
      <c r="S1780" s="90"/>
      <c r="T1780" s="99"/>
    </row>
    <row r="1781" spans="1:20" s="94" customFormat="1" x14ac:dyDescent="0.3">
      <c r="A1781" s="96"/>
      <c r="B1781" s="96"/>
      <c r="C1781" s="87"/>
      <c r="D1781" s="97"/>
      <c r="E1781" s="83"/>
      <c r="F1781" s="83"/>
      <c r="G1781" s="84"/>
      <c r="H1781" s="86" t="e">
        <f>IF(I1781="fora",0%,G1781/QUÓRUM!$C$6)</f>
        <v>#DIV/0!</v>
      </c>
      <c r="I1781" s="87"/>
      <c r="J1781" s="88"/>
      <c r="K1781" s="88"/>
      <c r="L1781" s="89"/>
      <c r="M1781" s="89"/>
      <c r="N1781" s="90"/>
      <c r="O1781" s="90"/>
      <c r="P1781" s="90"/>
      <c r="Q1781" s="87"/>
      <c r="R1781" s="98"/>
      <c r="S1781" s="90"/>
      <c r="T1781" s="99"/>
    </row>
    <row r="1782" spans="1:20" s="94" customFormat="1" x14ac:dyDescent="0.3">
      <c r="A1782" s="96"/>
      <c r="B1782" s="96"/>
      <c r="C1782" s="87"/>
      <c r="D1782" s="97"/>
      <c r="E1782" s="83"/>
      <c r="F1782" s="83"/>
      <c r="G1782" s="84"/>
      <c r="H1782" s="86" t="e">
        <f>IF(I1782="fora",0%,G1782/QUÓRUM!$C$6)</f>
        <v>#DIV/0!</v>
      </c>
      <c r="I1782" s="87"/>
      <c r="J1782" s="88"/>
      <c r="K1782" s="88"/>
      <c r="L1782" s="89"/>
      <c r="M1782" s="89"/>
      <c r="N1782" s="90"/>
      <c r="O1782" s="90"/>
      <c r="P1782" s="90"/>
      <c r="Q1782" s="87"/>
      <c r="R1782" s="98"/>
      <c r="S1782" s="90"/>
      <c r="T1782" s="99"/>
    </row>
    <row r="1783" spans="1:20" s="94" customFormat="1" x14ac:dyDescent="0.3">
      <c r="A1783" s="96"/>
      <c r="B1783" s="96"/>
      <c r="C1783" s="87"/>
      <c r="D1783" s="97"/>
      <c r="E1783" s="83"/>
      <c r="F1783" s="83"/>
      <c r="G1783" s="84"/>
      <c r="H1783" s="86" t="e">
        <f>IF(I1783="fora",0%,G1783/QUÓRUM!$C$6)</f>
        <v>#DIV/0!</v>
      </c>
      <c r="I1783" s="87"/>
      <c r="J1783" s="88"/>
      <c r="K1783" s="88"/>
      <c r="L1783" s="89"/>
      <c r="M1783" s="89"/>
      <c r="N1783" s="90"/>
      <c r="O1783" s="90"/>
      <c r="P1783" s="90"/>
      <c r="Q1783" s="87"/>
      <c r="R1783" s="98"/>
      <c r="S1783" s="90"/>
      <c r="T1783" s="99"/>
    </row>
    <row r="1784" spans="1:20" s="94" customFormat="1" x14ac:dyDescent="0.3">
      <c r="A1784" s="96"/>
      <c r="B1784" s="96"/>
      <c r="C1784" s="87"/>
      <c r="D1784" s="97"/>
      <c r="E1784" s="83"/>
      <c r="F1784" s="83"/>
      <c r="G1784" s="84"/>
      <c r="H1784" s="86" t="e">
        <f>IF(I1784="fora",0%,G1784/QUÓRUM!$C$6)</f>
        <v>#DIV/0!</v>
      </c>
      <c r="I1784" s="87"/>
      <c r="J1784" s="88"/>
      <c r="K1784" s="88"/>
      <c r="L1784" s="89"/>
      <c r="M1784" s="89"/>
      <c r="N1784" s="90"/>
      <c r="O1784" s="90"/>
      <c r="P1784" s="90"/>
      <c r="Q1784" s="87"/>
      <c r="R1784" s="98"/>
      <c r="S1784" s="90"/>
      <c r="T1784" s="99"/>
    </row>
    <row r="1785" spans="1:20" s="94" customFormat="1" x14ac:dyDescent="0.3">
      <c r="A1785" s="96"/>
      <c r="B1785" s="96"/>
      <c r="C1785" s="87"/>
      <c r="D1785" s="97"/>
      <c r="E1785" s="83"/>
      <c r="F1785" s="83"/>
      <c r="G1785" s="84"/>
      <c r="H1785" s="86" t="e">
        <f>IF(I1785="fora",0%,G1785/QUÓRUM!$C$6)</f>
        <v>#DIV/0!</v>
      </c>
      <c r="I1785" s="87"/>
      <c r="J1785" s="88"/>
      <c r="K1785" s="88"/>
      <c r="L1785" s="89"/>
      <c r="M1785" s="89"/>
      <c r="N1785" s="90"/>
      <c r="O1785" s="90"/>
      <c r="P1785" s="90"/>
      <c r="Q1785" s="87"/>
      <c r="R1785" s="98"/>
      <c r="S1785" s="90"/>
      <c r="T1785" s="99"/>
    </row>
    <row r="1786" spans="1:20" s="94" customFormat="1" x14ac:dyDescent="0.3">
      <c r="A1786" s="96"/>
      <c r="B1786" s="96"/>
      <c r="C1786" s="87"/>
      <c r="D1786" s="97"/>
      <c r="E1786" s="83"/>
      <c r="F1786" s="83"/>
      <c r="G1786" s="84"/>
      <c r="H1786" s="86" t="e">
        <f>IF(I1786="fora",0%,G1786/QUÓRUM!$C$6)</f>
        <v>#DIV/0!</v>
      </c>
      <c r="I1786" s="87"/>
      <c r="J1786" s="88"/>
      <c r="K1786" s="88"/>
      <c r="L1786" s="89"/>
      <c r="M1786" s="89"/>
      <c r="N1786" s="90"/>
      <c r="O1786" s="90"/>
      <c r="P1786" s="90"/>
      <c r="Q1786" s="87"/>
      <c r="R1786" s="98"/>
      <c r="S1786" s="90"/>
      <c r="T1786" s="99"/>
    </row>
    <row r="1787" spans="1:20" s="94" customFormat="1" x14ac:dyDescent="0.3">
      <c r="A1787" s="96"/>
      <c r="B1787" s="96"/>
      <c r="C1787" s="87"/>
      <c r="D1787" s="97"/>
      <c r="E1787" s="83"/>
      <c r="F1787" s="83"/>
      <c r="G1787" s="84"/>
      <c r="H1787" s="86" t="e">
        <f>IF(I1787="fora",0%,G1787/QUÓRUM!$C$6)</f>
        <v>#DIV/0!</v>
      </c>
      <c r="I1787" s="87"/>
      <c r="J1787" s="88"/>
      <c r="K1787" s="88"/>
      <c r="L1787" s="89"/>
      <c r="M1787" s="89"/>
      <c r="N1787" s="90"/>
      <c r="O1787" s="90"/>
      <c r="P1787" s="90"/>
      <c r="Q1787" s="87"/>
      <c r="R1787" s="98"/>
      <c r="S1787" s="90"/>
      <c r="T1787" s="99"/>
    </row>
    <row r="1788" spans="1:20" s="94" customFormat="1" x14ac:dyDescent="0.3">
      <c r="A1788" s="96"/>
      <c r="B1788" s="96"/>
      <c r="C1788" s="87"/>
      <c r="D1788" s="97"/>
      <c r="E1788" s="83"/>
      <c r="F1788" s="83"/>
      <c r="G1788" s="84"/>
      <c r="H1788" s="86" t="e">
        <f>IF(I1788="fora",0%,G1788/QUÓRUM!$C$6)</f>
        <v>#DIV/0!</v>
      </c>
      <c r="I1788" s="87"/>
      <c r="J1788" s="88"/>
      <c r="K1788" s="88"/>
      <c r="L1788" s="89"/>
      <c r="M1788" s="89"/>
      <c r="N1788" s="90"/>
      <c r="O1788" s="90"/>
      <c r="P1788" s="90"/>
      <c r="Q1788" s="87"/>
      <c r="R1788" s="98"/>
      <c r="S1788" s="90"/>
      <c r="T1788" s="99"/>
    </row>
    <row r="1789" spans="1:20" s="94" customFormat="1" x14ac:dyDescent="0.3">
      <c r="A1789" s="96"/>
      <c r="B1789" s="96"/>
      <c r="C1789" s="87"/>
      <c r="D1789" s="97"/>
      <c r="E1789" s="83"/>
      <c r="F1789" s="83"/>
      <c r="G1789" s="84"/>
      <c r="H1789" s="86" t="e">
        <f>IF(I1789="fora",0%,G1789/QUÓRUM!$C$6)</f>
        <v>#DIV/0!</v>
      </c>
      <c r="I1789" s="87"/>
      <c r="J1789" s="88"/>
      <c r="K1789" s="88"/>
      <c r="L1789" s="89"/>
      <c r="M1789" s="89"/>
      <c r="N1789" s="90"/>
      <c r="O1789" s="90"/>
      <c r="P1789" s="90"/>
      <c r="Q1789" s="87"/>
      <c r="R1789" s="98"/>
      <c r="S1789" s="90"/>
      <c r="T1789" s="99"/>
    </row>
    <row r="1790" spans="1:20" s="94" customFormat="1" x14ac:dyDescent="0.3">
      <c r="A1790" s="96"/>
      <c r="B1790" s="96"/>
      <c r="C1790" s="87"/>
      <c r="D1790" s="97"/>
      <c r="E1790" s="83"/>
      <c r="F1790" s="83"/>
      <c r="G1790" s="84"/>
      <c r="H1790" s="86" t="e">
        <f>IF(I1790="fora",0%,G1790/QUÓRUM!$C$6)</f>
        <v>#DIV/0!</v>
      </c>
      <c r="I1790" s="87"/>
      <c r="J1790" s="88"/>
      <c r="K1790" s="88"/>
      <c r="L1790" s="89"/>
      <c r="M1790" s="89"/>
      <c r="N1790" s="90"/>
      <c r="O1790" s="90"/>
      <c r="P1790" s="90"/>
      <c r="Q1790" s="87"/>
      <c r="R1790" s="98"/>
      <c r="S1790" s="90"/>
      <c r="T1790" s="99"/>
    </row>
    <row r="1791" spans="1:20" s="94" customFormat="1" x14ac:dyDescent="0.3">
      <c r="A1791" s="96"/>
      <c r="B1791" s="96"/>
      <c r="C1791" s="87"/>
      <c r="D1791" s="97"/>
      <c r="E1791" s="83"/>
      <c r="F1791" s="83"/>
      <c r="G1791" s="84"/>
      <c r="H1791" s="86" t="e">
        <f>IF(I1791="fora",0%,G1791/QUÓRUM!$C$6)</f>
        <v>#DIV/0!</v>
      </c>
      <c r="I1791" s="87"/>
      <c r="J1791" s="88"/>
      <c r="K1791" s="88"/>
      <c r="L1791" s="89"/>
      <c r="M1791" s="89"/>
      <c r="N1791" s="90"/>
      <c r="O1791" s="90"/>
      <c r="P1791" s="90"/>
      <c r="Q1791" s="87"/>
      <c r="R1791" s="98"/>
      <c r="S1791" s="90"/>
      <c r="T1791" s="99"/>
    </row>
    <row r="1792" spans="1:20" s="94" customFormat="1" x14ac:dyDescent="0.3">
      <c r="A1792" s="96"/>
      <c r="B1792" s="96"/>
      <c r="C1792" s="87"/>
      <c r="D1792" s="97"/>
      <c r="E1792" s="83"/>
      <c r="F1792" s="83"/>
      <c r="G1792" s="84"/>
      <c r="H1792" s="86" t="e">
        <f>IF(I1792="fora",0%,G1792/QUÓRUM!$C$6)</f>
        <v>#DIV/0!</v>
      </c>
      <c r="I1792" s="87"/>
      <c r="J1792" s="88"/>
      <c r="K1792" s="88"/>
      <c r="L1792" s="89"/>
      <c r="M1792" s="89"/>
      <c r="N1792" s="90"/>
      <c r="O1792" s="90"/>
      <c r="P1792" s="90"/>
      <c r="Q1792" s="87"/>
      <c r="R1792" s="98"/>
      <c r="S1792" s="90"/>
      <c r="T1792" s="99"/>
    </row>
    <row r="1793" spans="1:20" s="94" customFormat="1" x14ac:dyDescent="0.3">
      <c r="A1793" s="96"/>
      <c r="B1793" s="96"/>
      <c r="C1793" s="87"/>
      <c r="D1793" s="97"/>
      <c r="E1793" s="83"/>
      <c r="F1793" s="83"/>
      <c r="G1793" s="84"/>
      <c r="H1793" s="86" t="e">
        <f>IF(I1793="fora",0%,G1793/QUÓRUM!$C$6)</f>
        <v>#DIV/0!</v>
      </c>
      <c r="I1793" s="87"/>
      <c r="J1793" s="88"/>
      <c r="K1793" s="88"/>
      <c r="L1793" s="89"/>
      <c r="M1793" s="89"/>
      <c r="N1793" s="90"/>
      <c r="O1793" s="90"/>
      <c r="P1793" s="90"/>
      <c r="Q1793" s="87"/>
      <c r="R1793" s="98"/>
      <c r="S1793" s="90"/>
      <c r="T1793" s="99"/>
    </row>
    <row r="1794" spans="1:20" s="94" customFormat="1" x14ac:dyDescent="0.3">
      <c r="A1794" s="96"/>
      <c r="B1794" s="96"/>
      <c r="C1794" s="87"/>
      <c r="D1794" s="97"/>
      <c r="E1794" s="83"/>
      <c r="F1794" s="83"/>
      <c r="G1794" s="84"/>
      <c r="H1794" s="86" t="e">
        <f>IF(I1794="fora",0%,G1794/QUÓRUM!$C$6)</f>
        <v>#DIV/0!</v>
      </c>
      <c r="I1794" s="87"/>
      <c r="J1794" s="88"/>
      <c r="K1794" s="88"/>
      <c r="L1794" s="89"/>
      <c r="M1794" s="89"/>
      <c r="N1794" s="90"/>
      <c r="O1794" s="90"/>
      <c r="P1794" s="90"/>
      <c r="Q1794" s="87"/>
      <c r="R1794" s="98"/>
      <c r="S1794" s="90"/>
      <c r="T1794" s="99"/>
    </row>
    <row r="1795" spans="1:20" s="94" customFormat="1" x14ac:dyDescent="0.3">
      <c r="A1795" s="96"/>
      <c r="B1795" s="96"/>
      <c r="C1795" s="87"/>
      <c r="D1795" s="97"/>
      <c r="E1795" s="83"/>
      <c r="F1795" s="83"/>
      <c r="G1795" s="84"/>
      <c r="H1795" s="86" t="e">
        <f>IF(I1795="fora",0%,G1795/QUÓRUM!$C$6)</f>
        <v>#DIV/0!</v>
      </c>
      <c r="I1795" s="87"/>
      <c r="J1795" s="88"/>
      <c r="K1795" s="88"/>
      <c r="L1795" s="89"/>
      <c r="M1795" s="89"/>
      <c r="N1795" s="90"/>
      <c r="O1795" s="90"/>
      <c r="P1795" s="90"/>
      <c r="Q1795" s="87"/>
      <c r="R1795" s="98"/>
      <c r="S1795" s="90"/>
      <c r="T1795" s="99"/>
    </row>
    <row r="1796" spans="1:20" s="94" customFormat="1" x14ac:dyDescent="0.3">
      <c r="A1796" s="96"/>
      <c r="B1796" s="96"/>
      <c r="C1796" s="87"/>
      <c r="D1796" s="97"/>
      <c r="E1796" s="83"/>
      <c r="F1796" s="83"/>
      <c r="G1796" s="84"/>
      <c r="H1796" s="86" t="e">
        <f>IF(I1796="fora",0%,G1796/QUÓRUM!$C$6)</f>
        <v>#DIV/0!</v>
      </c>
      <c r="I1796" s="87"/>
      <c r="J1796" s="88"/>
      <c r="K1796" s="88"/>
      <c r="L1796" s="89"/>
      <c r="M1796" s="89"/>
      <c r="N1796" s="90"/>
      <c r="O1796" s="90"/>
      <c r="P1796" s="90"/>
      <c r="Q1796" s="87"/>
      <c r="R1796" s="98"/>
      <c r="S1796" s="90"/>
      <c r="T1796" s="99"/>
    </row>
    <row r="1797" spans="1:20" s="94" customFormat="1" x14ac:dyDescent="0.3">
      <c r="A1797" s="96"/>
      <c r="B1797" s="96"/>
      <c r="C1797" s="87"/>
      <c r="D1797" s="97"/>
      <c r="E1797" s="83"/>
      <c r="F1797" s="83"/>
      <c r="G1797" s="84"/>
      <c r="H1797" s="86" t="e">
        <f>IF(I1797="fora",0%,G1797/QUÓRUM!$C$6)</f>
        <v>#DIV/0!</v>
      </c>
      <c r="I1797" s="87"/>
      <c r="J1797" s="88"/>
      <c r="K1797" s="88"/>
      <c r="L1797" s="89"/>
      <c r="M1797" s="89"/>
      <c r="N1797" s="90"/>
      <c r="O1797" s="90"/>
      <c r="P1797" s="90"/>
      <c r="Q1797" s="87"/>
      <c r="R1797" s="98"/>
      <c r="S1797" s="90"/>
      <c r="T1797" s="99"/>
    </row>
    <row r="1798" spans="1:20" s="94" customFormat="1" x14ac:dyDescent="0.3">
      <c r="A1798" s="96"/>
      <c r="B1798" s="96"/>
      <c r="C1798" s="87"/>
      <c r="D1798" s="97"/>
      <c r="E1798" s="83"/>
      <c r="F1798" s="83"/>
      <c r="G1798" s="84"/>
      <c r="H1798" s="86" t="e">
        <f>IF(I1798="fora",0%,G1798/QUÓRUM!$C$6)</f>
        <v>#DIV/0!</v>
      </c>
      <c r="I1798" s="87"/>
      <c r="J1798" s="88"/>
      <c r="K1798" s="88"/>
      <c r="L1798" s="89"/>
      <c r="M1798" s="89"/>
      <c r="N1798" s="90"/>
      <c r="O1798" s="90"/>
      <c r="P1798" s="90"/>
      <c r="Q1798" s="87"/>
      <c r="R1798" s="98"/>
      <c r="S1798" s="90"/>
      <c r="T1798" s="99"/>
    </row>
    <row r="1799" spans="1:20" s="94" customFormat="1" x14ac:dyDescent="0.3">
      <c r="A1799" s="96"/>
      <c r="B1799" s="96"/>
      <c r="C1799" s="87"/>
      <c r="D1799" s="97"/>
      <c r="E1799" s="83"/>
      <c r="F1799" s="83"/>
      <c r="G1799" s="84"/>
      <c r="H1799" s="86" t="e">
        <f>IF(I1799="fora",0%,G1799/QUÓRUM!$C$6)</f>
        <v>#DIV/0!</v>
      </c>
      <c r="I1799" s="87"/>
      <c r="J1799" s="88"/>
      <c r="K1799" s="88"/>
      <c r="L1799" s="89"/>
      <c r="M1799" s="89"/>
      <c r="N1799" s="90"/>
      <c r="O1799" s="90"/>
      <c r="P1799" s="90"/>
      <c r="Q1799" s="87"/>
      <c r="R1799" s="98"/>
      <c r="S1799" s="90"/>
      <c r="T1799" s="99"/>
    </row>
    <row r="1800" spans="1:20" s="94" customFormat="1" x14ac:dyDescent="0.3">
      <c r="A1800" s="96"/>
      <c r="B1800" s="96"/>
      <c r="C1800" s="87"/>
      <c r="D1800" s="97"/>
      <c r="E1800" s="83"/>
      <c r="F1800" s="83"/>
      <c r="G1800" s="84"/>
      <c r="H1800" s="86" t="e">
        <f>IF(I1800="fora",0%,G1800/QUÓRUM!$C$6)</f>
        <v>#DIV/0!</v>
      </c>
      <c r="I1800" s="87"/>
      <c r="J1800" s="88"/>
      <c r="K1800" s="88"/>
      <c r="L1800" s="89"/>
      <c r="M1800" s="89"/>
      <c r="N1800" s="90"/>
      <c r="O1800" s="90"/>
      <c r="P1800" s="90"/>
      <c r="Q1800" s="87"/>
      <c r="R1800" s="98"/>
      <c r="S1800" s="90"/>
      <c r="T1800" s="99"/>
    </row>
    <row r="1801" spans="1:20" s="94" customFormat="1" x14ac:dyDescent="0.3">
      <c r="A1801" s="96"/>
      <c r="B1801" s="96"/>
      <c r="C1801" s="87"/>
      <c r="D1801" s="97"/>
      <c r="E1801" s="83"/>
      <c r="F1801" s="83"/>
      <c r="G1801" s="84"/>
      <c r="H1801" s="86" t="e">
        <f>IF(I1801="fora",0%,G1801/QUÓRUM!$C$6)</f>
        <v>#DIV/0!</v>
      </c>
      <c r="I1801" s="87"/>
      <c r="J1801" s="88"/>
      <c r="K1801" s="88"/>
      <c r="L1801" s="89"/>
      <c r="M1801" s="89"/>
      <c r="N1801" s="90"/>
      <c r="O1801" s="90"/>
      <c r="P1801" s="90"/>
      <c r="Q1801" s="87"/>
      <c r="R1801" s="98"/>
      <c r="S1801" s="90"/>
      <c r="T1801" s="99"/>
    </row>
    <row r="1802" spans="1:20" s="94" customFormat="1" x14ac:dyDescent="0.3">
      <c r="A1802" s="96"/>
      <c r="B1802" s="96"/>
      <c r="C1802" s="87"/>
      <c r="D1802" s="97"/>
      <c r="E1802" s="83"/>
      <c r="F1802" s="83"/>
      <c r="G1802" s="84"/>
      <c r="H1802" s="86" t="e">
        <f>IF(I1802="fora",0%,G1802/QUÓRUM!$C$6)</f>
        <v>#DIV/0!</v>
      </c>
      <c r="I1802" s="87"/>
      <c r="J1802" s="88"/>
      <c r="K1802" s="88"/>
      <c r="L1802" s="89"/>
      <c r="M1802" s="89"/>
      <c r="N1802" s="90"/>
      <c r="O1802" s="90"/>
      <c r="P1802" s="90"/>
      <c r="Q1802" s="87"/>
      <c r="R1802" s="98"/>
      <c r="S1802" s="90"/>
      <c r="T1802" s="99"/>
    </row>
    <row r="1803" spans="1:20" s="94" customFormat="1" x14ac:dyDescent="0.3">
      <c r="A1803" s="96"/>
      <c r="B1803" s="96"/>
      <c r="C1803" s="87"/>
      <c r="D1803" s="97"/>
      <c r="E1803" s="83"/>
      <c r="F1803" s="83"/>
      <c r="G1803" s="84"/>
      <c r="H1803" s="86" t="e">
        <f>IF(I1803="fora",0%,G1803/QUÓRUM!$C$6)</f>
        <v>#DIV/0!</v>
      </c>
      <c r="I1803" s="87"/>
      <c r="J1803" s="88"/>
      <c r="K1803" s="88"/>
      <c r="L1803" s="89"/>
      <c r="M1803" s="89"/>
      <c r="N1803" s="90"/>
      <c r="O1803" s="90"/>
      <c r="P1803" s="90"/>
      <c r="Q1803" s="87"/>
      <c r="R1803" s="98"/>
      <c r="S1803" s="90"/>
      <c r="T1803" s="99"/>
    </row>
    <row r="1804" spans="1:20" s="94" customFormat="1" x14ac:dyDescent="0.3">
      <c r="A1804" s="96"/>
      <c r="B1804" s="96"/>
      <c r="C1804" s="87"/>
      <c r="D1804" s="97"/>
      <c r="E1804" s="83"/>
      <c r="F1804" s="83"/>
      <c r="G1804" s="84"/>
      <c r="H1804" s="86" t="e">
        <f>IF(I1804="fora",0%,G1804/QUÓRUM!$C$6)</f>
        <v>#DIV/0!</v>
      </c>
      <c r="I1804" s="87"/>
      <c r="J1804" s="88"/>
      <c r="K1804" s="88"/>
      <c r="L1804" s="89"/>
      <c r="M1804" s="89"/>
      <c r="N1804" s="90"/>
      <c r="O1804" s="90"/>
      <c r="P1804" s="90"/>
      <c r="Q1804" s="87"/>
      <c r="R1804" s="98"/>
      <c r="S1804" s="90"/>
      <c r="T1804" s="99"/>
    </row>
    <row r="1805" spans="1:20" s="94" customFormat="1" x14ac:dyDescent="0.3">
      <c r="A1805" s="96"/>
      <c r="B1805" s="96"/>
      <c r="C1805" s="87"/>
      <c r="D1805" s="97"/>
      <c r="E1805" s="83"/>
      <c r="F1805" s="83"/>
      <c r="G1805" s="84"/>
      <c r="H1805" s="86" t="e">
        <f>IF(I1805="fora",0%,G1805/QUÓRUM!$C$6)</f>
        <v>#DIV/0!</v>
      </c>
      <c r="I1805" s="87"/>
      <c r="J1805" s="88"/>
      <c r="K1805" s="88"/>
      <c r="L1805" s="89"/>
      <c r="M1805" s="89"/>
      <c r="N1805" s="90"/>
      <c r="O1805" s="90"/>
      <c r="P1805" s="90"/>
      <c r="Q1805" s="87"/>
      <c r="R1805" s="98"/>
      <c r="S1805" s="90"/>
      <c r="T1805" s="99"/>
    </row>
    <row r="1806" spans="1:20" s="94" customFormat="1" x14ac:dyDescent="0.3">
      <c r="A1806" s="96"/>
      <c r="B1806" s="96"/>
      <c r="C1806" s="87"/>
      <c r="D1806" s="97"/>
      <c r="E1806" s="83"/>
      <c r="F1806" s="83"/>
      <c r="G1806" s="84"/>
      <c r="H1806" s="86" t="e">
        <f>IF(I1806="fora",0%,G1806/QUÓRUM!$C$6)</f>
        <v>#DIV/0!</v>
      </c>
      <c r="I1806" s="87"/>
      <c r="J1806" s="88"/>
      <c r="K1806" s="88"/>
      <c r="L1806" s="89"/>
      <c r="M1806" s="89"/>
      <c r="N1806" s="90"/>
      <c r="O1806" s="90"/>
      <c r="P1806" s="90"/>
      <c r="Q1806" s="87"/>
      <c r="R1806" s="98"/>
      <c r="S1806" s="90"/>
      <c r="T1806" s="99"/>
    </row>
    <row r="1807" spans="1:20" s="94" customFormat="1" x14ac:dyDescent="0.3">
      <c r="A1807" s="96"/>
      <c r="B1807" s="96"/>
      <c r="C1807" s="87"/>
      <c r="D1807" s="97"/>
      <c r="E1807" s="83"/>
      <c r="F1807" s="83"/>
      <c r="G1807" s="84"/>
      <c r="H1807" s="86" t="e">
        <f>IF(I1807="fora",0%,G1807/QUÓRUM!$C$6)</f>
        <v>#DIV/0!</v>
      </c>
      <c r="I1807" s="87"/>
      <c r="J1807" s="88"/>
      <c r="K1807" s="88"/>
      <c r="L1807" s="89"/>
      <c r="M1807" s="89"/>
      <c r="N1807" s="90"/>
      <c r="O1807" s="90"/>
      <c r="P1807" s="90"/>
      <c r="Q1807" s="87"/>
      <c r="R1807" s="98"/>
      <c r="S1807" s="90"/>
      <c r="T1807" s="99"/>
    </row>
    <row r="1808" spans="1:20" s="94" customFormat="1" x14ac:dyDescent="0.3">
      <c r="A1808" s="96"/>
      <c r="B1808" s="96"/>
      <c r="C1808" s="87"/>
      <c r="D1808" s="97"/>
      <c r="E1808" s="83"/>
      <c r="F1808" s="83"/>
      <c r="G1808" s="84"/>
      <c r="H1808" s="86" t="e">
        <f>IF(I1808="fora",0%,G1808/QUÓRUM!$C$6)</f>
        <v>#DIV/0!</v>
      </c>
      <c r="I1808" s="87"/>
      <c r="J1808" s="88"/>
      <c r="K1808" s="88"/>
      <c r="L1808" s="89"/>
      <c r="M1808" s="89"/>
      <c r="N1808" s="90"/>
      <c r="O1808" s="90"/>
      <c r="P1808" s="90"/>
      <c r="Q1808" s="87"/>
      <c r="R1808" s="98"/>
      <c r="S1808" s="90"/>
      <c r="T1808" s="99"/>
    </row>
    <row r="1809" spans="1:20" s="94" customFormat="1" x14ac:dyDescent="0.3">
      <c r="A1809" s="96"/>
      <c r="B1809" s="96"/>
      <c r="C1809" s="87"/>
      <c r="D1809" s="97"/>
      <c r="E1809" s="83"/>
      <c r="F1809" s="83"/>
      <c r="G1809" s="84"/>
      <c r="H1809" s="86" t="e">
        <f>IF(I1809="fora",0%,G1809/QUÓRUM!$C$6)</f>
        <v>#DIV/0!</v>
      </c>
      <c r="I1809" s="87"/>
      <c r="J1809" s="88"/>
      <c r="K1809" s="88"/>
      <c r="L1809" s="89"/>
      <c r="M1809" s="89"/>
      <c r="N1809" s="90"/>
      <c r="O1809" s="90"/>
      <c r="P1809" s="90"/>
      <c r="Q1809" s="87"/>
      <c r="R1809" s="98"/>
      <c r="S1809" s="90"/>
      <c r="T1809" s="99"/>
    </row>
    <row r="1810" spans="1:20" s="94" customFormat="1" x14ac:dyDescent="0.3">
      <c r="A1810" s="96"/>
      <c r="B1810" s="96"/>
      <c r="C1810" s="87"/>
      <c r="D1810" s="97"/>
      <c r="E1810" s="83"/>
      <c r="F1810" s="83"/>
      <c r="G1810" s="84"/>
      <c r="H1810" s="86" t="e">
        <f>IF(I1810="fora",0%,G1810/QUÓRUM!$C$6)</f>
        <v>#DIV/0!</v>
      </c>
      <c r="I1810" s="87"/>
      <c r="J1810" s="88"/>
      <c r="K1810" s="88"/>
      <c r="L1810" s="89"/>
      <c r="M1810" s="89"/>
      <c r="N1810" s="90"/>
      <c r="O1810" s="90"/>
      <c r="P1810" s="90"/>
      <c r="Q1810" s="87"/>
      <c r="R1810" s="98"/>
      <c r="S1810" s="90"/>
      <c r="T1810" s="99"/>
    </row>
    <row r="1811" spans="1:20" s="94" customFormat="1" x14ac:dyDescent="0.3">
      <c r="A1811" s="96"/>
      <c r="B1811" s="96"/>
      <c r="C1811" s="87"/>
      <c r="D1811" s="97"/>
      <c r="E1811" s="83"/>
      <c r="F1811" s="83"/>
      <c r="G1811" s="84"/>
      <c r="H1811" s="86" t="e">
        <f>IF(I1811="fora",0%,G1811/QUÓRUM!$C$6)</f>
        <v>#DIV/0!</v>
      </c>
      <c r="I1811" s="87"/>
      <c r="J1811" s="88"/>
      <c r="K1811" s="88"/>
      <c r="L1811" s="89"/>
      <c r="M1811" s="89"/>
      <c r="N1811" s="90"/>
      <c r="O1811" s="90"/>
      <c r="P1811" s="90"/>
      <c r="Q1811" s="87"/>
      <c r="R1811" s="98"/>
      <c r="S1811" s="90"/>
      <c r="T1811" s="99"/>
    </row>
    <row r="1812" spans="1:20" s="94" customFormat="1" x14ac:dyDescent="0.3">
      <c r="A1812" s="96"/>
      <c r="B1812" s="96"/>
      <c r="C1812" s="87"/>
      <c r="D1812" s="97"/>
      <c r="E1812" s="83"/>
      <c r="F1812" s="83"/>
      <c r="G1812" s="84"/>
      <c r="H1812" s="86" t="e">
        <f>IF(I1812="fora",0%,G1812/QUÓRUM!$C$6)</f>
        <v>#DIV/0!</v>
      </c>
      <c r="I1812" s="87"/>
      <c r="J1812" s="88"/>
      <c r="K1812" s="88"/>
      <c r="L1812" s="89"/>
      <c r="M1812" s="89"/>
      <c r="N1812" s="90"/>
      <c r="O1812" s="90"/>
      <c r="P1812" s="90"/>
      <c r="Q1812" s="87"/>
      <c r="R1812" s="98"/>
      <c r="S1812" s="90"/>
      <c r="T1812" s="99"/>
    </row>
    <row r="1813" spans="1:20" s="94" customFormat="1" x14ac:dyDescent="0.3">
      <c r="A1813" s="96"/>
      <c r="B1813" s="96"/>
      <c r="C1813" s="87"/>
      <c r="D1813" s="97"/>
      <c r="E1813" s="83"/>
      <c r="F1813" s="83"/>
      <c r="G1813" s="84"/>
      <c r="H1813" s="86" t="e">
        <f>IF(I1813="fora",0%,G1813/QUÓRUM!$C$6)</f>
        <v>#DIV/0!</v>
      </c>
      <c r="I1813" s="87"/>
      <c r="J1813" s="88"/>
      <c r="K1813" s="88"/>
      <c r="L1813" s="89"/>
      <c r="M1813" s="89"/>
      <c r="N1813" s="90"/>
      <c r="O1813" s="90"/>
      <c r="P1813" s="90"/>
      <c r="Q1813" s="87"/>
      <c r="R1813" s="98"/>
      <c r="S1813" s="90"/>
      <c r="T1813" s="99"/>
    </row>
    <row r="1814" spans="1:20" s="94" customFormat="1" x14ac:dyDescent="0.3">
      <c r="A1814" s="96"/>
      <c r="B1814" s="96"/>
      <c r="C1814" s="87"/>
      <c r="D1814" s="97"/>
      <c r="E1814" s="83"/>
      <c r="F1814" s="83"/>
      <c r="G1814" s="84"/>
      <c r="H1814" s="86" t="e">
        <f>IF(I1814="fora",0%,G1814/QUÓRUM!$C$6)</f>
        <v>#DIV/0!</v>
      </c>
      <c r="I1814" s="87"/>
      <c r="J1814" s="88"/>
      <c r="K1814" s="88"/>
      <c r="L1814" s="89"/>
      <c r="M1814" s="89"/>
      <c r="N1814" s="90"/>
      <c r="O1814" s="90"/>
      <c r="P1814" s="90"/>
      <c r="Q1814" s="87"/>
      <c r="R1814" s="98"/>
      <c r="S1814" s="90"/>
      <c r="T1814" s="99"/>
    </row>
    <row r="1815" spans="1:20" s="94" customFormat="1" x14ac:dyDescent="0.3">
      <c r="A1815" s="96"/>
      <c r="B1815" s="96"/>
      <c r="C1815" s="87"/>
      <c r="D1815" s="97"/>
      <c r="E1815" s="83"/>
      <c r="F1815" s="83"/>
      <c r="G1815" s="84"/>
      <c r="H1815" s="86" t="e">
        <f>IF(I1815="fora",0%,G1815/QUÓRUM!$C$6)</f>
        <v>#DIV/0!</v>
      </c>
      <c r="I1815" s="87"/>
      <c r="J1815" s="88"/>
      <c r="K1815" s="88"/>
      <c r="L1815" s="89"/>
      <c r="M1815" s="89"/>
      <c r="N1815" s="90"/>
      <c r="O1815" s="90"/>
      <c r="P1815" s="90"/>
      <c r="Q1815" s="87"/>
      <c r="R1815" s="98"/>
      <c r="S1815" s="90"/>
      <c r="T1815" s="99"/>
    </row>
    <row r="1816" spans="1:20" s="94" customFormat="1" x14ac:dyDescent="0.3">
      <c r="A1816" s="96"/>
      <c r="B1816" s="96"/>
      <c r="C1816" s="87"/>
      <c r="D1816" s="97"/>
      <c r="E1816" s="83"/>
      <c r="F1816" s="83"/>
      <c r="G1816" s="84"/>
      <c r="H1816" s="86" t="e">
        <f>IF(I1816="fora",0%,G1816/QUÓRUM!$C$6)</f>
        <v>#DIV/0!</v>
      </c>
      <c r="I1816" s="87"/>
      <c r="J1816" s="88"/>
      <c r="K1816" s="88"/>
      <c r="L1816" s="89"/>
      <c r="M1816" s="89"/>
      <c r="N1816" s="90"/>
      <c r="O1816" s="90"/>
      <c r="P1816" s="90"/>
      <c r="Q1816" s="87"/>
      <c r="R1816" s="98"/>
      <c r="S1816" s="90"/>
      <c r="T1816" s="99"/>
    </row>
    <row r="1817" spans="1:20" s="94" customFormat="1" x14ac:dyDescent="0.3">
      <c r="A1817" s="96"/>
      <c r="B1817" s="96"/>
      <c r="C1817" s="87"/>
      <c r="D1817" s="97"/>
      <c r="E1817" s="83"/>
      <c r="F1817" s="83"/>
      <c r="G1817" s="84"/>
      <c r="H1817" s="86" t="e">
        <f>IF(I1817="fora",0%,G1817/QUÓRUM!$C$6)</f>
        <v>#DIV/0!</v>
      </c>
      <c r="I1817" s="87"/>
      <c r="J1817" s="88"/>
      <c r="K1817" s="88"/>
      <c r="L1817" s="89"/>
      <c r="M1817" s="89"/>
      <c r="N1817" s="90"/>
      <c r="O1817" s="90"/>
      <c r="P1817" s="90"/>
      <c r="Q1817" s="87"/>
      <c r="R1817" s="98"/>
      <c r="S1817" s="90"/>
      <c r="T1817" s="99"/>
    </row>
    <row r="1818" spans="1:20" s="94" customFormat="1" x14ac:dyDescent="0.3">
      <c r="A1818" s="96"/>
      <c r="B1818" s="96"/>
      <c r="C1818" s="87"/>
      <c r="D1818" s="97"/>
      <c r="E1818" s="83"/>
      <c r="F1818" s="83"/>
      <c r="G1818" s="84"/>
      <c r="H1818" s="86" t="e">
        <f>IF(I1818="fora",0%,G1818/QUÓRUM!$C$6)</f>
        <v>#DIV/0!</v>
      </c>
      <c r="I1818" s="87"/>
      <c r="J1818" s="88"/>
      <c r="K1818" s="88"/>
      <c r="L1818" s="89"/>
      <c r="M1818" s="89"/>
      <c r="N1818" s="90"/>
      <c r="O1818" s="90"/>
      <c r="P1818" s="90"/>
      <c r="Q1818" s="87"/>
      <c r="R1818" s="98"/>
      <c r="S1818" s="90"/>
      <c r="T1818" s="99"/>
    </row>
    <row r="1819" spans="1:20" s="94" customFormat="1" x14ac:dyDescent="0.3">
      <c r="A1819" s="96"/>
      <c r="B1819" s="96"/>
      <c r="C1819" s="87"/>
      <c r="D1819" s="97"/>
      <c r="E1819" s="83"/>
      <c r="F1819" s="83"/>
      <c r="G1819" s="84"/>
      <c r="H1819" s="86" t="e">
        <f>IF(I1819="fora",0%,G1819/QUÓRUM!$C$6)</f>
        <v>#DIV/0!</v>
      </c>
      <c r="I1819" s="87"/>
      <c r="J1819" s="88"/>
      <c r="K1819" s="88"/>
      <c r="L1819" s="89"/>
      <c r="M1819" s="89"/>
      <c r="N1819" s="90"/>
      <c r="O1819" s="90"/>
      <c r="P1819" s="90"/>
      <c r="Q1819" s="87"/>
      <c r="R1819" s="98"/>
      <c r="S1819" s="90"/>
      <c r="T1819" s="99"/>
    </row>
    <row r="1820" spans="1:20" s="94" customFormat="1" x14ac:dyDescent="0.3">
      <c r="A1820" s="96"/>
      <c r="B1820" s="96"/>
      <c r="C1820" s="87"/>
      <c r="D1820" s="97"/>
      <c r="E1820" s="83"/>
      <c r="F1820" s="83"/>
      <c r="G1820" s="84"/>
      <c r="H1820" s="86" t="e">
        <f>IF(I1820="fora",0%,G1820/QUÓRUM!$C$6)</f>
        <v>#DIV/0!</v>
      </c>
      <c r="I1820" s="87"/>
      <c r="J1820" s="88"/>
      <c r="K1820" s="88"/>
      <c r="L1820" s="89"/>
      <c r="M1820" s="89"/>
      <c r="N1820" s="90"/>
      <c r="O1820" s="90"/>
      <c r="P1820" s="90"/>
      <c r="Q1820" s="87"/>
      <c r="R1820" s="98"/>
      <c r="S1820" s="90"/>
      <c r="T1820" s="99"/>
    </row>
    <row r="1821" spans="1:20" s="94" customFormat="1" x14ac:dyDescent="0.3">
      <c r="A1821" s="96"/>
      <c r="B1821" s="96"/>
      <c r="C1821" s="87"/>
      <c r="D1821" s="97"/>
      <c r="E1821" s="83"/>
      <c r="F1821" s="83"/>
      <c r="G1821" s="84"/>
      <c r="H1821" s="86" t="e">
        <f>IF(I1821="fora",0%,G1821/QUÓRUM!$C$6)</f>
        <v>#DIV/0!</v>
      </c>
      <c r="I1821" s="87"/>
      <c r="J1821" s="88"/>
      <c r="K1821" s="88"/>
      <c r="L1821" s="89"/>
      <c r="M1821" s="89"/>
      <c r="N1821" s="90"/>
      <c r="O1821" s="90"/>
      <c r="P1821" s="90"/>
      <c r="Q1821" s="87"/>
      <c r="R1821" s="98"/>
      <c r="S1821" s="90"/>
      <c r="T1821" s="99"/>
    </row>
    <row r="1822" spans="1:20" s="94" customFormat="1" x14ac:dyDescent="0.3">
      <c r="A1822" s="96"/>
      <c r="B1822" s="96"/>
      <c r="C1822" s="87"/>
      <c r="D1822" s="97"/>
      <c r="E1822" s="83"/>
      <c r="F1822" s="83"/>
      <c r="G1822" s="84"/>
      <c r="H1822" s="86" t="e">
        <f>IF(I1822="fora",0%,G1822/QUÓRUM!$C$6)</f>
        <v>#DIV/0!</v>
      </c>
      <c r="I1822" s="87"/>
      <c r="J1822" s="88"/>
      <c r="K1822" s="88"/>
      <c r="L1822" s="89"/>
      <c r="M1822" s="89"/>
      <c r="N1822" s="90"/>
      <c r="O1822" s="90"/>
      <c r="P1822" s="90"/>
      <c r="Q1822" s="87"/>
      <c r="R1822" s="98"/>
      <c r="S1822" s="90"/>
      <c r="T1822" s="99"/>
    </row>
    <row r="1823" spans="1:20" s="94" customFormat="1" x14ac:dyDescent="0.3">
      <c r="A1823" s="96"/>
      <c r="B1823" s="96"/>
      <c r="C1823" s="87"/>
      <c r="D1823" s="97"/>
      <c r="E1823" s="83"/>
      <c r="F1823" s="83"/>
      <c r="G1823" s="84"/>
      <c r="H1823" s="86" t="e">
        <f>IF(I1823="fora",0%,G1823/QUÓRUM!$C$6)</f>
        <v>#DIV/0!</v>
      </c>
      <c r="I1823" s="87"/>
      <c r="J1823" s="88"/>
      <c r="K1823" s="88"/>
      <c r="L1823" s="89"/>
      <c r="M1823" s="89"/>
      <c r="N1823" s="90"/>
      <c r="O1823" s="90"/>
      <c r="P1823" s="90"/>
      <c r="Q1823" s="87"/>
      <c r="R1823" s="98"/>
      <c r="S1823" s="90"/>
      <c r="T1823" s="99"/>
    </row>
    <row r="1824" spans="1:20" s="94" customFormat="1" x14ac:dyDescent="0.3">
      <c r="A1824" s="96"/>
      <c r="B1824" s="96"/>
      <c r="C1824" s="87"/>
      <c r="D1824" s="97"/>
      <c r="E1824" s="83"/>
      <c r="F1824" s="83"/>
      <c r="G1824" s="84"/>
      <c r="H1824" s="86" t="e">
        <f>IF(I1824="fora",0%,G1824/QUÓRUM!$C$6)</f>
        <v>#DIV/0!</v>
      </c>
      <c r="I1824" s="87"/>
      <c r="J1824" s="88"/>
      <c r="K1824" s="88"/>
      <c r="L1824" s="89"/>
      <c r="M1824" s="89"/>
      <c r="N1824" s="90"/>
      <c r="O1824" s="90"/>
      <c r="P1824" s="90"/>
      <c r="Q1824" s="87"/>
      <c r="R1824" s="98"/>
      <c r="S1824" s="90"/>
      <c r="T1824" s="99"/>
    </row>
    <row r="1825" spans="1:20" s="94" customFormat="1" x14ac:dyDescent="0.3">
      <c r="A1825" s="96"/>
      <c r="B1825" s="96"/>
      <c r="C1825" s="87"/>
      <c r="D1825" s="97"/>
      <c r="E1825" s="83"/>
      <c r="F1825" s="83"/>
      <c r="G1825" s="84"/>
      <c r="H1825" s="86" t="e">
        <f>IF(I1825="fora",0%,G1825/QUÓRUM!$C$6)</f>
        <v>#DIV/0!</v>
      </c>
      <c r="I1825" s="87"/>
      <c r="J1825" s="88"/>
      <c r="K1825" s="88"/>
      <c r="L1825" s="89"/>
      <c r="M1825" s="89"/>
      <c r="N1825" s="90"/>
      <c r="O1825" s="90"/>
      <c r="P1825" s="90"/>
      <c r="Q1825" s="87"/>
      <c r="R1825" s="98"/>
      <c r="S1825" s="90"/>
      <c r="T1825" s="99"/>
    </row>
    <row r="1826" spans="1:20" s="94" customFormat="1" x14ac:dyDescent="0.3">
      <c r="A1826" s="96"/>
      <c r="B1826" s="96"/>
      <c r="C1826" s="87"/>
      <c r="D1826" s="97"/>
      <c r="E1826" s="83"/>
      <c r="F1826" s="83"/>
      <c r="G1826" s="84"/>
      <c r="H1826" s="86" t="e">
        <f>IF(I1826="fora",0%,G1826/QUÓRUM!$C$6)</f>
        <v>#DIV/0!</v>
      </c>
      <c r="I1826" s="87"/>
      <c r="J1826" s="88"/>
      <c r="K1826" s="88"/>
      <c r="L1826" s="89"/>
      <c r="M1826" s="89"/>
      <c r="N1826" s="90"/>
      <c r="O1826" s="90"/>
      <c r="P1826" s="90"/>
      <c r="Q1826" s="87"/>
      <c r="R1826" s="98"/>
      <c r="S1826" s="90"/>
      <c r="T1826" s="99"/>
    </row>
    <row r="1827" spans="1:20" s="94" customFormat="1" x14ac:dyDescent="0.3">
      <c r="A1827" s="96"/>
      <c r="B1827" s="96"/>
      <c r="C1827" s="87"/>
      <c r="D1827" s="97"/>
      <c r="E1827" s="83"/>
      <c r="F1827" s="83"/>
      <c r="G1827" s="84"/>
      <c r="H1827" s="86" t="e">
        <f>IF(I1827="fora",0%,G1827/QUÓRUM!$C$6)</f>
        <v>#DIV/0!</v>
      </c>
      <c r="I1827" s="87"/>
      <c r="J1827" s="88"/>
      <c r="K1827" s="88"/>
      <c r="L1827" s="89"/>
      <c r="M1827" s="89"/>
      <c r="N1827" s="90"/>
      <c r="O1827" s="90"/>
      <c r="P1827" s="90"/>
      <c r="Q1827" s="87"/>
      <c r="R1827" s="98"/>
      <c r="S1827" s="90"/>
      <c r="T1827" s="99"/>
    </row>
    <row r="1828" spans="1:20" s="94" customFormat="1" x14ac:dyDescent="0.3">
      <c r="A1828" s="96"/>
      <c r="B1828" s="96"/>
      <c r="C1828" s="87"/>
      <c r="D1828" s="97"/>
      <c r="E1828" s="83"/>
      <c r="F1828" s="83"/>
      <c r="G1828" s="84"/>
      <c r="H1828" s="86" t="e">
        <f>IF(I1828="fora",0%,G1828/QUÓRUM!$C$6)</f>
        <v>#DIV/0!</v>
      </c>
      <c r="I1828" s="87"/>
      <c r="J1828" s="88"/>
      <c r="K1828" s="88"/>
      <c r="L1828" s="89"/>
      <c r="M1828" s="89"/>
      <c r="N1828" s="90"/>
      <c r="O1828" s="90"/>
      <c r="P1828" s="90"/>
      <c r="Q1828" s="87"/>
      <c r="R1828" s="98"/>
      <c r="S1828" s="90"/>
      <c r="T1828" s="99"/>
    </row>
    <row r="1829" spans="1:20" s="94" customFormat="1" x14ac:dyDescent="0.3">
      <c r="A1829" s="96"/>
      <c r="B1829" s="96"/>
      <c r="C1829" s="87"/>
      <c r="D1829" s="97"/>
      <c r="E1829" s="83"/>
      <c r="F1829" s="83"/>
      <c r="G1829" s="84"/>
      <c r="H1829" s="86" t="e">
        <f>IF(I1829="fora",0%,G1829/QUÓRUM!$C$6)</f>
        <v>#DIV/0!</v>
      </c>
      <c r="I1829" s="87"/>
      <c r="J1829" s="88"/>
      <c r="K1829" s="88"/>
      <c r="L1829" s="89"/>
      <c r="M1829" s="89"/>
      <c r="N1829" s="90"/>
      <c r="O1829" s="90"/>
      <c r="P1829" s="90"/>
      <c r="Q1829" s="87"/>
      <c r="R1829" s="98"/>
      <c r="S1829" s="90"/>
      <c r="T1829" s="99"/>
    </row>
    <row r="1830" spans="1:20" s="94" customFormat="1" x14ac:dyDescent="0.3">
      <c r="A1830" s="96"/>
      <c r="B1830" s="96"/>
      <c r="C1830" s="87"/>
      <c r="D1830" s="97"/>
      <c r="E1830" s="83"/>
      <c r="F1830" s="83"/>
      <c r="G1830" s="84"/>
      <c r="H1830" s="86" t="e">
        <f>IF(I1830="fora",0%,G1830/QUÓRUM!$C$6)</f>
        <v>#DIV/0!</v>
      </c>
      <c r="I1830" s="87"/>
      <c r="J1830" s="88"/>
      <c r="K1830" s="88"/>
      <c r="L1830" s="89"/>
      <c r="M1830" s="89"/>
      <c r="N1830" s="90"/>
      <c r="O1830" s="90"/>
      <c r="P1830" s="90"/>
      <c r="Q1830" s="87"/>
      <c r="R1830" s="98"/>
      <c r="S1830" s="90"/>
      <c r="T1830" s="99"/>
    </row>
    <row r="1831" spans="1:20" s="94" customFormat="1" x14ac:dyDescent="0.3">
      <c r="A1831" s="96"/>
      <c r="B1831" s="96"/>
      <c r="C1831" s="87"/>
      <c r="D1831" s="97"/>
      <c r="E1831" s="83"/>
      <c r="F1831" s="83"/>
      <c r="G1831" s="84"/>
      <c r="H1831" s="86" t="e">
        <f>IF(I1831="fora",0%,G1831/QUÓRUM!$C$6)</f>
        <v>#DIV/0!</v>
      </c>
      <c r="I1831" s="87"/>
      <c r="J1831" s="88"/>
      <c r="K1831" s="88"/>
      <c r="L1831" s="89"/>
      <c r="M1831" s="89"/>
      <c r="N1831" s="90"/>
      <c r="O1831" s="90"/>
      <c r="P1831" s="90"/>
      <c r="Q1831" s="87"/>
      <c r="R1831" s="98"/>
      <c r="S1831" s="90"/>
      <c r="T1831" s="99"/>
    </row>
    <row r="1832" spans="1:20" s="94" customFormat="1" x14ac:dyDescent="0.3">
      <c r="A1832" s="96"/>
      <c r="B1832" s="96"/>
      <c r="C1832" s="87"/>
      <c r="D1832" s="97"/>
      <c r="E1832" s="83"/>
      <c r="F1832" s="83"/>
      <c r="G1832" s="84"/>
      <c r="H1832" s="86" t="e">
        <f>IF(I1832="fora",0%,G1832/QUÓRUM!$C$6)</f>
        <v>#DIV/0!</v>
      </c>
      <c r="I1832" s="87"/>
      <c r="J1832" s="88"/>
      <c r="K1832" s="88"/>
      <c r="L1832" s="89"/>
      <c r="M1832" s="89"/>
      <c r="N1832" s="90"/>
      <c r="O1832" s="90"/>
      <c r="P1832" s="90"/>
      <c r="Q1832" s="87"/>
      <c r="R1832" s="98"/>
      <c r="S1832" s="90"/>
      <c r="T1832" s="99"/>
    </row>
    <row r="1833" spans="1:20" s="94" customFormat="1" x14ac:dyDescent="0.3">
      <c r="A1833" s="96"/>
      <c r="B1833" s="96"/>
      <c r="C1833" s="87"/>
      <c r="D1833" s="97"/>
      <c r="E1833" s="83"/>
      <c r="F1833" s="83"/>
      <c r="G1833" s="84"/>
      <c r="H1833" s="86" t="e">
        <f>IF(I1833="fora",0%,G1833/QUÓRUM!$C$6)</f>
        <v>#DIV/0!</v>
      </c>
      <c r="I1833" s="87"/>
      <c r="J1833" s="88"/>
      <c r="K1833" s="88"/>
      <c r="L1833" s="89"/>
      <c r="M1833" s="89"/>
      <c r="N1833" s="90"/>
      <c r="O1833" s="90"/>
      <c r="P1833" s="90"/>
      <c r="Q1833" s="87"/>
      <c r="R1833" s="98"/>
      <c r="S1833" s="90"/>
      <c r="T1833" s="99"/>
    </row>
    <row r="1834" spans="1:20" s="94" customFormat="1" x14ac:dyDescent="0.3">
      <c r="A1834" s="96"/>
      <c r="B1834" s="96"/>
      <c r="C1834" s="87"/>
      <c r="D1834" s="97"/>
      <c r="E1834" s="83"/>
      <c r="F1834" s="83"/>
      <c r="G1834" s="84"/>
      <c r="H1834" s="86" t="e">
        <f>IF(I1834="fora",0%,G1834/QUÓRUM!$C$6)</f>
        <v>#DIV/0!</v>
      </c>
      <c r="I1834" s="87"/>
      <c r="J1834" s="88"/>
      <c r="K1834" s="88"/>
      <c r="L1834" s="89"/>
      <c r="M1834" s="89"/>
      <c r="N1834" s="90"/>
      <c r="O1834" s="90"/>
      <c r="P1834" s="90"/>
      <c r="Q1834" s="87"/>
      <c r="R1834" s="98"/>
      <c r="S1834" s="90"/>
      <c r="T1834" s="99"/>
    </row>
    <row r="1835" spans="1:20" s="94" customFormat="1" x14ac:dyDescent="0.3">
      <c r="A1835" s="96"/>
      <c r="B1835" s="96"/>
      <c r="C1835" s="87"/>
      <c r="D1835" s="97"/>
      <c r="E1835" s="83"/>
      <c r="F1835" s="83"/>
      <c r="G1835" s="84"/>
      <c r="H1835" s="86" t="e">
        <f>IF(I1835="fora",0%,G1835/QUÓRUM!$C$6)</f>
        <v>#DIV/0!</v>
      </c>
      <c r="I1835" s="87"/>
      <c r="J1835" s="88"/>
      <c r="K1835" s="88"/>
      <c r="L1835" s="89"/>
      <c r="M1835" s="89"/>
      <c r="N1835" s="90"/>
      <c r="O1835" s="90"/>
      <c r="P1835" s="90"/>
      <c r="Q1835" s="87"/>
      <c r="R1835" s="98"/>
      <c r="S1835" s="90"/>
      <c r="T1835" s="99"/>
    </row>
    <row r="1836" spans="1:20" s="94" customFormat="1" x14ac:dyDescent="0.3">
      <c r="A1836" s="96"/>
      <c r="B1836" s="96"/>
      <c r="C1836" s="87"/>
      <c r="D1836" s="97"/>
      <c r="E1836" s="83"/>
      <c r="F1836" s="83"/>
      <c r="G1836" s="84"/>
      <c r="H1836" s="86" t="e">
        <f>IF(I1836="fora",0%,G1836/QUÓRUM!$C$6)</f>
        <v>#DIV/0!</v>
      </c>
      <c r="I1836" s="87"/>
      <c r="J1836" s="88"/>
      <c r="K1836" s="88"/>
      <c r="L1836" s="89"/>
      <c r="M1836" s="89"/>
      <c r="N1836" s="90"/>
      <c r="O1836" s="90"/>
      <c r="P1836" s="90"/>
      <c r="Q1836" s="87"/>
      <c r="R1836" s="98"/>
      <c r="S1836" s="90"/>
      <c r="T1836" s="99"/>
    </row>
    <row r="1837" spans="1:20" s="94" customFormat="1" x14ac:dyDescent="0.3">
      <c r="A1837" s="96"/>
      <c r="B1837" s="96"/>
      <c r="C1837" s="87"/>
      <c r="D1837" s="97"/>
      <c r="E1837" s="83"/>
      <c r="F1837" s="83"/>
      <c r="G1837" s="84"/>
      <c r="H1837" s="86" t="e">
        <f>IF(I1837="fora",0%,G1837/QUÓRUM!$C$6)</f>
        <v>#DIV/0!</v>
      </c>
      <c r="I1837" s="87"/>
      <c r="J1837" s="88"/>
      <c r="K1837" s="88"/>
      <c r="L1837" s="89"/>
      <c r="M1837" s="89"/>
      <c r="N1837" s="90"/>
      <c r="O1837" s="90"/>
      <c r="P1837" s="90"/>
      <c r="Q1837" s="87"/>
      <c r="R1837" s="98"/>
      <c r="S1837" s="90"/>
      <c r="T1837" s="99"/>
    </row>
    <row r="1838" spans="1:20" s="94" customFormat="1" x14ac:dyDescent="0.3">
      <c r="A1838" s="96"/>
      <c r="B1838" s="96"/>
      <c r="C1838" s="87"/>
      <c r="D1838" s="97"/>
      <c r="E1838" s="83"/>
      <c r="F1838" s="83"/>
      <c r="G1838" s="84"/>
      <c r="H1838" s="86" t="e">
        <f>IF(I1838="fora",0%,G1838/QUÓRUM!$C$6)</f>
        <v>#DIV/0!</v>
      </c>
      <c r="I1838" s="87"/>
      <c r="J1838" s="88"/>
      <c r="K1838" s="88"/>
      <c r="L1838" s="89"/>
      <c r="M1838" s="89"/>
      <c r="N1838" s="90"/>
      <c r="O1838" s="90"/>
      <c r="P1838" s="90"/>
      <c r="Q1838" s="87"/>
      <c r="R1838" s="98"/>
      <c r="S1838" s="90"/>
      <c r="T1838" s="99"/>
    </row>
    <row r="1839" spans="1:20" s="94" customFormat="1" x14ac:dyDescent="0.3">
      <c r="A1839" s="96"/>
      <c r="B1839" s="96"/>
      <c r="C1839" s="87"/>
      <c r="D1839" s="97"/>
      <c r="E1839" s="83"/>
      <c r="F1839" s="83"/>
      <c r="G1839" s="84"/>
      <c r="H1839" s="86" t="e">
        <f>IF(I1839="fora",0%,G1839/QUÓRUM!$C$6)</f>
        <v>#DIV/0!</v>
      </c>
      <c r="I1839" s="87"/>
      <c r="J1839" s="88"/>
      <c r="K1839" s="88"/>
      <c r="L1839" s="89"/>
      <c r="M1839" s="89"/>
      <c r="N1839" s="90"/>
      <c r="O1839" s="90"/>
      <c r="P1839" s="90"/>
      <c r="Q1839" s="87"/>
      <c r="R1839" s="98"/>
      <c r="S1839" s="90"/>
      <c r="T1839" s="99"/>
    </row>
    <row r="1840" spans="1:20" s="94" customFormat="1" x14ac:dyDescent="0.3">
      <c r="A1840" s="96"/>
      <c r="B1840" s="96"/>
      <c r="C1840" s="87"/>
      <c r="D1840" s="97"/>
      <c r="E1840" s="83"/>
      <c r="F1840" s="83"/>
      <c r="G1840" s="84"/>
      <c r="H1840" s="86" t="e">
        <f>IF(I1840="fora",0%,G1840/QUÓRUM!$C$6)</f>
        <v>#DIV/0!</v>
      </c>
      <c r="I1840" s="87"/>
      <c r="J1840" s="88"/>
      <c r="K1840" s="88"/>
      <c r="L1840" s="89"/>
      <c r="M1840" s="89"/>
      <c r="N1840" s="90"/>
      <c r="O1840" s="90"/>
      <c r="P1840" s="90"/>
      <c r="Q1840" s="87"/>
      <c r="R1840" s="98"/>
      <c r="S1840" s="90"/>
      <c r="T1840" s="99"/>
    </row>
    <row r="1841" spans="1:20" s="94" customFormat="1" x14ac:dyDescent="0.3">
      <c r="A1841" s="96"/>
      <c r="B1841" s="96"/>
      <c r="C1841" s="87"/>
      <c r="D1841" s="97"/>
      <c r="E1841" s="83"/>
      <c r="F1841" s="83"/>
      <c r="G1841" s="84"/>
      <c r="H1841" s="86" t="e">
        <f>IF(I1841="fora",0%,G1841/QUÓRUM!$C$6)</f>
        <v>#DIV/0!</v>
      </c>
      <c r="I1841" s="87"/>
      <c r="J1841" s="88"/>
      <c r="K1841" s="88"/>
      <c r="L1841" s="89"/>
      <c r="M1841" s="89"/>
      <c r="N1841" s="90"/>
      <c r="O1841" s="90"/>
      <c r="P1841" s="90"/>
      <c r="Q1841" s="87"/>
      <c r="R1841" s="98"/>
      <c r="S1841" s="90"/>
      <c r="T1841" s="99"/>
    </row>
    <row r="1842" spans="1:20" s="94" customFormat="1" x14ac:dyDescent="0.3">
      <c r="A1842" s="96"/>
      <c r="B1842" s="96"/>
      <c r="C1842" s="87"/>
      <c r="D1842" s="97"/>
      <c r="E1842" s="83"/>
      <c r="F1842" s="83"/>
      <c r="G1842" s="84"/>
      <c r="H1842" s="86" t="e">
        <f>IF(I1842="fora",0%,G1842/QUÓRUM!$C$6)</f>
        <v>#DIV/0!</v>
      </c>
      <c r="I1842" s="87"/>
      <c r="J1842" s="88"/>
      <c r="K1842" s="88"/>
      <c r="L1842" s="89"/>
      <c r="M1842" s="89"/>
      <c r="N1842" s="90"/>
      <c r="O1842" s="90"/>
      <c r="P1842" s="90"/>
      <c r="Q1842" s="87"/>
      <c r="R1842" s="98"/>
      <c r="S1842" s="90"/>
      <c r="T1842" s="99"/>
    </row>
    <row r="1843" spans="1:20" s="94" customFormat="1" x14ac:dyDescent="0.3">
      <c r="A1843" s="96"/>
      <c r="B1843" s="96"/>
      <c r="C1843" s="87"/>
      <c r="D1843" s="97"/>
      <c r="E1843" s="83"/>
      <c r="F1843" s="83"/>
      <c r="G1843" s="84"/>
      <c r="H1843" s="86" t="e">
        <f>IF(I1843="fora",0%,G1843/QUÓRUM!$C$6)</f>
        <v>#DIV/0!</v>
      </c>
      <c r="I1843" s="87"/>
      <c r="J1843" s="88"/>
      <c r="K1843" s="88"/>
      <c r="L1843" s="89"/>
      <c r="M1843" s="89"/>
      <c r="N1843" s="90"/>
      <c r="O1843" s="90"/>
      <c r="P1843" s="90"/>
      <c r="Q1843" s="87"/>
      <c r="R1843" s="98"/>
      <c r="S1843" s="90"/>
      <c r="T1843" s="99"/>
    </row>
    <row r="1844" spans="1:20" s="94" customFormat="1" x14ac:dyDescent="0.3">
      <c r="A1844" s="96"/>
      <c r="B1844" s="96"/>
      <c r="C1844" s="87"/>
      <c r="D1844" s="97"/>
      <c r="E1844" s="83"/>
      <c r="F1844" s="83"/>
      <c r="G1844" s="84"/>
      <c r="H1844" s="86" t="e">
        <f>IF(I1844="fora",0%,G1844/QUÓRUM!$C$6)</f>
        <v>#DIV/0!</v>
      </c>
      <c r="I1844" s="87"/>
      <c r="J1844" s="88"/>
      <c r="K1844" s="88"/>
      <c r="L1844" s="89"/>
      <c r="M1844" s="89"/>
      <c r="N1844" s="90"/>
      <c r="O1844" s="90"/>
      <c r="P1844" s="90"/>
      <c r="Q1844" s="87"/>
      <c r="R1844" s="98"/>
      <c r="S1844" s="90"/>
      <c r="T1844" s="99"/>
    </row>
    <row r="1845" spans="1:20" s="94" customFormat="1" x14ac:dyDescent="0.3">
      <c r="A1845" s="96"/>
      <c r="B1845" s="96"/>
      <c r="C1845" s="87"/>
      <c r="D1845" s="97"/>
      <c r="E1845" s="83"/>
      <c r="F1845" s="83"/>
      <c r="G1845" s="84"/>
      <c r="H1845" s="86" t="e">
        <f>IF(I1845="fora",0%,G1845/QUÓRUM!$C$6)</f>
        <v>#DIV/0!</v>
      </c>
      <c r="I1845" s="87"/>
      <c r="J1845" s="88"/>
      <c r="K1845" s="88"/>
      <c r="L1845" s="89"/>
      <c r="M1845" s="89"/>
      <c r="N1845" s="90"/>
      <c r="O1845" s="90"/>
      <c r="P1845" s="90"/>
      <c r="Q1845" s="87"/>
      <c r="R1845" s="98"/>
      <c r="S1845" s="90"/>
      <c r="T1845" s="99"/>
    </row>
    <row r="1846" spans="1:20" s="94" customFormat="1" x14ac:dyDescent="0.3">
      <c r="A1846" s="96"/>
      <c r="B1846" s="96"/>
      <c r="C1846" s="87"/>
      <c r="D1846" s="97"/>
      <c r="E1846" s="83"/>
      <c r="F1846" s="83"/>
      <c r="G1846" s="84"/>
      <c r="H1846" s="86" t="e">
        <f>IF(I1846="fora",0%,G1846/QUÓRUM!$C$6)</f>
        <v>#DIV/0!</v>
      </c>
      <c r="I1846" s="87"/>
      <c r="J1846" s="88"/>
      <c r="K1846" s="88"/>
      <c r="L1846" s="89"/>
      <c r="M1846" s="89"/>
      <c r="N1846" s="90"/>
      <c r="O1846" s="90"/>
      <c r="P1846" s="90"/>
      <c r="Q1846" s="87"/>
      <c r="R1846" s="98"/>
      <c r="S1846" s="90"/>
      <c r="T1846" s="99"/>
    </row>
    <row r="1847" spans="1:20" s="94" customFormat="1" x14ac:dyDescent="0.3">
      <c r="A1847" s="96"/>
      <c r="B1847" s="96"/>
      <c r="C1847" s="87"/>
      <c r="D1847" s="97"/>
      <c r="E1847" s="83"/>
      <c r="F1847" s="83"/>
      <c r="G1847" s="84"/>
      <c r="H1847" s="86" t="e">
        <f>IF(I1847="fora",0%,G1847/QUÓRUM!$C$6)</f>
        <v>#DIV/0!</v>
      </c>
      <c r="I1847" s="87"/>
      <c r="J1847" s="88"/>
      <c r="K1847" s="88"/>
      <c r="L1847" s="89"/>
      <c r="M1847" s="89"/>
      <c r="N1847" s="90"/>
      <c r="O1847" s="90"/>
      <c r="P1847" s="90"/>
      <c r="Q1847" s="87"/>
      <c r="R1847" s="98"/>
      <c r="S1847" s="90"/>
      <c r="T1847" s="99"/>
    </row>
    <row r="1848" spans="1:20" s="94" customFormat="1" x14ac:dyDescent="0.3">
      <c r="A1848" s="96"/>
      <c r="B1848" s="96"/>
      <c r="C1848" s="87"/>
      <c r="D1848" s="97"/>
      <c r="E1848" s="83"/>
      <c r="F1848" s="83"/>
      <c r="G1848" s="84"/>
      <c r="H1848" s="86" t="e">
        <f>IF(I1848="fora",0%,G1848/QUÓRUM!$C$6)</f>
        <v>#DIV/0!</v>
      </c>
      <c r="I1848" s="87"/>
      <c r="J1848" s="88"/>
      <c r="K1848" s="88"/>
      <c r="L1848" s="89"/>
      <c r="M1848" s="89"/>
      <c r="N1848" s="90"/>
      <c r="O1848" s="90"/>
      <c r="P1848" s="90"/>
      <c r="Q1848" s="87"/>
      <c r="R1848" s="98"/>
      <c r="S1848" s="90"/>
      <c r="T1848" s="99"/>
    </row>
    <row r="1849" spans="1:20" s="94" customFormat="1" x14ac:dyDescent="0.3">
      <c r="A1849" s="96"/>
      <c r="B1849" s="96"/>
      <c r="C1849" s="87"/>
      <c r="D1849" s="97"/>
      <c r="E1849" s="83"/>
      <c r="F1849" s="83"/>
      <c r="G1849" s="84"/>
      <c r="H1849" s="86" t="e">
        <f>IF(I1849="fora",0%,G1849/QUÓRUM!$C$6)</f>
        <v>#DIV/0!</v>
      </c>
      <c r="I1849" s="87"/>
      <c r="J1849" s="88"/>
      <c r="K1849" s="88"/>
      <c r="L1849" s="89"/>
      <c r="M1849" s="89"/>
      <c r="N1849" s="90"/>
      <c r="O1849" s="90"/>
      <c r="P1849" s="90"/>
      <c r="Q1849" s="87"/>
      <c r="R1849" s="98"/>
      <c r="S1849" s="90"/>
      <c r="T1849" s="99"/>
    </row>
    <row r="1850" spans="1:20" s="94" customFormat="1" x14ac:dyDescent="0.3">
      <c r="A1850" s="96"/>
      <c r="B1850" s="96"/>
      <c r="C1850" s="87"/>
      <c r="D1850" s="97"/>
      <c r="E1850" s="83"/>
      <c r="F1850" s="83"/>
      <c r="G1850" s="84"/>
      <c r="H1850" s="86" t="e">
        <f>IF(I1850="fora",0%,G1850/QUÓRUM!$C$6)</f>
        <v>#DIV/0!</v>
      </c>
      <c r="I1850" s="87"/>
      <c r="J1850" s="88"/>
      <c r="K1850" s="88"/>
      <c r="L1850" s="89"/>
      <c r="M1850" s="89"/>
      <c r="N1850" s="90"/>
      <c r="O1850" s="90"/>
      <c r="P1850" s="90"/>
      <c r="Q1850" s="87"/>
      <c r="R1850" s="98"/>
      <c r="S1850" s="90"/>
      <c r="T1850" s="99"/>
    </row>
    <row r="1851" spans="1:20" s="94" customFormat="1" x14ac:dyDescent="0.3">
      <c r="A1851" s="96"/>
      <c r="B1851" s="96"/>
      <c r="C1851" s="87"/>
      <c r="D1851" s="97"/>
      <c r="E1851" s="83"/>
      <c r="F1851" s="83"/>
      <c r="G1851" s="84"/>
      <c r="H1851" s="86" t="e">
        <f>IF(I1851="fora",0%,G1851/QUÓRUM!$C$6)</f>
        <v>#DIV/0!</v>
      </c>
      <c r="I1851" s="87"/>
      <c r="J1851" s="88"/>
      <c r="K1851" s="88"/>
      <c r="L1851" s="89"/>
      <c r="M1851" s="89"/>
      <c r="N1851" s="90"/>
      <c r="O1851" s="90"/>
      <c r="P1851" s="90"/>
      <c r="Q1851" s="87"/>
      <c r="R1851" s="98"/>
      <c r="S1851" s="90"/>
      <c r="T1851" s="99"/>
    </row>
    <row r="1852" spans="1:20" s="94" customFormat="1" x14ac:dyDescent="0.3">
      <c r="A1852" s="96"/>
      <c r="B1852" s="96"/>
      <c r="C1852" s="87"/>
      <c r="D1852" s="97"/>
      <c r="E1852" s="83"/>
      <c r="F1852" s="83"/>
      <c r="G1852" s="84"/>
      <c r="H1852" s="86" t="e">
        <f>IF(I1852="fora",0%,G1852/QUÓRUM!$C$6)</f>
        <v>#DIV/0!</v>
      </c>
      <c r="I1852" s="87"/>
      <c r="J1852" s="88"/>
      <c r="K1852" s="88"/>
      <c r="L1852" s="89"/>
      <c r="M1852" s="89"/>
      <c r="N1852" s="90"/>
      <c r="O1852" s="90"/>
      <c r="P1852" s="90"/>
      <c r="Q1852" s="87"/>
      <c r="R1852" s="98"/>
      <c r="S1852" s="90"/>
      <c r="T1852" s="99"/>
    </row>
    <row r="1853" spans="1:20" s="94" customFormat="1" x14ac:dyDescent="0.3">
      <c r="A1853" s="96"/>
      <c r="B1853" s="96"/>
      <c r="C1853" s="87"/>
      <c r="D1853" s="97"/>
      <c r="E1853" s="83"/>
      <c r="F1853" s="83"/>
      <c r="G1853" s="84"/>
      <c r="H1853" s="86" t="e">
        <f>IF(I1853="fora",0%,G1853/QUÓRUM!$C$6)</f>
        <v>#DIV/0!</v>
      </c>
      <c r="I1853" s="87"/>
      <c r="J1853" s="88"/>
      <c r="K1853" s="88"/>
      <c r="L1853" s="89"/>
      <c r="M1853" s="89"/>
      <c r="N1853" s="90"/>
      <c r="O1853" s="90"/>
      <c r="P1853" s="90"/>
      <c r="Q1853" s="87"/>
      <c r="R1853" s="98"/>
      <c r="S1853" s="90"/>
      <c r="T1853" s="99"/>
    </row>
    <row r="1854" spans="1:20" s="94" customFormat="1" x14ac:dyDescent="0.3">
      <c r="A1854" s="96"/>
      <c r="B1854" s="96"/>
      <c r="C1854" s="87"/>
      <c r="D1854" s="97"/>
      <c r="E1854" s="83"/>
      <c r="F1854" s="83"/>
      <c r="G1854" s="84"/>
      <c r="H1854" s="86" t="e">
        <f>IF(I1854="fora",0%,G1854/QUÓRUM!$C$6)</f>
        <v>#DIV/0!</v>
      </c>
      <c r="I1854" s="87"/>
      <c r="J1854" s="88"/>
      <c r="K1854" s="88"/>
      <c r="L1854" s="89"/>
      <c r="M1854" s="89"/>
      <c r="N1854" s="90"/>
      <c r="O1854" s="90"/>
      <c r="P1854" s="90"/>
      <c r="Q1854" s="87"/>
      <c r="R1854" s="98"/>
      <c r="S1854" s="90"/>
      <c r="T1854" s="99"/>
    </row>
    <row r="1855" spans="1:20" s="94" customFormat="1" x14ac:dyDescent="0.3">
      <c r="A1855" s="96"/>
      <c r="B1855" s="96"/>
      <c r="C1855" s="87"/>
      <c r="D1855" s="97"/>
      <c r="E1855" s="83"/>
      <c r="F1855" s="83"/>
      <c r="G1855" s="84"/>
      <c r="H1855" s="86" t="e">
        <f>IF(I1855="fora",0%,G1855/QUÓRUM!$C$6)</f>
        <v>#DIV/0!</v>
      </c>
      <c r="I1855" s="87"/>
      <c r="J1855" s="88"/>
      <c r="K1855" s="88"/>
      <c r="L1855" s="89"/>
      <c r="M1855" s="89"/>
      <c r="N1855" s="90"/>
      <c r="O1855" s="90"/>
      <c r="P1855" s="90"/>
      <c r="Q1855" s="87"/>
      <c r="R1855" s="98"/>
      <c r="S1855" s="90"/>
      <c r="T1855" s="99"/>
    </row>
    <row r="1856" spans="1:20" s="94" customFormat="1" x14ac:dyDescent="0.3">
      <c r="A1856" s="96"/>
      <c r="B1856" s="96"/>
      <c r="C1856" s="87"/>
      <c r="D1856" s="97"/>
      <c r="E1856" s="83"/>
      <c r="F1856" s="83"/>
      <c r="G1856" s="84"/>
      <c r="H1856" s="86" t="e">
        <f>IF(I1856="fora",0%,G1856/QUÓRUM!$C$6)</f>
        <v>#DIV/0!</v>
      </c>
      <c r="I1856" s="87"/>
      <c r="J1856" s="88"/>
      <c r="K1856" s="88"/>
      <c r="L1856" s="89"/>
      <c r="M1856" s="89"/>
      <c r="N1856" s="90"/>
      <c r="O1856" s="90"/>
      <c r="P1856" s="90"/>
      <c r="Q1856" s="87"/>
      <c r="R1856" s="98"/>
      <c r="S1856" s="90"/>
      <c r="T1856" s="99"/>
    </row>
    <row r="1857" spans="1:20" s="94" customFormat="1" x14ac:dyDescent="0.3">
      <c r="A1857" s="96"/>
      <c r="B1857" s="96"/>
      <c r="C1857" s="87"/>
      <c r="D1857" s="97"/>
      <c r="E1857" s="83"/>
      <c r="F1857" s="83"/>
      <c r="G1857" s="84"/>
      <c r="H1857" s="86" t="e">
        <f>IF(I1857="fora",0%,G1857/QUÓRUM!$C$6)</f>
        <v>#DIV/0!</v>
      </c>
      <c r="I1857" s="87"/>
      <c r="J1857" s="88"/>
      <c r="K1857" s="88"/>
      <c r="L1857" s="89"/>
      <c r="M1857" s="89"/>
      <c r="N1857" s="90"/>
      <c r="O1857" s="90"/>
      <c r="P1857" s="90"/>
      <c r="Q1857" s="87"/>
      <c r="R1857" s="98"/>
      <c r="S1857" s="90"/>
      <c r="T1857" s="99"/>
    </row>
    <row r="1858" spans="1:20" s="94" customFormat="1" x14ac:dyDescent="0.3">
      <c r="A1858" s="96"/>
      <c r="B1858" s="96"/>
      <c r="C1858" s="87"/>
      <c r="D1858" s="97"/>
      <c r="E1858" s="83"/>
      <c r="F1858" s="83"/>
      <c r="G1858" s="84"/>
      <c r="H1858" s="86" t="e">
        <f>IF(I1858="fora",0%,G1858/QUÓRUM!$C$6)</f>
        <v>#DIV/0!</v>
      </c>
      <c r="I1858" s="87"/>
      <c r="J1858" s="88"/>
      <c r="K1858" s="88"/>
      <c r="L1858" s="89"/>
      <c r="M1858" s="89"/>
      <c r="N1858" s="90"/>
      <c r="O1858" s="90"/>
      <c r="P1858" s="90"/>
      <c r="Q1858" s="87"/>
      <c r="R1858" s="98"/>
      <c r="S1858" s="90"/>
      <c r="T1858" s="99"/>
    </row>
    <row r="1859" spans="1:20" s="94" customFormat="1" x14ac:dyDescent="0.3">
      <c r="A1859" s="96"/>
      <c r="B1859" s="96"/>
      <c r="C1859" s="87"/>
      <c r="D1859" s="97"/>
      <c r="E1859" s="83"/>
      <c r="F1859" s="83"/>
      <c r="G1859" s="84"/>
      <c r="H1859" s="86" t="e">
        <f>IF(I1859="fora",0%,G1859/QUÓRUM!$C$6)</f>
        <v>#DIV/0!</v>
      </c>
      <c r="I1859" s="87"/>
      <c r="J1859" s="88"/>
      <c r="K1859" s="88"/>
      <c r="L1859" s="89"/>
      <c r="M1859" s="89"/>
      <c r="N1859" s="90"/>
      <c r="O1859" s="90"/>
      <c r="P1859" s="90"/>
      <c r="Q1859" s="87"/>
      <c r="R1859" s="98"/>
      <c r="S1859" s="90"/>
      <c r="T1859" s="99"/>
    </row>
    <row r="1860" spans="1:20" s="94" customFormat="1" x14ac:dyDescent="0.3">
      <c r="A1860" s="96"/>
      <c r="B1860" s="96"/>
      <c r="C1860" s="87"/>
      <c r="D1860" s="97"/>
      <c r="E1860" s="83"/>
      <c r="F1860" s="83"/>
      <c r="G1860" s="84"/>
      <c r="H1860" s="86" t="e">
        <f>IF(I1860="fora",0%,G1860/QUÓRUM!$C$6)</f>
        <v>#DIV/0!</v>
      </c>
      <c r="I1860" s="87"/>
      <c r="J1860" s="88"/>
      <c r="K1860" s="88"/>
      <c r="L1860" s="89"/>
      <c r="M1860" s="89"/>
      <c r="N1860" s="90"/>
      <c r="O1860" s="90"/>
      <c r="P1860" s="90"/>
      <c r="Q1860" s="87"/>
      <c r="R1860" s="98"/>
      <c r="S1860" s="90"/>
      <c r="T1860" s="99"/>
    </row>
    <row r="1861" spans="1:20" s="94" customFormat="1" x14ac:dyDescent="0.3">
      <c r="A1861" s="96"/>
      <c r="B1861" s="96"/>
      <c r="C1861" s="87"/>
      <c r="D1861" s="97"/>
      <c r="E1861" s="83"/>
      <c r="F1861" s="83"/>
      <c r="G1861" s="84"/>
      <c r="H1861" s="86" t="e">
        <f>IF(I1861="fora",0%,G1861/QUÓRUM!$C$6)</f>
        <v>#DIV/0!</v>
      </c>
      <c r="I1861" s="87"/>
      <c r="J1861" s="88"/>
      <c r="K1861" s="88"/>
      <c r="L1861" s="89"/>
      <c r="M1861" s="89"/>
      <c r="N1861" s="90"/>
      <c r="O1861" s="90"/>
      <c r="P1861" s="90"/>
      <c r="Q1861" s="87"/>
      <c r="R1861" s="98"/>
      <c r="S1861" s="90"/>
      <c r="T1861" s="99"/>
    </row>
    <row r="1862" spans="1:20" s="94" customFormat="1" x14ac:dyDescent="0.3">
      <c r="A1862" s="96"/>
      <c r="B1862" s="96"/>
      <c r="C1862" s="87"/>
      <c r="D1862" s="97"/>
      <c r="E1862" s="83"/>
      <c r="F1862" s="83"/>
      <c r="G1862" s="84"/>
      <c r="H1862" s="86" t="e">
        <f>IF(I1862="fora",0%,G1862/QUÓRUM!$C$6)</f>
        <v>#DIV/0!</v>
      </c>
      <c r="I1862" s="87"/>
      <c r="J1862" s="88"/>
      <c r="K1862" s="88"/>
      <c r="L1862" s="89"/>
      <c r="M1862" s="89"/>
      <c r="N1862" s="90"/>
      <c r="O1862" s="90"/>
      <c r="P1862" s="90"/>
      <c r="Q1862" s="87"/>
      <c r="R1862" s="98"/>
      <c r="S1862" s="90"/>
      <c r="T1862" s="99"/>
    </row>
    <row r="1863" spans="1:20" s="94" customFormat="1" x14ac:dyDescent="0.3">
      <c r="A1863" s="96"/>
      <c r="B1863" s="96"/>
      <c r="C1863" s="87"/>
      <c r="D1863" s="97"/>
      <c r="E1863" s="83"/>
      <c r="F1863" s="83"/>
      <c r="G1863" s="84"/>
      <c r="H1863" s="86" t="e">
        <f>IF(I1863="fora",0%,G1863/QUÓRUM!$C$6)</f>
        <v>#DIV/0!</v>
      </c>
      <c r="I1863" s="87"/>
      <c r="J1863" s="88"/>
      <c r="K1863" s="88"/>
      <c r="L1863" s="89"/>
      <c r="M1863" s="89"/>
      <c r="N1863" s="90"/>
      <c r="O1863" s="90"/>
      <c r="P1863" s="90"/>
      <c r="Q1863" s="87"/>
      <c r="R1863" s="98"/>
      <c r="S1863" s="90"/>
      <c r="T1863" s="99"/>
    </row>
    <row r="1864" spans="1:20" s="94" customFormat="1" x14ac:dyDescent="0.3">
      <c r="A1864" s="96"/>
      <c r="B1864" s="96"/>
      <c r="C1864" s="87"/>
      <c r="D1864" s="97"/>
      <c r="E1864" s="83"/>
      <c r="F1864" s="83"/>
      <c r="G1864" s="84"/>
      <c r="H1864" s="86" t="e">
        <f>IF(I1864="fora",0%,G1864/QUÓRUM!$C$6)</f>
        <v>#DIV/0!</v>
      </c>
      <c r="I1864" s="87"/>
      <c r="J1864" s="88"/>
      <c r="K1864" s="88"/>
      <c r="L1864" s="89"/>
      <c r="M1864" s="89"/>
      <c r="N1864" s="90"/>
      <c r="O1864" s="90"/>
      <c r="P1864" s="90"/>
      <c r="Q1864" s="87"/>
      <c r="R1864" s="98"/>
      <c r="S1864" s="90"/>
      <c r="T1864" s="99"/>
    </row>
    <row r="1865" spans="1:20" s="94" customFormat="1" x14ac:dyDescent="0.3">
      <c r="A1865" s="96"/>
      <c r="B1865" s="96"/>
      <c r="C1865" s="87"/>
      <c r="D1865" s="97"/>
      <c r="E1865" s="83"/>
      <c r="F1865" s="83"/>
      <c r="G1865" s="100"/>
      <c r="H1865" s="86" t="e">
        <f>IF(I1865="fora",0%,G1865/QUÓRUM!$C$6)</f>
        <v>#DIV/0!</v>
      </c>
      <c r="I1865" s="87"/>
      <c r="J1865" s="88"/>
      <c r="K1865" s="88"/>
      <c r="L1865" s="89"/>
      <c r="M1865" s="89"/>
      <c r="N1865" s="90"/>
      <c r="O1865" s="90"/>
      <c r="P1865" s="90"/>
      <c r="Q1865" s="87"/>
      <c r="R1865" s="98"/>
      <c r="S1865" s="90"/>
      <c r="T1865" s="99"/>
    </row>
    <row r="1866" spans="1:20" s="94" customFormat="1" x14ac:dyDescent="0.3">
      <c r="A1866" s="96"/>
      <c r="B1866" s="96"/>
      <c r="C1866" s="87"/>
      <c r="D1866" s="97"/>
      <c r="E1866" s="83"/>
      <c r="F1866" s="83"/>
      <c r="G1866" s="84"/>
      <c r="H1866" s="86" t="e">
        <f>IF(I1866="fora",0%,G1866/QUÓRUM!$C$6)</f>
        <v>#DIV/0!</v>
      </c>
      <c r="I1866" s="87"/>
      <c r="J1866" s="88"/>
      <c r="K1866" s="88"/>
      <c r="L1866" s="89"/>
      <c r="M1866" s="89"/>
      <c r="N1866" s="90"/>
      <c r="O1866" s="90"/>
      <c r="P1866" s="90"/>
      <c r="Q1866" s="87"/>
      <c r="R1866" s="98"/>
      <c r="S1866" s="90"/>
      <c r="T1866" s="99"/>
    </row>
    <row r="1867" spans="1:20" s="94" customFormat="1" x14ac:dyDescent="0.3">
      <c r="A1867" s="96"/>
      <c r="B1867" s="96"/>
      <c r="C1867" s="87"/>
      <c r="D1867" s="97"/>
      <c r="E1867" s="83"/>
      <c r="F1867" s="83"/>
      <c r="G1867" s="84"/>
      <c r="H1867" s="86" t="e">
        <f>IF(I1867="fora",0%,G1867/QUÓRUM!$C$6)</f>
        <v>#DIV/0!</v>
      </c>
      <c r="I1867" s="87"/>
      <c r="J1867" s="88"/>
      <c r="K1867" s="88"/>
      <c r="L1867" s="89"/>
      <c r="M1867" s="89"/>
      <c r="N1867" s="90"/>
      <c r="O1867" s="90"/>
      <c r="P1867" s="90"/>
      <c r="Q1867" s="87"/>
      <c r="R1867" s="98"/>
      <c r="S1867" s="90"/>
      <c r="T1867" s="99"/>
    </row>
    <row r="1868" spans="1:20" s="94" customFormat="1" x14ac:dyDescent="0.3">
      <c r="A1868" s="96"/>
      <c r="B1868" s="96"/>
      <c r="C1868" s="87"/>
      <c r="D1868" s="97"/>
      <c r="E1868" s="83"/>
      <c r="F1868" s="83"/>
      <c r="G1868" s="84"/>
      <c r="H1868" s="86" t="e">
        <f>IF(I1868="fora",0%,G1868/QUÓRUM!$C$6)</f>
        <v>#DIV/0!</v>
      </c>
      <c r="I1868" s="87"/>
      <c r="J1868" s="88"/>
      <c r="K1868" s="88"/>
      <c r="L1868" s="89"/>
      <c r="M1868" s="89"/>
      <c r="N1868" s="90"/>
      <c r="O1868" s="90"/>
      <c r="P1868" s="90"/>
      <c r="Q1868" s="87"/>
      <c r="R1868" s="98"/>
      <c r="S1868" s="90"/>
      <c r="T1868" s="99"/>
    </row>
    <row r="1869" spans="1:20" s="94" customFormat="1" x14ac:dyDescent="0.3">
      <c r="A1869" s="96"/>
      <c r="B1869" s="96"/>
      <c r="C1869" s="87"/>
      <c r="D1869" s="97"/>
      <c r="E1869" s="83"/>
      <c r="F1869" s="83"/>
      <c r="G1869" s="84"/>
      <c r="H1869" s="86" t="e">
        <f>IF(I1869="fora",0%,G1869/QUÓRUM!$C$6)</f>
        <v>#DIV/0!</v>
      </c>
      <c r="I1869" s="87"/>
      <c r="J1869" s="88"/>
      <c r="K1869" s="88"/>
      <c r="L1869" s="89"/>
      <c r="M1869" s="89"/>
      <c r="N1869" s="90"/>
      <c r="O1869" s="90"/>
      <c r="P1869" s="90"/>
      <c r="Q1869" s="87"/>
      <c r="R1869" s="98"/>
      <c r="S1869" s="90"/>
      <c r="T1869" s="99"/>
    </row>
    <row r="1870" spans="1:20" s="94" customFormat="1" x14ac:dyDescent="0.3">
      <c r="A1870" s="96"/>
      <c r="B1870" s="96"/>
      <c r="C1870" s="87"/>
      <c r="D1870" s="97"/>
      <c r="E1870" s="83"/>
      <c r="F1870" s="83"/>
      <c r="G1870" s="84"/>
      <c r="H1870" s="86" t="e">
        <f>IF(I1870="fora",0%,G1870/QUÓRUM!$C$6)</f>
        <v>#DIV/0!</v>
      </c>
      <c r="I1870" s="87"/>
      <c r="J1870" s="88"/>
      <c r="K1870" s="88"/>
      <c r="L1870" s="89"/>
      <c r="M1870" s="89"/>
      <c r="N1870" s="90"/>
      <c r="O1870" s="90"/>
      <c r="P1870" s="90"/>
      <c r="Q1870" s="87"/>
      <c r="R1870" s="98"/>
      <c r="S1870" s="90"/>
      <c r="T1870" s="99"/>
    </row>
    <row r="1871" spans="1:20" s="94" customFormat="1" x14ac:dyDescent="0.3">
      <c r="A1871" s="96"/>
      <c r="B1871" s="96"/>
      <c r="C1871" s="87"/>
      <c r="D1871" s="97"/>
      <c r="E1871" s="83"/>
      <c r="F1871" s="83"/>
      <c r="G1871" s="100"/>
      <c r="H1871" s="86" t="e">
        <f>IF(I1871="fora",0%,G1871/QUÓRUM!$C$6)</f>
        <v>#DIV/0!</v>
      </c>
      <c r="I1871" s="87"/>
      <c r="J1871" s="88"/>
      <c r="K1871" s="88"/>
      <c r="L1871" s="89"/>
      <c r="M1871" s="89"/>
      <c r="N1871" s="90"/>
      <c r="O1871" s="90"/>
      <c r="P1871" s="90"/>
      <c r="Q1871" s="87"/>
      <c r="R1871" s="98"/>
      <c r="S1871" s="90"/>
      <c r="T1871" s="99"/>
    </row>
    <row r="1872" spans="1:20" s="94" customFormat="1" x14ac:dyDescent="0.3">
      <c r="A1872" s="96"/>
      <c r="B1872" s="96"/>
      <c r="C1872" s="87"/>
      <c r="D1872" s="97"/>
      <c r="E1872" s="83"/>
      <c r="F1872" s="83"/>
      <c r="G1872" s="100"/>
      <c r="H1872" s="86" t="e">
        <f>IF(I1872="fora",0%,G1872/QUÓRUM!$C$6)</f>
        <v>#DIV/0!</v>
      </c>
      <c r="I1872" s="87"/>
      <c r="J1872" s="88"/>
      <c r="K1872" s="88"/>
      <c r="L1872" s="89"/>
      <c r="M1872" s="89"/>
      <c r="N1872" s="90"/>
      <c r="O1872" s="90"/>
      <c r="P1872" s="90"/>
      <c r="Q1872" s="87"/>
      <c r="R1872" s="98"/>
      <c r="S1872" s="90"/>
      <c r="T1872" s="99"/>
    </row>
    <row r="1873" spans="1:20" s="94" customFormat="1" x14ac:dyDescent="0.3">
      <c r="A1873" s="96"/>
      <c r="B1873" s="96"/>
      <c r="C1873" s="87"/>
      <c r="D1873" s="97"/>
      <c r="E1873" s="83"/>
      <c r="F1873" s="83"/>
      <c r="G1873" s="84"/>
      <c r="H1873" s="86" t="e">
        <f>IF(I1873="fora",0%,G1873/QUÓRUM!$C$6)</f>
        <v>#DIV/0!</v>
      </c>
      <c r="I1873" s="87"/>
      <c r="J1873" s="88"/>
      <c r="K1873" s="88"/>
      <c r="L1873" s="89"/>
      <c r="M1873" s="89"/>
      <c r="N1873" s="90"/>
      <c r="O1873" s="90"/>
      <c r="P1873" s="90"/>
      <c r="Q1873" s="87"/>
      <c r="R1873" s="98"/>
      <c r="S1873" s="90"/>
      <c r="T1873" s="99"/>
    </row>
    <row r="1874" spans="1:20" s="94" customFormat="1" x14ac:dyDescent="0.3">
      <c r="A1874" s="96"/>
      <c r="B1874" s="96"/>
      <c r="C1874" s="87"/>
      <c r="D1874" s="97"/>
      <c r="E1874" s="83"/>
      <c r="F1874" s="83"/>
      <c r="G1874" s="100"/>
      <c r="H1874" s="86" t="e">
        <f>IF(I1874="fora",0%,G1874/QUÓRUM!$C$6)</f>
        <v>#DIV/0!</v>
      </c>
      <c r="I1874" s="87"/>
      <c r="J1874" s="88"/>
      <c r="K1874" s="88"/>
      <c r="L1874" s="89"/>
      <c r="M1874" s="89"/>
      <c r="N1874" s="90"/>
      <c r="O1874" s="90"/>
      <c r="P1874" s="90"/>
      <c r="Q1874" s="87"/>
      <c r="R1874" s="98"/>
      <c r="S1874" s="90"/>
      <c r="T1874" s="99"/>
    </row>
    <row r="1875" spans="1:20" s="94" customFormat="1" x14ac:dyDescent="0.3">
      <c r="A1875" s="96"/>
      <c r="B1875" s="96"/>
      <c r="C1875" s="87"/>
      <c r="D1875" s="97"/>
      <c r="E1875" s="83"/>
      <c r="F1875" s="83"/>
      <c r="G1875" s="84"/>
      <c r="H1875" s="86" t="e">
        <f>IF(I1875="fora",0%,G1875/QUÓRUM!$C$6)</f>
        <v>#DIV/0!</v>
      </c>
      <c r="I1875" s="87"/>
      <c r="J1875" s="88"/>
      <c r="K1875" s="88"/>
      <c r="L1875" s="89"/>
      <c r="M1875" s="89"/>
      <c r="N1875" s="90"/>
      <c r="O1875" s="90"/>
      <c r="P1875" s="90"/>
      <c r="Q1875" s="87"/>
      <c r="R1875" s="98"/>
      <c r="S1875" s="90"/>
      <c r="T1875" s="99"/>
    </row>
    <row r="1876" spans="1:20" s="94" customFormat="1" x14ac:dyDescent="0.3">
      <c r="A1876" s="96"/>
      <c r="B1876" s="96"/>
      <c r="C1876" s="87"/>
      <c r="D1876" s="97"/>
      <c r="E1876" s="83"/>
      <c r="F1876" s="83"/>
      <c r="G1876" s="84"/>
      <c r="H1876" s="86" t="e">
        <f>IF(I1876="fora",0%,G1876/QUÓRUM!$C$6)</f>
        <v>#DIV/0!</v>
      </c>
      <c r="I1876" s="87"/>
      <c r="J1876" s="88"/>
      <c r="K1876" s="88"/>
      <c r="L1876" s="89"/>
      <c r="M1876" s="89"/>
      <c r="N1876" s="90"/>
      <c r="O1876" s="90"/>
      <c r="P1876" s="90"/>
      <c r="Q1876" s="87"/>
      <c r="R1876" s="98"/>
      <c r="S1876" s="90"/>
      <c r="T1876" s="99"/>
    </row>
    <row r="1877" spans="1:20" s="94" customFormat="1" x14ac:dyDescent="0.3">
      <c r="A1877" s="96"/>
      <c r="B1877" s="96"/>
      <c r="C1877" s="87"/>
      <c r="D1877" s="97"/>
      <c r="E1877" s="83"/>
      <c r="F1877" s="83"/>
      <c r="G1877" s="84"/>
      <c r="H1877" s="86" t="e">
        <f>IF(I1877="fora",0%,G1877/QUÓRUM!$C$6)</f>
        <v>#DIV/0!</v>
      </c>
      <c r="I1877" s="87"/>
      <c r="J1877" s="88"/>
      <c r="K1877" s="88"/>
      <c r="L1877" s="89"/>
      <c r="M1877" s="89"/>
      <c r="N1877" s="90"/>
      <c r="O1877" s="90"/>
      <c r="P1877" s="90"/>
      <c r="Q1877" s="87"/>
      <c r="R1877" s="98"/>
      <c r="S1877" s="90"/>
      <c r="T1877" s="99"/>
    </row>
    <row r="1878" spans="1:20" s="94" customFormat="1" x14ac:dyDescent="0.3">
      <c r="A1878" s="96"/>
      <c r="B1878" s="96"/>
      <c r="C1878" s="87"/>
      <c r="D1878" s="97"/>
      <c r="E1878" s="83"/>
      <c r="F1878" s="83"/>
      <c r="G1878" s="84"/>
      <c r="H1878" s="86" t="e">
        <f>IF(I1878="fora",0%,G1878/QUÓRUM!$C$6)</f>
        <v>#DIV/0!</v>
      </c>
      <c r="I1878" s="87"/>
      <c r="J1878" s="88"/>
      <c r="K1878" s="88"/>
      <c r="L1878" s="89"/>
      <c r="M1878" s="89"/>
      <c r="N1878" s="90"/>
      <c r="O1878" s="90"/>
      <c r="P1878" s="90"/>
      <c r="Q1878" s="87"/>
      <c r="R1878" s="98"/>
      <c r="S1878" s="90"/>
      <c r="T1878" s="99"/>
    </row>
    <row r="1879" spans="1:20" s="94" customFormat="1" x14ac:dyDescent="0.3">
      <c r="A1879" s="96"/>
      <c r="B1879" s="96"/>
      <c r="C1879" s="87"/>
      <c r="D1879" s="97"/>
      <c r="E1879" s="83"/>
      <c r="F1879" s="83"/>
      <c r="G1879" s="84"/>
      <c r="H1879" s="86" t="e">
        <f>IF(I1879="fora",0%,G1879/QUÓRUM!$C$6)</f>
        <v>#DIV/0!</v>
      </c>
      <c r="I1879" s="87"/>
      <c r="J1879" s="88"/>
      <c r="K1879" s="88"/>
      <c r="L1879" s="89"/>
      <c r="M1879" s="89"/>
      <c r="N1879" s="90"/>
      <c r="O1879" s="90"/>
      <c r="P1879" s="90"/>
      <c r="Q1879" s="87"/>
      <c r="R1879" s="98"/>
      <c r="S1879" s="90"/>
      <c r="T1879" s="99"/>
    </row>
    <row r="1880" spans="1:20" s="94" customFormat="1" x14ac:dyDescent="0.3">
      <c r="A1880" s="96"/>
      <c r="B1880" s="96"/>
      <c r="C1880" s="87"/>
      <c r="D1880" s="97"/>
      <c r="E1880" s="83"/>
      <c r="F1880" s="83"/>
      <c r="G1880" s="84"/>
      <c r="H1880" s="86" t="e">
        <f>IF(I1880="fora",0%,G1880/QUÓRUM!$C$6)</f>
        <v>#DIV/0!</v>
      </c>
      <c r="I1880" s="87"/>
      <c r="J1880" s="88"/>
      <c r="K1880" s="88"/>
      <c r="L1880" s="89"/>
      <c r="M1880" s="89"/>
      <c r="N1880" s="90"/>
      <c r="O1880" s="90"/>
      <c r="P1880" s="90"/>
      <c r="Q1880" s="87"/>
      <c r="R1880" s="98"/>
      <c r="S1880" s="90"/>
      <c r="T1880" s="99"/>
    </row>
    <row r="1881" spans="1:20" s="94" customFormat="1" x14ac:dyDescent="0.3">
      <c r="A1881" s="96"/>
      <c r="B1881" s="96"/>
      <c r="C1881" s="87"/>
      <c r="D1881" s="97"/>
      <c r="E1881" s="83"/>
      <c r="F1881" s="83"/>
      <c r="G1881" s="84"/>
      <c r="H1881" s="86" t="e">
        <f>IF(I1881="fora",0%,G1881/QUÓRUM!$C$6)</f>
        <v>#DIV/0!</v>
      </c>
      <c r="I1881" s="87"/>
      <c r="J1881" s="88"/>
      <c r="K1881" s="88"/>
      <c r="L1881" s="89"/>
      <c r="M1881" s="89"/>
      <c r="N1881" s="90"/>
      <c r="O1881" s="90"/>
      <c r="P1881" s="90"/>
      <c r="Q1881" s="87"/>
      <c r="R1881" s="98"/>
      <c r="S1881" s="90"/>
      <c r="T1881" s="99"/>
    </row>
    <row r="1882" spans="1:20" s="94" customFormat="1" x14ac:dyDescent="0.3">
      <c r="A1882" s="96"/>
      <c r="B1882" s="96"/>
      <c r="C1882" s="87"/>
      <c r="D1882" s="97"/>
      <c r="E1882" s="83"/>
      <c r="F1882" s="83"/>
      <c r="G1882" s="100"/>
      <c r="H1882" s="86" t="e">
        <f>IF(I1882="fora",0%,G1882/QUÓRUM!$C$6)</f>
        <v>#DIV/0!</v>
      </c>
      <c r="I1882" s="87"/>
      <c r="J1882" s="88"/>
      <c r="K1882" s="88"/>
      <c r="L1882" s="89"/>
      <c r="M1882" s="89"/>
      <c r="N1882" s="90"/>
      <c r="O1882" s="90"/>
      <c r="P1882" s="90"/>
      <c r="Q1882" s="87"/>
      <c r="R1882" s="98"/>
      <c r="S1882" s="90"/>
      <c r="T1882" s="99"/>
    </row>
    <row r="1883" spans="1:20" s="94" customFormat="1" x14ac:dyDescent="0.3">
      <c r="A1883" s="96"/>
      <c r="B1883" s="96"/>
      <c r="C1883" s="87"/>
      <c r="D1883" s="97"/>
      <c r="E1883" s="83"/>
      <c r="F1883" s="83"/>
      <c r="G1883" s="84"/>
      <c r="H1883" s="86" t="e">
        <f>IF(I1883="fora",0%,G1883/QUÓRUM!$C$6)</f>
        <v>#DIV/0!</v>
      </c>
      <c r="I1883" s="87"/>
      <c r="J1883" s="88"/>
      <c r="K1883" s="88"/>
      <c r="L1883" s="89"/>
      <c r="M1883" s="89"/>
      <c r="N1883" s="90"/>
      <c r="O1883" s="90"/>
      <c r="P1883" s="90"/>
      <c r="Q1883" s="87"/>
      <c r="R1883" s="98"/>
      <c r="S1883" s="90"/>
      <c r="T1883" s="99"/>
    </row>
    <row r="1884" spans="1:20" s="94" customFormat="1" x14ac:dyDescent="0.3">
      <c r="A1884" s="96"/>
      <c r="B1884" s="96"/>
      <c r="C1884" s="87"/>
      <c r="D1884" s="97"/>
      <c r="E1884" s="83"/>
      <c r="F1884" s="83"/>
      <c r="G1884" s="84"/>
      <c r="H1884" s="86" t="e">
        <f>IF(I1884="fora",0%,G1884/QUÓRUM!$C$6)</f>
        <v>#DIV/0!</v>
      </c>
      <c r="I1884" s="87"/>
      <c r="J1884" s="88"/>
      <c r="K1884" s="88"/>
      <c r="L1884" s="89"/>
      <c r="M1884" s="89"/>
      <c r="N1884" s="90"/>
      <c r="O1884" s="90"/>
      <c r="P1884" s="90"/>
      <c r="Q1884" s="87"/>
      <c r="R1884" s="98"/>
      <c r="S1884" s="90"/>
      <c r="T1884" s="99"/>
    </row>
    <row r="1885" spans="1:20" s="94" customFormat="1" x14ac:dyDescent="0.3">
      <c r="A1885" s="96"/>
      <c r="B1885" s="96"/>
      <c r="C1885" s="87"/>
      <c r="D1885" s="97"/>
      <c r="E1885" s="83"/>
      <c r="F1885" s="83"/>
      <c r="G1885" s="100"/>
      <c r="H1885" s="86" t="e">
        <f>IF(I1885="fora",0%,G1885/QUÓRUM!$C$6)</f>
        <v>#DIV/0!</v>
      </c>
      <c r="I1885" s="87"/>
      <c r="J1885" s="88"/>
      <c r="K1885" s="88"/>
      <c r="L1885" s="89"/>
      <c r="M1885" s="89"/>
      <c r="N1885" s="90"/>
      <c r="O1885" s="90"/>
      <c r="P1885" s="90"/>
      <c r="Q1885" s="87"/>
      <c r="R1885" s="98"/>
      <c r="S1885" s="90"/>
      <c r="T1885" s="99"/>
    </row>
    <row r="1886" spans="1:20" s="94" customFormat="1" x14ac:dyDescent="0.3">
      <c r="A1886" s="96"/>
      <c r="B1886" s="96"/>
      <c r="C1886" s="87"/>
      <c r="D1886" s="97"/>
      <c r="E1886" s="83"/>
      <c r="F1886" s="83"/>
      <c r="G1886" s="84"/>
      <c r="H1886" s="86" t="e">
        <f>IF(I1886="fora",0%,G1886/QUÓRUM!$C$6)</f>
        <v>#DIV/0!</v>
      </c>
      <c r="I1886" s="87"/>
      <c r="J1886" s="88"/>
      <c r="K1886" s="88"/>
      <c r="L1886" s="89"/>
      <c r="M1886" s="89"/>
      <c r="N1886" s="90"/>
      <c r="O1886" s="90"/>
      <c r="P1886" s="90"/>
      <c r="Q1886" s="87"/>
      <c r="R1886" s="98"/>
      <c r="S1886" s="90"/>
      <c r="T1886" s="99"/>
    </row>
    <row r="1887" spans="1:20" s="94" customFormat="1" x14ac:dyDescent="0.3">
      <c r="A1887" s="96"/>
      <c r="B1887" s="96"/>
      <c r="C1887" s="87"/>
      <c r="D1887" s="97"/>
      <c r="E1887" s="83"/>
      <c r="F1887" s="83"/>
      <c r="G1887" s="84"/>
      <c r="H1887" s="86" t="e">
        <f>IF(I1887="fora",0%,G1887/QUÓRUM!$C$6)</f>
        <v>#DIV/0!</v>
      </c>
      <c r="I1887" s="87"/>
      <c r="J1887" s="88"/>
      <c r="K1887" s="88"/>
      <c r="L1887" s="89"/>
      <c r="M1887" s="89"/>
      <c r="N1887" s="90"/>
      <c r="O1887" s="90"/>
      <c r="P1887" s="90"/>
      <c r="Q1887" s="87"/>
      <c r="R1887" s="98"/>
      <c r="S1887" s="90"/>
      <c r="T1887" s="99"/>
    </row>
    <row r="1888" spans="1:20" s="94" customFormat="1" x14ac:dyDescent="0.3">
      <c r="A1888" s="96"/>
      <c r="B1888" s="96"/>
      <c r="C1888" s="87"/>
      <c r="D1888" s="97"/>
      <c r="E1888" s="83"/>
      <c r="F1888" s="83"/>
      <c r="G1888" s="84"/>
      <c r="H1888" s="86" t="e">
        <f>IF(I1888="fora",0%,G1888/QUÓRUM!$C$6)</f>
        <v>#DIV/0!</v>
      </c>
      <c r="I1888" s="87"/>
      <c r="J1888" s="88"/>
      <c r="K1888" s="88"/>
      <c r="L1888" s="89"/>
      <c r="M1888" s="89"/>
      <c r="N1888" s="90"/>
      <c r="O1888" s="90"/>
      <c r="P1888" s="90"/>
      <c r="Q1888" s="87"/>
      <c r="R1888" s="98"/>
      <c r="S1888" s="90"/>
      <c r="T1888" s="99"/>
    </row>
    <row r="1889" spans="1:20" s="94" customFormat="1" x14ac:dyDescent="0.3">
      <c r="A1889" s="96"/>
      <c r="B1889" s="96"/>
      <c r="C1889" s="87"/>
      <c r="D1889" s="97"/>
      <c r="E1889" s="83"/>
      <c r="F1889" s="83"/>
      <c r="G1889" s="84"/>
      <c r="H1889" s="86" t="e">
        <f>IF(I1889="fora",0%,G1889/QUÓRUM!$C$6)</f>
        <v>#DIV/0!</v>
      </c>
      <c r="I1889" s="87"/>
      <c r="J1889" s="88"/>
      <c r="K1889" s="88"/>
      <c r="L1889" s="89"/>
      <c r="M1889" s="89"/>
      <c r="N1889" s="90"/>
      <c r="O1889" s="90"/>
      <c r="P1889" s="90"/>
      <c r="Q1889" s="87"/>
      <c r="R1889" s="98"/>
      <c r="S1889" s="90"/>
      <c r="T1889" s="99"/>
    </row>
    <row r="1890" spans="1:20" s="94" customFormat="1" x14ac:dyDescent="0.3">
      <c r="A1890" s="96"/>
      <c r="B1890" s="96"/>
      <c r="C1890" s="87"/>
      <c r="D1890" s="97"/>
      <c r="E1890" s="83"/>
      <c r="F1890" s="83"/>
      <c r="G1890" s="84"/>
      <c r="H1890" s="86" t="e">
        <f>IF(I1890="fora",0%,G1890/QUÓRUM!$C$6)</f>
        <v>#DIV/0!</v>
      </c>
      <c r="I1890" s="87"/>
      <c r="J1890" s="88"/>
      <c r="K1890" s="88"/>
      <c r="L1890" s="89"/>
      <c r="M1890" s="89"/>
      <c r="N1890" s="90"/>
      <c r="O1890" s="90"/>
      <c r="P1890" s="90"/>
      <c r="Q1890" s="87"/>
      <c r="R1890" s="98"/>
      <c r="S1890" s="90"/>
      <c r="T1890" s="99"/>
    </row>
    <row r="1891" spans="1:20" s="94" customFormat="1" x14ac:dyDescent="0.3">
      <c r="A1891" s="96"/>
      <c r="B1891" s="96"/>
      <c r="C1891" s="87"/>
      <c r="D1891" s="97"/>
      <c r="E1891" s="83"/>
      <c r="F1891" s="83"/>
      <c r="G1891" s="84"/>
      <c r="H1891" s="86" t="e">
        <f>IF(I1891="fora",0%,G1891/QUÓRUM!$C$6)</f>
        <v>#DIV/0!</v>
      </c>
      <c r="I1891" s="87"/>
      <c r="J1891" s="88"/>
      <c r="K1891" s="88"/>
      <c r="L1891" s="89"/>
      <c r="M1891" s="89"/>
      <c r="N1891" s="90"/>
      <c r="O1891" s="90"/>
      <c r="P1891" s="90"/>
      <c r="Q1891" s="87"/>
      <c r="R1891" s="98"/>
      <c r="S1891" s="90"/>
      <c r="T1891" s="99"/>
    </row>
    <row r="1892" spans="1:20" s="94" customFormat="1" x14ac:dyDescent="0.3">
      <c r="A1892" s="96"/>
      <c r="B1892" s="96"/>
      <c r="C1892" s="87"/>
      <c r="D1892" s="97"/>
      <c r="E1892" s="83"/>
      <c r="F1892" s="83"/>
      <c r="G1892" s="84"/>
      <c r="H1892" s="86" t="e">
        <f>IF(I1892="fora",0%,G1892/QUÓRUM!$C$6)</f>
        <v>#DIV/0!</v>
      </c>
      <c r="I1892" s="87"/>
      <c r="J1892" s="88"/>
      <c r="K1892" s="88"/>
      <c r="L1892" s="89"/>
      <c r="M1892" s="89"/>
      <c r="N1892" s="90"/>
      <c r="O1892" s="90"/>
      <c r="P1892" s="90"/>
      <c r="Q1892" s="87"/>
      <c r="R1892" s="98"/>
      <c r="S1892" s="90"/>
      <c r="T1892" s="99"/>
    </row>
    <row r="1893" spans="1:20" s="94" customFormat="1" x14ac:dyDescent="0.3">
      <c r="A1893" s="96"/>
      <c r="B1893" s="96"/>
      <c r="C1893" s="87"/>
      <c r="D1893" s="97"/>
      <c r="E1893" s="83"/>
      <c r="F1893" s="83"/>
      <c r="G1893" s="84"/>
      <c r="H1893" s="86" t="e">
        <f>IF(I1893="fora",0%,G1893/QUÓRUM!$C$6)</f>
        <v>#DIV/0!</v>
      </c>
      <c r="I1893" s="87"/>
      <c r="J1893" s="88"/>
      <c r="K1893" s="88"/>
      <c r="L1893" s="89"/>
      <c r="M1893" s="89"/>
      <c r="N1893" s="90"/>
      <c r="O1893" s="90"/>
      <c r="P1893" s="90"/>
      <c r="Q1893" s="87"/>
      <c r="R1893" s="98"/>
      <c r="S1893" s="90"/>
      <c r="T1893" s="99"/>
    </row>
    <row r="1894" spans="1:20" s="94" customFormat="1" x14ac:dyDescent="0.3">
      <c r="A1894" s="96"/>
      <c r="B1894" s="96"/>
      <c r="C1894" s="87"/>
      <c r="D1894" s="97"/>
      <c r="E1894" s="83"/>
      <c r="F1894" s="83"/>
      <c r="G1894" s="84"/>
      <c r="H1894" s="86" t="e">
        <f>IF(I1894="fora",0%,G1894/QUÓRUM!$C$6)</f>
        <v>#DIV/0!</v>
      </c>
      <c r="I1894" s="87"/>
      <c r="J1894" s="88"/>
      <c r="K1894" s="88"/>
      <c r="L1894" s="89"/>
      <c r="M1894" s="89"/>
      <c r="N1894" s="90"/>
      <c r="O1894" s="90"/>
      <c r="P1894" s="90"/>
      <c r="Q1894" s="87"/>
      <c r="R1894" s="98"/>
      <c r="S1894" s="90"/>
      <c r="T1894" s="99"/>
    </row>
    <row r="1895" spans="1:20" s="94" customFormat="1" x14ac:dyDescent="0.3">
      <c r="A1895" s="96"/>
      <c r="B1895" s="96"/>
      <c r="C1895" s="87"/>
      <c r="D1895" s="97"/>
      <c r="E1895" s="83"/>
      <c r="F1895" s="83"/>
      <c r="G1895" s="84"/>
      <c r="H1895" s="86" t="e">
        <f>IF(I1895="fora",0%,G1895/QUÓRUM!$C$6)</f>
        <v>#DIV/0!</v>
      </c>
      <c r="I1895" s="87"/>
      <c r="J1895" s="88"/>
      <c r="K1895" s="88"/>
      <c r="L1895" s="89"/>
      <c r="M1895" s="89"/>
      <c r="N1895" s="90"/>
      <c r="O1895" s="90"/>
      <c r="P1895" s="90"/>
      <c r="Q1895" s="87"/>
      <c r="R1895" s="98"/>
      <c r="S1895" s="90"/>
      <c r="T1895" s="99"/>
    </row>
    <row r="1896" spans="1:20" s="94" customFormat="1" x14ac:dyDescent="0.3">
      <c r="A1896" s="96"/>
      <c r="B1896" s="96"/>
      <c r="C1896" s="87"/>
      <c r="D1896" s="97"/>
      <c r="E1896" s="83"/>
      <c r="F1896" s="83"/>
      <c r="G1896" s="84"/>
      <c r="H1896" s="86" t="e">
        <f>IF(I1896="fora",0%,G1896/QUÓRUM!$C$6)</f>
        <v>#DIV/0!</v>
      </c>
      <c r="I1896" s="87"/>
      <c r="J1896" s="88"/>
      <c r="K1896" s="88"/>
      <c r="L1896" s="89"/>
      <c r="M1896" s="89"/>
      <c r="N1896" s="90"/>
      <c r="O1896" s="90"/>
      <c r="P1896" s="90"/>
      <c r="Q1896" s="87"/>
      <c r="R1896" s="98"/>
      <c r="S1896" s="90"/>
      <c r="T1896" s="99"/>
    </row>
    <row r="1897" spans="1:20" s="94" customFormat="1" x14ac:dyDescent="0.3">
      <c r="A1897" s="96"/>
      <c r="B1897" s="96"/>
      <c r="C1897" s="87"/>
      <c r="D1897" s="97"/>
      <c r="E1897" s="83"/>
      <c r="F1897" s="83"/>
      <c r="G1897" s="84"/>
      <c r="H1897" s="86" t="e">
        <f>IF(I1897="fora",0%,G1897/QUÓRUM!$C$6)</f>
        <v>#DIV/0!</v>
      </c>
      <c r="I1897" s="87"/>
      <c r="J1897" s="88"/>
      <c r="K1897" s="88"/>
      <c r="L1897" s="89"/>
      <c r="M1897" s="89"/>
      <c r="N1897" s="90"/>
      <c r="O1897" s="90"/>
      <c r="P1897" s="90"/>
      <c r="Q1897" s="87"/>
      <c r="R1897" s="98"/>
      <c r="S1897" s="90"/>
      <c r="T1897" s="99"/>
    </row>
    <row r="1898" spans="1:20" s="94" customFormat="1" x14ac:dyDescent="0.3">
      <c r="A1898" s="96"/>
      <c r="B1898" s="96"/>
      <c r="C1898" s="87"/>
      <c r="D1898" s="97"/>
      <c r="E1898" s="83"/>
      <c r="F1898" s="83"/>
      <c r="G1898" s="84"/>
      <c r="H1898" s="86" t="e">
        <f>IF(I1898="fora",0%,G1898/QUÓRUM!$C$6)</f>
        <v>#DIV/0!</v>
      </c>
      <c r="I1898" s="87"/>
      <c r="J1898" s="88"/>
      <c r="K1898" s="88"/>
      <c r="L1898" s="89"/>
      <c r="M1898" s="89"/>
      <c r="N1898" s="90"/>
      <c r="O1898" s="90"/>
      <c r="P1898" s="90"/>
      <c r="Q1898" s="87"/>
      <c r="R1898" s="98"/>
      <c r="S1898" s="90"/>
      <c r="T1898" s="99"/>
    </row>
    <row r="1899" spans="1:20" s="94" customFormat="1" x14ac:dyDescent="0.3">
      <c r="A1899" s="96"/>
      <c r="B1899" s="96"/>
      <c r="C1899" s="87"/>
      <c r="D1899" s="97"/>
      <c r="E1899" s="83"/>
      <c r="F1899" s="83"/>
      <c r="G1899" s="84"/>
      <c r="H1899" s="86" t="e">
        <f>IF(I1899="fora",0%,G1899/QUÓRUM!$C$6)</f>
        <v>#DIV/0!</v>
      </c>
      <c r="I1899" s="87"/>
      <c r="J1899" s="88"/>
      <c r="K1899" s="88"/>
      <c r="L1899" s="89"/>
      <c r="M1899" s="89"/>
      <c r="N1899" s="90"/>
      <c r="O1899" s="90"/>
      <c r="P1899" s="90"/>
      <c r="Q1899" s="87"/>
      <c r="R1899" s="98"/>
      <c r="S1899" s="90"/>
      <c r="T1899" s="99"/>
    </row>
    <row r="1900" spans="1:20" s="94" customFormat="1" x14ac:dyDescent="0.3">
      <c r="A1900" s="96"/>
      <c r="B1900" s="96"/>
      <c r="C1900" s="87"/>
      <c r="D1900" s="97"/>
      <c r="E1900" s="83"/>
      <c r="F1900" s="83"/>
      <c r="G1900" s="84"/>
      <c r="H1900" s="86" t="e">
        <f>IF(I1900="fora",0%,G1900/QUÓRUM!$C$6)</f>
        <v>#DIV/0!</v>
      </c>
      <c r="I1900" s="87"/>
      <c r="J1900" s="88"/>
      <c r="K1900" s="88"/>
      <c r="L1900" s="89"/>
      <c r="M1900" s="89"/>
      <c r="N1900" s="90"/>
      <c r="O1900" s="90"/>
      <c r="P1900" s="90"/>
      <c r="Q1900" s="87"/>
      <c r="R1900" s="98"/>
      <c r="S1900" s="90"/>
      <c r="T1900" s="99"/>
    </row>
    <row r="1901" spans="1:20" s="94" customFormat="1" x14ac:dyDescent="0.3">
      <c r="A1901" s="96"/>
      <c r="B1901" s="96"/>
      <c r="C1901" s="87"/>
      <c r="D1901" s="97"/>
      <c r="E1901" s="83"/>
      <c r="F1901" s="83"/>
      <c r="G1901" s="100"/>
      <c r="H1901" s="86" t="e">
        <f>IF(I1901="fora",0%,G1901/QUÓRUM!$C$6)</f>
        <v>#DIV/0!</v>
      </c>
      <c r="I1901" s="87"/>
      <c r="J1901" s="88"/>
      <c r="K1901" s="88"/>
      <c r="L1901" s="89"/>
      <c r="M1901" s="89"/>
      <c r="N1901" s="90"/>
      <c r="O1901" s="90"/>
      <c r="P1901" s="90"/>
      <c r="Q1901" s="87"/>
      <c r="R1901" s="98"/>
      <c r="S1901" s="90"/>
      <c r="T1901" s="99"/>
    </row>
    <row r="1902" spans="1:20" s="94" customFormat="1" x14ac:dyDescent="0.3">
      <c r="A1902" s="96"/>
      <c r="B1902" s="96"/>
      <c r="C1902" s="87"/>
      <c r="D1902" s="97"/>
      <c r="E1902" s="83"/>
      <c r="F1902" s="83"/>
      <c r="G1902" s="84"/>
      <c r="H1902" s="86" t="e">
        <f>IF(I1902="fora",0%,G1902/QUÓRUM!$C$6)</f>
        <v>#DIV/0!</v>
      </c>
      <c r="I1902" s="87"/>
      <c r="J1902" s="88"/>
      <c r="K1902" s="88"/>
      <c r="L1902" s="89"/>
      <c r="M1902" s="89"/>
      <c r="N1902" s="90"/>
      <c r="O1902" s="90"/>
      <c r="P1902" s="90"/>
      <c r="Q1902" s="87"/>
      <c r="R1902" s="98"/>
      <c r="S1902" s="90"/>
      <c r="T1902" s="99"/>
    </row>
    <row r="1903" spans="1:20" s="94" customFormat="1" x14ac:dyDescent="0.3">
      <c r="A1903" s="96"/>
      <c r="B1903" s="96"/>
      <c r="C1903" s="87"/>
      <c r="D1903" s="97"/>
      <c r="E1903" s="83"/>
      <c r="F1903" s="83"/>
      <c r="G1903" s="84"/>
      <c r="H1903" s="86" t="e">
        <f>IF(I1903="fora",0%,G1903/QUÓRUM!$C$6)</f>
        <v>#DIV/0!</v>
      </c>
      <c r="I1903" s="87"/>
      <c r="J1903" s="88"/>
      <c r="K1903" s="88"/>
      <c r="L1903" s="89"/>
      <c r="M1903" s="89"/>
      <c r="N1903" s="90"/>
      <c r="O1903" s="90"/>
      <c r="P1903" s="90"/>
      <c r="Q1903" s="87"/>
      <c r="R1903" s="98"/>
      <c r="S1903" s="90"/>
      <c r="T1903" s="99"/>
    </row>
    <row r="1904" spans="1:20" s="94" customFormat="1" x14ac:dyDescent="0.3">
      <c r="A1904" s="96"/>
      <c r="B1904" s="96"/>
      <c r="C1904" s="87"/>
      <c r="D1904" s="97"/>
      <c r="E1904" s="83"/>
      <c r="F1904" s="83"/>
      <c r="G1904" s="84"/>
      <c r="H1904" s="86" t="e">
        <f>IF(I1904="fora",0%,G1904/QUÓRUM!$C$6)</f>
        <v>#DIV/0!</v>
      </c>
      <c r="I1904" s="87"/>
      <c r="J1904" s="88"/>
      <c r="K1904" s="88"/>
      <c r="L1904" s="89"/>
      <c r="M1904" s="89"/>
      <c r="N1904" s="90"/>
      <c r="O1904" s="90"/>
      <c r="P1904" s="90"/>
      <c r="Q1904" s="87"/>
      <c r="R1904" s="98"/>
      <c r="S1904" s="90"/>
      <c r="T1904" s="99"/>
    </row>
    <row r="1905" spans="1:20" s="94" customFormat="1" x14ac:dyDescent="0.3">
      <c r="A1905" s="96"/>
      <c r="B1905" s="96"/>
      <c r="C1905" s="87"/>
      <c r="D1905" s="97"/>
      <c r="E1905" s="83"/>
      <c r="F1905" s="83"/>
      <c r="G1905" s="84"/>
      <c r="H1905" s="86" t="e">
        <f>IF(I1905="fora",0%,G1905/QUÓRUM!$C$6)</f>
        <v>#DIV/0!</v>
      </c>
      <c r="I1905" s="87"/>
      <c r="J1905" s="88"/>
      <c r="K1905" s="88"/>
      <c r="L1905" s="89"/>
      <c r="M1905" s="89"/>
      <c r="N1905" s="90"/>
      <c r="O1905" s="90"/>
      <c r="P1905" s="90"/>
      <c r="Q1905" s="87"/>
      <c r="R1905" s="98"/>
      <c r="S1905" s="90"/>
      <c r="T1905" s="99"/>
    </row>
    <row r="1906" spans="1:20" s="94" customFormat="1" x14ac:dyDescent="0.3">
      <c r="A1906" s="96"/>
      <c r="B1906" s="96"/>
      <c r="C1906" s="87"/>
      <c r="D1906" s="97"/>
      <c r="E1906" s="83"/>
      <c r="F1906" s="83"/>
      <c r="G1906" s="84"/>
      <c r="H1906" s="86" t="e">
        <f>IF(I1906="fora",0%,G1906/QUÓRUM!$C$6)</f>
        <v>#DIV/0!</v>
      </c>
      <c r="I1906" s="87"/>
      <c r="J1906" s="88"/>
      <c r="K1906" s="88"/>
      <c r="L1906" s="89"/>
      <c r="M1906" s="89"/>
      <c r="N1906" s="90"/>
      <c r="O1906" s="90"/>
      <c r="P1906" s="90"/>
      <c r="Q1906" s="87"/>
      <c r="R1906" s="98"/>
      <c r="S1906" s="90"/>
      <c r="T1906" s="99"/>
    </row>
    <row r="1907" spans="1:20" s="94" customFormat="1" x14ac:dyDescent="0.3">
      <c r="A1907" s="96"/>
      <c r="B1907" s="96"/>
      <c r="C1907" s="87"/>
      <c r="D1907" s="97"/>
      <c r="E1907" s="83"/>
      <c r="F1907" s="83"/>
      <c r="G1907" s="84"/>
      <c r="H1907" s="86" t="e">
        <f>IF(I1907="fora",0%,G1907/QUÓRUM!$C$6)</f>
        <v>#DIV/0!</v>
      </c>
      <c r="I1907" s="87"/>
      <c r="J1907" s="88"/>
      <c r="K1907" s="88"/>
      <c r="L1907" s="89"/>
      <c r="M1907" s="89"/>
      <c r="N1907" s="90"/>
      <c r="O1907" s="90"/>
      <c r="P1907" s="90"/>
      <c r="Q1907" s="87"/>
      <c r="R1907" s="98"/>
      <c r="S1907" s="90"/>
      <c r="T1907" s="99"/>
    </row>
    <row r="1908" spans="1:20" s="94" customFormat="1" x14ac:dyDescent="0.3">
      <c r="A1908" s="96"/>
      <c r="B1908" s="96"/>
      <c r="C1908" s="87"/>
      <c r="D1908" s="97"/>
      <c r="E1908" s="83"/>
      <c r="F1908" s="83"/>
      <c r="G1908" s="84"/>
      <c r="H1908" s="86" t="e">
        <f>IF(I1908="fora",0%,G1908/QUÓRUM!$C$6)</f>
        <v>#DIV/0!</v>
      </c>
      <c r="I1908" s="87"/>
      <c r="J1908" s="88"/>
      <c r="K1908" s="88"/>
      <c r="L1908" s="89"/>
      <c r="M1908" s="89"/>
      <c r="N1908" s="90"/>
      <c r="O1908" s="90"/>
      <c r="P1908" s="90"/>
      <c r="Q1908" s="87"/>
      <c r="R1908" s="98"/>
      <c r="S1908" s="90"/>
      <c r="T1908" s="99"/>
    </row>
    <row r="1909" spans="1:20" s="94" customFormat="1" x14ac:dyDescent="0.3">
      <c r="A1909" s="96"/>
      <c r="B1909" s="96"/>
      <c r="C1909" s="87"/>
      <c r="D1909" s="97"/>
      <c r="E1909" s="83"/>
      <c r="F1909" s="83"/>
      <c r="G1909" s="84"/>
      <c r="H1909" s="86" t="e">
        <f>IF(I1909="fora",0%,G1909/QUÓRUM!$C$6)</f>
        <v>#DIV/0!</v>
      </c>
      <c r="I1909" s="87"/>
      <c r="J1909" s="88"/>
      <c r="K1909" s="88"/>
      <c r="L1909" s="89"/>
      <c r="M1909" s="89"/>
      <c r="N1909" s="90"/>
      <c r="O1909" s="90"/>
      <c r="P1909" s="90"/>
      <c r="Q1909" s="87"/>
      <c r="R1909" s="98"/>
      <c r="S1909" s="90"/>
      <c r="T1909" s="99"/>
    </row>
    <row r="1910" spans="1:20" s="94" customFormat="1" x14ac:dyDescent="0.3">
      <c r="A1910" s="96"/>
      <c r="B1910" s="96"/>
      <c r="C1910" s="87"/>
      <c r="D1910" s="97"/>
      <c r="E1910" s="83"/>
      <c r="F1910" s="83"/>
      <c r="G1910" s="84"/>
      <c r="H1910" s="86" t="e">
        <f>IF(I1910="fora",0%,G1910/QUÓRUM!$C$6)</f>
        <v>#DIV/0!</v>
      </c>
      <c r="I1910" s="87"/>
      <c r="J1910" s="88"/>
      <c r="K1910" s="88"/>
      <c r="L1910" s="89"/>
      <c r="M1910" s="89"/>
      <c r="N1910" s="90"/>
      <c r="O1910" s="90"/>
      <c r="P1910" s="90"/>
      <c r="Q1910" s="87"/>
      <c r="R1910" s="98"/>
      <c r="S1910" s="90"/>
      <c r="T1910" s="99"/>
    </row>
    <row r="1911" spans="1:20" s="94" customFormat="1" x14ac:dyDescent="0.3">
      <c r="A1911" s="96"/>
      <c r="B1911" s="96"/>
      <c r="C1911" s="87"/>
      <c r="D1911" s="97"/>
      <c r="E1911" s="83"/>
      <c r="F1911" s="83"/>
      <c r="G1911" s="84"/>
      <c r="H1911" s="86" t="e">
        <f>IF(I1911="fora",0%,G1911/QUÓRUM!$C$6)</f>
        <v>#DIV/0!</v>
      </c>
      <c r="I1911" s="87"/>
      <c r="J1911" s="88"/>
      <c r="K1911" s="88"/>
      <c r="L1911" s="89"/>
      <c r="M1911" s="89"/>
      <c r="N1911" s="90"/>
      <c r="O1911" s="90"/>
      <c r="P1911" s="90"/>
      <c r="Q1911" s="87"/>
      <c r="R1911" s="98"/>
      <c r="S1911" s="90"/>
      <c r="T1911" s="99"/>
    </row>
    <row r="1912" spans="1:20" s="94" customFormat="1" x14ac:dyDescent="0.3">
      <c r="A1912" s="96"/>
      <c r="B1912" s="96"/>
      <c r="C1912" s="87"/>
      <c r="D1912" s="97"/>
      <c r="E1912" s="83"/>
      <c r="F1912" s="83"/>
      <c r="G1912" s="84"/>
      <c r="H1912" s="86" t="e">
        <f>IF(I1912="fora",0%,G1912/QUÓRUM!$C$6)</f>
        <v>#DIV/0!</v>
      </c>
      <c r="I1912" s="87"/>
      <c r="J1912" s="88"/>
      <c r="K1912" s="88"/>
      <c r="L1912" s="89"/>
      <c r="M1912" s="89"/>
      <c r="N1912" s="90"/>
      <c r="O1912" s="90"/>
      <c r="P1912" s="90"/>
      <c r="Q1912" s="87"/>
      <c r="R1912" s="98"/>
      <c r="S1912" s="90"/>
      <c r="T1912" s="99"/>
    </row>
    <row r="1913" spans="1:20" s="94" customFormat="1" x14ac:dyDescent="0.3">
      <c r="A1913" s="96"/>
      <c r="B1913" s="96"/>
      <c r="C1913" s="87"/>
      <c r="D1913" s="97"/>
      <c r="E1913" s="83"/>
      <c r="F1913" s="83"/>
      <c r="G1913" s="84"/>
      <c r="H1913" s="86" t="e">
        <f>IF(I1913="fora",0%,G1913/QUÓRUM!$C$6)</f>
        <v>#DIV/0!</v>
      </c>
      <c r="I1913" s="87"/>
      <c r="J1913" s="88"/>
      <c r="K1913" s="88"/>
      <c r="L1913" s="89"/>
      <c r="M1913" s="89"/>
      <c r="N1913" s="90"/>
      <c r="O1913" s="90"/>
      <c r="P1913" s="90"/>
      <c r="Q1913" s="87"/>
      <c r="R1913" s="98"/>
      <c r="S1913" s="90"/>
      <c r="T1913" s="99"/>
    </row>
    <row r="1914" spans="1:20" s="94" customFormat="1" x14ac:dyDescent="0.3">
      <c r="A1914" s="96"/>
      <c r="B1914" s="96"/>
      <c r="C1914" s="87"/>
      <c r="D1914" s="97"/>
      <c r="E1914" s="83"/>
      <c r="F1914" s="83"/>
      <c r="G1914" s="84"/>
      <c r="H1914" s="86" t="e">
        <f>IF(I1914="fora",0%,G1914/QUÓRUM!$C$6)</f>
        <v>#DIV/0!</v>
      </c>
      <c r="I1914" s="87"/>
      <c r="J1914" s="88"/>
      <c r="K1914" s="88"/>
      <c r="L1914" s="89"/>
      <c r="M1914" s="89"/>
      <c r="N1914" s="90"/>
      <c r="O1914" s="90"/>
      <c r="P1914" s="90"/>
      <c r="Q1914" s="87"/>
      <c r="R1914" s="98"/>
      <c r="S1914" s="90"/>
      <c r="T1914" s="99"/>
    </row>
    <row r="1915" spans="1:20" s="94" customFormat="1" x14ac:dyDescent="0.3">
      <c r="A1915" s="96"/>
      <c r="B1915" s="96"/>
      <c r="C1915" s="87"/>
      <c r="D1915" s="97"/>
      <c r="E1915" s="83"/>
      <c r="F1915" s="83"/>
      <c r="G1915" s="84"/>
      <c r="H1915" s="86" t="e">
        <f>IF(I1915="fora",0%,G1915/QUÓRUM!$C$6)</f>
        <v>#DIV/0!</v>
      </c>
      <c r="I1915" s="87"/>
      <c r="J1915" s="88"/>
      <c r="K1915" s="88"/>
      <c r="L1915" s="89"/>
      <c r="M1915" s="89"/>
      <c r="N1915" s="90"/>
      <c r="O1915" s="90"/>
      <c r="P1915" s="90"/>
      <c r="Q1915" s="87"/>
      <c r="R1915" s="98"/>
      <c r="S1915" s="90"/>
      <c r="T1915" s="99"/>
    </row>
    <row r="1916" spans="1:20" s="94" customFormat="1" x14ac:dyDescent="0.3">
      <c r="A1916" s="96"/>
      <c r="B1916" s="96"/>
      <c r="C1916" s="87"/>
      <c r="D1916" s="97"/>
      <c r="E1916" s="83"/>
      <c r="F1916" s="83"/>
      <c r="G1916" s="84"/>
      <c r="H1916" s="86" t="e">
        <f>IF(I1916="fora",0%,G1916/QUÓRUM!$C$6)</f>
        <v>#DIV/0!</v>
      </c>
      <c r="I1916" s="87"/>
      <c r="J1916" s="88"/>
      <c r="K1916" s="88"/>
      <c r="L1916" s="89"/>
      <c r="M1916" s="89"/>
      <c r="N1916" s="90"/>
      <c r="O1916" s="90"/>
      <c r="P1916" s="90"/>
      <c r="Q1916" s="87"/>
      <c r="R1916" s="98"/>
      <c r="S1916" s="90"/>
      <c r="T1916" s="99"/>
    </row>
    <row r="1917" spans="1:20" s="94" customFormat="1" x14ac:dyDescent="0.3">
      <c r="A1917" s="96"/>
      <c r="B1917" s="96"/>
      <c r="C1917" s="87"/>
      <c r="D1917" s="97"/>
      <c r="E1917" s="83"/>
      <c r="F1917" s="83"/>
      <c r="G1917" s="84"/>
      <c r="H1917" s="86" t="e">
        <f>IF(I1917="fora",0%,G1917/QUÓRUM!$C$6)</f>
        <v>#DIV/0!</v>
      </c>
      <c r="I1917" s="87"/>
      <c r="J1917" s="88"/>
      <c r="K1917" s="88"/>
      <c r="L1917" s="89"/>
      <c r="M1917" s="89"/>
      <c r="N1917" s="90"/>
      <c r="O1917" s="90"/>
      <c r="P1917" s="90"/>
      <c r="Q1917" s="87"/>
      <c r="R1917" s="98"/>
      <c r="S1917" s="90"/>
      <c r="T1917" s="99"/>
    </row>
    <row r="1918" spans="1:20" s="94" customFormat="1" x14ac:dyDescent="0.3">
      <c r="A1918" s="96"/>
      <c r="B1918" s="96"/>
      <c r="C1918" s="87"/>
      <c r="D1918" s="97"/>
      <c r="E1918" s="83"/>
      <c r="F1918" s="83"/>
      <c r="G1918" s="84"/>
      <c r="H1918" s="86" t="e">
        <f>IF(I1918="fora",0%,G1918/QUÓRUM!$C$6)</f>
        <v>#DIV/0!</v>
      </c>
      <c r="I1918" s="87"/>
      <c r="J1918" s="88"/>
      <c r="K1918" s="88"/>
      <c r="L1918" s="89"/>
      <c r="M1918" s="89"/>
      <c r="N1918" s="90"/>
      <c r="O1918" s="90"/>
      <c r="P1918" s="90"/>
      <c r="Q1918" s="87"/>
      <c r="R1918" s="98"/>
      <c r="S1918" s="90"/>
      <c r="T1918" s="99"/>
    </row>
    <row r="1919" spans="1:20" s="94" customFormat="1" x14ac:dyDescent="0.3">
      <c r="A1919" s="96"/>
      <c r="B1919" s="96"/>
      <c r="C1919" s="87"/>
      <c r="D1919" s="97"/>
      <c r="E1919" s="83"/>
      <c r="F1919" s="83"/>
      <c r="G1919" s="84"/>
      <c r="H1919" s="86" t="e">
        <f>IF(I1919="fora",0%,G1919/QUÓRUM!$C$6)</f>
        <v>#DIV/0!</v>
      </c>
      <c r="I1919" s="87"/>
      <c r="J1919" s="88"/>
      <c r="K1919" s="88"/>
      <c r="L1919" s="89"/>
      <c r="M1919" s="89"/>
      <c r="N1919" s="90"/>
      <c r="O1919" s="90"/>
      <c r="P1919" s="90"/>
      <c r="Q1919" s="87"/>
      <c r="R1919" s="98"/>
      <c r="S1919" s="90"/>
      <c r="T1919" s="99"/>
    </row>
    <row r="1920" spans="1:20" s="94" customFormat="1" x14ac:dyDescent="0.3">
      <c r="A1920" s="96"/>
      <c r="B1920" s="96"/>
      <c r="C1920" s="87"/>
      <c r="D1920" s="97"/>
      <c r="E1920" s="83"/>
      <c r="F1920" s="83"/>
      <c r="G1920" s="84"/>
      <c r="H1920" s="86" t="e">
        <f>IF(I1920="fora",0%,G1920/QUÓRUM!$C$6)</f>
        <v>#DIV/0!</v>
      </c>
      <c r="I1920" s="87"/>
      <c r="J1920" s="88"/>
      <c r="K1920" s="88"/>
      <c r="L1920" s="89"/>
      <c r="M1920" s="89"/>
      <c r="N1920" s="90"/>
      <c r="O1920" s="90"/>
      <c r="P1920" s="90"/>
      <c r="Q1920" s="87"/>
      <c r="R1920" s="98"/>
      <c r="S1920" s="90"/>
      <c r="T1920" s="99"/>
    </row>
    <row r="1921" spans="1:20" s="94" customFormat="1" x14ac:dyDescent="0.3">
      <c r="A1921" s="96"/>
      <c r="B1921" s="96"/>
      <c r="C1921" s="87"/>
      <c r="D1921" s="97"/>
      <c r="E1921" s="83"/>
      <c r="F1921" s="83"/>
      <c r="G1921" s="84"/>
      <c r="H1921" s="86" t="e">
        <f>IF(I1921="fora",0%,G1921/QUÓRUM!$C$6)</f>
        <v>#DIV/0!</v>
      </c>
      <c r="I1921" s="87"/>
      <c r="J1921" s="88"/>
      <c r="K1921" s="88"/>
      <c r="L1921" s="89"/>
      <c r="M1921" s="89"/>
      <c r="N1921" s="90"/>
      <c r="O1921" s="90"/>
      <c r="P1921" s="90"/>
      <c r="Q1921" s="87"/>
      <c r="R1921" s="98"/>
      <c r="S1921" s="90"/>
      <c r="T1921" s="99"/>
    </row>
    <row r="1922" spans="1:20" s="94" customFormat="1" x14ac:dyDescent="0.3">
      <c r="A1922" s="96"/>
      <c r="B1922" s="96"/>
      <c r="C1922" s="87"/>
      <c r="D1922" s="97"/>
      <c r="E1922" s="83"/>
      <c r="F1922" s="83"/>
      <c r="G1922" s="84"/>
      <c r="H1922" s="86" t="e">
        <f>IF(I1922="fora",0%,G1922/QUÓRUM!$C$6)</f>
        <v>#DIV/0!</v>
      </c>
      <c r="I1922" s="87"/>
      <c r="J1922" s="88"/>
      <c r="K1922" s="88"/>
      <c r="L1922" s="89"/>
      <c r="M1922" s="89"/>
      <c r="N1922" s="90"/>
      <c r="O1922" s="90"/>
      <c r="P1922" s="90"/>
      <c r="Q1922" s="87"/>
      <c r="R1922" s="98"/>
      <c r="S1922" s="90"/>
      <c r="T1922" s="99"/>
    </row>
    <row r="1923" spans="1:20" s="94" customFormat="1" x14ac:dyDescent="0.3">
      <c r="A1923" s="96"/>
      <c r="B1923" s="96"/>
      <c r="C1923" s="87"/>
      <c r="D1923" s="97"/>
      <c r="E1923" s="83"/>
      <c r="F1923" s="83"/>
      <c r="G1923" s="84"/>
      <c r="H1923" s="86" t="e">
        <f>IF(I1923="fora",0%,G1923/QUÓRUM!$C$6)</f>
        <v>#DIV/0!</v>
      </c>
      <c r="I1923" s="87"/>
      <c r="J1923" s="88"/>
      <c r="K1923" s="88"/>
      <c r="L1923" s="89"/>
      <c r="M1923" s="89"/>
      <c r="N1923" s="90"/>
      <c r="O1923" s="90"/>
      <c r="P1923" s="90"/>
      <c r="Q1923" s="87"/>
      <c r="R1923" s="98"/>
      <c r="S1923" s="90"/>
      <c r="T1923" s="99"/>
    </row>
    <row r="1924" spans="1:20" s="94" customFormat="1" x14ac:dyDescent="0.3">
      <c r="A1924" s="96"/>
      <c r="B1924" s="96"/>
      <c r="C1924" s="87"/>
      <c r="D1924" s="97"/>
      <c r="E1924" s="83"/>
      <c r="F1924" s="83"/>
      <c r="G1924" s="84"/>
      <c r="H1924" s="86" t="e">
        <f>IF(I1924="fora",0%,G1924/QUÓRUM!$C$6)</f>
        <v>#DIV/0!</v>
      </c>
      <c r="I1924" s="87"/>
      <c r="J1924" s="88"/>
      <c r="K1924" s="88"/>
      <c r="L1924" s="89"/>
      <c r="M1924" s="89"/>
      <c r="N1924" s="90"/>
      <c r="O1924" s="90"/>
      <c r="P1924" s="90"/>
      <c r="Q1924" s="87"/>
      <c r="R1924" s="98"/>
      <c r="S1924" s="90"/>
      <c r="T1924" s="99"/>
    </row>
    <row r="1925" spans="1:20" s="94" customFormat="1" x14ac:dyDescent="0.3">
      <c r="A1925" s="96"/>
      <c r="B1925" s="96"/>
      <c r="C1925" s="87"/>
      <c r="D1925" s="97"/>
      <c r="E1925" s="83"/>
      <c r="F1925" s="83"/>
      <c r="G1925" s="84"/>
      <c r="H1925" s="86" t="e">
        <f>IF(I1925="fora",0%,G1925/QUÓRUM!$C$6)</f>
        <v>#DIV/0!</v>
      </c>
      <c r="I1925" s="87"/>
      <c r="J1925" s="88"/>
      <c r="K1925" s="88"/>
      <c r="L1925" s="89"/>
      <c r="M1925" s="89"/>
      <c r="N1925" s="90"/>
      <c r="O1925" s="90"/>
      <c r="P1925" s="90"/>
      <c r="Q1925" s="87"/>
      <c r="R1925" s="98"/>
      <c r="S1925" s="90"/>
      <c r="T1925" s="99"/>
    </row>
    <row r="1926" spans="1:20" s="94" customFormat="1" x14ac:dyDescent="0.3">
      <c r="A1926" s="96"/>
      <c r="B1926" s="96"/>
      <c r="C1926" s="87"/>
      <c r="D1926" s="97"/>
      <c r="E1926" s="83"/>
      <c r="F1926" s="83"/>
      <c r="G1926" s="84"/>
      <c r="H1926" s="86" t="e">
        <f>IF(I1926="fora",0%,G1926/QUÓRUM!$C$6)</f>
        <v>#DIV/0!</v>
      </c>
      <c r="I1926" s="87"/>
      <c r="J1926" s="88"/>
      <c r="K1926" s="88"/>
      <c r="L1926" s="89"/>
      <c r="M1926" s="89"/>
      <c r="N1926" s="90"/>
      <c r="O1926" s="90"/>
      <c r="P1926" s="90"/>
      <c r="Q1926" s="87"/>
      <c r="R1926" s="98"/>
      <c r="S1926" s="90"/>
      <c r="T1926" s="99"/>
    </row>
    <row r="1927" spans="1:20" s="94" customFormat="1" x14ac:dyDescent="0.3">
      <c r="A1927" s="96"/>
      <c r="B1927" s="96"/>
      <c r="C1927" s="87"/>
      <c r="D1927" s="97"/>
      <c r="E1927" s="83"/>
      <c r="F1927" s="83"/>
      <c r="G1927" s="84"/>
      <c r="H1927" s="86" t="e">
        <f>IF(I1927="fora",0%,G1927/QUÓRUM!$C$6)</f>
        <v>#DIV/0!</v>
      </c>
      <c r="I1927" s="87"/>
      <c r="J1927" s="88"/>
      <c r="K1927" s="88"/>
      <c r="L1927" s="89"/>
      <c r="M1927" s="89"/>
      <c r="N1927" s="90"/>
      <c r="O1927" s="90"/>
      <c r="P1927" s="90"/>
      <c r="Q1927" s="87"/>
      <c r="R1927" s="98"/>
      <c r="S1927" s="90"/>
      <c r="T1927" s="99"/>
    </row>
    <row r="1928" spans="1:20" s="94" customFormat="1" x14ac:dyDescent="0.3">
      <c r="A1928" s="96"/>
      <c r="B1928" s="96"/>
      <c r="C1928" s="87"/>
      <c r="D1928" s="97"/>
      <c r="E1928" s="83"/>
      <c r="F1928" s="83"/>
      <c r="G1928" s="84"/>
      <c r="H1928" s="86" t="e">
        <f>IF(I1928="fora",0%,G1928/QUÓRUM!$C$6)</f>
        <v>#DIV/0!</v>
      </c>
      <c r="I1928" s="87"/>
      <c r="J1928" s="88"/>
      <c r="K1928" s="88"/>
      <c r="L1928" s="89"/>
      <c r="M1928" s="89"/>
      <c r="N1928" s="90"/>
      <c r="O1928" s="90"/>
      <c r="P1928" s="90"/>
      <c r="Q1928" s="87"/>
      <c r="R1928" s="98"/>
      <c r="S1928" s="90"/>
      <c r="T1928" s="99"/>
    </row>
    <row r="1929" spans="1:20" s="94" customFormat="1" x14ac:dyDescent="0.3">
      <c r="A1929" s="96"/>
      <c r="B1929" s="96"/>
      <c r="C1929" s="87"/>
      <c r="D1929" s="97"/>
      <c r="E1929" s="83"/>
      <c r="F1929" s="83"/>
      <c r="G1929" s="84"/>
      <c r="H1929" s="86" t="e">
        <f>IF(I1929="fora",0%,G1929/QUÓRUM!$C$6)</f>
        <v>#DIV/0!</v>
      </c>
      <c r="I1929" s="87"/>
      <c r="J1929" s="88"/>
      <c r="K1929" s="88"/>
      <c r="L1929" s="89"/>
      <c r="M1929" s="89"/>
      <c r="N1929" s="90"/>
      <c r="O1929" s="90"/>
      <c r="P1929" s="90"/>
      <c r="Q1929" s="87"/>
      <c r="R1929" s="98"/>
      <c r="S1929" s="90"/>
      <c r="T1929" s="99"/>
    </row>
    <row r="1930" spans="1:20" s="94" customFormat="1" x14ac:dyDescent="0.3">
      <c r="A1930" s="96"/>
      <c r="B1930" s="96"/>
      <c r="C1930" s="87"/>
      <c r="D1930" s="97"/>
      <c r="E1930" s="83"/>
      <c r="F1930" s="83"/>
      <c r="G1930" s="84"/>
      <c r="H1930" s="86" t="e">
        <f>IF(I1930="fora",0%,G1930/QUÓRUM!$C$6)</f>
        <v>#DIV/0!</v>
      </c>
      <c r="I1930" s="87"/>
      <c r="J1930" s="88"/>
      <c r="K1930" s="88"/>
      <c r="L1930" s="89"/>
      <c r="M1930" s="89"/>
      <c r="N1930" s="90"/>
      <c r="O1930" s="90"/>
      <c r="P1930" s="90"/>
      <c r="Q1930" s="87"/>
      <c r="R1930" s="98"/>
      <c r="S1930" s="90"/>
      <c r="T1930" s="99"/>
    </row>
    <row r="1931" spans="1:20" s="94" customFormat="1" x14ac:dyDescent="0.3">
      <c r="A1931" s="96"/>
      <c r="B1931" s="96"/>
      <c r="C1931" s="87"/>
      <c r="D1931" s="97"/>
      <c r="E1931" s="83"/>
      <c r="F1931" s="83"/>
      <c r="G1931" s="84"/>
      <c r="H1931" s="86" t="e">
        <f>IF(I1931="fora",0%,G1931/QUÓRUM!$C$6)</f>
        <v>#DIV/0!</v>
      </c>
      <c r="I1931" s="87"/>
      <c r="J1931" s="88"/>
      <c r="K1931" s="88"/>
      <c r="L1931" s="89"/>
      <c r="M1931" s="89"/>
      <c r="N1931" s="90"/>
      <c r="O1931" s="90"/>
      <c r="P1931" s="90"/>
      <c r="Q1931" s="87"/>
      <c r="R1931" s="98"/>
      <c r="S1931" s="90"/>
      <c r="T1931" s="99"/>
    </row>
    <row r="1932" spans="1:20" s="94" customFormat="1" x14ac:dyDescent="0.3">
      <c r="A1932" s="96"/>
      <c r="B1932" s="96"/>
      <c r="C1932" s="87"/>
      <c r="D1932" s="97"/>
      <c r="E1932" s="83"/>
      <c r="F1932" s="83"/>
      <c r="G1932" s="84"/>
      <c r="H1932" s="86" t="e">
        <f>IF(I1932="fora",0%,G1932/QUÓRUM!$C$6)</f>
        <v>#DIV/0!</v>
      </c>
      <c r="I1932" s="87"/>
      <c r="J1932" s="88"/>
      <c r="K1932" s="88"/>
      <c r="L1932" s="89"/>
      <c r="M1932" s="89"/>
      <c r="N1932" s="90"/>
      <c r="O1932" s="90"/>
      <c r="P1932" s="90"/>
      <c r="Q1932" s="87"/>
      <c r="R1932" s="98"/>
      <c r="S1932" s="90"/>
      <c r="T1932" s="99"/>
    </row>
    <row r="1933" spans="1:20" s="94" customFormat="1" x14ac:dyDescent="0.3">
      <c r="A1933" s="96"/>
      <c r="B1933" s="96"/>
      <c r="C1933" s="87"/>
      <c r="D1933" s="97"/>
      <c r="E1933" s="83"/>
      <c r="F1933" s="83"/>
      <c r="G1933" s="84"/>
      <c r="H1933" s="86" t="e">
        <f>IF(I1933="fora",0%,G1933/QUÓRUM!$C$6)</f>
        <v>#DIV/0!</v>
      </c>
      <c r="I1933" s="87"/>
      <c r="J1933" s="88"/>
      <c r="K1933" s="88"/>
      <c r="L1933" s="89"/>
      <c r="M1933" s="89"/>
      <c r="N1933" s="90"/>
      <c r="O1933" s="90"/>
      <c r="P1933" s="90"/>
      <c r="Q1933" s="87"/>
      <c r="R1933" s="98"/>
      <c r="S1933" s="90"/>
      <c r="T1933" s="99"/>
    </row>
    <row r="1934" spans="1:20" s="94" customFormat="1" x14ac:dyDescent="0.3">
      <c r="A1934" s="96"/>
      <c r="B1934" s="96"/>
      <c r="C1934" s="87"/>
      <c r="D1934" s="97"/>
      <c r="E1934" s="83"/>
      <c r="F1934" s="83"/>
      <c r="G1934" s="84"/>
      <c r="H1934" s="86" t="e">
        <f>IF(I1934="fora",0%,G1934/QUÓRUM!$C$6)</f>
        <v>#DIV/0!</v>
      </c>
      <c r="I1934" s="87"/>
      <c r="J1934" s="88"/>
      <c r="K1934" s="88"/>
      <c r="L1934" s="89"/>
      <c r="M1934" s="89"/>
      <c r="N1934" s="90"/>
      <c r="O1934" s="90"/>
      <c r="P1934" s="90"/>
      <c r="Q1934" s="87"/>
      <c r="R1934" s="98"/>
      <c r="S1934" s="90"/>
      <c r="T1934" s="99"/>
    </row>
    <row r="1935" spans="1:20" s="94" customFormat="1" x14ac:dyDescent="0.3">
      <c r="A1935" s="96"/>
      <c r="B1935" s="96"/>
      <c r="C1935" s="87"/>
      <c r="D1935" s="97"/>
      <c r="E1935" s="83"/>
      <c r="F1935" s="83"/>
      <c r="G1935" s="84"/>
      <c r="H1935" s="86" t="e">
        <f>IF(I1935="fora",0%,G1935/QUÓRUM!$C$6)</f>
        <v>#DIV/0!</v>
      </c>
      <c r="I1935" s="87"/>
      <c r="J1935" s="88"/>
      <c r="K1935" s="88"/>
      <c r="L1935" s="89"/>
      <c r="M1935" s="89"/>
      <c r="N1935" s="90"/>
      <c r="O1935" s="90"/>
      <c r="P1935" s="90"/>
      <c r="Q1935" s="87"/>
      <c r="R1935" s="98"/>
      <c r="S1935" s="90"/>
      <c r="T1935" s="99"/>
    </row>
    <row r="1936" spans="1:20" s="94" customFormat="1" x14ac:dyDescent="0.3">
      <c r="A1936" s="96"/>
      <c r="B1936" s="96"/>
      <c r="C1936" s="87"/>
      <c r="D1936" s="97"/>
      <c r="E1936" s="83"/>
      <c r="F1936" s="83"/>
      <c r="G1936" s="84"/>
      <c r="H1936" s="86" t="e">
        <f>IF(I1936="fora",0%,G1936/QUÓRUM!$C$6)</f>
        <v>#DIV/0!</v>
      </c>
      <c r="I1936" s="87"/>
      <c r="J1936" s="88"/>
      <c r="K1936" s="88"/>
      <c r="L1936" s="89"/>
      <c r="M1936" s="89"/>
      <c r="N1936" s="90"/>
      <c r="O1936" s="90"/>
      <c r="P1936" s="90"/>
      <c r="Q1936" s="87"/>
      <c r="R1936" s="98"/>
      <c r="S1936" s="90"/>
      <c r="T1936" s="99"/>
    </row>
    <row r="1937" spans="1:20" s="94" customFormat="1" x14ac:dyDescent="0.3">
      <c r="A1937" s="96"/>
      <c r="B1937" s="96"/>
      <c r="C1937" s="87"/>
      <c r="D1937" s="97"/>
      <c r="E1937" s="83"/>
      <c r="F1937" s="83"/>
      <c r="G1937" s="84"/>
      <c r="H1937" s="86" t="e">
        <f>IF(I1937="fora",0%,G1937/QUÓRUM!$C$6)</f>
        <v>#DIV/0!</v>
      </c>
      <c r="I1937" s="87"/>
      <c r="J1937" s="88"/>
      <c r="K1937" s="88"/>
      <c r="L1937" s="89"/>
      <c r="M1937" s="89"/>
      <c r="N1937" s="90"/>
      <c r="O1937" s="90"/>
      <c r="P1937" s="90"/>
      <c r="Q1937" s="87"/>
      <c r="R1937" s="98"/>
      <c r="S1937" s="90"/>
      <c r="T1937" s="99"/>
    </row>
    <row r="1938" spans="1:20" s="94" customFormat="1" x14ac:dyDescent="0.3">
      <c r="A1938" s="96"/>
      <c r="B1938" s="96"/>
      <c r="C1938" s="87"/>
      <c r="D1938" s="97"/>
      <c r="E1938" s="83"/>
      <c r="F1938" s="83"/>
      <c r="G1938" s="84"/>
      <c r="H1938" s="86" t="e">
        <f>IF(I1938="fora",0%,G1938/QUÓRUM!$C$6)</f>
        <v>#DIV/0!</v>
      </c>
      <c r="I1938" s="87"/>
      <c r="J1938" s="88"/>
      <c r="K1938" s="88"/>
      <c r="L1938" s="89"/>
      <c r="M1938" s="89"/>
      <c r="N1938" s="90"/>
      <c r="O1938" s="90"/>
      <c r="P1938" s="90"/>
      <c r="Q1938" s="87"/>
      <c r="R1938" s="98"/>
      <c r="S1938" s="90"/>
      <c r="T1938" s="99"/>
    </row>
    <row r="1939" spans="1:20" s="94" customFormat="1" x14ac:dyDescent="0.3">
      <c r="A1939" s="96"/>
      <c r="B1939" s="96"/>
      <c r="C1939" s="87"/>
      <c r="D1939" s="97"/>
      <c r="E1939" s="83"/>
      <c r="F1939" s="83"/>
      <c r="G1939" s="84"/>
      <c r="H1939" s="86" t="e">
        <f>IF(I1939="fora",0%,G1939/QUÓRUM!$C$6)</f>
        <v>#DIV/0!</v>
      </c>
      <c r="I1939" s="87"/>
      <c r="J1939" s="88"/>
      <c r="K1939" s="88"/>
      <c r="L1939" s="89"/>
      <c r="M1939" s="89"/>
      <c r="N1939" s="90"/>
      <c r="O1939" s="90"/>
      <c r="P1939" s="90"/>
      <c r="Q1939" s="87"/>
      <c r="R1939" s="98"/>
      <c r="S1939" s="90"/>
      <c r="T1939" s="99"/>
    </row>
    <row r="1940" spans="1:20" s="94" customFormat="1" x14ac:dyDescent="0.3">
      <c r="A1940" s="96"/>
      <c r="B1940" s="96"/>
      <c r="C1940" s="87"/>
      <c r="D1940" s="97"/>
      <c r="E1940" s="83"/>
      <c r="F1940" s="83"/>
      <c r="G1940" s="84"/>
      <c r="H1940" s="86" t="e">
        <f>IF(I1940="fora",0%,G1940/QUÓRUM!$C$6)</f>
        <v>#DIV/0!</v>
      </c>
      <c r="I1940" s="87"/>
      <c r="J1940" s="88"/>
      <c r="K1940" s="88"/>
      <c r="L1940" s="89"/>
      <c r="M1940" s="89"/>
      <c r="N1940" s="90"/>
      <c r="O1940" s="90"/>
      <c r="P1940" s="90"/>
      <c r="Q1940" s="87"/>
      <c r="R1940" s="98"/>
      <c r="S1940" s="90"/>
      <c r="T1940" s="99"/>
    </row>
    <row r="1941" spans="1:20" s="94" customFormat="1" x14ac:dyDescent="0.3">
      <c r="A1941" s="96"/>
      <c r="B1941" s="96"/>
      <c r="C1941" s="87"/>
      <c r="D1941" s="97"/>
      <c r="E1941" s="83"/>
      <c r="F1941" s="83"/>
      <c r="G1941" s="84"/>
      <c r="H1941" s="86" t="e">
        <f>IF(I1941="fora",0%,G1941/QUÓRUM!$C$6)</f>
        <v>#DIV/0!</v>
      </c>
      <c r="I1941" s="87"/>
      <c r="J1941" s="88"/>
      <c r="K1941" s="88"/>
      <c r="L1941" s="89"/>
      <c r="M1941" s="89"/>
      <c r="N1941" s="90"/>
      <c r="O1941" s="90"/>
      <c r="P1941" s="90"/>
      <c r="Q1941" s="87"/>
      <c r="R1941" s="98"/>
      <c r="S1941" s="90"/>
      <c r="T1941" s="99"/>
    </row>
    <row r="1942" spans="1:20" s="94" customFormat="1" x14ac:dyDescent="0.3">
      <c r="A1942" s="96"/>
      <c r="B1942" s="96"/>
      <c r="C1942" s="87"/>
      <c r="D1942" s="97"/>
      <c r="E1942" s="83"/>
      <c r="F1942" s="83"/>
      <c r="G1942" s="84"/>
      <c r="H1942" s="86" t="e">
        <f>IF(I1942="fora",0%,G1942/QUÓRUM!$C$6)</f>
        <v>#DIV/0!</v>
      </c>
      <c r="I1942" s="87"/>
      <c r="J1942" s="88"/>
      <c r="K1942" s="88"/>
      <c r="L1942" s="89"/>
      <c r="M1942" s="89"/>
      <c r="N1942" s="90"/>
      <c r="O1942" s="90"/>
      <c r="P1942" s="90"/>
      <c r="Q1942" s="87"/>
      <c r="R1942" s="98"/>
      <c r="S1942" s="90"/>
      <c r="T1942" s="99"/>
    </row>
    <row r="1943" spans="1:20" s="94" customFormat="1" x14ac:dyDescent="0.3">
      <c r="A1943" s="96"/>
      <c r="B1943" s="96"/>
      <c r="C1943" s="87"/>
      <c r="D1943" s="97"/>
      <c r="E1943" s="83"/>
      <c r="F1943" s="83"/>
      <c r="G1943" s="84"/>
      <c r="H1943" s="86" t="e">
        <f>IF(I1943="fora",0%,G1943/QUÓRUM!$C$6)</f>
        <v>#DIV/0!</v>
      </c>
      <c r="I1943" s="87"/>
      <c r="J1943" s="88"/>
      <c r="K1943" s="88"/>
      <c r="L1943" s="89"/>
      <c r="M1943" s="89"/>
      <c r="N1943" s="90"/>
      <c r="O1943" s="90"/>
      <c r="P1943" s="90"/>
      <c r="Q1943" s="87"/>
      <c r="R1943" s="98"/>
      <c r="S1943" s="90"/>
      <c r="T1943" s="99"/>
    </row>
    <row r="1944" spans="1:20" s="94" customFormat="1" x14ac:dyDescent="0.3">
      <c r="A1944" s="96"/>
      <c r="B1944" s="96"/>
      <c r="C1944" s="87"/>
      <c r="D1944" s="97"/>
      <c r="E1944" s="83"/>
      <c r="F1944" s="83"/>
      <c r="G1944" s="84"/>
      <c r="H1944" s="86" t="e">
        <f>IF(I1944="fora",0%,G1944/QUÓRUM!$C$6)</f>
        <v>#DIV/0!</v>
      </c>
      <c r="I1944" s="87"/>
      <c r="J1944" s="88"/>
      <c r="K1944" s="88"/>
      <c r="L1944" s="89"/>
      <c r="M1944" s="89"/>
      <c r="N1944" s="90"/>
      <c r="O1944" s="90"/>
      <c r="P1944" s="90"/>
      <c r="Q1944" s="87"/>
      <c r="R1944" s="98"/>
      <c r="S1944" s="90"/>
      <c r="T1944" s="99"/>
    </row>
    <row r="1945" spans="1:20" s="94" customFormat="1" x14ac:dyDescent="0.3">
      <c r="A1945" s="96"/>
      <c r="B1945" s="96"/>
      <c r="C1945" s="87"/>
      <c r="D1945" s="97"/>
      <c r="E1945" s="83"/>
      <c r="F1945" s="83"/>
      <c r="G1945" s="84"/>
      <c r="H1945" s="86" t="e">
        <f>IF(I1945="fora",0%,G1945/QUÓRUM!$C$6)</f>
        <v>#DIV/0!</v>
      </c>
      <c r="I1945" s="87"/>
      <c r="J1945" s="88"/>
      <c r="K1945" s="88"/>
      <c r="L1945" s="89"/>
      <c r="M1945" s="89"/>
      <c r="N1945" s="90"/>
      <c r="O1945" s="90"/>
      <c r="P1945" s="90"/>
      <c r="Q1945" s="87"/>
      <c r="R1945" s="98"/>
      <c r="S1945" s="90"/>
      <c r="T1945" s="99"/>
    </row>
    <row r="1946" spans="1:20" s="94" customFormat="1" x14ac:dyDescent="0.3">
      <c r="A1946" s="96"/>
      <c r="B1946" s="96"/>
      <c r="C1946" s="87"/>
      <c r="D1946" s="97"/>
      <c r="E1946" s="83"/>
      <c r="F1946" s="83"/>
      <c r="G1946" s="84"/>
      <c r="H1946" s="86" t="e">
        <f>IF(I1946="fora",0%,G1946/QUÓRUM!$C$6)</f>
        <v>#DIV/0!</v>
      </c>
      <c r="I1946" s="87"/>
      <c r="J1946" s="88"/>
      <c r="K1946" s="88"/>
      <c r="L1946" s="89"/>
      <c r="M1946" s="89"/>
      <c r="N1946" s="90"/>
      <c r="O1946" s="90"/>
      <c r="P1946" s="90"/>
      <c r="Q1946" s="87"/>
      <c r="R1946" s="98"/>
      <c r="S1946" s="90"/>
      <c r="T1946" s="99"/>
    </row>
    <row r="1947" spans="1:20" s="94" customFormat="1" x14ac:dyDescent="0.3">
      <c r="A1947" s="96"/>
      <c r="B1947" s="96"/>
      <c r="C1947" s="87"/>
      <c r="D1947" s="97"/>
      <c r="E1947" s="83"/>
      <c r="F1947" s="83"/>
      <c r="G1947" s="84"/>
      <c r="H1947" s="86" t="e">
        <f>IF(I1947="fora",0%,G1947/QUÓRUM!$C$6)</f>
        <v>#DIV/0!</v>
      </c>
      <c r="I1947" s="87"/>
      <c r="J1947" s="88"/>
      <c r="K1947" s="88"/>
      <c r="L1947" s="89"/>
      <c r="M1947" s="89"/>
      <c r="N1947" s="90"/>
      <c r="O1947" s="90"/>
      <c r="P1947" s="90"/>
      <c r="Q1947" s="87"/>
      <c r="R1947" s="98"/>
      <c r="S1947" s="90"/>
      <c r="T1947" s="99"/>
    </row>
    <row r="1948" spans="1:20" s="94" customFormat="1" x14ac:dyDescent="0.3">
      <c r="A1948" s="96"/>
      <c r="B1948" s="96"/>
      <c r="C1948" s="87"/>
      <c r="D1948" s="97"/>
      <c r="E1948" s="83"/>
      <c r="F1948" s="83"/>
      <c r="G1948" s="84"/>
      <c r="H1948" s="86" t="e">
        <f>IF(I1948="fora",0%,G1948/QUÓRUM!$C$6)</f>
        <v>#DIV/0!</v>
      </c>
      <c r="I1948" s="87"/>
      <c r="J1948" s="88"/>
      <c r="K1948" s="88"/>
      <c r="L1948" s="89"/>
      <c r="M1948" s="89"/>
      <c r="N1948" s="90"/>
      <c r="O1948" s="90"/>
      <c r="P1948" s="90"/>
      <c r="Q1948" s="87"/>
      <c r="R1948" s="98"/>
      <c r="S1948" s="90"/>
      <c r="T1948" s="99"/>
    </row>
    <row r="1949" spans="1:20" s="94" customFormat="1" x14ac:dyDescent="0.3">
      <c r="A1949" s="96"/>
      <c r="B1949" s="96"/>
      <c r="C1949" s="87"/>
      <c r="D1949" s="97"/>
      <c r="E1949" s="83"/>
      <c r="F1949" s="83"/>
      <c r="G1949" s="84"/>
      <c r="H1949" s="86" t="e">
        <f>IF(I1949="fora",0%,G1949/QUÓRUM!$C$6)</f>
        <v>#DIV/0!</v>
      </c>
      <c r="I1949" s="87"/>
      <c r="J1949" s="88"/>
      <c r="K1949" s="88"/>
      <c r="L1949" s="89"/>
      <c r="M1949" s="89"/>
      <c r="N1949" s="90"/>
      <c r="O1949" s="90"/>
      <c r="P1949" s="90"/>
      <c r="Q1949" s="87"/>
      <c r="R1949" s="98"/>
      <c r="S1949" s="90"/>
      <c r="T1949" s="99"/>
    </row>
    <row r="1950" spans="1:20" s="94" customFormat="1" x14ac:dyDescent="0.3">
      <c r="A1950" s="96"/>
      <c r="B1950" s="96"/>
      <c r="C1950" s="87"/>
      <c r="D1950" s="97"/>
      <c r="E1950" s="83"/>
      <c r="F1950" s="83"/>
      <c r="G1950" s="84"/>
      <c r="H1950" s="86" t="e">
        <f>IF(I1950="fora",0%,G1950/QUÓRUM!$C$6)</f>
        <v>#DIV/0!</v>
      </c>
      <c r="I1950" s="87"/>
      <c r="J1950" s="88"/>
      <c r="K1950" s="88"/>
      <c r="L1950" s="89"/>
      <c r="M1950" s="89"/>
      <c r="N1950" s="90"/>
      <c r="O1950" s="90"/>
      <c r="P1950" s="90"/>
      <c r="Q1950" s="87"/>
      <c r="R1950" s="98"/>
      <c r="S1950" s="90"/>
      <c r="T1950" s="99"/>
    </row>
    <row r="1951" spans="1:20" s="94" customFormat="1" x14ac:dyDescent="0.3">
      <c r="A1951" s="96"/>
      <c r="B1951" s="96"/>
      <c r="C1951" s="87"/>
      <c r="D1951" s="97"/>
      <c r="E1951" s="83"/>
      <c r="F1951" s="83"/>
      <c r="G1951" s="84"/>
      <c r="H1951" s="86" t="e">
        <f>IF(I1951="fora",0%,G1951/QUÓRUM!$C$6)</f>
        <v>#DIV/0!</v>
      </c>
      <c r="I1951" s="87"/>
      <c r="J1951" s="88"/>
      <c r="K1951" s="88"/>
      <c r="L1951" s="89"/>
      <c r="M1951" s="89"/>
      <c r="N1951" s="90"/>
      <c r="O1951" s="90"/>
      <c r="P1951" s="90"/>
      <c r="Q1951" s="87"/>
      <c r="R1951" s="98"/>
      <c r="S1951" s="90"/>
      <c r="T1951" s="99"/>
    </row>
    <row r="1952" spans="1:20" s="94" customFormat="1" x14ac:dyDescent="0.3">
      <c r="A1952" s="96"/>
      <c r="B1952" s="96"/>
      <c r="C1952" s="87"/>
      <c r="D1952" s="97"/>
      <c r="E1952" s="83"/>
      <c r="F1952" s="83"/>
      <c r="G1952" s="84"/>
      <c r="H1952" s="86" t="e">
        <f>IF(I1952="fora",0%,G1952/QUÓRUM!$C$6)</f>
        <v>#DIV/0!</v>
      </c>
      <c r="I1952" s="87"/>
      <c r="J1952" s="88"/>
      <c r="K1952" s="88"/>
      <c r="L1952" s="89"/>
      <c r="M1952" s="89"/>
      <c r="N1952" s="90"/>
      <c r="O1952" s="90"/>
      <c r="P1952" s="90"/>
      <c r="Q1952" s="87"/>
      <c r="R1952" s="98"/>
      <c r="S1952" s="90"/>
      <c r="T1952" s="99"/>
    </row>
    <row r="1953" spans="1:20" s="94" customFormat="1" x14ac:dyDescent="0.3">
      <c r="A1953" s="96"/>
      <c r="B1953" s="96"/>
      <c r="C1953" s="87"/>
      <c r="D1953" s="97"/>
      <c r="E1953" s="83"/>
      <c r="F1953" s="83"/>
      <c r="G1953" s="84"/>
      <c r="H1953" s="86" t="e">
        <f>IF(I1953="fora",0%,G1953/QUÓRUM!$C$6)</f>
        <v>#DIV/0!</v>
      </c>
      <c r="I1953" s="87"/>
      <c r="J1953" s="88"/>
      <c r="K1953" s="88"/>
      <c r="L1953" s="89"/>
      <c r="M1953" s="89"/>
      <c r="N1953" s="90"/>
      <c r="O1953" s="90"/>
      <c r="P1953" s="90"/>
      <c r="Q1953" s="87"/>
      <c r="R1953" s="98"/>
      <c r="S1953" s="90"/>
      <c r="T1953" s="99"/>
    </row>
    <row r="1954" spans="1:20" s="94" customFormat="1" x14ac:dyDescent="0.3">
      <c r="A1954" s="96"/>
      <c r="B1954" s="96"/>
      <c r="C1954" s="87"/>
      <c r="D1954" s="97"/>
      <c r="E1954" s="83"/>
      <c r="F1954" s="83"/>
      <c r="G1954" s="84"/>
      <c r="H1954" s="86" t="e">
        <f>IF(I1954="fora",0%,G1954/QUÓRUM!$C$6)</f>
        <v>#DIV/0!</v>
      </c>
      <c r="I1954" s="87"/>
      <c r="J1954" s="88"/>
      <c r="K1954" s="88"/>
      <c r="L1954" s="89"/>
      <c r="M1954" s="89"/>
      <c r="N1954" s="90"/>
      <c r="O1954" s="90"/>
      <c r="P1954" s="90"/>
      <c r="Q1954" s="87"/>
      <c r="R1954" s="98"/>
      <c r="S1954" s="90"/>
      <c r="T1954" s="99"/>
    </row>
    <row r="1955" spans="1:20" s="94" customFormat="1" x14ac:dyDescent="0.3">
      <c r="A1955" s="96"/>
      <c r="B1955" s="96"/>
      <c r="C1955" s="87"/>
      <c r="D1955" s="97"/>
      <c r="E1955" s="83"/>
      <c r="F1955" s="83"/>
      <c r="G1955" s="84"/>
      <c r="H1955" s="86" t="e">
        <f>IF(I1955="fora",0%,G1955/QUÓRUM!$C$6)</f>
        <v>#DIV/0!</v>
      </c>
      <c r="I1955" s="87"/>
      <c r="J1955" s="88"/>
      <c r="K1955" s="88"/>
      <c r="L1955" s="89"/>
      <c r="M1955" s="89"/>
      <c r="N1955" s="90"/>
      <c r="O1955" s="90"/>
      <c r="P1955" s="90"/>
      <c r="Q1955" s="87"/>
      <c r="R1955" s="98"/>
      <c r="S1955" s="90"/>
      <c r="T1955" s="99"/>
    </row>
    <row r="1956" spans="1:20" s="94" customFormat="1" x14ac:dyDescent="0.3">
      <c r="A1956" s="96"/>
      <c r="B1956" s="96"/>
      <c r="C1956" s="87"/>
      <c r="D1956" s="97"/>
      <c r="E1956" s="83"/>
      <c r="F1956" s="83"/>
      <c r="G1956" s="100"/>
      <c r="H1956" s="86" t="e">
        <f>IF(I1956="fora",0%,G1956/QUÓRUM!$C$6)</f>
        <v>#DIV/0!</v>
      </c>
      <c r="I1956" s="87"/>
      <c r="J1956" s="88"/>
      <c r="K1956" s="88"/>
      <c r="L1956" s="89"/>
      <c r="M1956" s="89"/>
      <c r="N1956" s="90"/>
      <c r="O1956" s="90"/>
      <c r="P1956" s="90"/>
      <c r="Q1956" s="87"/>
      <c r="R1956" s="98"/>
      <c r="S1956" s="90"/>
      <c r="T1956" s="99"/>
    </row>
    <row r="1957" spans="1:20" s="94" customFormat="1" x14ac:dyDescent="0.3">
      <c r="A1957" s="96"/>
      <c r="B1957" s="96"/>
      <c r="C1957" s="87"/>
      <c r="D1957" s="97"/>
      <c r="E1957" s="83"/>
      <c r="F1957" s="83"/>
      <c r="G1957" s="84"/>
      <c r="H1957" s="86" t="e">
        <f>IF(I1957="fora",0%,G1957/QUÓRUM!$C$6)</f>
        <v>#DIV/0!</v>
      </c>
      <c r="I1957" s="87"/>
      <c r="J1957" s="88"/>
      <c r="K1957" s="88"/>
      <c r="L1957" s="89"/>
      <c r="M1957" s="89"/>
      <c r="N1957" s="90"/>
      <c r="O1957" s="90"/>
      <c r="P1957" s="90"/>
      <c r="Q1957" s="87"/>
      <c r="R1957" s="98"/>
      <c r="S1957" s="90"/>
      <c r="T1957" s="99"/>
    </row>
    <row r="1958" spans="1:20" s="94" customFormat="1" x14ac:dyDescent="0.3">
      <c r="A1958" s="96"/>
      <c r="B1958" s="96"/>
      <c r="C1958" s="87"/>
      <c r="D1958" s="97"/>
      <c r="E1958" s="83"/>
      <c r="F1958" s="83"/>
      <c r="G1958" s="84"/>
      <c r="H1958" s="86" t="e">
        <f>IF(I1958="fora",0%,G1958/QUÓRUM!$C$6)</f>
        <v>#DIV/0!</v>
      </c>
      <c r="I1958" s="87"/>
      <c r="J1958" s="88"/>
      <c r="K1958" s="88"/>
      <c r="L1958" s="89"/>
      <c r="M1958" s="89"/>
      <c r="N1958" s="90"/>
      <c r="O1958" s="90"/>
      <c r="P1958" s="90"/>
      <c r="Q1958" s="87"/>
      <c r="R1958" s="98"/>
      <c r="S1958" s="90"/>
      <c r="T1958" s="99"/>
    </row>
    <row r="1959" spans="1:20" s="94" customFormat="1" x14ac:dyDescent="0.3">
      <c r="A1959" s="96"/>
      <c r="B1959" s="96"/>
      <c r="C1959" s="87"/>
      <c r="D1959" s="97"/>
      <c r="E1959" s="83"/>
      <c r="F1959" s="83"/>
      <c r="G1959" s="84"/>
      <c r="H1959" s="86" t="e">
        <f>IF(I1959="fora",0%,G1959/QUÓRUM!$C$6)</f>
        <v>#DIV/0!</v>
      </c>
      <c r="I1959" s="87"/>
      <c r="J1959" s="88"/>
      <c r="K1959" s="88"/>
      <c r="L1959" s="89"/>
      <c r="M1959" s="89"/>
      <c r="N1959" s="90"/>
      <c r="O1959" s="90"/>
      <c r="P1959" s="90"/>
      <c r="Q1959" s="87"/>
      <c r="R1959" s="98"/>
      <c r="S1959" s="90"/>
      <c r="T1959" s="99"/>
    </row>
    <row r="1960" spans="1:20" s="94" customFormat="1" x14ac:dyDescent="0.3">
      <c r="A1960" s="96"/>
      <c r="B1960" s="96"/>
      <c r="C1960" s="87"/>
      <c r="D1960" s="97"/>
      <c r="E1960" s="83"/>
      <c r="F1960" s="83"/>
      <c r="G1960" s="84"/>
      <c r="H1960" s="86" t="e">
        <f>IF(I1960="fora",0%,G1960/QUÓRUM!$C$6)</f>
        <v>#DIV/0!</v>
      </c>
      <c r="I1960" s="87"/>
      <c r="J1960" s="88"/>
      <c r="K1960" s="88"/>
      <c r="L1960" s="89"/>
      <c r="M1960" s="89"/>
      <c r="N1960" s="90"/>
      <c r="O1960" s="90"/>
      <c r="P1960" s="90"/>
      <c r="Q1960" s="87"/>
      <c r="R1960" s="98"/>
      <c r="S1960" s="90"/>
      <c r="T1960" s="99"/>
    </row>
    <row r="1961" spans="1:20" s="94" customFormat="1" x14ac:dyDescent="0.3">
      <c r="A1961" s="96"/>
      <c r="B1961" s="96"/>
      <c r="C1961" s="87"/>
      <c r="D1961" s="97"/>
      <c r="E1961" s="83"/>
      <c r="F1961" s="83"/>
      <c r="G1961" s="84"/>
      <c r="H1961" s="86" t="e">
        <f>IF(I1961="fora",0%,G1961/QUÓRUM!$C$6)</f>
        <v>#DIV/0!</v>
      </c>
      <c r="I1961" s="87"/>
      <c r="J1961" s="88"/>
      <c r="K1961" s="88"/>
      <c r="L1961" s="89"/>
      <c r="M1961" s="89"/>
      <c r="N1961" s="90"/>
      <c r="O1961" s="90"/>
      <c r="P1961" s="90"/>
      <c r="Q1961" s="87"/>
      <c r="R1961" s="98"/>
      <c r="S1961" s="90"/>
      <c r="T1961" s="99"/>
    </row>
    <row r="1962" spans="1:20" s="94" customFormat="1" x14ac:dyDescent="0.3">
      <c r="A1962" s="96"/>
      <c r="B1962" s="96"/>
      <c r="C1962" s="87"/>
      <c r="D1962" s="97"/>
      <c r="E1962" s="83"/>
      <c r="F1962" s="83"/>
      <c r="G1962" s="84"/>
      <c r="H1962" s="86" t="e">
        <f>IF(I1962="fora",0%,G1962/QUÓRUM!$C$6)</f>
        <v>#DIV/0!</v>
      </c>
      <c r="I1962" s="87"/>
      <c r="J1962" s="88"/>
      <c r="K1962" s="88"/>
      <c r="L1962" s="89"/>
      <c r="M1962" s="89"/>
      <c r="N1962" s="90"/>
      <c r="O1962" s="90"/>
      <c r="P1962" s="90"/>
      <c r="Q1962" s="87"/>
      <c r="R1962" s="98"/>
      <c r="S1962" s="90"/>
      <c r="T1962" s="99"/>
    </row>
    <row r="1963" spans="1:20" s="94" customFormat="1" x14ac:dyDescent="0.3">
      <c r="A1963" s="96"/>
      <c r="B1963" s="96"/>
      <c r="C1963" s="87"/>
      <c r="D1963" s="97"/>
      <c r="E1963" s="83"/>
      <c r="F1963" s="83"/>
      <c r="G1963" s="84"/>
      <c r="H1963" s="86" t="e">
        <f>IF(I1963="fora",0%,G1963/QUÓRUM!$C$6)</f>
        <v>#DIV/0!</v>
      </c>
      <c r="I1963" s="87"/>
      <c r="J1963" s="88"/>
      <c r="K1963" s="88"/>
      <c r="L1963" s="89"/>
      <c r="M1963" s="89"/>
      <c r="N1963" s="90"/>
      <c r="O1963" s="90"/>
      <c r="P1963" s="90"/>
      <c r="Q1963" s="87"/>
      <c r="R1963" s="98"/>
      <c r="S1963" s="90"/>
      <c r="T1963" s="99"/>
    </row>
    <row r="1964" spans="1:20" s="94" customFormat="1" x14ac:dyDescent="0.3">
      <c r="A1964" s="96"/>
      <c r="B1964" s="96"/>
      <c r="C1964" s="87"/>
      <c r="D1964" s="97"/>
      <c r="E1964" s="83"/>
      <c r="F1964" s="83"/>
      <c r="G1964" s="84"/>
      <c r="H1964" s="86" t="e">
        <f>IF(I1964="fora",0%,G1964/QUÓRUM!$C$6)</f>
        <v>#DIV/0!</v>
      </c>
      <c r="I1964" s="87"/>
      <c r="J1964" s="88"/>
      <c r="K1964" s="88"/>
      <c r="L1964" s="89"/>
      <c r="M1964" s="89"/>
      <c r="N1964" s="90"/>
      <c r="O1964" s="90"/>
      <c r="P1964" s="90"/>
      <c r="Q1964" s="87"/>
      <c r="R1964" s="98"/>
      <c r="S1964" s="90"/>
      <c r="T1964" s="99"/>
    </row>
    <row r="1965" spans="1:20" s="94" customFormat="1" x14ac:dyDescent="0.3">
      <c r="A1965" s="96"/>
      <c r="B1965" s="96"/>
      <c r="C1965" s="87"/>
      <c r="D1965" s="97"/>
      <c r="E1965" s="83"/>
      <c r="F1965" s="83"/>
      <c r="G1965" s="84"/>
      <c r="H1965" s="86" t="e">
        <f>IF(I1965="fora",0%,G1965/QUÓRUM!$C$6)</f>
        <v>#DIV/0!</v>
      </c>
      <c r="I1965" s="87"/>
      <c r="J1965" s="88"/>
      <c r="K1965" s="88"/>
      <c r="L1965" s="89"/>
      <c r="M1965" s="89"/>
      <c r="N1965" s="90"/>
      <c r="O1965" s="90"/>
      <c r="P1965" s="90"/>
      <c r="Q1965" s="87"/>
      <c r="R1965" s="98"/>
      <c r="S1965" s="90"/>
      <c r="T1965" s="99"/>
    </row>
    <row r="1966" spans="1:20" s="94" customFormat="1" x14ac:dyDescent="0.3">
      <c r="A1966" s="96"/>
      <c r="B1966" s="96"/>
      <c r="C1966" s="87"/>
      <c r="D1966" s="97"/>
      <c r="E1966" s="83"/>
      <c r="F1966" s="83"/>
      <c r="G1966" s="84"/>
      <c r="H1966" s="86" t="e">
        <f>IF(I1966="fora",0%,G1966/QUÓRUM!$C$6)</f>
        <v>#DIV/0!</v>
      </c>
      <c r="I1966" s="87"/>
      <c r="J1966" s="88"/>
      <c r="K1966" s="88"/>
      <c r="L1966" s="89"/>
      <c r="M1966" s="89"/>
      <c r="N1966" s="90"/>
      <c r="O1966" s="90"/>
      <c r="P1966" s="90"/>
      <c r="Q1966" s="87"/>
      <c r="R1966" s="98"/>
      <c r="S1966" s="90"/>
      <c r="T1966" s="99"/>
    </row>
    <row r="1967" spans="1:20" s="94" customFormat="1" x14ac:dyDescent="0.3">
      <c r="A1967" s="96"/>
      <c r="B1967" s="96"/>
      <c r="C1967" s="87"/>
      <c r="D1967" s="97"/>
      <c r="E1967" s="83"/>
      <c r="F1967" s="83"/>
      <c r="G1967" s="84"/>
      <c r="H1967" s="86" t="e">
        <f>IF(I1967="fora",0%,G1967/QUÓRUM!$C$6)</f>
        <v>#DIV/0!</v>
      </c>
      <c r="I1967" s="87"/>
      <c r="J1967" s="88"/>
      <c r="K1967" s="88"/>
      <c r="L1967" s="89"/>
      <c r="M1967" s="89"/>
      <c r="N1967" s="90"/>
      <c r="O1967" s="90"/>
      <c r="P1967" s="90"/>
      <c r="Q1967" s="87"/>
      <c r="R1967" s="98"/>
      <c r="S1967" s="90"/>
      <c r="T1967" s="99"/>
    </row>
    <row r="1968" spans="1:20" s="94" customFormat="1" x14ac:dyDescent="0.3">
      <c r="A1968" s="96"/>
      <c r="B1968" s="96"/>
      <c r="C1968" s="87"/>
      <c r="D1968" s="97"/>
      <c r="E1968" s="83"/>
      <c r="F1968" s="83"/>
      <c r="G1968" s="84"/>
      <c r="H1968" s="86" t="e">
        <f>IF(I1968="fora",0%,G1968/QUÓRUM!$C$6)</f>
        <v>#DIV/0!</v>
      </c>
      <c r="I1968" s="87"/>
      <c r="J1968" s="88"/>
      <c r="K1968" s="88"/>
      <c r="L1968" s="89"/>
      <c r="M1968" s="89"/>
      <c r="N1968" s="90"/>
      <c r="O1968" s="90"/>
      <c r="P1968" s="90"/>
      <c r="Q1968" s="87"/>
      <c r="R1968" s="98"/>
      <c r="S1968" s="90"/>
      <c r="T1968" s="99"/>
    </row>
    <row r="1969" spans="1:20" s="94" customFormat="1" x14ac:dyDescent="0.3">
      <c r="A1969" s="96"/>
      <c r="B1969" s="96"/>
      <c r="C1969" s="87"/>
      <c r="D1969" s="97"/>
      <c r="E1969" s="83"/>
      <c r="F1969" s="83"/>
      <c r="G1969" s="84"/>
      <c r="H1969" s="86" t="e">
        <f>IF(I1969="fora",0%,G1969/QUÓRUM!$C$6)</f>
        <v>#DIV/0!</v>
      </c>
      <c r="I1969" s="87"/>
      <c r="J1969" s="88"/>
      <c r="K1969" s="88"/>
      <c r="L1969" s="89"/>
      <c r="M1969" s="89"/>
      <c r="N1969" s="90"/>
      <c r="O1969" s="90"/>
      <c r="P1969" s="90"/>
      <c r="Q1969" s="87"/>
      <c r="R1969" s="98"/>
      <c r="S1969" s="90"/>
      <c r="T1969" s="99"/>
    </row>
    <row r="1970" spans="1:20" s="94" customFormat="1" x14ac:dyDescent="0.3">
      <c r="A1970" s="96"/>
      <c r="B1970" s="96"/>
      <c r="C1970" s="87"/>
      <c r="D1970" s="97"/>
      <c r="E1970" s="83"/>
      <c r="F1970" s="83"/>
      <c r="G1970" s="84"/>
      <c r="H1970" s="86" t="e">
        <f>IF(I1970="fora",0%,G1970/QUÓRUM!$C$6)</f>
        <v>#DIV/0!</v>
      </c>
      <c r="I1970" s="87"/>
      <c r="J1970" s="88"/>
      <c r="K1970" s="88"/>
      <c r="L1970" s="89"/>
      <c r="M1970" s="89"/>
      <c r="N1970" s="90"/>
      <c r="O1970" s="90"/>
      <c r="P1970" s="90"/>
      <c r="Q1970" s="87"/>
      <c r="R1970" s="98"/>
      <c r="S1970" s="90"/>
      <c r="T1970" s="99"/>
    </row>
    <row r="1971" spans="1:20" s="94" customFormat="1" x14ac:dyDescent="0.3">
      <c r="A1971" s="96"/>
      <c r="B1971" s="96"/>
      <c r="C1971" s="87"/>
      <c r="D1971" s="97"/>
      <c r="E1971" s="83"/>
      <c r="F1971" s="83"/>
      <c r="G1971" s="84"/>
      <c r="H1971" s="86" t="e">
        <f>IF(I1971="fora",0%,G1971/QUÓRUM!$C$6)</f>
        <v>#DIV/0!</v>
      </c>
      <c r="I1971" s="87"/>
      <c r="J1971" s="88"/>
      <c r="K1971" s="88"/>
      <c r="L1971" s="89"/>
      <c r="M1971" s="89"/>
      <c r="N1971" s="90"/>
      <c r="O1971" s="90"/>
      <c r="P1971" s="90"/>
      <c r="Q1971" s="87"/>
      <c r="R1971" s="98"/>
      <c r="S1971" s="90"/>
      <c r="T1971" s="99"/>
    </row>
    <row r="1972" spans="1:20" s="94" customFormat="1" x14ac:dyDescent="0.3">
      <c r="A1972" s="96"/>
      <c r="B1972" s="96"/>
      <c r="C1972" s="87"/>
      <c r="D1972" s="97"/>
      <c r="E1972" s="83"/>
      <c r="F1972" s="83"/>
      <c r="G1972" s="84"/>
      <c r="H1972" s="86" t="e">
        <f>IF(I1972="fora",0%,G1972/QUÓRUM!$C$6)</f>
        <v>#DIV/0!</v>
      </c>
      <c r="I1972" s="87"/>
      <c r="J1972" s="88"/>
      <c r="K1972" s="88"/>
      <c r="L1972" s="89"/>
      <c r="M1972" s="89"/>
      <c r="N1972" s="90"/>
      <c r="O1972" s="90"/>
      <c r="P1972" s="90"/>
      <c r="Q1972" s="87"/>
      <c r="R1972" s="98"/>
      <c r="S1972" s="90"/>
      <c r="T1972" s="99"/>
    </row>
    <row r="1973" spans="1:20" s="94" customFormat="1" x14ac:dyDescent="0.3">
      <c r="A1973" s="96"/>
      <c r="B1973" s="96"/>
      <c r="C1973" s="87"/>
      <c r="D1973" s="97"/>
      <c r="E1973" s="83"/>
      <c r="F1973" s="83"/>
      <c r="G1973" s="84"/>
      <c r="H1973" s="86" t="e">
        <f>IF(I1973="fora",0%,G1973/QUÓRUM!$C$6)</f>
        <v>#DIV/0!</v>
      </c>
      <c r="I1973" s="87"/>
      <c r="J1973" s="88"/>
      <c r="K1973" s="88"/>
      <c r="L1973" s="89"/>
      <c r="M1973" s="89"/>
      <c r="N1973" s="90"/>
      <c r="O1973" s="90"/>
      <c r="P1973" s="90"/>
      <c r="Q1973" s="87"/>
      <c r="R1973" s="98"/>
      <c r="S1973" s="90"/>
      <c r="T1973" s="99"/>
    </row>
    <row r="1974" spans="1:20" s="94" customFormat="1" x14ac:dyDescent="0.3">
      <c r="A1974" s="96"/>
      <c r="B1974" s="96"/>
      <c r="C1974" s="87"/>
      <c r="D1974" s="97"/>
      <c r="E1974" s="83"/>
      <c r="F1974" s="83"/>
      <c r="G1974" s="84"/>
      <c r="H1974" s="86" t="e">
        <f>IF(I1974="fora",0%,G1974/QUÓRUM!$C$6)</f>
        <v>#DIV/0!</v>
      </c>
      <c r="I1974" s="87"/>
      <c r="J1974" s="88"/>
      <c r="K1974" s="88"/>
      <c r="L1974" s="89"/>
      <c r="M1974" s="89"/>
      <c r="N1974" s="90"/>
      <c r="O1974" s="90"/>
      <c r="P1974" s="90"/>
      <c r="Q1974" s="87"/>
      <c r="R1974" s="98"/>
      <c r="S1974" s="90"/>
      <c r="T1974" s="99"/>
    </row>
    <row r="1975" spans="1:20" s="94" customFormat="1" x14ac:dyDescent="0.3">
      <c r="A1975" s="96"/>
      <c r="B1975" s="96"/>
      <c r="C1975" s="87"/>
      <c r="D1975" s="97"/>
      <c r="E1975" s="83"/>
      <c r="F1975" s="83"/>
      <c r="G1975" s="84"/>
      <c r="H1975" s="86" t="e">
        <f>IF(I1975="fora",0%,G1975/QUÓRUM!$C$6)</f>
        <v>#DIV/0!</v>
      </c>
      <c r="I1975" s="87"/>
      <c r="J1975" s="88"/>
      <c r="K1975" s="88"/>
      <c r="L1975" s="89"/>
      <c r="M1975" s="89"/>
      <c r="N1975" s="90"/>
      <c r="O1975" s="90"/>
      <c r="P1975" s="90"/>
      <c r="Q1975" s="87"/>
      <c r="R1975" s="98"/>
      <c r="S1975" s="90"/>
      <c r="T1975" s="99"/>
    </row>
    <row r="1976" spans="1:20" s="94" customFormat="1" x14ac:dyDescent="0.3">
      <c r="A1976" s="96"/>
      <c r="B1976" s="96"/>
      <c r="C1976" s="87"/>
      <c r="D1976" s="97"/>
      <c r="E1976" s="83"/>
      <c r="F1976" s="83"/>
      <c r="G1976" s="84"/>
      <c r="H1976" s="86" t="e">
        <f>IF(I1976="fora",0%,G1976/QUÓRUM!$C$6)</f>
        <v>#DIV/0!</v>
      </c>
      <c r="I1976" s="87"/>
      <c r="J1976" s="88"/>
      <c r="K1976" s="88"/>
      <c r="L1976" s="89"/>
      <c r="M1976" s="89"/>
      <c r="N1976" s="90"/>
      <c r="O1976" s="90"/>
      <c r="P1976" s="90"/>
      <c r="Q1976" s="87"/>
      <c r="R1976" s="98"/>
      <c r="S1976" s="90"/>
      <c r="T1976" s="99"/>
    </row>
    <row r="1977" spans="1:20" s="94" customFormat="1" x14ac:dyDescent="0.3">
      <c r="A1977" s="96"/>
      <c r="B1977" s="96"/>
      <c r="C1977" s="87"/>
      <c r="D1977" s="97"/>
      <c r="E1977" s="83"/>
      <c r="F1977" s="83"/>
      <c r="G1977" s="84"/>
      <c r="H1977" s="86" t="e">
        <f>IF(I1977="fora",0%,G1977/QUÓRUM!$C$6)</f>
        <v>#DIV/0!</v>
      </c>
      <c r="I1977" s="87"/>
      <c r="J1977" s="88"/>
      <c r="K1977" s="88"/>
      <c r="L1977" s="89"/>
      <c r="M1977" s="89"/>
      <c r="N1977" s="90"/>
      <c r="O1977" s="90"/>
      <c r="P1977" s="90"/>
      <c r="Q1977" s="87"/>
      <c r="R1977" s="98"/>
      <c r="S1977" s="90"/>
      <c r="T1977" s="99"/>
    </row>
    <row r="1978" spans="1:20" s="94" customFormat="1" x14ac:dyDescent="0.3">
      <c r="A1978" s="96"/>
      <c r="B1978" s="96"/>
      <c r="C1978" s="87"/>
      <c r="D1978" s="97"/>
      <c r="E1978" s="83"/>
      <c r="F1978" s="83"/>
      <c r="G1978" s="84"/>
      <c r="H1978" s="86" t="e">
        <f>IF(I1978="fora",0%,G1978/QUÓRUM!$C$6)</f>
        <v>#DIV/0!</v>
      </c>
      <c r="I1978" s="87"/>
      <c r="J1978" s="88"/>
      <c r="K1978" s="88"/>
      <c r="L1978" s="89"/>
      <c r="M1978" s="89"/>
      <c r="N1978" s="90"/>
      <c r="O1978" s="90"/>
      <c r="P1978" s="90"/>
      <c r="Q1978" s="87"/>
      <c r="R1978" s="98"/>
      <c r="S1978" s="90"/>
      <c r="T1978" s="99"/>
    </row>
    <row r="1979" spans="1:20" s="94" customFormat="1" x14ac:dyDescent="0.3">
      <c r="A1979" s="96"/>
      <c r="B1979" s="96"/>
      <c r="C1979" s="87"/>
      <c r="D1979" s="97"/>
      <c r="E1979" s="83"/>
      <c r="F1979" s="83"/>
      <c r="G1979" s="84"/>
      <c r="H1979" s="86" t="e">
        <f>IF(I1979="fora",0%,G1979/QUÓRUM!$C$6)</f>
        <v>#DIV/0!</v>
      </c>
      <c r="I1979" s="87"/>
      <c r="J1979" s="88"/>
      <c r="K1979" s="88"/>
      <c r="L1979" s="89"/>
      <c r="M1979" s="89"/>
      <c r="N1979" s="90"/>
      <c r="O1979" s="90"/>
      <c r="P1979" s="90"/>
      <c r="Q1979" s="87"/>
      <c r="R1979" s="98"/>
      <c r="S1979" s="90"/>
      <c r="T1979" s="99"/>
    </row>
    <row r="1980" spans="1:20" s="94" customFormat="1" x14ac:dyDescent="0.3">
      <c r="A1980" s="96"/>
      <c r="B1980" s="96"/>
      <c r="C1980" s="87"/>
      <c r="D1980" s="97"/>
      <c r="E1980" s="83"/>
      <c r="F1980" s="83"/>
      <c r="G1980" s="84"/>
      <c r="H1980" s="86" t="e">
        <f>IF(I1980="fora",0%,G1980/QUÓRUM!$C$6)</f>
        <v>#DIV/0!</v>
      </c>
      <c r="I1980" s="87"/>
      <c r="J1980" s="88"/>
      <c r="K1980" s="88"/>
      <c r="L1980" s="89"/>
      <c r="M1980" s="89"/>
      <c r="N1980" s="90"/>
      <c r="O1980" s="90"/>
      <c r="P1980" s="90"/>
      <c r="Q1980" s="87"/>
      <c r="R1980" s="98"/>
      <c r="S1980" s="90"/>
      <c r="T1980" s="99"/>
    </row>
    <row r="1981" spans="1:20" s="94" customFormat="1" x14ac:dyDescent="0.3">
      <c r="A1981" s="96"/>
      <c r="B1981" s="96"/>
      <c r="C1981" s="87"/>
      <c r="D1981" s="97"/>
      <c r="E1981" s="83"/>
      <c r="F1981" s="83"/>
      <c r="G1981" s="84"/>
      <c r="H1981" s="86" t="e">
        <f>IF(I1981="fora",0%,G1981/QUÓRUM!$C$6)</f>
        <v>#DIV/0!</v>
      </c>
      <c r="I1981" s="87"/>
      <c r="J1981" s="88"/>
      <c r="K1981" s="88"/>
      <c r="L1981" s="89"/>
      <c r="M1981" s="89"/>
      <c r="N1981" s="90"/>
      <c r="O1981" s="90"/>
      <c r="P1981" s="90"/>
      <c r="Q1981" s="87"/>
      <c r="R1981" s="98"/>
      <c r="S1981" s="90"/>
      <c r="T1981" s="99"/>
    </row>
    <row r="1982" spans="1:20" s="94" customFormat="1" x14ac:dyDescent="0.3">
      <c r="A1982" s="96"/>
      <c r="B1982" s="96"/>
      <c r="C1982" s="87"/>
      <c r="D1982" s="97"/>
      <c r="E1982" s="83"/>
      <c r="F1982" s="83"/>
      <c r="G1982" s="84"/>
      <c r="H1982" s="86" t="e">
        <f>IF(I1982="fora",0%,G1982/QUÓRUM!$C$6)</f>
        <v>#DIV/0!</v>
      </c>
      <c r="I1982" s="87"/>
      <c r="J1982" s="88"/>
      <c r="K1982" s="88"/>
      <c r="L1982" s="89"/>
      <c r="M1982" s="89"/>
      <c r="N1982" s="90"/>
      <c r="O1982" s="90"/>
      <c r="P1982" s="90"/>
      <c r="Q1982" s="87"/>
      <c r="R1982" s="98"/>
      <c r="S1982" s="90"/>
      <c r="T1982" s="99"/>
    </row>
    <row r="1983" spans="1:20" s="94" customFormat="1" x14ac:dyDescent="0.3">
      <c r="A1983" s="96"/>
      <c r="B1983" s="96"/>
      <c r="C1983" s="87"/>
      <c r="D1983" s="97"/>
      <c r="E1983" s="83"/>
      <c r="F1983" s="83"/>
      <c r="G1983" s="84"/>
      <c r="H1983" s="86" t="e">
        <f>IF(I1983="fora",0%,G1983/QUÓRUM!$C$6)</f>
        <v>#DIV/0!</v>
      </c>
      <c r="I1983" s="87"/>
      <c r="J1983" s="88"/>
      <c r="K1983" s="88"/>
      <c r="L1983" s="89"/>
      <c r="M1983" s="89"/>
      <c r="N1983" s="90"/>
      <c r="O1983" s="90"/>
      <c r="P1983" s="90"/>
      <c r="Q1983" s="87"/>
      <c r="R1983" s="98"/>
      <c r="S1983" s="90"/>
      <c r="T1983" s="99"/>
    </row>
    <row r="1984" spans="1:20" s="94" customFormat="1" x14ac:dyDescent="0.3">
      <c r="A1984" s="96"/>
      <c r="B1984" s="96"/>
      <c r="C1984" s="87"/>
      <c r="D1984" s="97"/>
      <c r="E1984" s="83"/>
      <c r="F1984" s="83"/>
      <c r="G1984" s="84"/>
      <c r="H1984" s="86" t="e">
        <f>IF(I1984="fora",0%,G1984/QUÓRUM!$C$6)</f>
        <v>#DIV/0!</v>
      </c>
      <c r="I1984" s="87"/>
      <c r="J1984" s="88"/>
      <c r="K1984" s="88"/>
      <c r="L1984" s="89"/>
      <c r="M1984" s="89"/>
      <c r="N1984" s="90"/>
      <c r="O1984" s="90"/>
      <c r="P1984" s="90"/>
      <c r="Q1984" s="87"/>
      <c r="R1984" s="98"/>
      <c r="S1984" s="90"/>
      <c r="T1984" s="99"/>
    </row>
    <row r="1985" spans="1:20" s="94" customFormat="1" x14ac:dyDescent="0.3">
      <c r="A1985" s="96"/>
      <c r="B1985" s="96"/>
      <c r="C1985" s="87"/>
      <c r="D1985" s="97"/>
      <c r="E1985" s="83"/>
      <c r="F1985" s="83"/>
      <c r="G1985" s="84"/>
      <c r="H1985" s="86" t="e">
        <f>IF(I1985="fora",0%,G1985/QUÓRUM!$C$6)</f>
        <v>#DIV/0!</v>
      </c>
      <c r="I1985" s="87"/>
      <c r="J1985" s="88"/>
      <c r="K1985" s="88"/>
      <c r="L1985" s="89"/>
      <c r="M1985" s="89"/>
      <c r="N1985" s="90"/>
      <c r="O1985" s="90"/>
      <c r="P1985" s="90"/>
      <c r="Q1985" s="87"/>
      <c r="R1985" s="98"/>
      <c r="S1985" s="90"/>
      <c r="T1985" s="99"/>
    </row>
    <row r="1986" spans="1:20" s="94" customFormat="1" x14ac:dyDescent="0.3">
      <c r="A1986" s="96"/>
      <c r="B1986" s="96"/>
      <c r="C1986" s="87"/>
      <c r="D1986" s="97"/>
      <c r="E1986" s="83"/>
      <c r="F1986" s="83"/>
      <c r="G1986" s="84"/>
      <c r="H1986" s="86" t="e">
        <f>IF(I1986="fora",0%,G1986/QUÓRUM!$C$6)</f>
        <v>#DIV/0!</v>
      </c>
      <c r="I1986" s="87"/>
      <c r="J1986" s="88"/>
      <c r="K1986" s="88"/>
      <c r="L1986" s="89"/>
      <c r="M1986" s="89"/>
      <c r="N1986" s="90"/>
      <c r="O1986" s="90"/>
      <c r="P1986" s="90"/>
      <c r="Q1986" s="87"/>
      <c r="R1986" s="98"/>
      <c r="S1986" s="90"/>
      <c r="T1986" s="99"/>
    </row>
    <row r="1987" spans="1:20" s="94" customFormat="1" x14ac:dyDescent="0.3">
      <c r="A1987" s="96"/>
      <c r="B1987" s="96"/>
      <c r="C1987" s="87"/>
      <c r="D1987" s="97"/>
      <c r="E1987" s="83"/>
      <c r="F1987" s="83"/>
      <c r="G1987" s="84"/>
      <c r="H1987" s="86" t="e">
        <f>IF(I1987="fora",0%,G1987/QUÓRUM!$C$6)</f>
        <v>#DIV/0!</v>
      </c>
      <c r="I1987" s="87"/>
      <c r="J1987" s="88"/>
      <c r="K1987" s="88"/>
      <c r="L1987" s="89"/>
      <c r="M1987" s="89"/>
      <c r="N1987" s="90"/>
      <c r="O1987" s="90"/>
      <c r="P1987" s="90"/>
      <c r="Q1987" s="87"/>
      <c r="R1987" s="98"/>
      <c r="S1987" s="90"/>
      <c r="T1987" s="99"/>
    </row>
    <row r="1988" spans="1:20" s="94" customFormat="1" x14ac:dyDescent="0.3">
      <c r="A1988" s="96"/>
      <c r="B1988" s="96"/>
      <c r="C1988" s="87"/>
      <c r="D1988" s="97"/>
      <c r="E1988" s="83"/>
      <c r="F1988" s="83"/>
      <c r="G1988" s="84"/>
      <c r="H1988" s="86" t="e">
        <f>IF(I1988="fora",0%,G1988/QUÓRUM!$C$6)</f>
        <v>#DIV/0!</v>
      </c>
      <c r="I1988" s="87"/>
      <c r="J1988" s="88"/>
      <c r="K1988" s="88"/>
      <c r="L1988" s="89"/>
      <c r="M1988" s="89"/>
      <c r="N1988" s="90"/>
      <c r="O1988" s="90"/>
      <c r="P1988" s="90"/>
      <c r="Q1988" s="87"/>
      <c r="R1988" s="98"/>
      <c r="S1988" s="90"/>
      <c r="T1988" s="99"/>
    </row>
    <row r="1989" spans="1:20" s="94" customFormat="1" x14ac:dyDescent="0.3">
      <c r="A1989" s="96"/>
      <c r="B1989" s="96"/>
      <c r="C1989" s="87"/>
      <c r="D1989" s="97"/>
      <c r="E1989" s="83"/>
      <c r="F1989" s="83"/>
      <c r="G1989" s="84"/>
      <c r="H1989" s="86" t="e">
        <f>IF(I1989="fora",0%,G1989/QUÓRUM!$C$6)</f>
        <v>#DIV/0!</v>
      </c>
      <c r="I1989" s="87"/>
      <c r="J1989" s="88"/>
      <c r="K1989" s="88"/>
      <c r="L1989" s="89"/>
      <c r="M1989" s="89"/>
      <c r="N1989" s="90"/>
      <c r="O1989" s="90"/>
      <c r="P1989" s="90"/>
      <c r="Q1989" s="87"/>
      <c r="R1989" s="98"/>
      <c r="S1989" s="90"/>
      <c r="T1989" s="99"/>
    </row>
    <row r="1990" spans="1:20" s="94" customFormat="1" x14ac:dyDescent="0.3">
      <c r="A1990" s="96"/>
      <c r="B1990" s="96"/>
      <c r="C1990" s="87"/>
      <c r="D1990" s="97"/>
      <c r="E1990" s="83"/>
      <c r="F1990" s="83"/>
      <c r="G1990" s="84"/>
      <c r="H1990" s="86" t="e">
        <f>IF(I1990="fora",0%,G1990/QUÓRUM!$C$6)</f>
        <v>#DIV/0!</v>
      </c>
      <c r="I1990" s="87"/>
      <c r="J1990" s="88"/>
      <c r="K1990" s="88"/>
      <c r="L1990" s="89"/>
      <c r="M1990" s="89"/>
      <c r="N1990" s="90"/>
      <c r="O1990" s="90"/>
      <c r="P1990" s="90"/>
      <c r="Q1990" s="87"/>
      <c r="R1990" s="98"/>
      <c r="S1990" s="90"/>
      <c r="T1990" s="99"/>
    </row>
    <row r="1991" spans="1:20" s="94" customFormat="1" x14ac:dyDescent="0.3">
      <c r="A1991" s="96"/>
      <c r="B1991" s="96"/>
      <c r="C1991" s="87"/>
      <c r="D1991" s="97"/>
      <c r="E1991" s="83"/>
      <c r="F1991" s="83"/>
      <c r="G1991" s="84"/>
      <c r="H1991" s="86" t="e">
        <f>IF(I1991="fora",0%,G1991/QUÓRUM!$C$6)</f>
        <v>#DIV/0!</v>
      </c>
      <c r="I1991" s="87"/>
      <c r="J1991" s="88"/>
      <c r="K1991" s="88"/>
      <c r="L1991" s="89"/>
      <c r="M1991" s="89"/>
      <c r="N1991" s="90"/>
      <c r="O1991" s="90"/>
      <c r="P1991" s="90"/>
      <c r="Q1991" s="87"/>
      <c r="R1991" s="98"/>
      <c r="S1991" s="90"/>
      <c r="T1991" s="99"/>
    </row>
    <row r="1992" spans="1:20" s="94" customFormat="1" x14ac:dyDescent="0.3">
      <c r="A1992" s="96"/>
      <c r="B1992" s="96"/>
      <c r="C1992" s="87"/>
      <c r="D1992" s="97"/>
      <c r="E1992" s="83"/>
      <c r="F1992" s="83"/>
      <c r="G1992" s="84"/>
      <c r="H1992" s="86" t="e">
        <f>IF(I1992="fora",0%,G1992/QUÓRUM!$C$6)</f>
        <v>#DIV/0!</v>
      </c>
      <c r="I1992" s="87"/>
      <c r="J1992" s="88"/>
      <c r="K1992" s="88"/>
      <c r="L1992" s="89"/>
      <c r="M1992" s="89"/>
      <c r="N1992" s="90"/>
      <c r="O1992" s="90"/>
      <c r="P1992" s="90"/>
      <c r="Q1992" s="87"/>
      <c r="R1992" s="98"/>
      <c r="S1992" s="90"/>
      <c r="T1992" s="99"/>
    </row>
    <row r="1993" spans="1:20" s="94" customFormat="1" x14ac:dyDescent="0.3">
      <c r="A1993" s="96"/>
      <c r="B1993" s="96"/>
      <c r="C1993" s="87"/>
      <c r="D1993" s="97"/>
      <c r="E1993" s="83"/>
      <c r="F1993" s="83"/>
      <c r="G1993" s="84"/>
      <c r="H1993" s="86" t="e">
        <f>IF(I1993="fora",0%,G1993/QUÓRUM!$C$6)</f>
        <v>#DIV/0!</v>
      </c>
      <c r="I1993" s="87"/>
      <c r="J1993" s="88"/>
      <c r="K1993" s="88"/>
      <c r="L1993" s="89"/>
      <c r="M1993" s="89"/>
      <c r="N1993" s="90"/>
      <c r="O1993" s="90"/>
      <c r="P1993" s="90"/>
      <c r="Q1993" s="87"/>
      <c r="R1993" s="98"/>
      <c r="S1993" s="90"/>
      <c r="T1993" s="99"/>
    </row>
    <row r="1994" spans="1:20" s="94" customFormat="1" x14ac:dyDescent="0.3">
      <c r="A1994" s="96"/>
      <c r="B1994" s="96"/>
      <c r="C1994" s="87"/>
      <c r="D1994" s="97"/>
      <c r="E1994" s="83"/>
      <c r="F1994" s="83"/>
      <c r="G1994" s="84"/>
      <c r="H1994" s="86" t="e">
        <f>IF(I1994="fora",0%,G1994/QUÓRUM!$C$6)</f>
        <v>#DIV/0!</v>
      </c>
      <c r="I1994" s="87"/>
      <c r="J1994" s="88"/>
      <c r="K1994" s="88"/>
      <c r="L1994" s="89"/>
      <c r="M1994" s="89"/>
      <c r="N1994" s="90"/>
      <c r="O1994" s="90"/>
      <c r="P1994" s="90"/>
      <c r="Q1994" s="87"/>
      <c r="R1994" s="98"/>
      <c r="S1994" s="90"/>
      <c r="T1994" s="99"/>
    </row>
    <row r="1995" spans="1:20" s="94" customFormat="1" x14ac:dyDescent="0.3">
      <c r="A1995" s="96"/>
      <c r="B1995" s="96"/>
      <c r="C1995" s="87"/>
      <c r="D1995" s="97"/>
      <c r="E1995" s="83"/>
      <c r="F1995" s="83"/>
      <c r="G1995" s="84"/>
      <c r="H1995" s="86" t="e">
        <f>IF(I1995="fora",0%,G1995/QUÓRUM!$C$6)</f>
        <v>#DIV/0!</v>
      </c>
      <c r="I1995" s="87"/>
      <c r="J1995" s="88"/>
      <c r="K1995" s="88"/>
      <c r="L1995" s="89"/>
      <c r="M1995" s="89"/>
      <c r="N1995" s="90"/>
      <c r="O1995" s="90"/>
      <c r="P1995" s="90"/>
      <c r="Q1995" s="87"/>
      <c r="R1995" s="98"/>
      <c r="S1995" s="90"/>
      <c r="T1995" s="99"/>
    </row>
    <row r="1996" spans="1:20" s="94" customFormat="1" x14ac:dyDescent="0.3">
      <c r="A1996" s="96"/>
      <c r="B1996" s="96"/>
      <c r="C1996" s="87"/>
      <c r="D1996" s="97"/>
      <c r="E1996" s="83"/>
      <c r="F1996" s="83"/>
      <c r="G1996" s="84"/>
      <c r="H1996" s="86" t="e">
        <f>IF(I1996="fora",0%,G1996/QUÓRUM!$C$6)</f>
        <v>#DIV/0!</v>
      </c>
      <c r="I1996" s="87"/>
      <c r="J1996" s="88"/>
      <c r="K1996" s="88"/>
      <c r="L1996" s="89"/>
      <c r="M1996" s="89"/>
      <c r="N1996" s="90"/>
      <c r="O1996" s="90"/>
      <c r="P1996" s="90"/>
      <c r="Q1996" s="87"/>
      <c r="R1996" s="98"/>
      <c r="S1996" s="90"/>
      <c r="T1996" s="99"/>
    </row>
    <row r="1997" spans="1:20" s="94" customFormat="1" x14ac:dyDescent="0.3">
      <c r="A1997" s="96"/>
      <c r="B1997" s="96"/>
      <c r="C1997" s="87"/>
      <c r="D1997" s="97"/>
      <c r="E1997" s="83"/>
      <c r="F1997" s="83"/>
      <c r="G1997" s="84"/>
      <c r="H1997" s="86" t="e">
        <f>IF(I1997="fora",0%,G1997/QUÓRUM!$C$6)</f>
        <v>#DIV/0!</v>
      </c>
      <c r="I1997" s="87"/>
      <c r="J1997" s="88"/>
      <c r="K1997" s="88"/>
      <c r="L1997" s="89"/>
      <c r="M1997" s="89"/>
      <c r="N1997" s="90"/>
      <c r="O1997" s="90"/>
      <c r="P1997" s="90"/>
      <c r="Q1997" s="87"/>
      <c r="R1997" s="98"/>
      <c r="S1997" s="90"/>
      <c r="T1997" s="99"/>
    </row>
    <row r="1998" spans="1:20" s="94" customFormat="1" x14ac:dyDescent="0.3">
      <c r="A1998" s="96"/>
      <c r="B1998" s="96"/>
      <c r="C1998" s="87"/>
      <c r="D1998" s="97"/>
      <c r="E1998" s="83"/>
      <c r="F1998" s="83"/>
      <c r="G1998" s="84"/>
      <c r="H1998" s="86" t="e">
        <f>IF(I1998="fora",0%,G1998/QUÓRUM!$C$6)</f>
        <v>#DIV/0!</v>
      </c>
      <c r="I1998" s="87"/>
      <c r="J1998" s="88"/>
      <c r="K1998" s="88"/>
      <c r="L1998" s="89"/>
      <c r="M1998" s="89"/>
      <c r="N1998" s="90"/>
      <c r="O1998" s="90"/>
      <c r="P1998" s="90"/>
      <c r="Q1998" s="87"/>
      <c r="R1998" s="98"/>
      <c r="S1998" s="90"/>
      <c r="T1998" s="99"/>
    </row>
    <row r="1999" spans="1:20" s="94" customFormat="1" x14ac:dyDescent="0.3">
      <c r="A1999" s="96"/>
      <c r="B1999" s="96"/>
      <c r="C1999" s="87"/>
      <c r="D1999" s="97"/>
      <c r="E1999" s="83"/>
      <c r="F1999" s="83"/>
      <c r="G1999" s="84"/>
      <c r="H1999" s="86" t="e">
        <f>IF(I1999="fora",0%,G1999/QUÓRUM!$C$6)</f>
        <v>#DIV/0!</v>
      </c>
      <c r="I1999" s="87"/>
      <c r="J1999" s="88"/>
      <c r="K1999" s="88"/>
      <c r="L1999" s="89"/>
      <c r="M1999" s="89"/>
      <c r="N1999" s="90"/>
      <c r="O1999" s="90"/>
      <c r="P1999" s="90"/>
      <c r="Q1999" s="87"/>
      <c r="R1999" s="98"/>
      <c r="S1999" s="90"/>
      <c r="T1999" s="99"/>
    </row>
    <row r="2000" spans="1:20" s="94" customFormat="1" x14ac:dyDescent="0.3">
      <c r="A2000" s="96"/>
      <c r="B2000" s="96"/>
      <c r="C2000" s="87"/>
      <c r="D2000" s="97"/>
      <c r="E2000" s="83"/>
      <c r="F2000" s="83"/>
      <c r="G2000" s="84"/>
      <c r="H2000" s="86" t="e">
        <f>IF(I2000="fora",0%,G2000/QUÓRUM!$C$6)</f>
        <v>#DIV/0!</v>
      </c>
      <c r="I2000" s="87"/>
      <c r="J2000" s="88"/>
      <c r="K2000" s="88"/>
      <c r="L2000" s="89"/>
      <c r="M2000" s="89"/>
      <c r="N2000" s="90"/>
      <c r="O2000" s="90"/>
      <c r="P2000" s="90"/>
      <c r="Q2000" s="87"/>
      <c r="R2000" s="98"/>
      <c r="S2000" s="90"/>
      <c r="T2000" s="99"/>
    </row>
    <row r="2001" spans="1:20" s="94" customFormat="1" x14ac:dyDescent="0.3">
      <c r="A2001" s="96"/>
      <c r="B2001" s="96"/>
      <c r="C2001" s="87"/>
      <c r="D2001" s="97"/>
      <c r="E2001" s="83"/>
      <c r="F2001" s="83"/>
      <c r="G2001" s="84"/>
      <c r="H2001" s="86" t="e">
        <f>IF(I2001="fora",0%,G2001/QUÓRUM!$C$6)</f>
        <v>#DIV/0!</v>
      </c>
      <c r="I2001" s="87"/>
      <c r="J2001" s="88"/>
      <c r="K2001" s="88"/>
      <c r="L2001" s="89"/>
      <c r="M2001" s="89"/>
      <c r="N2001" s="90"/>
      <c r="O2001" s="90"/>
      <c r="P2001" s="90"/>
      <c r="Q2001" s="87"/>
      <c r="R2001" s="98"/>
      <c r="S2001" s="90"/>
      <c r="T2001" s="99"/>
    </row>
    <row r="2002" spans="1:20" s="94" customFormat="1" x14ac:dyDescent="0.3">
      <c r="A2002" s="96"/>
      <c r="B2002" s="96"/>
      <c r="C2002" s="87"/>
      <c r="D2002" s="97"/>
      <c r="E2002" s="83"/>
      <c r="F2002" s="83"/>
      <c r="G2002" s="84"/>
      <c r="H2002" s="86" t="e">
        <f>IF(I2002="fora",0%,G2002/QUÓRUM!$C$6)</f>
        <v>#DIV/0!</v>
      </c>
      <c r="I2002" s="87"/>
      <c r="J2002" s="88"/>
      <c r="K2002" s="88"/>
      <c r="L2002" s="89"/>
      <c r="M2002" s="89"/>
      <c r="N2002" s="90"/>
      <c r="O2002" s="90"/>
      <c r="P2002" s="90"/>
      <c r="Q2002" s="87"/>
      <c r="R2002" s="98"/>
      <c r="S2002" s="90"/>
      <c r="T2002" s="99"/>
    </row>
    <row r="2003" spans="1:20" s="94" customFormat="1" x14ac:dyDescent="0.3">
      <c r="A2003" s="96"/>
      <c r="B2003" s="96"/>
      <c r="C2003" s="87"/>
      <c r="D2003" s="97"/>
      <c r="E2003" s="83"/>
      <c r="F2003" s="83"/>
      <c r="G2003" s="84"/>
      <c r="H2003" s="86" t="e">
        <f>IF(I2003="fora",0%,G2003/QUÓRUM!$C$6)</f>
        <v>#DIV/0!</v>
      </c>
      <c r="I2003" s="87"/>
      <c r="J2003" s="88"/>
      <c r="K2003" s="88"/>
      <c r="L2003" s="89"/>
      <c r="M2003" s="89"/>
      <c r="N2003" s="90"/>
      <c r="O2003" s="90"/>
      <c r="P2003" s="90"/>
      <c r="Q2003" s="87"/>
      <c r="R2003" s="98"/>
      <c r="S2003" s="90"/>
      <c r="T2003" s="99"/>
    </row>
    <row r="2004" spans="1:20" s="94" customFormat="1" x14ac:dyDescent="0.3">
      <c r="A2004" s="96"/>
      <c r="B2004" s="96"/>
      <c r="C2004" s="87"/>
      <c r="D2004" s="97"/>
      <c r="E2004" s="83"/>
      <c r="F2004" s="83"/>
      <c r="G2004" s="84"/>
      <c r="H2004" s="86" t="e">
        <f>IF(I2004="fora",0%,G2004/QUÓRUM!$C$6)</f>
        <v>#DIV/0!</v>
      </c>
      <c r="I2004" s="87"/>
      <c r="J2004" s="88"/>
      <c r="K2004" s="88"/>
      <c r="L2004" s="89"/>
      <c r="M2004" s="89"/>
      <c r="N2004" s="90"/>
      <c r="O2004" s="90"/>
      <c r="P2004" s="90"/>
      <c r="Q2004" s="87"/>
      <c r="R2004" s="98"/>
      <c r="S2004" s="90"/>
      <c r="T2004" s="99"/>
    </row>
    <row r="2005" spans="1:20" s="94" customFormat="1" x14ac:dyDescent="0.3">
      <c r="A2005" s="96"/>
      <c r="B2005" s="96"/>
      <c r="C2005" s="87"/>
      <c r="D2005" s="97"/>
      <c r="E2005" s="83"/>
      <c r="F2005" s="83"/>
      <c r="G2005" s="84"/>
      <c r="H2005" s="86" t="e">
        <f>IF(I2005="fora",0%,G2005/QUÓRUM!$C$6)</f>
        <v>#DIV/0!</v>
      </c>
      <c r="I2005" s="87"/>
      <c r="J2005" s="88"/>
      <c r="K2005" s="88"/>
      <c r="L2005" s="89"/>
      <c r="M2005" s="89"/>
      <c r="N2005" s="90"/>
      <c r="O2005" s="90"/>
      <c r="P2005" s="90"/>
      <c r="Q2005" s="87"/>
      <c r="R2005" s="98"/>
      <c r="S2005" s="90"/>
      <c r="T2005" s="99"/>
    </row>
    <row r="2006" spans="1:20" s="94" customFormat="1" x14ac:dyDescent="0.3">
      <c r="A2006" s="96"/>
      <c r="B2006" s="96"/>
      <c r="C2006" s="87"/>
      <c r="D2006" s="97"/>
      <c r="E2006" s="83"/>
      <c r="F2006" s="83"/>
      <c r="G2006" s="84"/>
      <c r="H2006" s="86" t="e">
        <f>IF(I2006="fora",0%,G2006/QUÓRUM!$C$6)</f>
        <v>#DIV/0!</v>
      </c>
      <c r="I2006" s="87"/>
      <c r="J2006" s="88"/>
      <c r="K2006" s="88"/>
      <c r="L2006" s="89"/>
      <c r="M2006" s="89"/>
      <c r="N2006" s="90"/>
      <c r="O2006" s="90"/>
      <c r="P2006" s="90"/>
      <c r="Q2006" s="87"/>
      <c r="R2006" s="98"/>
      <c r="S2006" s="90"/>
      <c r="T2006" s="99"/>
    </row>
    <row r="2007" spans="1:20" s="94" customFormat="1" x14ac:dyDescent="0.3">
      <c r="A2007" s="96"/>
      <c r="B2007" s="96"/>
      <c r="C2007" s="87"/>
      <c r="D2007" s="97"/>
      <c r="E2007" s="83"/>
      <c r="F2007" s="83"/>
      <c r="G2007" s="84"/>
      <c r="H2007" s="86" t="e">
        <f>IF(I2007="fora",0%,G2007/QUÓRUM!$C$6)</f>
        <v>#DIV/0!</v>
      </c>
      <c r="I2007" s="87"/>
      <c r="J2007" s="88"/>
      <c r="K2007" s="88"/>
      <c r="L2007" s="89"/>
      <c r="M2007" s="89"/>
      <c r="N2007" s="90"/>
      <c r="O2007" s="90"/>
      <c r="P2007" s="90"/>
      <c r="Q2007" s="87"/>
      <c r="R2007" s="98"/>
      <c r="S2007" s="90"/>
      <c r="T2007" s="99"/>
    </row>
    <row r="2008" spans="1:20" s="94" customFormat="1" x14ac:dyDescent="0.3">
      <c r="A2008" s="96"/>
      <c r="B2008" s="96"/>
      <c r="C2008" s="87"/>
      <c r="D2008" s="97"/>
      <c r="E2008" s="83"/>
      <c r="F2008" s="83"/>
      <c r="G2008" s="84"/>
      <c r="H2008" s="86" t="e">
        <f>IF(I2008="fora",0%,G2008/QUÓRUM!$C$6)</f>
        <v>#DIV/0!</v>
      </c>
      <c r="I2008" s="87"/>
      <c r="J2008" s="88"/>
      <c r="K2008" s="88"/>
      <c r="L2008" s="89"/>
      <c r="M2008" s="89"/>
      <c r="N2008" s="90"/>
      <c r="O2008" s="90"/>
      <c r="P2008" s="90"/>
      <c r="Q2008" s="87"/>
      <c r="R2008" s="98"/>
      <c r="S2008" s="90"/>
      <c r="T2008" s="99"/>
    </row>
    <row r="2009" spans="1:20" s="94" customFormat="1" x14ac:dyDescent="0.3">
      <c r="A2009" s="96"/>
      <c r="B2009" s="96"/>
      <c r="C2009" s="87"/>
      <c r="D2009" s="97"/>
      <c r="E2009" s="83"/>
      <c r="F2009" s="83"/>
      <c r="G2009" s="84"/>
      <c r="H2009" s="86" t="e">
        <f>IF(I2009="fora",0%,G2009/QUÓRUM!$C$6)</f>
        <v>#DIV/0!</v>
      </c>
      <c r="I2009" s="87"/>
      <c r="J2009" s="88"/>
      <c r="K2009" s="88"/>
      <c r="L2009" s="89"/>
      <c r="M2009" s="89"/>
      <c r="N2009" s="90"/>
      <c r="O2009" s="90"/>
      <c r="P2009" s="90"/>
      <c r="Q2009" s="87"/>
      <c r="R2009" s="98"/>
      <c r="S2009" s="90"/>
      <c r="T2009" s="99"/>
    </row>
    <row r="2010" spans="1:20" s="94" customFormat="1" x14ac:dyDescent="0.3">
      <c r="A2010" s="96"/>
      <c r="B2010" s="96"/>
      <c r="C2010" s="87"/>
      <c r="D2010" s="97"/>
      <c r="E2010" s="83"/>
      <c r="F2010" s="83"/>
      <c r="G2010" s="84"/>
      <c r="H2010" s="86" t="e">
        <f>IF(I2010="fora",0%,G2010/QUÓRUM!$C$6)</f>
        <v>#DIV/0!</v>
      </c>
      <c r="I2010" s="87"/>
      <c r="J2010" s="88"/>
      <c r="K2010" s="88"/>
      <c r="L2010" s="89"/>
      <c r="M2010" s="89"/>
      <c r="N2010" s="90"/>
      <c r="O2010" s="90"/>
      <c r="P2010" s="90"/>
      <c r="Q2010" s="87"/>
      <c r="R2010" s="98"/>
      <c r="S2010" s="90"/>
      <c r="T2010" s="99"/>
    </row>
    <row r="2011" spans="1:20" s="94" customFormat="1" x14ac:dyDescent="0.3">
      <c r="A2011" s="96"/>
      <c r="B2011" s="96"/>
      <c r="C2011" s="87"/>
      <c r="D2011" s="97"/>
      <c r="E2011" s="83"/>
      <c r="F2011" s="83"/>
      <c r="G2011" s="84"/>
      <c r="H2011" s="86" t="e">
        <f>IF(I2011="fora",0%,G2011/QUÓRUM!$C$6)</f>
        <v>#DIV/0!</v>
      </c>
      <c r="I2011" s="87"/>
      <c r="J2011" s="88"/>
      <c r="K2011" s="88"/>
      <c r="L2011" s="89"/>
      <c r="M2011" s="89"/>
      <c r="N2011" s="90"/>
      <c r="O2011" s="90"/>
      <c r="P2011" s="90"/>
      <c r="Q2011" s="87"/>
      <c r="R2011" s="98"/>
      <c r="S2011" s="90"/>
      <c r="T2011" s="99"/>
    </row>
    <row r="2012" spans="1:20" s="94" customFormat="1" x14ac:dyDescent="0.3">
      <c r="A2012" s="96"/>
      <c r="B2012" s="96"/>
      <c r="C2012" s="87"/>
      <c r="D2012" s="97"/>
      <c r="E2012" s="83"/>
      <c r="F2012" s="83"/>
      <c r="G2012" s="84"/>
      <c r="H2012" s="86" t="e">
        <f>IF(I2012="fora",0%,G2012/QUÓRUM!$C$6)</f>
        <v>#DIV/0!</v>
      </c>
      <c r="I2012" s="87"/>
      <c r="J2012" s="88"/>
      <c r="K2012" s="88"/>
      <c r="L2012" s="89"/>
      <c r="M2012" s="89"/>
      <c r="N2012" s="90"/>
      <c r="O2012" s="90"/>
      <c r="P2012" s="90"/>
      <c r="Q2012" s="87"/>
      <c r="R2012" s="98"/>
      <c r="S2012" s="90"/>
      <c r="T2012" s="99"/>
    </row>
    <row r="2013" spans="1:20" s="94" customFormat="1" x14ac:dyDescent="0.3">
      <c r="A2013" s="96"/>
      <c r="B2013" s="96"/>
      <c r="C2013" s="87"/>
      <c r="D2013" s="97"/>
      <c r="E2013" s="83"/>
      <c r="F2013" s="83"/>
      <c r="G2013" s="84"/>
      <c r="H2013" s="86" t="e">
        <f>IF(I2013="fora",0%,G2013/QUÓRUM!$C$6)</f>
        <v>#DIV/0!</v>
      </c>
      <c r="I2013" s="87"/>
      <c r="J2013" s="88"/>
      <c r="K2013" s="88"/>
      <c r="L2013" s="89"/>
      <c r="M2013" s="89"/>
      <c r="N2013" s="90"/>
      <c r="O2013" s="90"/>
      <c r="P2013" s="90"/>
      <c r="Q2013" s="87"/>
      <c r="R2013" s="98"/>
      <c r="S2013" s="90"/>
      <c r="T2013" s="99"/>
    </row>
    <row r="2014" spans="1:20" s="94" customFormat="1" x14ac:dyDescent="0.3">
      <c r="A2014" s="96"/>
      <c r="B2014" s="96"/>
      <c r="C2014" s="87"/>
      <c r="D2014" s="97"/>
      <c r="E2014" s="83"/>
      <c r="F2014" s="83"/>
      <c r="G2014" s="84"/>
      <c r="H2014" s="86" t="e">
        <f>IF(I2014="fora",0%,G2014/QUÓRUM!$C$6)</f>
        <v>#DIV/0!</v>
      </c>
      <c r="I2014" s="87"/>
      <c r="J2014" s="88"/>
      <c r="K2014" s="88"/>
      <c r="L2014" s="89"/>
      <c r="M2014" s="89"/>
      <c r="N2014" s="90"/>
      <c r="O2014" s="90"/>
      <c r="P2014" s="90"/>
      <c r="Q2014" s="87"/>
      <c r="R2014" s="98"/>
      <c r="S2014" s="90"/>
      <c r="T2014" s="99"/>
    </row>
    <row r="2015" spans="1:20" s="94" customFormat="1" x14ac:dyDescent="0.3">
      <c r="A2015" s="96"/>
      <c r="B2015" s="96"/>
      <c r="C2015" s="87"/>
      <c r="D2015" s="97"/>
      <c r="E2015" s="83"/>
      <c r="F2015" s="83"/>
      <c r="G2015" s="84"/>
      <c r="H2015" s="86" t="e">
        <f>IF(I2015="fora",0%,G2015/QUÓRUM!$C$6)</f>
        <v>#DIV/0!</v>
      </c>
      <c r="I2015" s="87"/>
      <c r="J2015" s="88"/>
      <c r="K2015" s="88"/>
      <c r="L2015" s="89"/>
      <c r="M2015" s="89"/>
      <c r="N2015" s="90"/>
      <c r="O2015" s="90"/>
      <c r="P2015" s="90"/>
      <c r="Q2015" s="87"/>
      <c r="R2015" s="98"/>
      <c r="S2015" s="90"/>
      <c r="T2015" s="99"/>
    </row>
    <row r="2016" spans="1:20" s="94" customFormat="1" x14ac:dyDescent="0.3">
      <c r="A2016" s="96"/>
      <c r="B2016" s="96"/>
      <c r="C2016" s="87"/>
      <c r="D2016" s="97"/>
      <c r="E2016" s="83"/>
      <c r="F2016" s="83"/>
      <c r="G2016" s="84"/>
      <c r="H2016" s="86" t="e">
        <f>IF(I2016="fora",0%,G2016/QUÓRUM!$C$6)</f>
        <v>#DIV/0!</v>
      </c>
      <c r="I2016" s="87"/>
      <c r="J2016" s="88"/>
      <c r="K2016" s="88"/>
      <c r="L2016" s="89"/>
      <c r="M2016" s="89"/>
      <c r="N2016" s="90"/>
      <c r="O2016" s="90"/>
      <c r="P2016" s="90"/>
      <c r="Q2016" s="87"/>
      <c r="R2016" s="98"/>
      <c r="S2016" s="90"/>
      <c r="T2016" s="99"/>
    </row>
    <row r="2017" spans="1:20" s="94" customFormat="1" x14ac:dyDescent="0.3">
      <c r="A2017" s="96"/>
      <c r="B2017" s="96"/>
      <c r="C2017" s="87"/>
      <c r="D2017" s="97"/>
      <c r="E2017" s="83"/>
      <c r="F2017" s="83"/>
      <c r="G2017" s="84"/>
      <c r="H2017" s="86" t="e">
        <f>IF(I2017="fora",0%,G2017/QUÓRUM!$C$6)</f>
        <v>#DIV/0!</v>
      </c>
      <c r="I2017" s="87"/>
      <c r="J2017" s="88"/>
      <c r="K2017" s="88"/>
      <c r="L2017" s="89"/>
      <c r="M2017" s="89"/>
      <c r="N2017" s="90"/>
      <c r="O2017" s="90"/>
      <c r="P2017" s="90"/>
      <c r="Q2017" s="87"/>
      <c r="R2017" s="98"/>
      <c r="S2017" s="90"/>
      <c r="T2017" s="99"/>
    </row>
    <row r="2018" spans="1:20" s="94" customFormat="1" x14ac:dyDescent="0.3">
      <c r="A2018" s="96"/>
      <c r="B2018" s="96"/>
      <c r="C2018" s="87"/>
      <c r="D2018" s="97"/>
      <c r="E2018" s="83"/>
      <c r="F2018" s="83"/>
      <c r="G2018" s="84"/>
      <c r="H2018" s="86" t="e">
        <f>IF(I2018="fora",0%,G2018/QUÓRUM!$C$6)</f>
        <v>#DIV/0!</v>
      </c>
      <c r="I2018" s="87"/>
      <c r="J2018" s="88"/>
      <c r="K2018" s="88"/>
      <c r="L2018" s="89"/>
      <c r="M2018" s="89"/>
      <c r="N2018" s="90"/>
      <c r="O2018" s="90"/>
      <c r="P2018" s="90"/>
      <c r="Q2018" s="87"/>
      <c r="R2018" s="98"/>
      <c r="S2018" s="90"/>
      <c r="T2018" s="99"/>
    </row>
    <row r="2019" spans="1:20" s="94" customFormat="1" x14ac:dyDescent="0.3">
      <c r="A2019" s="96"/>
      <c r="B2019" s="96"/>
      <c r="C2019" s="87"/>
      <c r="D2019" s="97"/>
      <c r="E2019" s="83"/>
      <c r="F2019" s="83"/>
      <c r="G2019" s="84"/>
      <c r="H2019" s="86" t="e">
        <f>IF(I2019="fora",0%,G2019/QUÓRUM!$C$6)</f>
        <v>#DIV/0!</v>
      </c>
      <c r="I2019" s="87"/>
      <c r="J2019" s="88"/>
      <c r="K2019" s="88"/>
      <c r="L2019" s="89"/>
      <c r="M2019" s="89"/>
      <c r="N2019" s="90"/>
      <c r="O2019" s="90"/>
      <c r="P2019" s="90"/>
      <c r="Q2019" s="87"/>
      <c r="R2019" s="98"/>
      <c r="S2019" s="90"/>
      <c r="T2019" s="99"/>
    </row>
    <row r="2020" spans="1:20" s="94" customFormat="1" x14ac:dyDescent="0.3">
      <c r="A2020" s="96"/>
      <c r="B2020" s="96"/>
      <c r="C2020" s="87"/>
      <c r="D2020" s="97"/>
      <c r="E2020" s="83"/>
      <c r="F2020" s="83"/>
      <c r="G2020" s="84"/>
      <c r="H2020" s="86" t="e">
        <f>IF(I2020="fora",0%,G2020/QUÓRUM!$C$6)</f>
        <v>#DIV/0!</v>
      </c>
      <c r="I2020" s="87"/>
      <c r="J2020" s="88"/>
      <c r="K2020" s="88"/>
      <c r="L2020" s="89"/>
      <c r="M2020" s="89"/>
      <c r="N2020" s="90"/>
      <c r="O2020" s="90"/>
      <c r="P2020" s="90"/>
      <c r="Q2020" s="87"/>
      <c r="R2020" s="98"/>
      <c r="S2020" s="90"/>
      <c r="T2020" s="99"/>
    </row>
    <row r="2021" spans="1:20" s="94" customFormat="1" x14ac:dyDescent="0.3">
      <c r="A2021" s="96"/>
      <c r="B2021" s="96"/>
      <c r="C2021" s="87"/>
      <c r="D2021" s="97"/>
      <c r="E2021" s="83"/>
      <c r="F2021" s="83"/>
      <c r="G2021" s="84"/>
      <c r="H2021" s="86" t="e">
        <f>IF(I2021="fora",0%,G2021/QUÓRUM!$C$6)</f>
        <v>#DIV/0!</v>
      </c>
      <c r="I2021" s="87"/>
      <c r="J2021" s="88"/>
      <c r="K2021" s="88"/>
      <c r="L2021" s="89"/>
      <c r="M2021" s="89"/>
      <c r="N2021" s="90"/>
      <c r="O2021" s="90"/>
      <c r="P2021" s="90"/>
      <c r="Q2021" s="87"/>
      <c r="R2021" s="98"/>
      <c r="S2021" s="90"/>
      <c r="T2021" s="99"/>
    </row>
    <row r="2022" spans="1:20" s="94" customFormat="1" x14ac:dyDescent="0.3">
      <c r="A2022" s="96"/>
      <c r="B2022" s="96"/>
      <c r="C2022" s="87"/>
      <c r="D2022" s="97"/>
      <c r="E2022" s="83"/>
      <c r="F2022" s="83"/>
      <c r="G2022" s="84"/>
      <c r="H2022" s="86" t="e">
        <f>IF(I2022="fora",0%,G2022/QUÓRUM!$C$6)</f>
        <v>#DIV/0!</v>
      </c>
      <c r="I2022" s="87"/>
      <c r="J2022" s="88"/>
      <c r="K2022" s="88"/>
      <c r="L2022" s="89"/>
      <c r="M2022" s="89"/>
      <c r="N2022" s="90"/>
      <c r="O2022" s="90"/>
      <c r="P2022" s="90"/>
      <c r="Q2022" s="87"/>
      <c r="R2022" s="98"/>
      <c r="S2022" s="90"/>
      <c r="T2022" s="99"/>
    </row>
    <row r="2023" spans="1:20" s="94" customFormat="1" x14ac:dyDescent="0.3">
      <c r="A2023" s="96"/>
      <c r="B2023" s="96"/>
      <c r="C2023" s="87"/>
      <c r="D2023" s="97"/>
      <c r="E2023" s="83"/>
      <c r="F2023" s="83"/>
      <c r="G2023" s="84"/>
      <c r="H2023" s="86" t="e">
        <f>IF(I2023="fora",0%,G2023/QUÓRUM!$C$6)</f>
        <v>#DIV/0!</v>
      </c>
      <c r="I2023" s="87"/>
      <c r="J2023" s="88"/>
      <c r="K2023" s="88"/>
      <c r="L2023" s="89"/>
      <c r="M2023" s="89"/>
      <c r="N2023" s="90"/>
      <c r="O2023" s="90"/>
      <c r="P2023" s="90"/>
      <c r="Q2023" s="87"/>
      <c r="R2023" s="98"/>
      <c r="S2023" s="90"/>
      <c r="T2023" s="99"/>
    </row>
    <row r="2024" spans="1:20" s="94" customFormat="1" x14ac:dyDescent="0.3">
      <c r="A2024" s="96"/>
      <c r="B2024" s="96"/>
      <c r="C2024" s="87"/>
      <c r="D2024" s="97"/>
      <c r="E2024" s="83"/>
      <c r="F2024" s="83"/>
      <c r="G2024" s="84"/>
      <c r="H2024" s="86" t="e">
        <f>IF(I2024="fora",0%,G2024/QUÓRUM!$C$6)</f>
        <v>#DIV/0!</v>
      </c>
      <c r="I2024" s="87"/>
      <c r="J2024" s="88"/>
      <c r="K2024" s="88"/>
      <c r="L2024" s="89"/>
      <c r="M2024" s="89"/>
      <c r="N2024" s="90"/>
      <c r="O2024" s="90"/>
      <c r="P2024" s="90"/>
      <c r="Q2024" s="87"/>
      <c r="R2024" s="98"/>
      <c r="S2024" s="90"/>
      <c r="T2024" s="99"/>
    </row>
    <row r="2025" spans="1:20" s="94" customFormat="1" x14ac:dyDescent="0.3">
      <c r="A2025" s="96"/>
      <c r="B2025" s="96"/>
      <c r="C2025" s="87"/>
      <c r="D2025" s="97"/>
      <c r="E2025" s="83"/>
      <c r="F2025" s="83"/>
      <c r="G2025" s="84"/>
      <c r="H2025" s="86" t="e">
        <f>IF(I2025="fora",0%,G2025/QUÓRUM!$C$6)</f>
        <v>#DIV/0!</v>
      </c>
      <c r="I2025" s="87"/>
      <c r="J2025" s="88"/>
      <c r="K2025" s="88"/>
      <c r="L2025" s="89"/>
      <c r="M2025" s="89"/>
      <c r="N2025" s="90"/>
      <c r="O2025" s="90"/>
      <c r="P2025" s="90"/>
      <c r="Q2025" s="87"/>
      <c r="R2025" s="98"/>
      <c r="S2025" s="90"/>
      <c r="T2025" s="99"/>
    </row>
    <row r="2026" spans="1:20" s="94" customFormat="1" x14ac:dyDescent="0.3">
      <c r="A2026" s="96"/>
      <c r="B2026" s="96"/>
      <c r="C2026" s="87"/>
      <c r="D2026" s="97"/>
      <c r="E2026" s="83"/>
      <c r="F2026" s="83"/>
      <c r="G2026" s="84"/>
      <c r="H2026" s="86" t="e">
        <f>IF(I2026="fora",0%,G2026/QUÓRUM!$C$6)</f>
        <v>#DIV/0!</v>
      </c>
      <c r="I2026" s="87"/>
      <c r="J2026" s="88"/>
      <c r="K2026" s="88"/>
      <c r="L2026" s="89"/>
      <c r="M2026" s="89"/>
      <c r="N2026" s="90"/>
      <c r="O2026" s="90"/>
      <c r="P2026" s="90"/>
      <c r="Q2026" s="87"/>
      <c r="R2026" s="98"/>
      <c r="S2026" s="90"/>
      <c r="T2026" s="99"/>
    </row>
    <row r="2027" spans="1:20" s="94" customFormat="1" x14ac:dyDescent="0.3">
      <c r="A2027" s="96"/>
      <c r="B2027" s="96"/>
      <c r="C2027" s="87"/>
      <c r="D2027" s="97"/>
      <c r="E2027" s="83"/>
      <c r="F2027" s="83"/>
      <c r="G2027" s="84"/>
      <c r="H2027" s="86" t="e">
        <f>IF(I2027="fora",0%,G2027/QUÓRUM!$C$6)</f>
        <v>#DIV/0!</v>
      </c>
      <c r="I2027" s="87"/>
      <c r="J2027" s="88"/>
      <c r="K2027" s="88"/>
      <c r="L2027" s="89"/>
      <c r="M2027" s="89"/>
      <c r="N2027" s="90"/>
      <c r="O2027" s="90"/>
      <c r="P2027" s="90"/>
      <c r="Q2027" s="87"/>
      <c r="R2027" s="98"/>
      <c r="S2027" s="90"/>
      <c r="T2027" s="99"/>
    </row>
    <row r="2028" spans="1:20" s="94" customFormat="1" x14ac:dyDescent="0.3">
      <c r="A2028" s="96"/>
      <c r="B2028" s="96"/>
      <c r="C2028" s="87"/>
      <c r="D2028" s="97"/>
      <c r="E2028" s="83"/>
      <c r="F2028" s="83"/>
      <c r="G2028" s="84"/>
      <c r="H2028" s="86" t="e">
        <f>IF(I2028="fora",0%,G2028/QUÓRUM!$C$6)</f>
        <v>#DIV/0!</v>
      </c>
      <c r="I2028" s="87"/>
      <c r="J2028" s="88"/>
      <c r="K2028" s="88"/>
      <c r="L2028" s="89"/>
      <c r="M2028" s="89"/>
      <c r="N2028" s="90"/>
      <c r="O2028" s="90"/>
      <c r="P2028" s="90"/>
      <c r="Q2028" s="87"/>
      <c r="R2028" s="98"/>
      <c r="S2028" s="90"/>
      <c r="T2028" s="99"/>
    </row>
    <row r="2029" spans="1:20" s="94" customFormat="1" x14ac:dyDescent="0.3">
      <c r="A2029" s="96"/>
      <c r="B2029" s="96"/>
      <c r="C2029" s="87"/>
      <c r="D2029" s="97"/>
      <c r="E2029" s="83"/>
      <c r="F2029" s="83"/>
      <c r="G2029" s="84"/>
      <c r="H2029" s="86" t="e">
        <f>IF(I2029="fora",0%,G2029/QUÓRUM!$C$6)</f>
        <v>#DIV/0!</v>
      </c>
      <c r="I2029" s="87"/>
      <c r="J2029" s="88"/>
      <c r="K2029" s="88"/>
      <c r="L2029" s="89"/>
      <c r="M2029" s="89"/>
      <c r="N2029" s="90"/>
      <c r="O2029" s="90"/>
      <c r="P2029" s="90"/>
      <c r="Q2029" s="87"/>
      <c r="R2029" s="98"/>
      <c r="S2029" s="90"/>
      <c r="T2029" s="99"/>
    </row>
    <row r="2030" spans="1:20" s="94" customFormat="1" x14ac:dyDescent="0.3">
      <c r="A2030" s="96"/>
      <c r="B2030" s="96"/>
      <c r="C2030" s="87"/>
      <c r="D2030" s="97"/>
      <c r="E2030" s="83"/>
      <c r="F2030" s="83"/>
      <c r="G2030" s="84"/>
      <c r="H2030" s="86" t="e">
        <f>IF(I2030="fora",0%,G2030/QUÓRUM!$C$6)</f>
        <v>#DIV/0!</v>
      </c>
      <c r="I2030" s="87"/>
      <c r="J2030" s="88"/>
      <c r="K2030" s="88"/>
      <c r="L2030" s="89"/>
      <c r="M2030" s="89"/>
      <c r="N2030" s="90"/>
      <c r="O2030" s="90"/>
      <c r="P2030" s="90"/>
      <c r="Q2030" s="87"/>
      <c r="R2030" s="98"/>
      <c r="S2030" s="90"/>
      <c r="T2030" s="99"/>
    </row>
    <row r="2031" spans="1:20" s="94" customFormat="1" x14ac:dyDescent="0.3">
      <c r="A2031" s="96"/>
      <c r="B2031" s="96"/>
      <c r="C2031" s="87"/>
      <c r="D2031" s="97"/>
      <c r="E2031" s="83"/>
      <c r="F2031" s="83"/>
      <c r="G2031" s="84"/>
      <c r="H2031" s="86" t="e">
        <f>IF(I2031="fora",0%,G2031/QUÓRUM!$C$6)</f>
        <v>#DIV/0!</v>
      </c>
      <c r="I2031" s="87"/>
      <c r="J2031" s="88"/>
      <c r="K2031" s="88"/>
      <c r="L2031" s="89"/>
      <c r="M2031" s="89"/>
      <c r="N2031" s="90"/>
      <c r="O2031" s="90"/>
      <c r="P2031" s="90"/>
      <c r="Q2031" s="87"/>
      <c r="R2031" s="98"/>
      <c r="S2031" s="90"/>
      <c r="T2031" s="99"/>
    </row>
    <row r="2032" spans="1:20" s="94" customFormat="1" x14ac:dyDescent="0.3">
      <c r="A2032" s="96"/>
      <c r="B2032" s="96"/>
      <c r="C2032" s="87"/>
      <c r="D2032" s="97"/>
      <c r="E2032" s="83"/>
      <c r="F2032" s="83"/>
      <c r="G2032" s="84"/>
      <c r="H2032" s="86" t="e">
        <f>IF(I2032="fora",0%,G2032/QUÓRUM!$C$6)</f>
        <v>#DIV/0!</v>
      </c>
      <c r="I2032" s="87"/>
      <c r="J2032" s="88"/>
      <c r="K2032" s="88"/>
      <c r="L2032" s="89"/>
      <c r="M2032" s="89"/>
      <c r="N2032" s="90"/>
      <c r="O2032" s="90"/>
      <c r="P2032" s="90"/>
      <c r="Q2032" s="87"/>
      <c r="R2032" s="98"/>
      <c r="S2032" s="90"/>
      <c r="T2032" s="99"/>
    </row>
    <row r="2033" spans="1:20" s="94" customFormat="1" x14ac:dyDescent="0.3">
      <c r="A2033" s="96"/>
      <c r="B2033" s="96"/>
      <c r="C2033" s="87"/>
      <c r="D2033" s="97"/>
      <c r="E2033" s="83"/>
      <c r="F2033" s="83"/>
      <c r="G2033" s="84"/>
      <c r="H2033" s="86" t="e">
        <f>IF(I2033="fora",0%,G2033/QUÓRUM!$C$6)</f>
        <v>#DIV/0!</v>
      </c>
      <c r="I2033" s="87"/>
      <c r="J2033" s="88"/>
      <c r="K2033" s="88"/>
      <c r="L2033" s="89"/>
      <c r="M2033" s="89"/>
      <c r="N2033" s="90"/>
      <c r="O2033" s="90"/>
      <c r="P2033" s="90"/>
      <c r="Q2033" s="87"/>
      <c r="R2033" s="98"/>
      <c r="S2033" s="90"/>
      <c r="T2033" s="99"/>
    </row>
    <row r="2034" spans="1:20" s="94" customFormat="1" x14ac:dyDescent="0.3">
      <c r="A2034" s="96"/>
      <c r="B2034" s="96"/>
      <c r="C2034" s="87"/>
      <c r="D2034" s="97"/>
      <c r="E2034" s="83"/>
      <c r="F2034" s="83"/>
      <c r="G2034" s="84"/>
      <c r="H2034" s="86" t="e">
        <f>IF(I2034="fora",0%,G2034/QUÓRUM!$C$6)</f>
        <v>#DIV/0!</v>
      </c>
      <c r="I2034" s="87"/>
      <c r="J2034" s="88"/>
      <c r="K2034" s="88"/>
      <c r="L2034" s="89"/>
      <c r="M2034" s="89"/>
      <c r="N2034" s="90"/>
      <c r="O2034" s="90"/>
      <c r="P2034" s="90"/>
      <c r="Q2034" s="87"/>
      <c r="R2034" s="98"/>
      <c r="S2034" s="90"/>
      <c r="T2034" s="99"/>
    </row>
    <row r="2035" spans="1:20" s="94" customFormat="1" x14ac:dyDescent="0.3">
      <c r="A2035" s="96"/>
      <c r="B2035" s="96"/>
      <c r="C2035" s="87"/>
      <c r="D2035" s="97"/>
      <c r="E2035" s="83"/>
      <c r="F2035" s="83"/>
      <c r="G2035" s="84"/>
      <c r="H2035" s="86" t="e">
        <f>IF(I2035="fora",0%,G2035/QUÓRUM!$C$6)</f>
        <v>#DIV/0!</v>
      </c>
      <c r="I2035" s="87"/>
      <c r="J2035" s="88"/>
      <c r="K2035" s="88"/>
      <c r="L2035" s="89"/>
      <c r="M2035" s="89"/>
      <c r="N2035" s="90"/>
      <c r="O2035" s="90"/>
      <c r="P2035" s="90"/>
      <c r="Q2035" s="87"/>
      <c r="R2035" s="98"/>
      <c r="S2035" s="90"/>
      <c r="T2035" s="99"/>
    </row>
    <row r="2036" spans="1:20" s="94" customFormat="1" x14ac:dyDescent="0.3">
      <c r="A2036" s="96"/>
      <c r="B2036" s="96"/>
      <c r="C2036" s="87"/>
      <c r="D2036" s="97"/>
      <c r="E2036" s="83"/>
      <c r="F2036" s="83"/>
      <c r="G2036" s="84"/>
      <c r="H2036" s="86" t="e">
        <f>IF(I2036="fora",0%,G2036/QUÓRUM!$C$6)</f>
        <v>#DIV/0!</v>
      </c>
      <c r="I2036" s="87"/>
      <c r="J2036" s="88"/>
      <c r="K2036" s="88"/>
      <c r="L2036" s="89"/>
      <c r="M2036" s="89"/>
      <c r="N2036" s="90"/>
      <c r="O2036" s="90"/>
      <c r="P2036" s="90"/>
      <c r="Q2036" s="87"/>
      <c r="R2036" s="98"/>
      <c r="S2036" s="90"/>
      <c r="T2036" s="99"/>
    </row>
    <row r="2037" spans="1:20" s="94" customFormat="1" x14ac:dyDescent="0.3">
      <c r="A2037" s="96"/>
      <c r="B2037" s="96"/>
      <c r="C2037" s="87"/>
      <c r="D2037" s="97"/>
      <c r="E2037" s="83"/>
      <c r="F2037" s="83"/>
      <c r="G2037" s="84"/>
      <c r="H2037" s="86" t="e">
        <f>IF(I2037="fora",0%,G2037/QUÓRUM!$C$6)</f>
        <v>#DIV/0!</v>
      </c>
      <c r="I2037" s="87"/>
      <c r="J2037" s="88"/>
      <c r="K2037" s="88"/>
      <c r="L2037" s="89"/>
      <c r="M2037" s="89"/>
      <c r="N2037" s="90"/>
      <c r="O2037" s="90"/>
      <c r="P2037" s="90"/>
      <c r="Q2037" s="87"/>
      <c r="R2037" s="98"/>
      <c r="S2037" s="90"/>
      <c r="T2037" s="99"/>
    </row>
    <row r="2038" spans="1:20" s="94" customFormat="1" x14ac:dyDescent="0.3">
      <c r="A2038" s="96"/>
      <c r="B2038" s="96"/>
      <c r="C2038" s="87"/>
      <c r="D2038" s="97"/>
      <c r="E2038" s="83"/>
      <c r="F2038" s="83"/>
      <c r="G2038" s="84"/>
      <c r="H2038" s="86" t="e">
        <f>IF(I2038="fora",0%,G2038/QUÓRUM!$C$6)</f>
        <v>#DIV/0!</v>
      </c>
      <c r="I2038" s="87"/>
      <c r="J2038" s="88"/>
      <c r="K2038" s="88"/>
      <c r="L2038" s="89"/>
      <c r="M2038" s="89"/>
      <c r="N2038" s="90"/>
      <c r="O2038" s="90"/>
      <c r="P2038" s="90"/>
      <c r="Q2038" s="87"/>
      <c r="R2038" s="98"/>
      <c r="S2038" s="90"/>
      <c r="T2038" s="99"/>
    </row>
    <row r="2039" spans="1:20" s="94" customFormat="1" x14ac:dyDescent="0.3">
      <c r="A2039" s="96"/>
      <c r="B2039" s="96"/>
      <c r="C2039" s="87"/>
      <c r="D2039" s="97"/>
      <c r="E2039" s="83"/>
      <c r="F2039" s="83"/>
      <c r="G2039" s="84"/>
      <c r="H2039" s="86" t="e">
        <f>IF(I2039="fora",0%,G2039/QUÓRUM!$C$6)</f>
        <v>#DIV/0!</v>
      </c>
      <c r="I2039" s="87"/>
      <c r="J2039" s="88"/>
      <c r="K2039" s="88"/>
      <c r="L2039" s="89"/>
      <c r="M2039" s="89"/>
      <c r="N2039" s="90"/>
      <c r="O2039" s="90"/>
      <c r="P2039" s="90"/>
      <c r="Q2039" s="87"/>
      <c r="R2039" s="98"/>
      <c r="S2039" s="90"/>
      <c r="T2039" s="99"/>
    </row>
    <row r="2040" spans="1:20" s="94" customFormat="1" x14ac:dyDescent="0.3">
      <c r="A2040" s="96"/>
      <c r="B2040" s="96"/>
      <c r="C2040" s="87"/>
      <c r="D2040" s="97"/>
      <c r="E2040" s="83"/>
      <c r="F2040" s="83"/>
      <c r="G2040" s="84"/>
      <c r="H2040" s="86" t="e">
        <f>IF(I2040="fora",0%,G2040/QUÓRUM!$C$6)</f>
        <v>#DIV/0!</v>
      </c>
      <c r="I2040" s="87"/>
      <c r="J2040" s="88"/>
      <c r="K2040" s="88"/>
      <c r="L2040" s="89"/>
      <c r="M2040" s="89"/>
      <c r="N2040" s="90"/>
      <c r="O2040" s="90"/>
      <c r="P2040" s="90"/>
      <c r="Q2040" s="87"/>
      <c r="R2040" s="98"/>
      <c r="S2040" s="90"/>
      <c r="T2040" s="99"/>
    </row>
    <row r="2041" spans="1:20" s="94" customFormat="1" x14ac:dyDescent="0.3">
      <c r="A2041" s="96"/>
      <c r="B2041" s="96"/>
      <c r="C2041" s="87"/>
      <c r="D2041" s="97"/>
      <c r="E2041" s="83"/>
      <c r="F2041" s="83"/>
      <c r="G2041" s="84"/>
      <c r="H2041" s="86" t="e">
        <f>IF(I2041="fora",0%,G2041/QUÓRUM!$C$6)</f>
        <v>#DIV/0!</v>
      </c>
      <c r="I2041" s="87"/>
      <c r="J2041" s="88"/>
      <c r="K2041" s="88"/>
      <c r="L2041" s="89"/>
      <c r="M2041" s="89"/>
      <c r="N2041" s="90"/>
      <c r="O2041" s="90"/>
      <c r="P2041" s="90"/>
      <c r="Q2041" s="87"/>
      <c r="R2041" s="98"/>
      <c r="S2041" s="90"/>
      <c r="T2041" s="99"/>
    </row>
    <row r="2042" spans="1:20" s="94" customFormat="1" x14ac:dyDescent="0.3">
      <c r="A2042" s="96"/>
      <c r="B2042" s="96"/>
      <c r="C2042" s="87"/>
      <c r="D2042" s="97"/>
      <c r="E2042" s="83"/>
      <c r="F2042" s="83"/>
      <c r="G2042" s="84"/>
      <c r="H2042" s="86" t="e">
        <f>IF(I2042="fora",0%,G2042/QUÓRUM!$C$6)</f>
        <v>#DIV/0!</v>
      </c>
      <c r="I2042" s="87"/>
      <c r="J2042" s="88"/>
      <c r="K2042" s="88"/>
      <c r="L2042" s="89"/>
      <c r="M2042" s="89"/>
      <c r="N2042" s="90"/>
      <c r="O2042" s="90"/>
      <c r="P2042" s="90"/>
      <c r="Q2042" s="87"/>
      <c r="R2042" s="98"/>
      <c r="S2042" s="90"/>
      <c r="T2042" s="99"/>
    </row>
    <row r="2043" spans="1:20" s="94" customFormat="1" x14ac:dyDescent="0.3">
      <c r="A2043" s="96"/>
      <c r="B2043" s="96"/>
      <c r="C2043" s="87"/>
      <c r="D2043" s="97"/>
      <c r="E2043" s="83"/>
      <c r="F2043" s="83"/>
      <c r="G2043" s="84"/>
      <c r="H2043" s="86" t="e">
        <f>IF(I2043="fora",0%,G2043/QUÓRUM!$C$6)</f>
        <v>#DIV/0!</v>
      </c>
      <c r="I2043" s="87"/>
      <c r="J2043" s="88"/>
      <c r="K2043" s="88"/>
      <c r="L2043" s="89"/>
      <c r="M2043" s="89"/>
      <c r="N2043" s="90"/>
      <c r="O2043" s="90"/>
      <c r="P2043" s="90"/>
      <c r="Q2043" s="87"/>
      <c r="R2043" s="98"/>
      <c r="S2043" s="90"/>
      <c r="T2043" s="99"/>
    </row>
    <row r="2044" spans="1:20" s="94" customFormat="1" x14ac:dyDescent="0.3">
      <c r="A2044" s="96"/>
      <c r="B2044" s="96"/>
      <c r="C2044" s="87"/>
      <c r="D2044" s="97"/>
      <c r="E2044" s="83"/>
      <c r="F2044" s="83"/>
      <c r="G2044" s="84"/>
      <c r="H2044" s="86" t="e">
        <f>IF(I2044="fora",0%,G2044/QUÓRUM!$C$6)</f>
        <v>#DIV/0!</v>
      </c>
      <c r="I2044" s="87"/>
      <c r="J2044" s="88"/>
      <c r="K2044" s="88"/>
      <c r="L2044" s="89"/>
      <c r="M2044" s="89"/>
      <c r="N2044" s="90"/>
      <c r="O2044" s="90"/>
      <c r="P2044" s="90"/>
      <c r="Q2044" s="87"/>
      <c r="R2044" s="98"/>
      <c r="S2044" s="90"/>
      <c r="T2044" s="99"/>
    </row>
    <row r="2045" spans="1:20" s="94" customFormat="1" x14ac:dyDescent="0.3">
      <c r="A2045" s="96"/>
      <c r="B2045" s="96"/>
      <c r="C2045" s="87"/>
      <c r="D2045" s="97"/>
      <c r="E2045" s="83"/>
      <c r="F2045" s="83"/>
      <c r="G2045" s="84"/>
      <c r="H2045" s="86" t="e">
        <f>IF(I2045="fora",0%,G2045/QUÓRUM!$C$6)</f>
        <v>#DIV/0!</v>
      </c>
      <c r="I2045" s="87"/>
      <c r="J2045" s="88"/>
      <c r="K2045" s="88"/>
      <c r="L2045" s="89"/>
      <c r="M2045" s="89"/>
      <c r="N2045" s="90"/>
      <c r="O2045" s="90"/>
      <c r="P2045" s="90"/>
      <c r="Q2045" s="87"/>
      <c r="R2045" s="98"/>
      <c r="S2045" s="90"/>
      <c r="T2045" s="99"/>
    </row>
    <row r="2046" spans="1:20" s="94" customFormat="1" x14ac:dyDescent="0.3">
      <c r="A2046" s="96"/>
      <c r="B2046" s="96"/>
      <c r="C2046" s="87"/>
      <c r="D2046" s="97"/>
      <c r="E2046" s="83"/>
      <c r="F2046" s="83"/>
      <c r="G2046" s="84"/>
      <c r="H2046" s="86" t="e">
        <f>IF(I2046="fora",0%,G2046/QUÓRUM!$C$6)</f>
        <v>#DIV/0!</v>
      </c>
      <c r="I2046" s="87"/>
      <c r="J2046" s="88"/>
      <c r="K2046" s="88"/>
      <c r="L2046" s="89"/>
      <c r="M2046" s="89"/>
      <c r="N2046" s="90"/>
      <c r="O2046" s="90"/>
      <c r="P2046" s="90"/>
      <c r="Q2046" s="87"/>
      <c r="R2046" s="98"/>
      <c r="S2046" s="90"/>
      <c r="T2046" s="99"/>
    </row>
    <row r="2047" spans="1:20" s="94" customFormat="1" x14ac:dyDescent="0.3">
      <c r="A2047" s="96"/>
      <c r="B2047" s="96"/>
      <c r="C2047" s="87"/>
      <c r="D2047" s="97"/>
      <c r="E2047" s="83"/>
      <c r="F2047" s="83"/>
      <c r="G2047" s="84"/>
      <c r="H2047" s="86" t="e">
        <f>IF(I2047="fora",0%,G2047/QUÓRUM!$C$6)</f>
        <v>#DIV/0!</v>
      </c>
      <c r="I2047" s="87"/>
      <c r="J2047" s="88"/>
      <c r="K2047" s="88"/>
      <c r="L2047" s="89"/>
      <c r="M2047" s="89"/>
      <c r="N2047" s="90"/>
      <c r="O2047" s="90"/>
      <c r="P2047" s="90"/>
      <c r="Q2047" s="87"/>
      <c r="R2047" s="98"/>
      <c r="S2047" s="90"/>
      <c r="T2047" s="99"/>
    </row>
    <row r="2048" spans="1:20" s="94" customFormat="1" x14ac:dyDescent="0.3">
      <c r="A2048" s="96"/>
      <c r="B2048" s="96"/>
      <c r="C2048" s="87"/>
      <c r="D2048" s="97"/>
      <c r="E2048" s="83"/>
      <c r="F2048" s="83"/>
      <c r="G2048" s="84"/>
      <c r="H2048" s="86" t="e">
        <f>IF(I2048="fora",0%,G2048/QUÓRUM!$C$6)</f>
        <v>#DIV/0!</v>
      </c>
      <c r="I2048" s="87"/>
      <c r="J2048" s="88"/>
      <c r="K2048" s="88"/>
      <c r="L2048" s="89"/>
      <c r="M2048" s="89"/>
      <c r="N2048" s="90"/>
      <c r="O2048" s="90"/>
      <c r="P2048" s="90"/>
      <c r="Q2048" s="87"/>
      <c r="R2048" s="98"/>
      <c r="S2048" s="90"/>
      <c r="T2048" s="99"/>
    </row>
    <row r="2049" spans="1:20" s="94" customFormat="1" x14ac:dyDescent="0.3">
      <c r="A2049" s="96"/>
      <c r="B2049" s="96"/>
      <c r="C2049" s="87"/>
      <c r="D2049" s="97"/>
      <c r="E2049" s="83"/>
      <c r="F2049" s="83"/>
      <c r="G2049" s="84"/>
      <c r="H2049" s="86" t="e">
        <f>IF(I2049="fora",0%,G2049/QUÓRUM!$C$6)</f>
        <v>#DIV/0!</v>
      </c>
      <c r="I2049" s="87"/>
      <c r="J2049" s="88"/>
      <c r="K2049" s="88"/>
      <c r="L2049" s="89"/>
      <c r="M2049" s="89"/>
      <c r="N2049" s="90"/>
      <c r="O2049" s="90"/>
      <c r="P2049" s="90"/>
      <c r="Q2049" s="87"/>
      <c r="R2049" s="98"/>
      <c r="S2049" s="90"/>
      <c r="T2049" s="99"/>
    </row>
    <row r="2050" spans="1:20" s="94" customFormat="1" x14ac:dyDescent="0.3">
      <c r="A2050" s="96"/>
      <c r="B2050" s="96"/>
      <c r="C2050" s="87"/>
      <c r="D2050" s="97"/>
      <c r="E2050" s="83"/>
      <c r="F2050" s="83"/>
      <c r="G2050" s="84"/>
      <c r="H2050" s="86" t="e">
        <f>IF(I2050="fora",0%,G2050/QUÓRUM!$C$6)</f>
        <v>#DIV/0!</v>
      </c>
      <c r="I2050" s="87"/>
      <c r="J2050" s="88"/>
      <c r="K2050" s="88"/>
      <c r="L2050" s="89"/>
      <c r="M2050" s="89"/>
      <c r="N2050" s="90"/>
      <c r="O2050" s="90"/>
      <c r="P2050" s="90"/>
      <c r="Q2050" s="87"/>
      <c r="R2050" s="98"/>
      <c r="S2050" s="90"/>
      <c r="T2050" s="99"/>
    </row>
    <row r="2051" spans="1:20" s="94" customFormat="1" x14ac:dyDescent="0.3">
      <c r="A2051" s="96"/>
      <c r="B2051" s="96"/>
      <c r="C2051" s="87"/>
      <c r="D2051" s="97"/>
      <c r="E2051" s="83"/>
      <c r="F2051" s="83"/>
      <c r="G2051" s="84"/>
      <c r="H2051" s="86" t="e">
        <f>IF(I2051="fora",0%,G2051/QUÓRUM!$C$6)</f>
        <v>#DIV/0!</v>
      </c>
      <c r="I2051" s="87"/>
      <c r="J2051" s="88"/>
      <c r="K2051" s="88"/>
      <c r="L2051" s="89"/>
      <c r="M2051" s="89"/>
      <c r="N2051" s="90"/>
      <c r="O2051" s="90"/>
      <c r="P2051" s="90"/>
      <c r="Q2051" s="87"/>
      <c r="R2051" s="98"/>
      <c r="S2051" s="90"/>
      <c r="T2051" s="99"/>
    </row>
    <row r="2052" spans="1:20" s="94" customFormat="1" x14ac:dyDescent="0.3">
      <c r="A2052" s="96"/>
      <c r="B2052" s="96"/>
      <c r="C2052" s="87"/>
      <c r="D2052" s="97"/>
      <c r="E2052" s="83"/>
      <c r="F2052" s="83"/>
      <c r="G2052" s="84"/>
      <c r="H2052" s="86" t="e">
        <f>IF(I2052="fora",0%,G2052/QUÓRUM!$C$6)</f>
        <v>#DIV/0!</v>
      </c>
      <c r="I2052" s="87"/>
      <c r="J2052" s="88"/>
      <c r="K2052" s="88"/>
      <c r="L2052" s="89"/>
      <c r="M2052" s="89"/>
      <c r="N2052" s="90"/>
      <c r="O2052" s="90"/>
      <c r="P2052" s="90"/>
      <c r="Q2052" s="87"/>
      <c r="R2052" s="98"/>
      <c r="S2052" s="90"/>
      <c r="T2052" s="99"/>
    </row>
    <row r="2053" spans="1:20" s="94" customFormat="1" x14ac:dyDescent="0.3">
      <c r="A2053" s="96"/>
      <c r="B2053" s="96"/>
      <c r="C2053" s="87"/>
      <c r="D2053" s="97"/>
      <c r="E2053" s="83"/>
      <c r="F2053" s="83"/>
      <c r="G2053" s="84"/>
      <c r="H2053" s="86" t="e">
        <f>IF(I2053="fora",0%,G2053/QUÓRUM!$C$6)</f>
        <v>#DIV/0!</v>
      </c>
      <c r="I2053" s="87"/>
      <c r="J2053" s="88"/>
      <c r="K2053" s="88"/>
      <c r="L2053" s="89"/>
      <c r="M2053" s="89"/>
      <c r="N2053" s="90"/>
      <c r="O2053" s="90"/>
      <c r="P2053" s="90"/>
      <c r="Q2053" s="87"/>
      <c r="R2053" s="98"/>
      <c r="S2053" s="90"/>
      <c r="T2053" s="99"/>
    </row>
    <row r="2054" spans="1:20" s="94" customFormat="1" x14ac:dyDescent="0.3">
      <c r="A2054" s="96"/>
      <c r="B2054" s="96"/>
      <c r="C2054" s="87"/>
      <c r="D2054" s="97"/>
      <c r="E2054" s="83"/>
      <c r="F2054" s="83"/>
      <c r="G2054" s="84"/>
      <c r="H2054" s="86" t="e">
        <f>IF(I2054="fora",0%,G2054/QUÓRUM!$C$6)</f>
        <v>#DIV/0!</v>
      </c>
      <c r="I2054" s="87"/>
      <c r="J2054" s="88"/>
      <c r="K2054" s="88"/>
      <c r="L2054" s="89"/>
      <c r="M2054" s="89"/>
      <c r="N2054" s="90"/>
      <c r="O2054" s="90"/>
      <c r="P2054" s="90"/>
      <c r="Q2054" s="87"/>
      <c r="R2054" s="98"/>
      <c r="S2054" s="90"/>
      <c r="T2054" s="99"/>
    </row>
    <row r="2055" spans="1:20" s="94" customFormat="1" x14ac:dyDescent="0.3">
      <c r="A2055" s="96"/>
      <c r="B2055" s="96"/>
      <c r="C2055" s="87"/>
      <c r="D2055" s="97"/>
      <c r="E2055" s="83"/>
      <c r="F2055" s="83"/>
      <c r="G2055" s="84"/>
      <c r="H2055" s="86" t="e">
        <f>IF(I2055="fora",0%,G2055/QUÓRUM!$C$6)</f>
        <v>#DIV/0!</v>
      </c>
      <c r="I2055" s="87"/>
      <c r="J2055" s="88"/>
      <c r="K2055" s="88"/>
      <c r="L2055" s="89"/>
      <c r="M2055" s="89"/>
      <c r="N2055" s="90"/>
      <c r="O2055" s="90"/>
      <c r="P2055" s="90"/>
      <c r="Q2055" s="87"/>
      <c r="R2055" s="98"/>
      <c r="S2055" s="90"/>
      <c r="T2055" s="99"/>
    </row>
    <row r="2056" spans="1:20" s="94" customFormat="1" x14ac:dyDescent="0.3">
      <c r="A2056" s="96"/>
      <c r="B2056" s="96"/>
      <c r="C2056" s="87"/>
      <c r="D2056" s="97"/>
      <c r="E2056" s="83"/>
      <c r="F2056" s="83"/>
      <c r="G2056" s="84"/>
      <c r="H2056" s="86" t="e">
        <f>IF(I2056="fora",0%,G2056/QUÓRUM!$C$6)</f>
        <v>#DIV/0!</v>
      </c>
      <c r="I2056" s="87"/>
      <c r="J2056" s="88"/>
      <c r="K2056" s="88"/>
      <c r="L2056" s="89"/>
      <c r="M2056" s="89"/>
      <c r="N2056" s="90"/>
      <c r="O2056" s="90"/>
      <c r="P2056" s="90"/>
      <c r="Q2056" s="87"/>
      <c r="R2056" s="98"/>
      <c r="S2056" s="90"/>
      <c r="T2056" s="99"/>
    </row>
    <row r="2057" spans="1:20" s="94" customFormat="1" x14ac:dyDescent="0.3">
      <c r="A2057" s="96"/>
      <c r="B2057" s="96"/>
      <c r="C2057" s="87"/>
      <c r="D2057" s="97"/>
      <c r="E2057" s="83"/>
      <c r="F2057" s="83"/>
      <c r="G2057" s="84"/>
      <c r="H2057" s="86" t="e">
        <f>IF(I2057="fora",0%,G2057/QUÓRUM!$C$6)</f>
        <v>#DIV/0!</v>
      </c>
      <c r="I2057" s="87"/>
      <c r="J2057" s="88"/>
      <c r="K2057" s="88"/>
      <c r="L2057" s="89"/>
      <c r="M2057" s="89"/>
      <c r="N2057" s="90"/>
      <c r="O2057" s="90"/>
      <c r="P2057" s="90"/>
      <c r="Q2057" s="87"/>
      <c r="R2057" s="98"/>
      <c r="S2057" s="90"/>
      <c r="T2057" s="99"/>
    </row>
    <row r="2058" spans="1:20" s="94" customFormat="1" x14ac:dyDescent="0.3">
      <c r="A2058" s="96"/>
      <c r="B2058" s="96"/>
      <c r="C2058" s="87"/>
      <c r="D2058" s="97"/>
      <c r="E2058" s="83"/>
      <c r="F2058" s="83"/>
      <c r="G2058" s="84"/>
      <c r="H2058" s="86" t="e">
        <f>IF(I2058="fora",0%,G2058/QUÓRUM!$C$6)</f>
        <v>#DIV/0!</v>
      </c>
      <c r="I2058" s="87"/>
      <c r="J2058" s="88"/>
      <c r="K2058" s="88"/>
      <c r="L2058" s="89"/>
      <c r="M2058" s="89"/>
      <c r="N2058" s="90"/>
      <c r="O2058" s="90"/>
      <c r="P2058" s="90"/>
      <c r="Q2058" s="87"/>
      <c r="R2058" s="98"/>
      <c r="S2058" s="90"/>
      <c r="T2058" s="99"/>
    </row>
    <row r="2059" spans="1:20" s="94" customFormat="1" x14ac:dyDescent="0.3">
      <c r="A2059" s="96"/>
      <c r="B2059" s="96"/>
      <c r="C2059" s="87"/>
      <c r="D2059" s="97"/>
      <c r="E2059" s="83"/>
      <c r="F2059" s="83"/>
      <c r="G2059" s="84"/>
      <c r="H2059" s="86" t="e">
        <f>IF(I2059="fora",0%,G2059/QUÓRUM!$C$6)</f>
        <v>#DIV/0!</v>
      </c>
      <c r="I2059" s="87"/>
      <c r="J2059" s="88"/>
      <c r="K2059" s="88"/>
      <c r="L2059" s="89"/>
      <c r="M2059" s="89"/>
      <c r="N2059" s="90"/>
      <c r="O2059" s="90"/>
      <c r="P2059" s="90"/>
      <c r="Q2059" s="87"/>
      <c r="R2059" s="98"/>
      <c r="S2059" s="90"/>
      <c r="T2059" s="99"/>
    </row>
    <row r="2060" spans="1:20" s="94" customFormat="1" x14ac:dyDescent="0.3">
      <c r="A2060" s="96"/>
      <c r="B2060" s="96"/>
      <c r="C2060" s="87"/>
      <c r="D2060" s="97"/>
      <c r="E2060" s="83"/>
      <c r="F2060" s="83"/>
      <c r="G2060" s="84"/>
      <c r="H2060" s="86" t="e">
        <f>IF(I2060="fora",0%,G2060/QUÓRUM!$C$6)</f>
        <v>#DIV/0!</v>
      </c>
      <c r="I2060" s="87"/>
      <c r="J2060" s="88"/>
      <c r="K2060" s="88"/>
      <c r="L2060" s="89"/>
      <c r="M2060" s="89"/>
      <c r="N2060" s="90"/>
      <c r="O2060" s="90"/>
      <c r="P2060" s="90"/>
      <c r="Q2060" s="87"/>
      <c r="R2060" s="98"/>
      <c r="S2060" s="90"/>
      <c r="T2060" s="99"/>
    </row>
    <row r="2061" spans="1:20" s="94" customFormat="1" x14ac:dyDescent="0.3">
      <c r="A2061" s="96"/>
      <c r="B2061" s="96"/>
      <c r="C2061" s="87"/>
      <c r="D2061" s="97"/>
      <c r="E2061" s="83"/>
      <c r="F2061" s="83"/>
      <c r="G2061" s="84"/>
      <c r="H2061" s="86" t="e">
        <f>IF(I2061="fora",0%,G2061/QUÓRUM!$C$6)</f>
        <v>#DIV/0!</v>
      </c>
      <c r="I2061" s="87"/>
      <c r="J2061" s="88"/>
      <c r="K2061" s="88"/>
      <c r="L2061" s="89"/>
      <c r="M2061" s="89"/>
      <c r="N2061" s="90"/>
      <c r="O2061" s="90"/>
      <c r="P2061" s="90"/>
      <c r="Q2061" s="87"/>
      <c r="R2061" s="98"/>
      <c r="S2061" s="90"/>
      <c r="T2061" s="99"/>
    </row>
    <row r="2062" spans="1:20" s="94" customFormat="1" x14ac:dyDescent="0.3">
      <c r="A2062" s="96"/>
      <c r="B2062" s="96"/>
      <c r="C2062" s="87"/>
      <c r="D2062" s="97"/>
      <c r="E2062" s="83"/>
      <c r="F2062" s="83"/>
      <c r="G2062" s="84"/>
      <c r="H2062" s="86" t="e">
        <f>IF(I2062="fora",0%,G2062/QUÓRUM!$C$6)</f>
        <v>#DIV/0!</v>
      </c>
      <c r="I2062" s="87"/>
      <c r="J2062" s="88"/>
      <c r="K2062" s="88"/>
      <c r="L2062" s="89"/>
      <c r="M2062" s="89"/>
      <c r="N2062" s="90"/>
      <c r="O2062" s="90"/>
      <c r="P2062" s="90"/>
      <c r="Q2062" s="87"/>
      <c r="R2062" s="98"/>
      <c r="S2062" s="90"/>
      <c r="T2062" s="99"/>
    </row>
    <row r="2063" spans="1:20" s="94" customFormat="1" x14ac:dyDescent="0.3">
      <c r="A2063" s="96"/>
      <c r="B2063" s="96"/>
      <c r="C2063" s="87"/>
      <c r="D2063" s="97"/>
      <c r="E2063" s="83"/>
      <c r="F2063" s="83"/>
      <c r="G2063" s="84"/>
      <c r="H2063" s="86" t="e">
        <f>IF(I2063="fora",0%,G2063/QUÓRUM!$C$6)</f>
        <v>#DIV/0!</v>
      </c>
      <c r="I2063" s="87"/>
      <c r="J2063" s="88"/>
      <c r="K2063" s="88"/>
      <c r="L2063" s="89"/>
      <c r="M2063" s="89"/>
      <c r="N2063" s="90"/>
      <c r="O2063" s="90"/>
      <c r="P2063" s="90"/>
      <c r="Q2063" s="87"/>
      <c r="R2063" s="98"/>
      <c r="S2063" s="90"/>
      <c r="T2063" s="99"/>
    </row>
    <row r="2064" spans="1:20" s="94" customFormat="1" x14ac:dyDescent="0.3">
      <c r="A2064" s="96"/>
      <c r="B2064" s="96"/>
      <c r="C2064" s="87"/>
      <c r="D2064" s="97"/>
      <c r="E2064" s="83"/>
      <c r="F2064" s="83"/>
      <c r="G2064" s="84"/>
      <c r="H2064" s="86" t="e">
        <f>IF(I2064="fora",0%,G2064/QUÓRUM!$C$6)</f>
        <v>#DIV/0!</v>
      </c>
      <c r="I2064" s="87"/>
      <c r="J2064" s="88"/>
      <c r="K2064" s="88"/>
      <c r="L2064" s="89"/>
      <c r="M2064" s="89"/>
      <c r="N2064" s="90"/>
      <c r="O2064" s="90"/>
      <c r="P2064" s="90"/>
      <c r="Q2064" s="87"/>
      <c r="R2064" s="98"/>
      <c r="S2064" s="90"/>
      <c r="T2064" s="99"/>
    </row>
    <row r="2065" spans="1:20" s="94" customFormat="1" x14ac:dyDescent="0.3">
      <c r="A2065" s="96"/>
      <c r="B2065" s="96"/>
      <c r="C2065" s="87"/>
      <c r="D2065" s="97"/>
      <c r="E2065" s="83"/>
      <c r="F2065" s="83"/>
      <c r="G2065" s="84"/>
      <c r="H2065" s="86" t="e">
        <f>IF(I2065="fora",0%,G2065/QUÓRUM!$C$6)</f>
        <v>#DIV/0!</v>
      </c>
      <c r="I2065" s="87"/>
      <c r="J2065" s="88"/>
      <c r="K2065" s="88"/>
      <c r="L2065" s="89"/>
      <c r="M2065" s="89"/>
      <c r="N2065" s="90"/>
      <c r="O2065" s="90"/>
      <c r="P2065" s="90"/>
      <c r="Q2065" s="87"/>
      <c r="R2065" s="98"/>
      <c r="S2065" s="90"/>
      <c r="T2065" s="99"/>
    </row>
    <row r="2066" spans="1:20" s="94" customFormat="1" x14ac:dyDescent="0.3">
      <c r="A2066" s="96"/>
      <c r="B2066" s="96"/>
      <c r="C2066" s="87"/>
      <c r="D2066" s="97"/>
      <c r="E2066" s="83"/>
      <c r="F2066" s="83"/>
      <c r="G2066" s="84"/>
      <c r="H2066" s="86" t="e">
        <f>IF(I2066="fora",0%,G2066/QUÓRUM!$C$6)</f>
        <v>#DIV/0!</v>
      </c>
      <c r="I2066" s="87"/>
      <c r="J2066" s="88"/>
      <c r="K2066" s="88"/>
      <c r="L2066" s="89"/>
      <c r="M2066" s="89"/>
      <c r="N2066" s="90"/>
      <c r="O2066" s="90"/>
      <c r="P2066" s="90"/>
      <c r="Q2066" s="87"/>
      <c r="R2066" s="98"/>
      <c r="S2066" s="90"/>
      <c r="T2066" s="99"/>
    </row>
    <row r="2067" spans="1:20" s="94" customFormat="1" x14ac:dyDescent="0.3">
      <c r="A2067" s="96"/>
      <c r="B2067" s="96"/>
      <c r="C2067" s="87"/>
      <c r="D2067" s="97"/>
      <c r="E2067" s="83"/>
      <c r="F2067" s="83"/>
      <c r="G2067" s="84"/>
      <c r="H2067" s="86" t="e">
        <f>IF(I2067="fora",0%,G2067/QUÓRUM!$C$6)</f>
        <v>#DIV/0!</v>
      </c>
      <c r="I2067" s="87"/>
      <c r="J2067" s="88"/>
      <c r="K2067" s="88"/>
      <c r="L2067" s="89"/>
      <c r="M2067" s="89"/>
      <c r="N2067" s="90"/>
      <c r="O2067" s="90"/>
      <c r="P2067" s="90"/>
      <c r="Q2067" s="87"/>
      <c r="R2067" s="98"/>
      <c r="S2067" s="90"/>
      <c r="T2067" s="99"/>
    </row>
    <row r="2068" spans="1:20" s="94" customFormat="1" x14ac:dyDescent="0.3">
      <c r="A2068" s="96"/>
      <c r="B2068" s="96"/>
      <c r="C2068" s="87"/>
      <c r="D2068" s="97"/>
      <c r="E2068" s="83"/>
      <c r="F2068" s="83"/>
      <c r="G2068" s="84"/>
      <c r="H2068" s="86" t="e">
        <f>IF(I2068="fora",0%,G2068/QUÓRUM!$C$6)</f>
        <v>#DIV/0!</v>
      </c>
      <c r="I2068" s="87"/>
      <c r="J2068" s="88"/>
      <c r="K2068" s="88"/>
      <c r="L2068" s="89"/>
      <c r="M2068" s="89"/>
      <c r="N2068" s="90"/>
      <c r="O2068" s="90"/>
      <c r="P2068" s="90"/>
      <c r="Q2068" s="87"/>
      <c r="R2068" s="98"/>
      <c r="S2068" s="90"/>
      <c r="T2068" s="99"/>
    </row>
    <row r="2069" spans="1:20" s="94" customFormat="1" x14ac:dyDescent="0.3">
      <c r="A2069" s="96"/>
      <c r="B2069" s="96"/>
      <c r="C2069" s="87"/>
      <c r="D2069" s="97"/>
      <c r="E2069" s="83"/>
      <c r="F2069" s="83"/>
      <c r="G2069" s="84"/>
      <c r="H2069" s="86" t="e">
        <f>IF(I2069="fora",0%,G2069/QUÓRUM!$C$6)</f>
        <v>#DIV/0!</v>
      </c>
      <c r="I2069" s="87"/>
      <c r="J2069" s="88"/>
      <c r="K2069" s="88"/>
      <c r="L2069" s="89"/>
      <c r="M2069" s="89"/>
      <c r="N2069" s="90"/>
      <c r="O2069" s="90"/>
      <c r="P2069" s="90"/>
      <c r="Q2069" s="87"/>
      <c r="R2069" s="98"/>
      <c r="S2069" s="90"/>
      <c r="T2069" s="99"/>
    </row>
    <row r="2070" spans="1:20" s="94" customFormat="1" x14ac:dyDescent="0.3">
      <c r="A2070" s="96"/>
      <c r="B2070" s="96"/>
      <c r="C2070" s="87"/>
      <c r="D2070" s="97"/>
      <c r="E2070" s="83"/>
      <c r="F2070" s="83"/>
      <c r="G2070" s="84"/>
      <c r="H2070" s="86" t="e">
        <f>IF(I2070="fora",0%,G2070/QUÓRUM!$C$6)</f>
        <v>#DIV/0!</v>
      </c>
      <c r="I2070" s="87"/>
      <c r="J2070" s="88"/>
      <c r="K2070" s="88"/>
      <c r="L2070" s="89"/>
      <c r="M2070" s="89"/>
      <c r="N2070" s="90"/>
      <c r="O2070" s="90"/>
      <c r="P2070" s="90"/>
      <c r="Q2070" s="87"/>
      <c r="R2070" s="98"/>
      <c r="S2070" s="90"/>
      <c r="T2070" s="99"/>
    </row>
    <row r="2071" spans="1:20" s="94" customFormat="1" x14ac:dyDescent="0.3">
      <c r="A2071" s="96"/>
      <c r="B2071" s="96"/>
      <c r="C2071" s="87"/>
      <c r="D2071" s="97"/>
      <c r="E2071" s="83"/>
      <c r="F2071" s="83"/>
      <c r="G2071" s="84"/>
      <c r="H2071" s="86" t="e">
        <f>IF(I2071="fora",0%,G2071/QUÓRUM!$C$6)</f>
        <v>#DIV/0!</v>
      </c>
      <c r="I2071" s="87"/>
      <c r="J2071" s="88"/>
      <c r="K2071" s="88"/>
      <c r="L2071" s="89"/>
      <c r="M2071" s="89"/>
      <c r="N2071" s="90"/>
      <c r="O2071" s="90"/>
      <c r="P2071" s="90"/>
      <c r="Q2071" s="87"/>
      <c r="R2071" s="98"/>
      <c r="S2071" s="90"/>
      <c r="T2071" s="99"/>
    </row>
    <row r="2072" spans="1:20" s="94" customFormat="1" x14ac:dyDescent="0.3">
      <c r="A2072" s="96"/>
      <c r="B2072" s="96"/>
      <c r="C2072" s="87"/>
      <c r="D2072" s="97"/>
      <c r="E2072" s="83"/>
      <c r="F2072" s="83"/>
      <c r="G2072" s="84"/>
      <c r="H2072" s="86" t="e">
        <f>IF(I2072="fora",0%,G2072/QUÓRUM!$C$6)</f>
        <v>#DIV/0!</v>
      </c>
      <c r="I2072" s="87"/>
      <c r="J2072" s="88"/>
      <c r="K2072" s="88"/>
      <c r="L2072" s="89"/>
      <c r="M2072" s="89"/>
      <c r="N2072" s="90"/>
      <c r="O2072" s="90"/>
      <c r="P2072" s="90"/>
      <c r="Q2072" s="87"/>
      <c r="R2072" s="98"/>
      <c r="S2072" s="90"/>
      <c r="T2072" s="99"/>
    </row>
    <row r="2073" spans="1:20" s="94" customFormat="1" x14ac:dyDescent="0.3">
      <c r="A2073" s="96"/>
      <c r="B2073" s="96"/>
      <c r="C2073" s="87"/>
      <c r="D2073" s="97"/>
      <c r="E2073" s="83"/>
      <c r="F2073" s="83"/>
      <c r="G2073" s="84"/>
      <c r="H2073" s="86" t="e">
        <f>IF(I2073="fora",0%,G2073/QUÓRUM!$C$6)</f>
        <v>#DIV/0!</v>
      </c>
      <c r="I2073" s="87"/>
      <c r="J2073" s="88"/>
      <c r="K2073" s="88"/>
      <c r="L2073" s="89"/>
      <c r="M2073" s="89"/>
      <c r="N2073" s="90"/>
      <c r="O2073" s="90"/>
      <c r="P2073" s="90"/>
      <c r="Q2073" s="87"/>
      <c r="R2073" s="98"/>
      <c r="S2073" s="90"/>
      <c r="T2073" s="99"/>
    </row>
    <row r="2074" spans="1:20" s="94" customFormat="1" x14ac:dyDescent="0.3">
      <c r="A2074" s="96"/>
      <c r="B2074" s="96"/>
      <c r="C2074" s="87"/>
      <c r="D2074" s="97"/>
      <c r="E2074" s="83"/>
      <c r="F2074" s="83"/>
      <c r="G2074" s="84"/>
      <c r="H2074" s="86" t="e">
        <f>IF(I2074="fora",0%,G2074/QUÓRUM!$C$6)</f>
        <v>#DIV/0!</v>
      </c>
      <c r="I2074" s="87"/>
      <c r="J2074" s="88"/>
      <c r="K2074" s="88"/>
      <c r="L2074" s="89"/>
      <c r="M2074" s="89"/>
      <c r="N2074" s="90"/>
      <c r="O2074" s="90"/>
      <c r="P2074" s="90"/>
      <c r="Q2074" s="87"/>
      <c r="R2074" s="98"/>
      <c r="S2074" s="90"/>
      <c r="T2074" s="99"/>
    </row>
    <row r="2075" spans="1:20" s="94" customFormat="1" x14ac:dyDescent="0.3">
      <c r="A2075" s="96"/>
      <c r="B2075" s="96"/>
      <c r="C2075" s="87"/>
      <c r="D2075" s="97"/>
      <c r="E2075" s="83"/>
      <c r="F2075" s="83"/>
      <c r="G2075" s="84"/>
      <c r="H2075" s="86" t="e">
        <f>IF(I2075="fora",0%,G2075/QUÓRUM!$C$6)</f>
        <v>#DIV/0!</v>
      </c>
      <c r="I2075" s="87"/>
      <c r="J2075" s="88"/>
      <c r="K2075" s="88"/>
      <c r="L2075" s="89"/>
      <c r="M2075" s="89"/>
      <c r="N2075" s="90"/>
      <c r="O2075" s="90"/>
      <c r="P2075" s="90"/>
      <c r="Q2075" s="87"/>
      <c r="R2075" s="98"/>
      <c r="S2075" s="90"/>
      <c r="T2075" s="99"/>
    </row>
    <row r="2076" spans="1:20" s="94" customFormat="1" x14ac:dyDescent="0.3">
      <c r="A2076" s="96"/>
      <c r="B2076" s="96"/>
      <c r="C2076" s="87"/>
      <c r="D2076" s="97"/>
      <c r="E2076" s="83"/>
      <c r="F2076" s="83"/>
      <c r="G2076" s="84"/>
      <c r="H2076" s="86" t="e">
        <f>IF(I2076="fora",0%,G2076/QUÓRUM!$C$6)</f>
        <v>#DIV/0!</v>
      </c>
      <c r="I2076" s="87"/>
      <c r="J2076" s="88"/>
      <c r="K2076" s="88"/>
      <c r="L2076" s="89"/>
      <c r="M2076" s="89"/>
      <c r="N2076" s="90"/>
      <c r="O2076" s="90"/>
      <c r="P2076" s="90"/>
      <c r="Q2076" s="87"/>
      <c r="R2076" s="98"/>
      <c r="S2076" s="90"/>
      <c r="T2076" s="99"/>
    </row>
    <row r="2077" spans="1:20" s="94" customFormat="1" x14ac:dyDescent="0.3">
      <c r="A2077" s="96"/>
      <c r="B2077" s="96"/>
      <c r="C2077" s="87"/>
      <c r="D2077" s="97"/>
      <c r="E2077" s="83"/>
      <c r="F2077" s="83"/>
      <c r="G2077" s="84"/>
      <c r="H2077" s="86" t="e">
        <f>IF(I2077="fora",0%,G2077/QUÓRUM!$C$6)</f>
        <v>#DIV/0!</v>
      </c>
      <c r="I2077" s="87"/>
      <c r="J2077" s="88"/>
      <c r="K2077" s="88"/>
      <c r="L2077" s="89"/>
      <c r="M2077" s="89"/>
      <c r="N2077" s="90"/>
      <c r="O2077" s="90"/>
      <c r="P2077" s="90"/>
      <c r="Q2077" s="87"/>
      <c r="R2077" s="98"/>
      <c r="S2077" s="90"/>
      <c r="T2077" s="99"/>
    </row>
    <row r="2078" spans="1:20" s="94" customFormat="1" x14ac:dyDescent="0.3">
      <c r="A2078" s="96"/>
      <c r="B2078" s="96"/>
      <c r="C2078" s="87"/>
      <c r="D2078" s="97"/>
      <c r="E2078" s="83"/>
      <c r="F2078" s="83"/>
      <c r="G2078" s="84"/>
      <c r="H2078" s="86" t="e">
        <f>IF(I2078="fora",0%,G2078/QUÓRUM!$C$6)</f>
        <v>#DIV/0!</v>
      </c>
      <c r="I2078" s="87"/>
      <c r="J2078" s="88"/>
      <c r="K2078" s="88"/>
      <c r="L2078" s="89"/>
      <c r="M2078" s="89"/>
      <c r="N2078" s="90"/>
      <c r="O2078" s="90"/>
      <c r="P2078" s="90"/>
      <c r="Q2078" s="87"/>
      <c r="R2078" s="98"/>
      <c r="S2078" s="90"/>
      <c r="T2078" s="99"/>
    </row>
    <row r="2079" spans="1:20" s="94" customFormat="1" x14ac:dyDescent="0.3">
      <c r="A2079" s="96"/>
      <c r="B2079" s="96"/>
      <c r="C2079" s="87"/>
      <c r="D2079" s="97"/>
      <c r="E2079" s="83"/>
      <c r="F2079" s="83"/>
      <c r="G2079" s="84"/>
      <c r="H2079" s="86" t="e">
        <f>IF(I2079="fora",0%,G2079/QUÓRUM!$C$6)</f>
        <v>#DIV/0!</v>
      </c>
      <c r="I2079" s="87"/>
      <c r="J2079" s="88"/>
      <c r="K2079" s="88"/>
      <c r="L2079" s="89"/>
      <c r="M2079" s="89"/>
      <c r="N2079" s="90"/>
      <c r="O2079" s="90"/>
      <c r="P2079" s="90"/>
      <c r="Q2079" s="87"/>
      <c r="R2079" s="98"/>
      <c r="S2079" s="90"/>
      <c r="T2079" s="99"/>
    </row>
    <row r="2080" spans="1:20" s="94" customFormat="1" x14ac:dyDescent="0.3">
      <c r="A2080" s="96"/>
      <c r="B2080" s="96"/>
      <c r="C2080" s="87"/>
      <c r="D2080" s="97"/>
      <c r="E2080" s="83"/>
      <c r="F2080" s="83"/>
      <c r="G2080" s="84"/>
      <c r="H2080" s="86" t="e">
        <f>IF(I2080="fora",0%,G2080/QUÓRUM!$C$6)</f>
        <v>#DIV/0!</v>
      </c>
      <c r="I2080" s="87"/>
      <c r="J2080" s="88"/>
      <c r="K2080" s="88"/>
      <c r="L2080" s="89"/>
      <c r="M2080" s="89"/>
      <c r="N2080" s="90"/>
      <c r="O2080" s="90"/>
      <c r="P2080" s="90"/>
      <c r="Q2080" s="87"/>
      <c r="R2080" s="98"/>
      <c r="S2080" s="90"/>
      <c r="T2080" s="99"/>
    </row>
    <row r="2081" spans="1:20" s="94" customFormat="1" x14ac:dyDescent="0.3">
      <c r="A2081" s="96"/>
      <c r="B2081" s="96"/>
      <c r="C2081" s="87"/>
      <c r="D2081" s="97"/>
      <c r="E2081" s="83"/>
      <c r="F2081" s="83"/>
      <c r="G2081" s="84"/>
      <c r="H2081" s="86" t="e">
        <f>IF(I2081="fora",0%,G2081/QUÓRUM!$C$6)</f>
        <v>#DIV/0!</v>
      </c>
      <c r="I2081" s="87"/>
      <c r="J2081" s="88"/>
      <c r="K2081" s="88"/>
      <c r="L2081" s="89"/>
      <c r="M2081" s="89"/>
      <c r="N2081" s="90"/>
      <c r="O2081" s="90"/>
      <c r="P2081" s="90"/>
      <c r="Q2081" s="87"/>
      <c r="R2081" s="98"/>
      <c r="S2081" s="90"/>
      <c r="T2081" s="99"/>
    </row>
    <row r="2082" spans="1:20" s="94" customFormat="1" x14ac:dyDescent="0.3">
      <c r="A2082" s="96"/>
      <c r="B2082" s="96"/>
      <c r="C2082" s="87"/>
      <c r="D2082" s="97"/>
      <c r="E2082" s="83"/>
      <c r="F2082" s="83"/>
      <c r="G2082" s="84"/>
      <c r="H2082" s="86" t="e">
        <f>IF(I2082="fora",0%,G2082/QUÓRUM!$C$6)</f>
        <v>#DIV/0!</v>
      </c>
      <c r="I2082" s="87"/>
      <c r="J2082" s="88"/>
      <c r="K2082" s="88"/>
      <c r="L2082" s="89"/>
      <c r="M2082" s="89"/>
      <c r="N2082" s="90"/>
      <c r="O2082" s="90"/>
      <c r="P2082" s="90"/>
      <c r="Q2082" s="87"/>
      <c r="R2082" s="98"/>
      <c r="S2082" s="90"/>
      <c r="T2082" s="99"/>
    </row>
    <row r="2083" spans="1:20" s="94" customFormat="1" x14ac:dyDescent="0.3">
      <c r="A2083" s="96"/>
      <c r="B2083" s="96"/>
      <c r="C2083" s="87"/>
      <c r="D2083" s="97"/>
      <c r="E2083" s="83"/>
      <c r="F2083" s="83"/>
      <c r="G2083" s="84"/>
      <c r="H2083" s="86" t="e">
        <f>IF(I2083="fora",0%,G2083/QUÓRUM!$C$6)</f>
        <v>#DIV/0!</v>
      </c>
      <c r="I2083" s="87"/>
      <c r="J2083" s="88"/>
      <c r="K2083" s="88"/>
      <c r="L2083" s="89"/>
      <c r="M2083" s="89"/>
      <c r="N2083" s="90"/>
      <c r="O2083" s="90"/>
      <c r="P2083" s="90"/>
      <c r="Q2083" s="87"/>
      <c r="R2083" s="98"/>
      <c r="S2083" s="90"/>
      <c r="T2083" s="99"/>
    </row>
    <row r="2084" spans="1:20" s="94" customFormat="1" x14ac:dyDescent="0.3">
      <c r="A2084" s="96"/>
      <c r="B2084" s="96"/>
      <c r="C2084" s="87"/>
      <c r="D2084" s="97"/>
      <c r="E2084" s="83"/>
      <c r="F2084" s="83"/>
      <c r="G2084" s="84"/>
      <c r="H2084" s="86" t="e">
        <f>IF(I2084="fora",0%,G2084/QUÓRUM!$C$6)</f>
        <v>#DIV/0!</v>
      </c>
      <c r="I2084" s="87"/>
      <c r="J2084" s="88"/>
      <c r="K2084" s="88"/>
      <c r="L2084" s="89"/>
      <c r="M2084" s="89"/>
      <c r="N2084" s="90"/>
      <c r="O2084" s="90"/>
      <c r="P2084" s="90"/>
      <c r="Q2084" s="87"/>
      <c r="R2084" s="98"/>
      <c r="S2084" s="90"/>
      <c r="T2084" s="99"/>
    </row>
    <row r="2085" spans="1:20" s="94" customFormat="1" x14ac:dyDescent="0.3">
      <c r="A2085" s="96"/>
      <c r="B2085" s="96"/>
      <c r="C2085" s="87"/>
      <c r="D2085" s="97"/>
      <c r="E2085" s="83"/>
      <c r="F2085" s="83"/>
      <c r="G2085" s="84"/>
      <c r="H2085" s="86" t="e">
        <f>IF(I2085="fora",0%,G2085/QUÓRUM!$C$6)</f>
        <v>#DIV/0!</v>
      </c>
      <c r="I2085" s="87"/>
      <c r="J2085" s="88"/>
      <c r="K2085" s="88"/>
      <c r="L2085" s="89"/>
      <c r="M2085" s="89"/>
      <c r="N2085" s="90"/>
      <c r="O2085" s="90"/>
      <c r="P2085" s="90"/>
      <c r="Q2085" s="87"/>
      <c r="R2085" s="98"/>
      <c r="S2085" s="90"/>
      <c r="T2085" s="99"/>
    </row>
    <row r="2086" spans="1:20" s="94" customFormat="1" x14ac:dyDescent="0.3">
      <c r="A2086" s="96"/>
      <c r="B2086" s="96"/>
      <c r="C2086" s="87"/>
      <c r="D2086" s="97"/>
      <c r="E2086" s="83"/>
      <c r="F2086" s="83"/>
      <c r="G2086" s="84"/>
      <c r="H2086" s="86" t="e">
        <f>IF(I2086="fora",0%,G2086/QUÓRUM!$C$6)</f>
        <v>#DIV/0!</v>
      </c>
      <c r="I2086" s="87"/>
      <c r="J2086" s="88"/>
      <c r="K2086" s="88"/>
      <c r="L2086" s="89"/>
      <c r="M2086" s="89"/>
      <c r="N2086" s="90"/>
      <c r="O2086" s="90"/>
      <c r="P2086" s="90"/>
      <c r="Q2086" s="87"/>
      <c r="R2086" s="98"/>
      <c r="S2086" s="90"/>
      <c r="T2086" s="99"/>
    </row>
    <row r="2087" spans="1:20" s="94" customFormat="1" x14ac:dyDescent="0.3">
      <c r="A2087" s="96"/>
      <c r="B2087" s="96"/>
      <c r="C2087" s="87"/>
      <c r="D2087" s="97"/>
      <c r="E2087" s="83"/>
      <c r="F2087" s="83"/>
      <c r="G2087" s="84"/>
      <c r="H2087" s="86" t="e">
        <f>IF(I2087="fora",0%,G2087/QUÓRUM!$C$6)</f>
        <v>#DIV/0!</v>
      </c>
      <c r="I2087" s="87"/>
      <c r="J2087" s="88"/>
      <c r="K2087" s="88"/>
      <c r="L2087" s="89"/>
      <c r="M2087" s="89"/>
      <c r="N2087" s="90"/>
      <c r="O2087" s="90"/>
      <c r="P2087" s="90"/>
      <c r="Q2087" s="87"/>
      <c r="R2087" s="98"/>
      <c r="S2087" s="90"/>
      <c r="T2087" s="99"/>
    </row>
    <row r="2088" spans="1:20" s="94" customFormat="1" x14ac:dyDescent="0.3">
      <c r="A2088" s="96"/>
      <c r="B2088" s="96"/>
      <c r="C2088" s="87"/>
      <c r="D2088" s="97"/>
      <c r="E2088" s="83"/>
      <c r="F2088" s="83"/>
      <c r="G2088" s="84"/>
      <c r="H2088" s="86" t="e">
        <f>IF(I2088="fora",0%,G2088/QUÓRUM!$C$6)</f>
        <v>#DIV/0!</v>
      </c>
      <c r="I2088" s="87"/>
      <c r="J2088" s="88"/>
      <c r="K2088" s="88"/>
      <c r="L2088" s="89"/>
      <c r="M2088" s="89"/>
      <c r="N2088" s="90"/>
      <c r="O2088" s="90"/>
      <c r="P2088" s="90"/>
      <c r="Q2088" s="87"/>
      <c r="R2088" s="98"/>
      <c r="S2088" s="90"/>
      <c r="T2088" s="99"/>
    </row>
    <row r="2089" spans="1:20" s="94" customFormat="1" x14ac:dyDescent="0.3">
      <c r="A2089" s="96"/>
      <c r="B2089" s="96"/>
      <c r="C2089" s="87"/>
      <c r="D2089" s="97"/>
      <c r="E2089" s="83"/>
      <c r="F2089" s="83"/>
      <c r="G2089" s="84"/>
      <c r="H2089" s="86" t="e">
        <f>IF(I2089="fora",0%,G2089/QUÓRUM!$C$6)</f>
        <v>#DIV/0!</v>
      </c>
      <c r="I2089" s="87"/>
      <c r="J2089" s="88"/>
      <c r="K2089" s="88"/>
      <c r="L2089" s="89"/>
      <c r="M2089" s="89"/>
      <c r="N2089" s="90"/>
      <c r="O2089" s="90"/>
      <c r="P2089" s="90"/>
      <c r="Q2089" s="87"/>
      <c r="R2089" s="98"/>
      <c r="S2089" s="90"/>
      <c r="T2089" s="99"/>
    </row>
    <row r="2090" spans="1:20" s="94" customFormat="1" x14ac:dyDescent="0.3">
      <c r="A2090" s="96"/>
      <c r="B2090" s="96"/>
      <c r="C2090" s="87"/>
      <c r="D2090" s="97"/>
      <c r="E2090" s="83"/>
      <c r="F2090" s="83"/>
      <c r="G2090" s="84"/>
      <c r="H2090" s="86" t="e">
        <f>IF(I2090="fora",0%,G2090/QUÓRUM!$C$6)</f>
        <v>#DIV/0!</v>
      </c>
      <c r="I2090" s="87"/>
      <c r="J2090" s="88"/>
      <c r="K2090" s="88"/>
      <c r="L2090" s="89"/>
      <c r="M2090" s="89"/>
      <c r="N2090" s="90"/>
      <c r="O2090" s="90"/>
      <c r="P2090" s="90"/>
      <c r="Q2090" s="87"/>
      <c r="R2090" s="98"/>
      <c r="S2090" s="90"/>
      <c r="T2090" s="99"/>
    </row>
    <row r="2091" spans="1:20" s="94" customFormat="1" x14ac:dyDescent="0.3">
      <c r="A2091" s="96"/>
      <c r="B2091" s="96"/>
      <c r="C2091" s="87"/>
      <c r="D2091" s="97"/>
      <c r="E2091" s="83"/>
      <c r="F2091" s="83"/>
      <c r="G2091" s="84"/>
      <c r="H2091" s="86" t="e">
        <f>IF(I2091="fora",0%,G2091/QUÓRUM!$C$6)</f>
        <v>#DIV/0!</v>
      </c>
      <c r="I2091" s="87"/>
      <c r="J2091" s="88"/>
      <c r="K2091" s="88"/>
      <c r="L2091" s="89"/>
      <c r="M2091" s="89"/>
      <c r="N2091" s="90"/>
      <c r="O2091" s="90"/>
      <c r="P2091" s="90"/>
      <c r="Q2091" s="87"/>
      <c r="R2091" s="98"/>
      <c r="S2091" s="90"/>
      <c r="T2091" s="99"/>
    </row>
    <row r="2092" spans="1:20" s="94" customFormat="1" x14ac:dyDescent="0.3">
      <c r="A2092" s="96"/>
      <c r="B2092" s="96"/>
      <c r="C2092" s="87"/>
      <c r="D2092" s="97"/>
      <c r="E2092" s="83"/>
      <c r="F2092" s="83"/>
      <c r="G2092" s="84"/>
      <c r="H2092" s="86" t="e">
        <f>IF(I2092="fora",0%,G2092/QUÓRUM!$C$6)</f>
        <v>#DIV/0!</v>
      </c>
      <c r="I2092" s="87"/>
      <c r="J2092" s="88"/>
      <c r="K2092" s="88"/>
      <c r="L2092" s="89"/>
      <c r="M2092" s="89"/>
      <c r="N2092" s="90"/>
      <c r="O2092" s="90"/>
      <c r="P2092" s="90"/>
      <c r="Q2092" s="87"/>
      <c r="R2092" s="98"/>
      <c r="S2092" s="90"/>
      <c r="T2092" s="99"/>
    </row>
    <row r="2093" spans="1:20" s="94" customFormat="1" x14ac:dyDescent="0.3">
      <c r="A2093" s="96"/>
      <c r="B2093" s="96"/>
      <c r="C2093" s="87"/>
      <c r="D2093" s="97"/>
      <c r="E2093" s="83"/>
      <c r="F2093" s="83"/>
      <c r="G2093" s="84"/>
      <c r="H2093" s="86" t="e">
        <f>IF(I2093="fora",0%,G2093/QUÓRUM!$C$6)</f>
        <v>#DIV/0!</v>
      </c>
      <c r="I2093" s="87"/>
      <c r="J2093" s="88"/>
      <c r="K2093" s="88"/>
      <c r="L2093" s="89"/>
      <c r="M2093" s="89"/>
      <c r="N2093" s="90"/>
      <c r="O2093" s="90"/>
      <c r="P2093" s="90"/>
      <c r="Q2093" s="87"/>
      <c r="R2093" s="98"/>
      <c r="S2093" s="90"/>
      <c r="T2093" s="99"/>
    </row>
    <row r="2094" spans="1:20" s="94" customFormat="1" x14ac:dyDescent="0.3">
      <c r="A2094" s="96"/>
      <c r="B2094" s="96"/>
      <c r="C2094" s="87"/>
      <c r="D2094" s="97"/>
      <c r="E2094" s="83"/>
      <c r="F2094" s="83"/>
      <c r="G2094" s="84"/>
      <c r="H2094" s="86" t="e">
        <f>IF(I2094="fora",0%,G2094/QUÓRUM!$C$6)</f>
        <v>#DIV/0!</v>
      </c>
      <c r="I2094" s="87"/>
      <c r="J2094" s="88"/>
      <c r="K2094" s="88"/>
      <c r="L2094" s="89"/>
      <c r="M2094" s="89"/>
      <c r="N2094" s="90"/>
      <c r="O2094" s="90"/>
      <c r="P2094" s="90"/>
      <c r="Q2094" s="87"/>
      <c r="R2094" s="98"/>
      <c r="S2094" s="90"/>
      <c r="T2094" s="99"/>
    </row>
    <row r="2095" spans="1:20" s="94" customFormat="1" x14ac:dyDescent="0.3">
      <c r="A2095" s="96"/>
      <c r="B2095" s="96"/>
      <c r="C2095" s="87"/>
      <c r="D2095" s="97"/>
      <c r="E2095" s="83"/>
      <c r="F2095" s="83"/>
      <c r="G2095" s="84"/>
      <c r="H2095" s="86" t="e">
        <f>IF(I2095="fora",0%,G2095/QUÓRUM!$C$6)</f>
        <v>#DIV/0!</v>
      </c>
      <c r="I2095" s="87"/>
      <c r="J2095" s="88"/>
      <c r="K2095" s="88"/>
      <c r="L2095" s="89"/>
      <c r="M2095" s="89"/>
      <c r="N2095" s="90"/>
      <c r="O2095" s="90"/>
      <c r="P2095" s="90"/>
      <c r="Q2095" s="87"/>
      <c r="R2095" s="98"/>
      <c r="S2095" s="90"/>
      <c r="T2095" s="99"/>
    </row>
    <row r="2096" spans="1:20" s="94" customFormat="1" x14ac:dyDescent="0.3">
      <c r="A2096" s="96"/>
      <c r="B2096" s="96"/>
      <c r="C2096" s="87"/>
      <c r="D2096" s="97"/>
      <c r="E2096" s="83"/>
      <c r="F2096" s="83"/>
      <c r="G2096" s="84"/>
      <c r="H2096" s="86" t="e">
        <f>IF(I2096="fora",0%,G2096/QUÓRUM!$C$6)</f>
        <v>#DIV/0!</v>
      </c>
      <c r="I2096" s="87"/>
      <c r="J2096" s="88"/>
      <c r="K2096" s="88"/>
      <c r="L2096" s="89"/>
      <c r="M2096" s="89"/>
      <c r="N2096" s="90"/>
      <c r="O2096" s="90"/>
      <c r="P2096" s="90"/>
      <c r="Q2096" s="87"/>
      <c r="R2096" s="98"/>
      <c r="S2096" s="90"/>
      <c r="T2096" s="99"/>
    </row>
    <row r="2097" spans="1:20" s="94" customFormat="1" x14ac:dyDescent="0.3">
      <c r="A2097" s="96"/>
      <c r="B2097" s="96"/>
      <c r="C2097" s="87"/>
      <c r="D2097" s="97"/>
      <c r="E2097" s="83"/>
      <c r="F2097" s="83"/>
      <c r="G2097" s="84"/>
      <c r="H2097" s="86" t="e">
        <f>IF(I2097="fora",0%,G2097/QUÓRUM!$C$6)</f>
        <v>#DIV/0!</v>
      </c>
      <c r="I2097" s="87"/>
      <c r="J2097" s="88"/>
      <c r="K2097" s="88"/>
      <c r="L2097" s="89"/>
      <c r="M2097" s="89"/>
      <c r="N2097" s="90"/>
      <c r="O2097" s="90"/>
      <c r="P2097" s="90"/>
      <c r="Q2097" s="87"/>
      <c r="R2097" s="98"/>
      <c r="S2097" s="90"/>
      <c r="T2097" s="99"/>
    </row>
    <row r="2098" spans="1:20" s="94" customFormat="1" x14ac:dyDescent="0.3">
      <c r="A2098" s="96"/>
      <c r="B2098" s="96"/>
      <c r="C2098" s="87"/>
      <c r="D2098" s="97"/>
      <c r="E2098" s="83"/>
      <c r="F2098" s="83"/>
      <c r="G2098" s="84"/>
      <c r="H2098" s="86" t="e">
        <f>IF(I2098="fora",0%,G2098/QUÓRUM!$C$6)</f>
        <v>#DIV/0!</v>
      </c>
      <c r="I2098" s="87"/>
      <c r="J2098" s="88"/>
      <c r="K2098" s="88"/>
      <c r="L2098" s="89"/>
      <c r="M2098" s="89"/>
      <c r="N2098" s="90"/>
      <c r="O2098" s="90"/>
      <c r="P2098" s="90"/>
      <c r="Q2098" s="87"/>
      <c r="R2098" s="98"/>
      <c r="S2098" s="90"/>
      <c r="T2098" s="99"/>
    </row>
    <row r="2099" spans="1:20" s="94" customFormat="1" x14ac:dyDescent="0.3">
      <c r="A2099" s="96"/>
      <c r="B2099" s="96"/>
      <c r="C2099" s="87"/>
      <c r="D2099" s="97"/>
      <c r="E2099" s="83"/>
      <c r="F2099" s="83"/>
      <c r="G2099" s="84"/>
      <c r="H2099" s="86" t="e">
        <f>IF(I2099="fora",0%,G2099/QUÓRUM!$C$6)</f>
        <v>#DIV/0!</v>
      </c>
      <c r="I2099" s="87"/>
      <c r="J2099" s="88"/>
      <c r="K2099" s="88"/>
      <c r="L2099" s="89"/>
      <c r="M2099" s="89"/>
      <c r="N2099" s="90"/>
      <c r="O2099" s="90"/>
      <c r="P2099" s="90"/>
      <c r="Q2099" s="87"/>
      <c r="R2099" s="98"/>
      <c r="S2099" s="90"/>
      <c r="T2099" s="99"/>
    </row>
    <row r="2100" spans="1:20" s="94" customFormat="1" x14ac:dyDescent="0.3">
      <c r="A2100" s="96"/>
      <c r="B2100" s="96"/>
      <c r="C2100" s="87"/>
      <c r="D2100" s="97"/>
      <c r="E2100" s="83"/>
      <c r="F2100" s="83"/>
      <c r="G2100" s="100"/>
      <c r="H2100" s="86" t="e">
        <f>IF(I2100="fora",0%,G2100/QUÓRUM!$C$6)</f>
        <v>#DIV/0!</v>
      </c>
      <c r="I2100" s="87"/>
      <c r="J2100" s="88"/>
      <c r="K2100" s="88"/>
      <c r="L2100" s="89"/>
      <c r="M2100" s="89"/>
      <c r="N2100" s="90"/>
      <c r="O2100" s="90"/>
      <c r="P2100" s="90"/>
      <c r="Q2100" s="87"/>
      <c r="R2100" s="98"/>
      <c r="S2100" s="90"/>
      <c r="T2100" s="99"/>
    </row>
    <row r="2101" spans="1:20" s="94" customFormat="1" x14ac:dyDescent="0.3">
      <c r="A2101" s="96"/>
      <c r="B2101" s="96"/>
      <c r="C2101" s="87"/>
      <c r="D2101" s="97"/>
      <c r="E2101" s="83"/>
      <c r="F2101" s="83"/>
      <c r="G2101" s="84"/>
      <c r="H2101" s="86" t="e">
        <f>IF(I2101="fora",0%,G2101/QUÓRUM!$C$6)</f>
        <v>#DIV/0!</v>
      </c>
      <c r="I2101" s="87"/>
      <c r="J2101" s="88"/>
      <c r="K2101" s="88"/>
      <c r="L2101" s="89"/>
      <c r="M2101" s="89"/>
      <c r="N2101" s="90"/>
      <c r="O2101" s="90"/>
      <c r="P2101" s="90"/>
      <c r="Q2101" s="87"/>
      <c r="R2101" s="98"/>
      <c r="S2101" s="90"/>
      <c r="T2101" s="99"/>
    </row>
    <row r="2102" spans="1:20" s="94" customFormat="1" x14ac:dyDescent="0.3">
      <c r="A2102" s="96"/>
      <c r="B2102" s="96"/>
      <c r="C2102" s="87"/>
      <c r="D2102" s="97"/>
      <c r="E2102" s="83"/>
      <c r="F2102" s="83"/>
      <c r="G2102" s="84"/>
      <c r="H2102" s="86" t="e">
        <f>IF(I2102="fora",0%,G2102/QUÓRUM!$C$6)</f>
        <v>#DIV/0!</v>
      </c>
      <c r="I2102" s="87"/>
      <c r="J2102" s="88"/>
      <c r="K2102" s="88"/>
      <c r="L2102" s="89"/>
      <c r="M2102" s="89"/>
      <c r="N2102" s="90"/>
      <c r="O2102" s="90"/>
      <c r="P2102" s="90"/>
      <c r="Q2102" s="87"/>
      <c r="R2102" s="98"/>
      <c r="S2102" s="90"/>
      <c r="T2102" s="99"/>
    </row>
    <row r="2103" spans="1:20" s="94" customFormat="1" x14ac:dyDescent="0.3">
      <c r="A2103" s="96"/>
      <c r="B2103" s="96"/>
      <c r="C2103" s="87"/>
      <c r="D2103" s="97"/>
      <c r="E2103" s="83"/>
      <c r="F2103" s="83"/>
      <c r="G2103" s="84"/>
      <c r="H2103" s="86" t="e">
        <f>IF(I2103="fora",0%,G2103/QUÓRUM!$C$6)</f>
        <v>#DIV/0!</v>
      </c>
      <c r="I2103" s="87"/>
      <c r="J2103" s="88"/>
      <c r="K2103" s="88"/>
      <c r="L2103" s="89"/>
      <c r="M2103" s="89"/>
      <c r="N2103" s="90"/>
      <c r="O2103" s="90"/>
      <c r="P2103" s="90"/>
      <c r="Q2103" s="87"/>
      <c r="R2103" s="98"/>
      <c r="S2103" s="90"/>
      <c r="T2103" s="99"/>
    </row>
    <row r="2104" spans="1:20" s="94" customFormat="1" x14ac:dyDescent="0.3">
      <c r="A2104" s="96"/>
      <c r="B2104" s="96"/>
      <c r="C2104" s="87"/>
      <c r="D2104" s="97"/>
      <c r="E2104" s="83"/>
      <c r="F2104" s="83"/>
      <c r="G2104" s="84"/>
      <c r="H2104" s="86" t="e">
        <f>IF(I2104="fora",0%,G2104/QUÓRUM!$C$6)</f>
        <v>#DIV/0!</v>
      </c>
      <c r="I2104" s="87"/>
      <c r="J2104" s="88"/>
      <c r="K2104" s="88"/>
      <c r="L2104" s="89"/>
      <c r="M2104" s="89"/>
      <c r="N2104" s="90"/>
      <c r="O2104" s="90"/>
      <c r="P2104" s="90"/>
      <c r="Q2104" s="87"/>
      <c r="R2104" s="98"/>
      <c r="S2104" s="90"/>
      <c r="T2104" s="99"/>
    </row>
    <row r="2105" spans="1:20" s="94" customFormat="1" x14ac:dyDescent="0.3">
      <c r="A2105" s="96"/>
      <c r="B2105" s="96"/>
      <c r="C2105" s="87"/>
      <c r="D2105" s="97"/>
      <c r="E2105" s="83"/>
      <c r="F2105" s="83"/>
      <c r="G2105" s="84"/>
      <c r="H2105" s="86" t="e">
        <f>IF(I2105="fora",0%,G2105/QUÓRUM!$C$6)</f>
        <v>#DIV/0!</v>
      </c>
      <c r="I2105" s="87"/>
      <c r="J2105" s="88"/>
      <c r="K2105" s="88"/>
      <c r="L2105" s="89"/>
      <c r="M2105" s="89"/>
      <c r="N2105" s="90"/>
      <c r="O2105" s="90"/>
      <c r="P2105" s="90"/>
      <c r="Q2105" s="87"/>
      <c r="R2105" s="98"/>
      <c r="S2105" s="90"/>
      <c r="T2105" s="99"/>
    </row>
    <row r="2106" spans="1:20" s="94" customFormat="1" x14ac:dyDescent="0.3">
      <c r="A2106" s="96"/>
      <c r="B2106" s="96"/>
      <c r="C2106" s="87"/>
      <c r="D2106" s="97"/>
      <c r="E2106" s="83"/>
      <c r="F2106" s="83"/>
      <c r="G2106" s="84"/>
      <c r="H2106" s="86" t="e">
        <f>IF(I2106="fora",0%,G2106/QUÓRUM!$C$6)</f>
        <v>#DIV/0!</v>
      </c>
      <c r="I2106" s="87"/>
      <c r="J2106" s="88"/>
      <c r="K2106" s="88"/>
      <c r="L2106" s="89"/>
      <c r="M2106" s="89"/>
      <c r="N2106" s="90"/>
      <c r="O2106" s="90"/>
      <c r="P2106" s="90"/>
      <c r="Q2106" s="87"/>
      <c r="R2106" s="98"/>
      <c r="S2106" s="90"/>
      <c r="T2106" s="99"/>
    </row>
    <row r="2107" spans="1:20" s="94" customFormat="1" x14ac:dyDescent="0.3">
      <c r="A2107" s="96"/>
      <c r="B2107" s="96"/>
      <c r="C2107" s="87"/>
      <c r="D2107" s="97"/>
      <c r="E2107" s="83"/>
      <c r="F2107" s="83"/>
      <c r="G2107" s="84"/>
      <c r="H2107" s="86" t="e">
        <f>IF(I2107="fora",0%,G2107/QUÓRUM!$C$6)</f>
        <v>#DIV/0!</v>
      </c>
      <c r="I2107" s="87"/>
      <c r="J2107" s="88"/>
      <c r="K2107" s="88"/>
      <c r="L2107" s="89"/>
      <c r="M2107" s="89"/>
      <c r="N2107" s="90"/>
      <c r="O2107" s="90"/>
      <c r="P2107" s="90"/>
      <c r="Q2107" s="87"/>
      <c r="R2107" s="98"/>
      <c r="S2107" s="90"/>
      <c r="T2107" s="99"/>
    </row>
    <row r="2108" spans="1:20" s="94" customFormat="1" x14ac:dyDescent="0.3">
      <c r="A2108" s="96"/>
      <c r="B2108" s="96"/>
      <c r="C2108" s="87"/>
      <c r="D2108" s="97"/>
      <c r="E2108" s="83"/>
      <c r="F2108" s="83"/>
      <c r="G2108" s="84"/>
      <c r="H2108" s="86" t="e">
        <f>IF(I2108="fora",0%,G2108/QUÓRUM!$C$6)</f>
        <v>#DIV/0!</v>
      </c>
      <c r="I2108" s="87"/>
      <c r="J2108" s="88"/>
      <c r="K2108" s="88"/>
      <c r="L2108" s="89"/>
      <c r="M2108" s="89"/>
      <c r="N2108" s="90"/>
      <c r="O2108" s="90"/>
      <c r="P2108" s="90"/>
      <c r="Q2108" s="87"/>
      <c r="R2108" s="98"/>
      <c r="S2108" s="90"/>
      <c r="T2108" s="99"/>
    </row>
    <row r="2109" spans="1:20" s="94" customFormat="1" x14ac:dyDescent="0.3">
      <c r="A2109" s="96"/>
      <c r="B2109" s="96"/>
      <c r="C2109" s="87"/>
      <c r="D2109" s="97"/>
      <c r="E2109" s="83"/>
      <c r="F2109" s="83"/>
      <c r="G2109" s="84"/>
      <c r="H2109" s="86" t="e">
        <f>IF(I2109="fora",0%,G2109/QUÓRUM!$C$6)</f>
        <v>#DIV/0!</v>
      </c>
      <c r="I2109" s="87"/>
      <c r="J2109" s="88"/>
      <c r="K2109" s="88"/>
      <c r="L2109" s="89"/>
      <c r="M2109" s="89"/>
      <c r="N2109" s="90"/>
      <c r="O2109" s="90"/>
      <c r="P2109" s="90"/>
      <c r="Q2109" s="87"/>
      <c r="R2109" s="98"/>
      <c r="S2109" s="90"/>
      <c r="T2109" s="99"/>
    </row>
    <row r="2110" spans="1:20" s="94" customFormat="1" x14ac:dyDescent="0.3">
      <c r="A2110" s="96"/>
      <c r="B2110" s="96"/>
      <c r="C2110" s="87"/>
      <c r="D2110" s="97"/>
      <c r="E2110" s="83"/>
      <c r="F2110" s="83"/>
      <c r="G2110" s="84"/>
      <c r="H2110" s="86" t="e">
        <f>IF(I2110="fora",0%,G2110/QUÓRUM!$C$6)</f>
        <v>#DIV/0!</v>
      </c>
      <c r="I2110" s="87"/>
      <c r="J2110" s="88"/>
      <c r="K2110" s="88"/>
      <c r="L2110" s="89"/>
      <c r="M2110" s="89"/>
      <c r="N2110" s="90"/>
      <c r="O2110" s="90"/>
      <c r="P2110" s="90"/>
      <c r="Q2110" s="87"/>
      <c r="R2110" s="98"/>
      <c r="S2110" s="90"/>
      <c r="T2110" s="99"/>
    </row>
    <row r="2111" spans="1:20" s="94" customFormat="1" x14ac:dyDescent="0.3">
      <c r="A2111" s="96"/>
      <c r="B2111" s="96"/>
      <c r="C2111" s="87"/>
      <c r="D2111" s="97"/>
      <c r="E2111" s="83"/>
      <c r="F2111" s="83"/>
      <c r="G2111" s="84"/>
      <c r="H2111" s="86" t="e">
        <f>IF(I2111="fora",0%,G2111/QUÓRUM!$C$6)</f>
        <v>#DIV/0!</v>
      </c>
      <c r="I2111" s="87"/>
      <c r="J2111" s="88"/>
      <c r="K2111" s="88"/>
      <c r="L2111" s="89"/>
      <c r="M2111" s="89"/>
      <c r="N2111" s="90"/>
      <c r="O2111" s="90"/>
      <c r="P2111" s="90"/>
      <c r="Q2111" s="87"/>
      <c r="R2111" s="98"/>
      <c r="S2111" s="90"/>
      <c r="T2111" s="99"/>
    </row>
    <row r="2112" spans="1:20" s="94" customFormat="1" x14ac:dyDescent="0.3">
      <c r="A2112" s="96"/>
      <c r="B2112" s="96"/>
      <c r="C2112" s="87"/>
      <c r="D2112" s="97"/>
      <c r="E2112" s="83"/>
      <c r="F2112" s="83"/>
      <c r="G2112" s="84"/>
      <c r="H2112" s="86" t="e">
        <f>IF(I2112="fora",0%,G2112/QUÓRUM!$C$6)</f>
        <v>#DIV/0!</v>
      </c>
      <c r="I2112" s="87"/>
      <c r="J2112" s="88"/>
      <c r="K2112" s="88"/>
      <c r="L2112" s="89"/>
      <c r="M2112" s="89"/>
      <c r="N2112" s="90"/>
      <c r="O2112" s="90"/>
      <c r="P2112" s="90"/>
      <c r="Q2112" s="87"/>
      <c r="R2112" s="98"/>
      <c r="S2112" s="90"/>
      <c r="T2112" s="99"/>
    </row>
    <row r="2113" spans="1:20" s="94" customFormat="1" x14ac:dyDescent="0.3">
      <c r="A2113" s="96"/>
      <c r="B2113" s="96"/>
      <c r="C2113" s="87"/>
      <c r="D2113" s="97"/>
      <c r="E2113" s="83"/>
      <c r="F2113" s="83"/>
      <c r="G2113" s="84"/>
      <c r="H2113" s="86" t="e">
        <f>IF(I2113="fora",0%,G2113/QUÓRUM!$C$6)</f>
        <v>#DIV/0!</v>
      </c>
      <c r="I2113" s="87"/>
      <c r="J2113" s="88"/>
      <c r="K2113" s="88"/>
      <c r="L2113" s="89"/>
      <c r="M2113" s="89"/>
      <c r="N2113" s="90"/>
      <c r="O2113" s="90"/>
      <c r="P2113" s="90"/>
      <c r="Q2113" s="87"/>
      <c r="R2113" s="98"/>
      <c r="S2113" s="90"/>
      <c r="T2113" s="99"/>
    </row>
    <row r="2114" spans="1:20" s="94" customFormat="1" x14ac:dyDescent="0.3">
      <c r="A2114" s="96"/>
      <c r="B2114" s="96"/>
      <c r="C2114" s="87"/>
      <c r="D2114" s="97"/>
      <c r="E2114" s="83"/>
      <c r="F2114" s="83"/>
      <c r="G2114" s="84"/>
      <c r="H2114" s="86" t="e">
        <f>IF(I2114="fora",0%,G2114/QUÓRUM!$C$6)</f>
        <v>#DIV/0!</v>
      </c>
      <c r="I2114" s="87"/>
      <c r="J2114" s="88"/>
      <c r="K2114" s="88"/>
      <c r="L2114" s="89"/>
      <c r="M2114" s="89"/>
      <c r="N2114" s="90"/>
      <c r="O2114" s="90"/>
      <c r="P2114" s="90"/>
      <c r="Q2114" s="87"/>
      <c r="R2114" s="98"/>
      <c r="S2114" s="90"/>
      <c r="T2114" s="99"/>
    </row>
    <row r="2115" spans="1:20" s="94" customFormat="1" x14ac:dyDescent="0.3">
      <c r="A2115" s="96"/>
      <c r="B2115" s="96"/>
      <c r="C2115" s="87"/>
      <c r="D2115" s="97"/>
      <c r="E2115" s="83"/>
      <c r="F2115" s="83"/>
      <c r="G2115" s="84"/>
      <c r="H2115" s="86" t="e">
        <f>IF(I2115="fora",0%,G2115/QUÓRUM!$C$6)</f>
        <v>#DIV/0!</v>
      </c>
      <c r="I2115" s="87"/>
      <c r="J2115" s="88"/>
      <c r="K2115" s="88"/>
      <c r="L2115" s="89"/>
      <c r="M2115" s="89"/>
      <c r="N2115" s="90"/>
      <c r="O2115" s="90"/>
      <c r="P2115" s="90"/>
      <c r="Q2115" s="87"/>
      <c r="R2115" s="98"/>
      <c r="S2115" s="90"/>
      <c r="T2115" s="99"/>
    </row>
    <row r="2116" spans="1:20" s="94" customFormat="1" x14ac:dyDescent="0.3">
      <c r="A2116" s="96"/>
      <c r="B2116" s="96"/>
      <c r="C2116" s="87"/>
      <c r="D2116" s="97"/>
      <c r="E2116" s="83"/>
      <c r="F2116" s="83"/>
      <c r="G2116" s="84"/>
      <c r="H2116" s="86" t="e">
        <f>IF(I2116="fora",0%,G2116/QUÓRUM!$C$6)</f>
        <v>#DIV/0!</v>
      </c>
      <c r="I2116" s="87"/>
      <c r="J2116" s="88"/>
      <c r="K2116" s="88"/>
      <c r="L2116" s="89"/>
      <c r="M2116" s="89"/>
      <c r="N2116" s="90"/>
      <c r="O2116" s="90"/>
      <c r="P2116" s="90"/>
      <c r="Q2116" s="87"/>
      <c r="R2116" s="98"/>
      <c r="S2116" s="90"/>
      <c r="T2116" s="99"/>
    </row>
    <row r="2117" spans="1:20" s="94" customFormat="1" x14ac:dyDescent="0.3">
      <c r="A2117" s="96"/>
      <c r="B2117" s="96"/>
      <c r="C2117" s="87"/>
      <c r="D2117" s="97"/>
      <c r="E2117" s="83"/>
      <c r="F2117" s="83"/>
      <c r="G2117" s="84"/>
      <c r="H2117" s="86" t="e">
        <f>IF(I2117="fora",0%,G2117/QUÓRUM!$C$6)</f>
        <v>#DIV/0!</v>
      </c>
      <c r="I2117" s="87"/>
      <c r="J2117" s="88"/>
      <c r="K2117" s="88"/>
      <c r="L2117" s="89"/>
      <c r="M2117" s="89"/>
      <c r="N2117" s="90"/>
      <c r="O2117" s="90"/>
      <c r="P2117" s="90"/>
      <c r="Q2117" s="87"/>
      <c r="R2117" s="98"/>
      <c r="S2117" s="90"/>
      <c r="T2117" s="99"/>
    </row>
    <row r="2118" spans="1:20" s="94" customFormat="1" x14ac:dyDescent="0.3">
      <c r="A2118" s="96"/>
      <c r="B2118" s="96"/>
      <c r="C2118" s="87"/>
      <c r="D2118" s="97"/>
      <c r="E2118" s="83"/>
      <c r="F2118" s="83"/>
      <c r="G2118" s="84"/>
      <c r="H2118" s="86" t="e">
        <f>IF(I2118="fora",0%,G2118/QUÓRUM!$C$6)</f>
        <v>#DIV/0!</v>
      </c>
      <c r="I2118" s="87"/>
      <c r="J2118" s="88"/>
      <c r="K2118" s="88"/>
      <c r="L2118" s="89"/>
      <c r="M2118" s="89"/>
      <c r="N2118" s="90"/>
      <c r="O2118" s="90"/>
      <c r="P2118" s="90"/>
      <c r="Q2118" s="87"/>
      <c r="R2118" s="98"/>
      <c r="S2118" s="90"/>
      <c r="T2118" s="99"/>
    </row>
    <row r="2119" spans="1:20" s="94" customFormat="1" x14ac:dyDescent="0.3">
      <c r="A2119" s="96"/>
      <c r="B2119" s="96"/>
      <c r="C2119" s="87"/>
      <c r="D2119" s="97"/>
      <c r="E2119" s="83"/>
      <c r="F2119" s="83"/>
      <c r="G2119" s="84"/>
      <c r="H2119" s="86" t="e">
        <f>IF(I2119="fora",0%,G2119/QUÓRUM!$C$6)</f>
        <v>#DIV/0!</v>
      </c>
      <c r="I2119" s="87"/>
      <c r="J2119" s="88"/>
      <c r="K2119" s="88"/>
      <c r="L2119" s="89"/>
      <c r="M2119" s="89"/>
      <c r="N2119" s="90"/>
      <c r="O2119" s="90"/>
      <c r="P2119" s="90"/>
      <c r="Q2119" s="87"/>
      <c r="R2119" s="98"/>
      <c r="S2119" s="90"/>
      <c r="T2119" s="99"/>
    </row>
    <row r="2120" spans="1:20" s="94" customFormat="1" x14ac:dyDescent="0.3">
      <c r="A2120" s="96"/>
      <c r="B2120" s="96"/>
      <c r="C2120" s="87"/>
      <c r="D2120" s="97"/>
      <c r="E2120" s="83"/>
      <c r="F2120" s="83"/>
      <c r="G2120" s="84"/>
      <c r="H2120" s="86" t="e">
        <f>IF(I2120="fora",0%,G2120/QUÓRUM!$C$6)</f>
        <v>#DIV/0!</v>
      </c>
      <c r="I2120" s="87"/>
      <c r="J2120" s="88"/>
      <c r="K2120" s="88"/>
      <c r="L2120" s="89"/>
      <c r="M2120" s="89"/>
      <c r="N2120" s="90"/>
      <c r="O2120" s="90"/>
      <c r="P2120" s="90"/>
      <c r="Q2120" s="87"/>
      <c r="R2120" s="98"/>
      <c r="S2120" s="90"/>
      <c r="T2120" s="99"/>
    </row>
    <row r="2121" spans="1:20" s="94" customFormat="1" x14ac:dyDescent="0.3">
      <c r="A2121" s="96"/>
      <c r="B2121" s="96"/>
      <c r="C2121" s="87"/>
      <c r="D2121" s="97"/>
      <c r="E2121" s="83"/>
      <c r="F2121" s="83"/>
      <c r="G2121" s="84"/>
      <c r="H2121" s="86" t="e">
        <f>IF(I2121="fora",0%,G2121/QUÓRUM!$C$6)</f>
        <v>#DIV/0!</v>
      </c>
      <c r="I2121" s="87"/>
      <c r="J2121" s="88"/>
      <c r="K2121" s="88"/>
      <c r="L2121" s="89"/>
      <c r="M2121" s="89"/>
      <c r="N2121" s="90"/>
      <c r="O2121" s="90"/>
      <c r="P2121" s="90"/>
      <c r="Q2121" s="87"/>
      <c r="R2121" s="98"/>
      <c r="S2121" s="90"/>
      <c r="T2121" s="99"/>
    </row>
    <row r="2122" spans="1:20" s="94" customFormat="1" x14ac:dyDescent="0.3">
      <c r="A2122" s="96"/>
      <c r="B2122" s="96"/>
      <c r="C2122" s="87"/>
      <c r="D2122" s="97"/>
      <c r="E2122" s="83"/>
      <c r="F2122" s="83"/>
      <c r="G2122" s="84"/>
      <c r="H2122" s="86" t="e">
        <f>IF(I2122="fora",0%,G2122/QUÓRUM!$C$6)</f>
        <v>#DIV/0!</v>
      </c>
      <c r="I2122" s="87"/>
      <c r="J2122" s="88"/>
      <c r="K2122" s="88"/>
      <c r="L2122" s="89"/>
      <c r="M2122" s="89"/>
      <c r="N2122" s="90"/>
      <c r="O2122" s="90"/>
      <c r="P2122" s="90"/>
      <c r="Q2122" s="87"/>
      <c r="R2122" s="98"/>
      <c r="S2122" s="90"/>
      <c r="T2122" s="99"/>
    </row>
    <row r="2123" spans="1:20" s="94" customFormat="1" x14ac:dyDescent="0.3">
      <c r="A2123" s="96"/>
      <c r="B2123" s="96"/>
      <c r="C2123" s="87"/>
      <c r="D2123" s="97"/>
      <c r="E2123" s="83"/>
      <c r="F2123" s="83"/>
      <c r="G2123" s="84"/>
      <c r="H2123" s="86" t="e">
        <f>IF(I2123="fora",0%,G2123/QUÓRUM!$C$6)</f>
        <v>#DIV/0!</v>
      </c>
      <c r="I2123" s="87"/>
      <c r="J2123" s="88"/>
      <c r="K2123" s="88"/>
      <c r="L2123" s="89"/>
      <c r="M2123" s="89"/>
      <c r="N2123" s="90"/>
      <c r="O2123" s="90"/>
      <c r="P2123" s="90"/>
      <c r="Q2123" s="87"/>
      <c r="R2123" s="98"/>
      <c r="S2123" s="90"/>
      <c r="T2123" s="99"/>
    </row>
    <row r="2124" spans="1:20" s="94" customFormat="1" x14ac:dyDescent="0.3">
      <c r="A2124" s="96"/>
      <c r="B2124" s="96"/>
      <c r="C2124" s="87"/>
      <c r="D2124" s="97"/>
      <c r="E2124" s="83"/>
      <c r="F2124" s="83"/>
      <c r="G2124" s="84"/>
      <c r="H2124" s="86" t="e">
        <f>IF(I2124="fora",0%,G2124/QUÓRUM!$C$6)</f>
        <v>#DIV/0!</v>
      </c>
      <c r="I2124" s="87"/>
      <c r="J2124" s="88"/>
      <c r="K2124" s="88"/>
      <c r="L2124" s="89"/>
      <c r="M2124" s="89"/>
      <c r="N2124" s="90"/>
      <c r="O2124" s="90"/>
      <c r="P2124" s="90"/>
      <c r="Q2124" s="87"/>
      <c r="R2124" s="98"/>
      <c r="S2124" s="90"/>
      <c r="T2124" s="99"/>
    </row>
    <row r="2125" spans="1:20" s="94" customFormat="1" x14ac:dyDescent="0.3">
      <c r="A2125" s="96"/>
      <c r="B2125" s="96"/>
      <c r="C2125" s="87"/>
      <c r="D2125" s="97"/>
      <c r="E2125" s="83"/>
      <c r="F2125" s="83"/>
      <c r="G2125" s="84"/>
      <c r="H2125" s="86" t="e">
        <f>IF(I2125="fora",0%,G2125/QUÓRUM!$C$6)</f>
        <v>#DIV/0!</v>
      </c>
      <c r="I2125" s="87"/>
      <c r="J2125" s="88"/>
      <c r="K2125" s="88"/>
      <c r="L2125" s="89"/>
      <c r="M2125" s="89"/>
      <c r="N2125" s="90"/>
      <c r="O2125" s="90"/>
      <c r="P2125" s="90"/>
      <c r="Q2125" s="87"/>
      <c r="R2125" s="98"/>
      <c r="S2125" s="90"/>
      <c r="T2125" s="99"/>
    </row>
    <row r="2126" spans="1:20" s="94" customFormat="1" x14ac:dyDescent="0.3">
      <c r="A2126" s="96"/>
      <c r="B2126" s="96"/>
      <c r="C2126" s="87"/>
      <c r="D2126" s="97"/>
      <c r="E2126" s="83"/>
      <c r="F2126" s="83"/>
      <c r="G2126" s="84"/>
      <c r="H2126" s="86" t="e">
        <f>IF(I2126="fora",0%,G2126/QUÓRUM!$C$6)</f>
        <v>#DIV/0!</v>
      </c>
      <c r="I2126" s="87"/>
      <c r="J2126" s="88"/>
      <c r="K2126" s="88"/>
      <c r="L2126" s="89"/>
      <c r="M2126" s="89"/>
      <c r="N2126" s="90"/>
      <c r="O2126" s="90"/>
      <c r="P2126" s="90"/>
      <c r="Q2126" s="87"/>
      <c r="R2126" s="98"/>
      <c r="S2126" s="90"/>
      <c r="T2126" s="99"/>
    </row>
    <row r="2127" spans="1:20" s="94" customFormat="1" x14ac:dyDescent="0.3">
      <c r="A2127" s="96"/>
      <c r="B2127" s="96"/>
      <c r="C2127" s="87"/>
      <c r="D2127" s="97"/>
      <c r="E2127" s="83"/>
      <c r="F2127" s="83"/>
      <c r="G2127" s="84"/>
      <c r="H2127" s="86" t="e">
        <f>IF(I2127="fora",0%,G2127/QUÓRUM!$C$6)</f>
        <v>#DIV/0!</v>
      </c>
      <c r="I2127" s="87"/>
      <c r="J2127" s="88"/>
      <c r="K2127" s="88"/>
      <c r="L2127" s="89"/>
      <c r="M2127" s="89"/>
      <c r="N2127" s="90"/>
      <c r="O2127" s="90"/>
      <c r="P2127" s="90"/>
      <c r="Q2127" s="87"/>
      <c r="R2127" s="98"/>
      <c r="S2127" s="90"/>
      <c r="T2127" s="99"/>
    </row>
    <row r="2128" spans="1:20" s="94" customFormat="1" x14ac:dyDescent="0.3">
      <c r="A2128" s="96"/>
      <c r="B2128" s="96"/>
      <c r="C2128" s="87"/>
      <c r="D2128" s="97"/>
      <c r="E2128" s="83"/>
      <c r="F2128" s="83"/>
      <c r="G2128" s="84"/>
      <c r="H2128" s="86" t="e">
        <f>IF(I2128="fora",0%,G2128/QUÓRUM!$C$6)</f>
        <v>#DIV/0!</v>
      </c>
      <c r="I2128" s="87"/>
      <c r="J2128" s="88"/>
      <c r="K2128" s="88"/>
      <c r="L2128" s="89"/>
      <c r="M2128" s="89"/>
      <c r="N2128" s="90"/>
      <c r="O2128" s="90"/>
      <c r="P2128" s="90"/>
      <c r="Q2128" s="87"/>
      <c r="R2128" s="98"/>
      <c r="S2128" s="90"/>
      <c r="T2128" s="99"/>
    </row>
    <row r="2129" spans="1:20" s="94" customFormat="1" x14ac:dyDescent="0.3">
      <c r="A2129" s="96"/>
      <c r="B2129" s="96"/>
      <c r="C2129" s="87"/>
      <c r="D2129" s="97"/>
      <c r="E2129" s="83"/>
      <c r="F2129" s="83"/>
      <c r="G2129" s="84"/>
      <c r="H2129" s="86" t="e">
        <f>IF(I2129="fora",0%,G2129/QUÓRUM!$C$6)</f>
        <v>#DIV/0!</v>
      </c>
      <c r="I2129" s="87"/>
      <c r="J2129" s="88"/>
      <c r="K2129" s="88"/>
      <c r="L2129" s="89"/>
      <c r="M2129" s="89"/>
      <c r="N2129" s="90"/>
      <c r="O2129" s="90"/>
      <c r="P2129" s="90"/>
      <c r="Q2129" s="87"/>
      <c r="R2129" s="98"/>
      <c r="S2129" s="90"/>
      <c r="T2129" s="99"/>
    </row>
    <row r="2130" spans="1:20" s="94" customFormat="1" x14ac:dyDescent="0.3">
      <c r="A2130" s="96"/>
      <c r="B2130" s="96"/>
      <c r="C2130" s="87"/>
      <c r="D2130" s="97"/>
      <c r="E2130" s="83"/>
      <c r="F2130" s="83"/>
      <c r="G2130" s="84"/>
      <c r="H2130" s="86" t="e">
        <f>IF(I2130="fora",0%,G2130/QUÓRUM!$C$6)</f>
        <v>#DIV/0!</v>
      </c>
      <c r="I2130" s="87"/>
      <c r="J2130" s="88"/>
      <c r="K2130" s="88"/>
      <c r="L2130" s="89"/>
      <c r="M2130" s="89"/>
      <c r="N2130" s="90"/>
      <c r="O2130" s="90"/>
      <c r="P2130" s="90"/>
      <c r="Q2130" s="87"/>
      <c r="R2130" s="98"/>
      <c r="S2130" s="90"/>
      <c r="T2130" s="99"/>
    </row>
    <row r="2131" spans="1:20" s="94" customFormat="1" x14ac:dyDescent="0.3">
      <c r="A2131" s="96"/>
      <c r="B2131" s="96"/>
      <c r="C2131" s="87"/>
      <c r="D2131" s="97"/>
      <c r="E2131" s="83"/>
      <c r="F2131" s="83"/>
      <c r="G2131" s="84"/>
      <c r="H2131" s="86" t="e">
        <f>IF(I2131="fora",0%,G2131/QUÓRUM!$C$6)</f>
        <v>#DIV/0!</v>
      </c>
      <c r="I2131" s="87"/>
      <c r="J2131" s="88"/>
      <c r="K2131" s="88"/>
      <c r="L2131" s="89"/>
      <c r="M2131" s="89"/>
      <c r="N2131" s="90"/>
      <c r="O2131" s="90"/>
      <c r="P2131" s="90"/>
      <c r="Q2131" s="87"/>
      <c r="R2131" s="98"/>
      <c r="S2131" s="90"/>
      <c r="T2131" s="99"/>
    </row>
    <row r="2132" spans="1:20" s="94" customFormat="1" x14ac:dyDescent="0.3">
      <c r="A2132" s="96"/>
      <c r="B2132" s="96"/>
      <c r="C2132" s="87"/>
      <c r="D2132" s="97"/>
      <c r="E2132" s="83"/>
      <c r="F2132" s="83"/>
      <c r="G2132" s="84"/>
      <c r="H2132" s="86" t="e">
        <f>IF(I2132="fora",0%,G2132/QUÓRUM!$C$6)</f>
        <v>#DIV/0!</v>
      </c>
      <c r="I2132" s="87"/>
      <c r="J2132" s="88"/>
      <c r="K2132" s="88"/>
      <c r="L2132" s="89"/>
      <c r="M2132" s="89"/>
      <c r="N2132" s="90"/>
      <c r="O2132" s="90"/>
      <c r="P2132" s="90"/>
      <c r="Q2132" s="87"/>
      <c r="R2132" s="98"/>
      <c r="S2132" s="90"/>
      <c r="T2132" s="99"/>
    </row>
    <row r="2133" spans="1:20" s="94" customFormat="1" x14ac:dyDescent="0.3">
      <c r="A2133" s="96"/>
      <c r="B2133" s="96"/>
      <c r="C2133" s="87"/>
      <c r="D2133" s="97"/>
      <c r="E2133" s="83"/>
      <c r="F2133" s="83"/>
      <c r="G2133" s="84"/>
      <c r="H2133" s="86" t="e">
        <f>IF(I2133="fora",0%,G2133/QUÓRUM!$C$6)</f>
        <v>#DIV/0!</v>
      </c>
      <c r="I2133" s="87"/>
      <c r="J2133" s="88"/>
      <c r="K2133" s="88"/>
      <c r="L2133" s="89"/>
      <c r="M2133" s="89"/>
      <c r="N2133" s="90"/>
      <c r="O2133" s="90"/>
      <c r="P2133" s="90"/>
      <c r="Q2133" s="87"/>
      <c r="R2133" s="98"/>
      <c r="S2133" s="90"/>
      <c r="T2133" s="99"/>
    </row>
    <row r="2134" spans="1:20" s="94" customFormat="1" x14ac:dyDescent="0.3">
      <c r="A2134" s="96"/>
      <c r="B2134" s="96"/>
      <c r="C2134" s="87"/>
      <c r="D2134" s="97"/>
      <c r="E2134" s="83"/>
      <c r="F2134" s="83"/>
      <c r="G2134" s="84"/>
      <c r="H2134" s="86" t="e">
        <f>IF(I2134="fora",0%,G2134/QUÓRUM!$C$6)</f>
        <v>#DIV/0!</v>
      </c>
      <c r="I2134" s="87"/>
      <c r="J2134" s="88"/>
      <c r="K2134" s="88"/>
      <c r="L2134" s="89"/>
      <c r="M2134" s="89"/>
      <c r="N2134" s="90"/>
      <c r="O2134" s="90"/>
      <c r="P2134" s="90"/>
      <c r="Q2134" s="87"/>
      <c r="R2134" s="98"/>
      <c r="S2134" s="90"/>
      <c r="T2134" s="99"/>
    </row>
    <row r="2135" spans="1:20" s="94" customFormat="1" x14ac:dyDescent="0.3">
      <c r="A2135" s="96"/>
      <c r="B2135" s="96"/>
      <c r="C2135" s="87"/>
      <c r="D2135" s="97"/>
      <c r="E2135" s="83"/>
      <c r="F2135" s="83"/>
      <c r="G2135" s="84"/>
      <c r="H2135" s="86" t="e">
        <f>IF(I2135="fora",0%,G2135/QUÓRUM!$C$6)</f>
        <v>#DIV/0!</v>
      </c>
      <c r="I2135" s="87"/>
      <c r="J2135" s="88"/>
      <c r="K2135" s="88"/>
      <c r="L2135" s="89"/>
      <c r="M2135" s="89"/>
      <c r="N2135" s="90"/>
      <c r="O2135" s="90"/>
      <c r="P2135" s="90"/>
      <c r="Q2135" s="87"/>
      <c r="R2135" s="98"/>
      <c r="S2135" s="90"/>
      <c r="T2135" s="99"/>
    </row>
    <row r="2136" spans="1:20" s="94" customFormat="1" x14ac:dyDescent="0.3">
      <c r="A2136" s="96"/>
      <c r="B2136" s="96"/>
      <c r="C2136" s="87"/>
      <c r="D2136" s="97"/>
      <c r="E2136" s="83"/>
      <c r="F2136" s="83"/>
      <c r="G2136" s="84"/>
      <c r="H2136" s="86" t="e">
        <f>IF(I2136="fora",0%,G2136/QUÓRUM!$C$6)</f>
        <v>#DIV/0!</v>
      </c>
      <c r="I2136" s="87"/>
      <c r="J2136" s="88"/>
      <c r="K2136" s="88"/>
      <c r="L2136" s="89"/>
      <c r="M2136" s="89"/>
      <c r="N2136" s="90"/>
      <c r="O2136" s="90"/>
      <c r="P2136" s="90"/>
      <c r="Q2136" s="87"/>
      <c r="R2136" s="98"/>
      <c r="S2136" s="90"/>
      <c r="T2136" s="99"/>
    </row>
    <row r="2137" spans="1:20" s="94" customFormat="1" x14ac:dyDescent="0.3">
      <c r="A2137" s="96"/>
      <c r="B2137" s="96"/>
      <c r="C2137" s="87"/>
      <c r="D2137" s="97"/>
      <c r="E2137" s="83"/>
      <c r="F2137" s="83"/>
      <c r="G2137" s="84"/>
      <c r="H2137" s="86" t="e">
        <f>IF(I2137="fora",0%,G2137/QUÓRUM!$C$6)</f>
        <v>#DIV/0!</v>
      </c>
      <c r="I2137" s="87"/>
      <c r="J2137" s="88"/>
      <c r="K2137" s="88"/>
      <c r="L2137" s="89"/>
      <c r="M2137" s="89"/>
      <c r="N2137" s="90"/>
      <c r="O2137" s="90"/>
      <c r="P2137" s="90"/>
      <c r="Q2137" s="87"/>
      <c r="R2137" s="98"/>
      <c r="S2137" s="90"/>
      <c r="T2137" s="99"/>
    </row>
    <row r="2138" spans="1:20" s="94" customFormat="1" x14ac:dyDescent="0.3">
      <c r="A2138" s="96"/>
      <c r="B2138" s="96"/>
      <c r="C2138" s="87"/>
      <c r="D2138" s="97"/>
      <c r="E2138" s="83"/>
      <c r="F2138" s="83"/>
      <c r="G2138" s="84"/>
      <c r="H2138" s="86" t="e">
        <f>IF(I2138="fora",0%,G2138/QUÓRUM!$C$6)</f>
        <v>#DIV/0!</v>
      </c>
      <c r="I2138" s="87"/>
      <c r="J2138" s="88"/>
      <c r="K2138" s="88"/>
      <c r="L2138" s="89"/>
      <c r="M2138" s="89"/>
      <c r="N2138" s="90"/>
      <c r="O2138" s="90"/>
      <c r="P2138" s="90"/>
      <c r="Q2138" s="87"/>
      <c r="R2138" s="98"/>
      <c r="S2138" s="90"/>
      <c r="T2138" s="99"/>
    </row>
    <row r="2139" spans="1:20" s="94" customFormat="1" x14ac:dyDescent="0.3">
      <c r="A2139" s="96"/>
      <c r="B2139" s="96"/>
      <c r="C2139" s="87"/>
      <c r="D2139" s="97"/>
      <c r="E2139" s="83"/>
      <c r="F2139" s="83"/>
      <c r="G2139" s="84"/>
      <c r="H2139" s="86" t="e">
        <f>IF(I2139="fora",0%,G2139/QUÓRUM!$C$6)</f>
        <v>#DIV/0!</v>
      </c>
      <c r="I2139" s="87"/>
      <c r="J2139" s="88"/>
      <c r="K2139" s="88"/>
      <c r="L2139" s="89"/>
      <c r="M2139" s="89"/>
      <c r="N2139" s="90"/>
      <c r="O2139" s="90"/>
      <c r="P2139" s="90"/>
      <c r="Q2139" s="87"/>
      <c r="R2139" s="98"/>
      <c r="S2139" s="90"/>
      <c r="T2139" s="99"/>
    </row>
    <row r="2140" spans="1:20" s="94" customFormat="1" x14ac:dyDescent="0.3">
      <c r="A2140" s="96"/>
      <c r="B2140" s="96"/>
      <c r="C2140" s="87"/>
      <c r="D2140" s="97"/>
      <c r="E2140" s="83"/>
      <c r="F2140" s="83"/>
      <c r="G2140" s="84"/>
      <c r="H2140" s="86" t="e">
        <f>IF(I2140="fora",0%,G2140/QUÓRUM!$C$6)</f>
        <v>#DIV/0!</v>
      </c>
      <c r="I2140" s="87"/>
      <c r="J2140" s="88"/>
      <c r="K2140" s="88"/>
      <c r="L2140" s="89"/>
      <c r="M2140" s="89"/>
      <c r="N2140" s="90"/>
      <c r="O2140" s="90"/>
      <c r="P2140" s="90"/>
      <c r="Q2140" s="87"/>
      <c r="R2140" s="98"/>
      <c r="S2140" s="90"/>
      <c r="T2140" s="99"/>
    </row>
    <row r="2141" spans="1:20" s="94" customFormat="1" x14ac:dyDescent="0.3">
      <c r="A2141" s="96"/>
      <c r="B2141" s="96"/>
      <c r="C2141" s="87"/>
      <c r="D2141" s="97"/>
      <c r="E2141" s="83"/>
      <c r="F2141" s="83"/>
      <c r="G2141" s="84"/>
      <c r="H2141" s="86" t="e">
        <f>IF(I2141="fora",0%,G2141/QUÓRUM!$C$6)</f>
        <v>#DIV/0!</v>
      </c>
      <c r="I2141" s="87"/>
      <c r="J2141" s="88"/>
      <c r="K2141" s="88"/>
      <c r="L2141" s="89"/>
      <c r="M2141" s="89"/>
      <c r="N2141" s="90"/>
      <c r="O2141" s="90"/>
      <c r="P2141" s="90"/>
      <c r="Q2141" s="87"/>
      <c r="R2141" s="98"/>
      <c r="S2141" s="90"/>
      <c r="T2141" s="99"/>
    </row>
    <row r="2142" spans="1:20" s="94" customFormat="1" x14ac:dyDescent="0.3">
      <c r="A2142" s="96"/>
      <c r="B2142" s="96"/>
      <c r="C2142" s="87"/>
      <c r="D2142" s="97"/>
      <c r="E2142" s="83"/>
      <c r="F2142" s="83"/>
      <c r="G2142" s="84"/>
      <c r="H2142" s="86" t="e">
        <f>IF(I2142="fora",0%,G2142/QUÓRUM!$C$6)</f>
        <v>#DIV/0!</v>
      </c>
      <c r="I2142" s="87"/>
      <c r="J2142" s="88"/>
      <c r="K2142" s="88"/>
      <c r="L2142" s="89"/>
      <c r="M2142" s="89"/>
      <c r="N2142" s="90"/>
      <c r="O2142" s="90"/>
      <c r="P2142" s="90"/>
      <c r="Q2142" s="87"/>
      <c r="R2142" s="98"/>
      <c r="S2142" s="90"/>
      <c r="T2142" s="99"/>
    </row>
    <row r="2143" spans="1:20" s="94" customFormat="1" x14ac:dyDescent="0.3">
      <c r="A2143" s="96"/>
      <c r="B2143" s="96"/>
      <c r="C2143" s="87"/>
      <c r="D2143" s="97"/>
      <c r="E2143" s="83"/>
      <c r="F2143" s="83"/>
      <c r="G2143" s="84"/>
      <c r="H2143" s="86" t="e">
        <f>IF(I2143="fora",0%,G2143/QUÓRUM!$C$6)</f>
        <v>#DIV/0!</v>
      </c>
      <c r="I2143" s="87"/>
      <c r="J2143" s="88"/>
      <c r="K2143" s="88"/>
      <c r="L2143" s="89"/>
      <c r="M2143" s="89"/>
      <c r="N2143" s="90"/>
      <c r="O2143" s="90"/>
      <c r="P2143" s="90"/>
      <c r="Q2143" s="87"/>
      <c r="R2143" s="98"/>
      <c r="S2143" s="90"/>
      <c r="T2143" s="99"/>
    </row>
    <row r="2144" spans="1:20" s="94" customFormat="1" x14ac:dyDescent="0.3">
      <c r="A2144" s="96"/>
      <c r="B2144" s="96"/>
      <c r="C2144" s="87"/>
      <c r="D2144" s="97"/>
      <c r="E2144" s="83"/>
      <c r="F2144" s="83"/>
      <c r="G2144" s="84"/>
      <c r="H2144" s="86" t="e">
        <f>IF(I2144="fora",0%,G2144/QUÓRUM!$C$6)</f>
        <v>#DIV/0!</v>
      </c>
      <c r="I2144" s="87"/>
      <c r="J2144" s="88"/>
      <c r="K2144" s="88"/>
      <c r="L2144" s="89"/>
      <c r="M2144" s="89"/>
      <c r="N2144" s="90"/>
      <c r="O2144" s="90"/>
      <c r="P2144" s="90"/>
      <c r="Q2144" s="87"/>
      <c r="R2144" s="98"/>
      <c r="S2144" s="90"/>
      <c r="T2144" s="99"/>
    </row>
    <row r="2145" spans="1:20" s="94" customFormat="1" x14ac:dyDescent="0.3">
      <c r="A2145" s="96"/>
      <c r="B2145" s="96"/>
      <c r="C2145" s="87"/>
      <c r="D2145" s="97"/>
      <c r="E2145" s="83"/>
      <c r="F2145" s="83"/>
      <c r="G2145" s="84"/>
      <c r="H2145" s="86" t="e">
        <f>IF(I2145="fora",0%,G2145/QUÓRUM!$C$6)</f>
        <v>#DIV/0!</v>
      </c>
      <c r="I2145" s="87"/>
      <c r="J2145" s="88"/>
      <c r="K2145" s="88"/>
      <c r="L2145" s="89"/>
      <c r="M2145" s="89"/>
      <c r="N2145" s="90"/>
      <c r="O2145" s="90"/>
      <c r="P2145" s="90"/>
      <c r="Q2145" s="87"/>
      <c r="R2145" s="98"/>
      <c r="S2145" s="90"/>
      <c r="T2145" s="99"/>
    </row>
    <row r="2146" spans="1:20" s="94" customFormat="1" x14ac:dyDescent="0.3">
      <c r="A2146" s="96"/>
      <c r="B2146" s="96"/>
      <c r="C2146" s="87"/>
      <c r="D2146" s="97"/>
      <c r="E2146" s="83"/>
      <c r="F2146" s="83"/>
      <c r="G2146" s="84"/>
      <c r="H2146" s="86" t="e">
        <f>IF(I2146="fora",0%,G2146/QUÓRUM!$C$6)</f>
        <v>#DIV/0!</v>
      </c>
      <c r="I2146" s="87"/>
      <c r="J2146" s="88"/>
      <c r="K2146" s="88"/>
      <c r="L2146" s="89"/>
      <c r="M2146" s="89"/>
      <c r="N2146" s="90"/>
      <c r="O2146" s="90"/>
      <c r="P2146" s="90"/>
      <c r="Q2146" s="87"/>
      <c r="R2146" s="98"/>
      <c r="S2146" s="90"/>
      <c r="T2146" s="99"/>
    </row>
    <row r="2147" spans="1:20" s="94" customFormat="1" x14ac:dyDescent="0.3">
      <c r="A2147" s="96"/>
      <c r="B2147" s="96"/>
      <c r="C2147" s="87"/>
      <c r="D2147" s="97"/>
      <c r="E2147" s="83"/>
      <c r="F2147" s="83"/>
      <c r="G2147" s="84"/>
      <c r="H2147" s="86" t="e">
        <f>IF(I2147="fora",0%,G2147/QUÓRUM!$C$6)</f>
        <v>#DIV/0!</v>
      </c>
      <c r="I2147" s="87"/>
      <c r="J2147" s="88"/>
      <c r="K2147" s="88"/>
      <c r="L2147" s="89"/>
      <c r="M2147" s="89"/>
      <c r="N2147" s="90"/>
      <c r="O2147" s="90"/>
      <c r="P2147" s="90"/>
      <c r="Q2147" s="87"/>
      <c r="R2147" s="98"/>
      <c r="S2147" s="90"/>
      <c r="T2147" s="99"/>
    </row>
    <row r="2148" spans="1:20" s="94" customFormat="1" x14ac:dyDescent="0.3">
      <c r="A2148" s="96"/>
      <c r="B2148" s="96"/>
      <c r="C2148" s="87"/>
      <c r="D2148" s="97"/>
      <c r="E2148" s="83"/>
      <c r="F2148" s="83"/>
      <c r="G2148" s="84"/>
      <c r="H2148" s="86" t="e">
        <f>IF(I2148="fora",0%,G2148/QUÓRUM!$C$6)</f>
        <v>#DIV/0!</v>
      </c>
      <c r="I2148" s="87"/>
      <c r="J2148" s="88"/>
      <c r="K2148" s="88"/>
      <c r="L2148" s="89"/>
      <c r="M2148" s="89"/>
      <c r="N2148" s="90"/>
      <c r="O2148" s="90"/>
      <c r="P2148" s="90"/>
      <c r="Q2148" s="87"/>
      <c r="R2148" s="98"/>
      <c r="S2148" s="90"/>
      <c r="T2148" s="99"/>
    </row>
    <row r="2149" spans="1:20" s="94" customFormat="1" x14ac:dyDescent="0.3">
      <c r="A2149" s="96"/>
      <c r="B2149" s="96"/>
      <c r="C2149" s="87"/>
      <c r="D2149" s="97"/>
      <c r="E2149" s="83"/>
      <c r="F2149" s="83"/>
      <c r="G2149" s="84"/>
      <c r="H2149" s="86" t="e">
        <f>IF(I2149="fora",0%,G2149/QUÓRUM!$C$6)</f>
        <v>#DIV/0!</v>
      </c>
      <c r="I2149" s="87"/>
      <c r="J2149" s="88"/>
      <c r="K2149" s="88"/>
      <c r="L2149" s="89"/>
      <c r="M2149" s="89"/>
      <c r="N2149" s="90"/>
      <c r="O2149" s="90"/>
      <c r="P2149" s="90"/>
      <c r="Q2149" s="87"/>
      <c r="R2149" s="98"/>
      <c r="S2149" s="90"/>
      <c r="T2149" s="99"/>
    </row>
    <row r="2150" spans="1:20" s="94" customFormat="1" x14ac:dyDescent="0.3">
      <c r="A2150" s="96"/>
      <c r="B2150" s="96"/>
      <c r="C2150" s="87"/>
      <c r="D2150" s="97"/>
      <c r="E2150" s="83"/>
      <c r="F2150" s="83"/>
      <c r="G2150" s="84"/>
      <c r="H2150" s="86" t="e">
        <f>IF(I2150="fora",0%,G2150/QUÓRUM!$C$6)</f>
        <v>#DIV/0!</v>
      </c>
      <c r="I2150" s="87"/>
      <c r="J2150" s="88"/>
      <c r="K2150" s="88"/>
      <c r="L2150" s="89"/>
      <c r="M2150" s="89"/>
      <c r="N2150" s="90"/>
      <c r="O2150" s="90"/>
      <c r="P2150" s="90"/>
      <c r="Q2150" s="87"/>
      <c r="R2150" s="98"/>
      <c r="S2150" s="90"/>
      <c r="T2150" s="99"/>
    </row>
    <row r="2151" spans="1:20" s="94" customFormat="1" x14ac:dyDescent="0.3">
      <c r="A2151" s="96"/>
      <c r="B2151" s="96"/>
      <c r="C2151" s="87"/>
      <c r="D2151" s="97"/>
      <c r="E2151" s="83"/>
      <c r="F2151" s="83"/>
      <c r="G2151" s="84"/>
      <c r="H2151" s="86" t="e">
        <f>IF(I2151="fora",0%,G2151/QUÓRUM!$C$6)</f>
        <v>#DIV/0!</v>
      </c>
      <c r="I2151" s="87"/>
      <c r="J2151" s="88"/>
      <c r="K2151" s="88"/>
      <c r="L2151" s="89"/>
      <c r="M2151" s="89"/>
      <c r="N2151" s="90"/>
      <c r="O2151" s="90"/>
      <c r="P2151" s="90"/>
      <c r="Q2151" s="87"/>
      <c r="R2151" s="98"/>
      <c r="S2151" s="90"/>
      <c r="T2151" s="99"/>
    </row>
    <row r="2152" spans="1:20" s="94" customFormat="1" x14ac:dyDescent="0.3">
      <c r="A2152" s="96"/>
      <c r="B2152" s="96"/>
      <c r="C2152" s="87"/>
      <c r="D2152" s="97"/>
      <c r="E2152" s="83"/>
      <c r="F2152" s="83"/>
      <c r="G2152" s="84"/>
      <c r="H2152" s="86" t="e">
        <f>IF(I2152="fora",0%,G2152/QUÓRUM!$C$6)</f>
        <v>#DIV/0!</v>
      </c>
      <c r="I2152" s="87"/>
      <c r="J2152" s="88"/>
      <c r="K2152" s="88"/>
      <c r="L2152" s="89"/>
      <c r="M2152" s="89"/>
      <c r="N2152" s="90"/>
      <c r="O2152" s="90"/>
      <c r="P2152" s="90"/>
      <c r="Q2152" s="87"/>
      <c r="R2152" s="98"/>
      <c r="S2152" s="90"/>
      <c r="T2152" s="99"/>
    </row>
    <row r="2153" spans="1:20" s="94" customFormat="1" x14ac:dyDescent="0.3">
      <c r="A2153" s="96"/>
      <c r="B2153" s="96"/>
      <c r="C2153" s="87"/>
      <c r="D2153" s="97"/>
      <c r="E2153" s="83"/>
      <c r="F2153" s="83"/>
      <c r="G2153" s="84"/>
      <c r="H2153" s="86" t="e">
        <f>IF(I2153="fora",0%,G2153/QUÓRUM!$C$6)</f>
        <v>#DIV/0!</v>
      </c>
      <c r="I2153" s="87"/>
      <c r="J2153" s="88"/>
      <c r="K2153" s="88"/>
      <c r="L2153" s="89"/>
      <c r="M2153" s="89"/>
      <c r="N2153" s="90"/>
      <c r="O2153" s="90"/>
      <c r="P2153" s="90"/>
      <c r="Q2153" s="87"/>
      <c r="R2153" s="98"/>
      <c r="S2153" s="90"/>
      <c r="T2153" s="99"/>
    </row>
    <row r="2154" spans="1:20" s="94" customFormat="1" x14ac:dyDescent="0.3">
      <c r="A2154" s="96"/>
      <c r="B2154" s="96"/>
      <c r="C2154" s="87"/>
      <c r="D2154" s="97"/>
      <c r="E2154" s="83"/>
      <c r="F2154" s="83"/>
      <c r="G2154" s="84"/>
      <c r="H2154" s="86" t="e">
        <f>IF(I2154="fora",0%,G2154/QUÓRUM!$C$6)</f>
        <v>#DIV/0!</v>
      </c>
      <c r="I2154" s="87"/>
      <c r="J2154" s="88"/>
      <c r="K2154" s="88"/>
      <c r="L2154" s="89"/>
      <c r="M2154" s="89"/>
      <c r="N2154" s="90"/>
      <c r="O2154" s="90"/>
      <c r="P2154" s="90"/>
      <c r="Q2154" s="87"/>
      <c r="R2154" s="98"/>
      <c r="S2154" s="90"/>
      <c r="T2154" s="99"/>
    </row>
    <row r="2155" spans="1:20" s="94" customFormat="1" x14ac:dyDescent="0.3">
      <c r="A2155" s="96"/>
      <c r="B2155" s="96"/>
      <c r="C2155" s="87"/>
      <c r="D2155" s="97"/>
      <c r="E2155" s="83"/>
      <c r="F2155" s="83"/>
      <c r="G2155" s="84"/>
      <c r="H2155" s="86" t="e">
        <f>IF(I2155="fora",0%,G2155/QUÓRUM!$C$6)</f>
        <v>#DIV/0!</v>
      </c>
      <c r="I2155" s="87"/>
      <c r="J2155" s="88"/>
      <c r="K2155" s="88"/>
      <c r="L2155" s="89"/>
      <c r="M2155" s="89"/>
      <c r="N2155" s="90"/>
      <c r="O2155" s="90"/>
      <c r="P2155" s="90"/>
      <c r="Q2155" s="87"/>
      <c r="R2155" s="98"/>
      <c r="S2155" s="90"/>
      <c r="T2155" s="99"/>
    </row>
    <row r="2156" spans="1:20" s="94" customFormat="1" x14ac:dyDescent="0.3">
      <c r="A2156" s="96"/>
      <c r="B2156" s="96"/>
      <c r="C2156" s="87"/>
      <c r="D2156" s="97"/>
      <c r="E2156" s="83"/>
      <c r="F2156" s="83"/>
      <c r="G2156" s="84"/>
      <c r="H2156" s="86" t="e">
        <f>IF(I2156="fora",0%,G2156/QUÓRUM!$C$6)</f>
        <v>#DIV/0!</v>
      </c>
      <c r="I2156" s="87"/>
      <c r="J2156" s="88"/>
      <c r="K2156" s="88"/>
      <c r="L2156" s="89"/>
      <c r="M2156" s="89"/>
      <c r="N2156" s="90"/>
      <c r="O2156" s="90"/>
      <c r="P2156" s="90"/>
      <c r="Q2156" s="87"/>
      <c r="R2156" s="98"/>
      <c r="S2156" s="90"/>
      <c r="T2156" s="99"/>
    </row>
    <row r="2157" spans="1:20" s="94" customFormat="1" x14ac:dyDescent="0.3">
      <c r="A2157" s="96"/>
      <c r="B2157" s="96"/>
      <c r="C2157" s="87"/>
      <c r="D2157" s="97"/>
      <c r="E2157" s="83"/>
      <c r="F2157" s="83"/>
      <c r="G2157" s="84"/>
      <c r="H2157" s="86" t="e">
        <f>IF(I2157="fora",0%,G2157/QUÓRUM!$C$6)</f>
        <v>#DIV/0!</v>
      </c>
      <c r="I2157" s="87"/>
      <c r="J2157" s="88"/>
      <c r="K2157" s="88"/>
      <c r="L2157" s="89"/>
      <c r="M2157" s="89"/>
      <c r="N2157" s="90"/>
      <c r="O2157" s="90"/>
      <c r="P2157" s="90"/>
      <c r="Q2157" s="87"/>
      <c r="R2157" s="98"/>
      <c r="S2157" s="90"/>
      <c r="T2157" s="99"/>
    </row>
    <row r="2158" spans="1:20" s="94" customFormat="1" x14ac:dyDescent="0.3">
      <c r="A2158" s="96"/>
      <c r="B2158" s="96"/>
      <c r="C2158" s="87"/>
      <c r="D2158" s="97"/>
      <c r="E2158" s="83"/>
      <c r="F2158" s="83"/>
      <c r="G2158" s="84"/>
      <c r="H2158" s="86" t="e">
        <f>IF(I2158="fora",0%,G2158/QUÓRUM!$C$6)</f>
        <v>#DIV/0!</v>
      </c>
      <c r="I2158" s="87"/>
      <c r="J2158" s="88"/>
      <c r="K2158" s="88"/>
      <c r="L2158" s="89"/>
      <c r="M2158" s="89"/>
      <c r="N2158" s="90"/>
      <c r="O2158" s="90"/>
      <c r="P2158" s="90"/>
      <c r="Q2158" s="87"/>
      <c r="R2158" s="98"/>
      <c r="S2158" s="90"/>
      <c r="T2158" s="99"/>
    </row>
    <row r="2159" spans="1:20" s="94" customFormat="1" x14ac:dyDescent="0.3">
      <c r="A2159" s="96"/>
      <c r="B2159" s="96"/>
      <c r="C2159" s="87"/>
      <c r="D2159" s="97"/>
      <c r="E2159" s="83"/>
      <c r="F2159" s="83"/>
      <c r="G2159" s="84"/>
      <c r="H2159" s="86" t="e">
        <f>IF(I2159="fora",0%,G2159/QUÓRUM!$C$6)</f>
        <v>#DIV/0!</v>
      </c>
      <c r="I2159" s="87"/>
      <c r="J2159" s="88"/>
      <c r="K2159" s="88"/>
      <c r="L2159" s="89"/>
      <c r="M2159" s="89"/>
      <c r="N2159" s="90"/>
      <c r="O2159" s="90"/>
      <c r="P2159" s="90"/>
      <c r="Q2159" s="87"/>
      <c r="R2159" s="98"/>
      <c r="S2159" s="90"/>
      <c r="T2159" s="99"/>
    </row>
    <row r="2160" spans="1:20" s="94" customFormat="1" x14ac:dyDescent="0.3">
      <c r="A2160" s="96"/>
      <c r="B2160" s="96"/>
      <c r="C2160" s="87"/>
      <c r="D2160" s="97"/>
      <c r="E2160" s="83"/>
      <c r="F2160" s="83"/>
      <c r="G2160" s="84"/>
      <c r="H2160" s="86" t="e">
        <f>IF(I2160="fora",0%,G2160/QUÓRUM!$C$6)</f>
        <v>#DIV/0!</v>
      </c>
      <c r="I2160" s="87"/>
      <c r="J2160" s="88"/>
      <c r="K2160" s="88"/>
      <c r="L2160" s="89"/>
      <c r="M2160" s="89"/>
      <c r="N2160" s="90"/>
      <c r="O2160" s="90"/>
      <c r="P2160" s="90"/>
      <c r="Q2160" s="87"/>
      <c r="R2160" s="98"/>
      <c r="S2160" s="90"/>
      <c r="T2160" s="99"/>
    </row>
    <row r="2161" spans="1:20" s="94" customFormat="1" x14ac:dyDescent="0.3">
      <c r="A2161" s="96"/>
      <c r="B2161" s="96"/>
      <c r="C2161" s="87"/>
      <c r="D2161" s="97"/>
      <c r="E2161" s="83"/>
      <c r="F2161" s="83"/>
      <c r="G2161" s="84"/>
      <c r="H2161" s="86" t="e">
        <f>IF(I2161="fora",0%,G2161/QUÓRUM!$C$6)</f>
        <v>#DIV/0!</v>
      </c>
      <c r="I2161" s="87"/>
      <c r="J2161" s="88"/>
      <c r="K2161" s="88"/>
      <c r="L2161" s="89"/>
      <c r="M2161" s="89"/>
      <c r="N2161" s="90"/>
      <c r="O2161" s="90"/>
      <c r="P2161" s="90"/>
      <c r="Q2161" s="87"/>
      <c r="R2161" s="98"/>
      <c r="S2161" s="90"/>
      <c r="T2161" s="99"/>
    </row>
    <row r="2162" spans="1:20" s="94" customFormat="1" x14ac:dyDescent="0.3">
      <c r="A2162" s="96"/>
      <c r="B2162" s="96"/>
      <c r="C2162" s="87"/>
      <c r="D2162" s="97"/>
      <c r="E2162" s="83"/>
      <c r="F2162" s="83"/>
      <c r="G2162" s="84"/>
      <c r="H2162" s="86" t="e">
        <f>IF(I2162="fora",0%,G2162/QUÓRUM!$C$6)</f>
        <v>#DIV/0!</v>
      </c>
      <c r="I2162" s="87"/>
      <c r="J2162" s="88"/>
      <c r="K2162" s="88"/>
      <c r="L2162" s="89"/>
      <c r="M2162" s="89"/>
      <c r="N2162" s="90"/>
      <c r="O2162" s="90"/>
      <c r="P2162" s="90"/>
      <c r="Q2162" s="87"/>
      <c r="R2162" s="98"/>
      <c r="S2162" s="90"/>
      <c r="T2162" s="99"/>
    </row>
    <row r="2163" spans="1:20" s="94" customFormat="1" x14ac:dyDescent="0.3">
      <c r="A2163" s="96"/>
      <c r="B2163" s="96"/>
      <c r="C2163" s="87"/>
      <c r="D2163" s="97"/>
      <c r="E2163" s="83"/>
      <c r="F2163" s="83"/>
      <c r="G2163" s="84"/>
      <c r="H2163" s="86" t="e">
        <f>IF(I2163="fora",0%,G2163/QUÓRUM!$C$6)</f>
        <v>#DIV/0!</v>
      </c>
      <c r="I2163" s="87"/>
      <c r="J2163" s="88"/>
      <c r="K2163" s="88"/>
      <c r="L2163" s="89"/>
      <c r="M2163" s="89"/>
      <c r="N2163" s="90"/>
      <c r="O2163" s="90"/>
      <c r="P2163" s="90"/>
      <c r="Q2163" s="87"/>
      <c r="R2163" s="98"/>
      <c r="S2163" s="90"/>
      <c r="T2163" s="99"/>
    </row>
    <row r="2164" spans="1:20" s="94" customFormat="1" x14ac:dyDescent="0.3">
      <c r="A2164" s="96"/>
      <c r="B2164" s="96"/>
      <c r="C2164" s="87"/>
      <c r="D2164" s="97"/>
      <c r="E2164" s="83"/>
      <c r="F2164" s="83"/>
      <c r="G2164" s="84"/>
      <c r="H2164" s="86" t="e">
        <f>IF(I2164="fora",0%,G2164/QUÓRUM!$C$6)</f>
        <v>#DIV/0!</v>
      </c>
      <c r="I2164" s="87"/>
      <c r="J2164" s="88"/>
      <c r="K2164" s="88"/>
      <c r="L2164" s="89"/>
      <c r="M2164" s="89"/>
      <c r="N2164" s="90"/>
      <c r="O2164" s="90"/>
      <c r="P2164" s="90"/>
      <c r="Q2164" s="87"/>
      <c r="R2164" s="98"/>
      <c r="S2164" s="90"/>
      <c r="T2164" s="99"/>
    </row>
    <row r="2165" spans="1:20" s="94" customFormat="1" x14ac:dyDescent="0.3">
      <c r="A2165" s="96"/>
      <c r="B2165" s="96"/>
      <c r="C2165" s="87"/>
      <c r="D2165" s="97"/>
      <c r="E2165" s="83"/>
      <c r="F2165" s="83"/>
      <c r="G2165" s="84"/>
      <c r="H2165" s="86" t="e">
        <f>IF(I2165="fora",0%,G2165/QUÓRUM!$C$6)</f>
        <v>#DIV/0!</v>
      </c>
      <c r="I2165" s="87"/>
      <c r="J2165" s="88"/>
      <c r="K2165" s="88"/>
      <c r="L2165" s="89"/>
      <c r="M2165" s="89"/>
      <c r="N2165" s="90"/>
      <c r="O2165" s="90"/>
      <c r="P2165" s="90"/>
      <c r="Q2165" s="87"/>
      <c r="R2165" s="98"/>
      <c r="S2165" s="90"/>
      <c r="T2165" s="99"/>
    </row>
    <row r="2166" spans="1:20" s="94" customFormat="1" x14ac:dyDescent="0.3">
      <c r="A2166" s="96"/>
      <c r="B2166" s="96"/>
      <c r="C2166" s="87"/>
      <c r="D2166" s="97"/>
      <c r="E2166" s="83"/>
      <c r="F2166" s="83"/>
      <c r="G2166" s="84"/>
      <c r="H2166" s="86" t="e">
        <f>IF(I2166="fora",0%,G2166/QUÓRUM!$C$6)</f>
        <v>#DIV/0!</v>
      </c>
      <c r="I2166" s="87"/>
      <c r="J2166" s="88"/>
      <c r="K2166" s="88"/>
      <c r="L2166" s="89"/>
      <c r="M2166" s="89"/>
      <c r="N2166" s="90"/>
      <c r="O2166" s="90"/>
      <c r="P2166" s="90"/>
      <c r="Q2166" s="87"/>
      <c r="R2166" s="98"/>
      <c r="S2166" s="90"/>
      <c r="T2166" s="99"/>
    </row>
    <row r="2167" spans="1:20" s="94" customFormat="1" x14ac:dyDescent="0.3">
      <c r="A2167" s="96"/>
      <c r="B2167" s="96"/>
      <c r="C2167" s="87"/>
      <c r="D2167" s="97"/>
      <c r="E2167" s="83"/>
      <c r="F2167" s="83"/>
      <c r="G2167" s="84"/>
      <c r="H2167" s="86" t="e">
        <f>IF(I2167="fora",0%,G2167/QUÓRUM!$C$6)</f>
        <v>#DIV/0!</v>
      </c>
      <c r="I2167" s="87"/>
      <c r="J2167" s="88"/>
      <c r="K2167" s="88"/>
      <c r="L2167" s="89"/>
      <c r="M2167" s="89"/>
      <c r="N2167" s="90"/>
      <c r="O2167" s="90"/>
      <c r="P2167" s="90"/>
      <c r="Q2167" s="87"/>
      <c r="R2167" s="98"/>
      <c r="S2167" s="90"/>
      <c r="T2167" s="99"/>
    </row>
    <row r="2168" spans="1:20" s="94" customFormat="1" x14ac:dyDescent="0.3">
      <c r="A2168" s="96"/>
      <c r="B2168" s="96"/>
      <c r="C2168" s="87"/>
      <c r="D2168" s="97"/>
      <c r="E2168" s="83"/>
      <c r="F2168" s="83"/>
      <c r="G2168" s="84"/>
      <c r="H2168" s="86" t="e">
        <f>IF(I2168="fora",0%,G2168/QUÓRUM!$C$6)</f>
        <v>#DIV/0!</v>
      </c>
      <c r="I2168" s="87"/>
      <c r="J2168" s="88"/>
      <c r="K2168" s="88"/>
      <c r="L2168" s="89"/>
      <c r="M2168" s="89"/>
      <c r="N2168" s="90"/>
      <c r="O2168" s="90"/>
      <c r="P2168" s="90"/>
      <c r="Q2168" s="87"/>
      <c r="R2168" s="98"/>
      <c r="S2168" s="90"/>
      <c r="T2168" s="99"/>
    </row>
    <row r="2169" spans="1:20" s="94" customFormat="1" x14ac:dyDescent="0.3">
      <c r="A2169" s="96"/>
      <c r="B2169" s="96"/>
      <c r="C2169" s="87"/>
      <c r="D2169" s="97"/>
      <c r="E2169" s="83"/>
      <c r="F2169" s="83"/>
      <c r="G2169" s="84"/>
      <c r="H2169" s="86" t="e">
        <f>IF(I2169="fora",0%,G2169/QUÓRUM!$C$6)</f>
        <v>#DIV/0!</v>
      </c>
      <c r="I2169" s="87"/>
      <c r="J2169" s="88"/>
      <c r="K2169" s="88"/>
      <c r="L2169" s="89"/>
      <c r="M2169" s="89"/>
      <c r="N2169" s="90"/>
      <c r="O2169" s="90"/>
      <c r="P2169" s="90"/>
      <c r="Q2169" s="87"/>
      <c r="R2169" s="98"/>
      <c r="S2169" s="90"/>
      <c r="T2169" s="99"/>
    </row>
    <row r="2170" spans="1:20" s="94" customFormat="1" x14ac:dyDescent="0.3">
      <c r="A2170" s="96"/>
      <c r="B2170" s="96"/>
      <c r="C2170" s="87"/>
      <c r="D2170" s="97"/>
      <c r="E2170" s="83"/>
      <c r="F2170" s="83"/>
      <c r="G2170" s="84"/>
      <c r="H2170" s="86" t="e">
        <f>IF(I2170="fora",0%,G2170/QUÓRUM!$C$6)</f>
        <v>#DIV/0!</v>
      </c>
      <c r="I2170" s="87"/>
      <c r="J2170" s="88"/>
      <c r="K2170" s="88"/>
      <c r="L2170" s="89"/>
      <c r="M2170" s="89"/>
      <c r="N2170" s="90"/>
      <c r="O2170" s="90"/>
      <c r="P2170" s="90"/>
      <c r="Q2170" s="87"/>
      <c r="R2170" s="98"/>
      <c r="S2170" s="90"/>
      <c r="T2170" s="99"/>
    </row>
    <row r="2171" spans="1:20" s="94" customFormat="1" x14ac:dyDescent="0.3">
      <c r="A2171" s="96"/>
      <c r="B2171" s="96"/>
      <c r="C2171" s="87"/>
      <c r="D2171" s="97"/>
      <c r="E2171" s="83"/>
      <c r="F2171" s="83"/>
      <c r="G2171" s="84"/>
      <c r="H2171" s="86" t="e">
        <f>IF(I2171="fora",0%,G2171/QUÓRUM!$C$6)</f>
        <v>#DIV/0!</v>
      </c>
      <c r="I2171" s="87"/>
      <c r="J2171" s="88"/>
      <c r="K2171" s="88"/>
      <c r="L2171" s="89"/>
      <c r="M2171" s="89"/>
      <c r="N2171" s="90"/>
      <c r="O2171" s="90"/>
      <c r="P2171" s="90"/>
      <c r="Q2171" s="87"/>
      <c r="R2171" s="98"/>
      <c r="S2171" s="90"/>
      <c r="T2171" s="99"/>
    </row>
    <row r="2172" spans="1:20" s="94" customFormat="1" x14ac:dyDescent="0.3">
      <c r="A2172" s="96"/>
      <c r="B2172" s="96"/>
      <c r="C2172" s="87"/>
      <c r="D2172" s="97"/>
      <c r="E2172" s="83"/>
      <c r="F2172" s="83"/>
      <c r="G2172" s="84"/>
      <c r="H2172" s="86" t="e">
        <f>IF(I2172="fora",0%,G2172/QUÓRUM!$C$6)</f>
        <v>#DIV/0!</v>
      </c>
      <c r="I2172" s="87"/>
      <c r="J2172" s="88"/>
      <c r="K2172" s="88"/>
      <c r="L2172" s="89"/>
      <c r="M2172" s="89"/>
      <c r="N2172" s="90"/>
      <c r="O2172" s="90"/>
      <c r="P2172" s="90"/>
      <c r="Q2172" s="87"/>
      <c r="R2172" s="98"/>
      <c r="S2172" s="90"/>
      <c r="T2172" s="99"/>
    </row>
    <row r="2173" spans="1:20" s="94" customFormat="1" x14ac:dyDescent="0.3">
      <c r="A2173" s="96"/>
      <c r="B2173" s="96"/>
      <c r="C2173" s="87"/>
      <c r="D2173" s="97"/>
      <c r="E2173" s="83"/>
      <c r="F2173" s="83"/>
      <c r="G2173" s="84"/>
      <c r="H2173" s="86" t="e">
        <f>IF(I2173="fora",0%,G2173/QUÓRUM!$C$6)</f>
        <v>#DIV/0!</v>
      </c>
      <c r="I2173" s="87"/>
      <c r="J2173" s="88"/>
      <c r="K2173" s="88"/>
      <c r="L2173" s="89"/>
      <c r="M2173" s="89"/>
      <c r="N2173" s="90"/>
      <c r="O2173" s="90"/>
      <c r="P2173" s="90"/>
      <c r="Q2173" s="87"/>
      <c r="R2173" s="98"/>
      <c r="S2173" s="90"/>
      <c r="T2173" s="99"/>
    </row>
    <row r="2174" spans="1:20" s="94" customFormat="1" x14ac:dyDescent="0.3">
      <c r="A2174" s="96"/>
      <c r="B2174" s="96"/>
      <c r="C2174" s="87"/>
      <c r="D2174" s="97"/>
      <c r="E2174" s="83"/>
      <c r="F2174" s="83"/>
      <c r="G2174" s="84"/>
      <c r="H2174" s="86" t="e">
        <f>IF(I2174="fora",0%,G2174/QUÓRUM!$C$6)</f>
        <v>#DIV/0!</v>
      </c>
      <c r="I2174" s="87"/>
      <c r="J2174" s="88"/>
      <c r="K2174" s="88"/>
      <c r="L2174" s="89"/>
      <c r="M2174" s="89"/>
      <c r="N2174" s="90"/>
      <c r="O2174" s="90"/>
      <c r="P2174" s="90"/>
      <c r="Q2174" s="87"/>
      <c r="R2174" s="98"/>
      <c r="S2174" s="90"/>
      <c r="T2174" s="99"/>
    </row>
    <row r="2175" spans="1:20" s="94" customFormat="1" x14ac:dyDescent="0.3">
      <c r="A2175" s="96"/>
      <c r="B2175" s="96"/>
      <c r="C2175" s="87"/>
      <c r="D2175" s="97"/>
      <c r="E2175" s="83"/>
      <c r="F2175" s="83"/>
      <c r="G2175" s="84"/>
      <c r="H2175" s="86" t="e">
        <f>IF(I2175="fora",0%,G2175/QUÓRUM!$C$6)</f>
        <v>#DIV/0!</v>
      </c>
      <c r="I2175" s="87"/>
      <c r="J2175" s="88"/>
      <c r="K2175" s="88"/>
      <c r="L2175" s="89"/>
      <c r="M2175" s="89"/>
      <c r="N2175" s="90"/>
      <c r="O2175" s="90"/>
      <c r="P2175" s="90"/>
      <c r="Q2175" s="87"/>
      <c r="R2175" s="98"/>
      <c r="S2175" s="90"/>
      <c r="T2175" s="99"/>
    </row>
    <row r="2176" spans="1:20" s="94" customFormat="1" x14ac:dyDescent="0.3">
      <c r="A2176" s="96"/>
      <c r="B2176" s="96"/>
      <c r="C2176" s="87"/>
      <c r="D2176" s="97"/>
      <c r="E2176" s="83"/>
      <c r="F2176" s="83"/>
      <c r="G2176" s="84"/>
      <c r="H2176" s="86" t="e">
        <f>IF(I2176="fora",0%,G2176/QUÓRUM!$C$6)</f>
        <v>#DIV/0!</v>
      </c>
      <c r="I2176" s="87"/>
      <c r="J2176" s="88"/>
      <c r="K2176" s="88"/>
      <c r="L2176" s="89"/>
      <c r="M2176" s="89"/>
      <c r="N2176" s="90"/>
      <c r="O2176" s="90"/>
      <c r="P2176" s="90"/>
      <c r="Q2176" s="87"/>
      <c r="R2176" s="98"/>
      <c r="S2176" s="90"/>
      <c r="T2176" s="99"/>
    </row>
    <row r="2177" spans="1:20" s="94" customFormat="1" x14ac:dyDescent="0.3">
      <c r="A2177" s="96"/>
      <c r="B2177" s="96"/>
      <c r="C2177" s="87"/>
      <c r="D2177" s="97"/>
      <c r="E2177" s="83"/>
      <c r="F2177" s="83"/>
      <c r="G2177" s="84"/>
      <c r="H2177" s="86" t="e">
        <f>IF(I2177="fora",0%,G2177/QUÓRUM!$C$6)</f>
        <v>#DIV/0!</v>
      </c>
      <c r="I2177" s="87"/>
      <c r="J2177" s="88"/>
      <c r="K2177" s="88"/>
      <c r="L2177" s="89"/>
      <c r="M2177" s="89"/>
      <c r="N2177" s="90"/>
      <c r="O2177" s="90"/>
      <c r="P2177" s="90"/>
      <c r="Q2177" s="87"/>
      <c r="R2177" s="98"/>
      <c r="S2177" s="90"/>
      <c r="T2177" s="99"/>
    </row>
    <row r="2178" spans="1:20" s="94" customFormat="1" x14ac:dyDescent="0.3">
      <c r="A2178" s="96"/>
      <c r="B2178" s="96"/>
      <c r="C2178" s="87"/>
      <c r="D2178" s="97"/>
      <c r="E2178" s="83"/>
      <c r="F2178" s="83"/>
      <c r="G2178" s="84"/>
      <c r="H2178" s="86" t="e">
        <f>IF(I2178="fora",0%,G2178/QUÓRUM!$C$6)</f>
        <v>#DIV/0!</v>
      </c>
      <c r="I2178" s="87"/>
      <c r="J2178" s="88"/>
      <c r="K2178" s="88"/>
      <c r="L2178" s="89"/>
      <c r="M2178" s="89"/>
      <c r="N2178" s="90"/>
      <c r="O2178" s="90"/>
      <c r="P2178" s="90"/>
      <c r="Q2178" s="87"/>
      <c r="R2178" s="98"/>
      <c r="S2178" s="90"/>
      <c r="T2178" s="99"/>
    </row>
    <row r="2179" spans="1:20" s="94" customFormat="1" x14ac:dyDescent="0.3">
      <c r="A2179" s="96"/>
      <c r="B2179" s="96"/>
      <c r="C2179" s="87"/>
      <c r="D2179" s="97"/>
      <c r="E2179" s="83"/>
      <c r="F2179" s="83"/>
      <c r="G2179" s="84"/>
      <c r="H2179" s="86" t="e">
        <f>IF(I2179="fora",0%,G2179/QUÓRUM!$C$6)</f>
        <v>#DIV/0!</v>
      </c>
      <c r="I2179" s="87"/>
      <c r="J2179" s="88"/>
      <c r="K2179" s="88"/>
      <c r="L2179" s="89"/>
      <c r="M2179" s="89"/>
      <c r="N2179" s="90"/>
      <c r="O2179" s="90"/>
      <c r="P2179" s="90"/>
      <c r="Q2179" s="87"/>
      <c r="R2179" s="98"/>
      <c r="S2179" s="90"/>
      <c r="T2179" s="99"/>
    </row>
    <row r="2180" spans="1:20" s="94" customFormat="1" x14ac:dyDescent="0.3">
      <c r="A2180" s="96"/>
      <c r="B2180" s="96"/>
      <c r="C2180" s="87"/>
      <c r="D2180" s="97"/>
      <c r="E2180" s="83"/>
      <c r="F2180" s="83"/>
      <c r="G2180" s="84"/>
      <c r="H2180" s="86" t="e">
        <f>IF(I2180="fora",0%,G2180/QUÓRUM!$C$6)</f>
        <v>#DIV/0!</v>
      </c>
      <c r="I2180" s="87"/>
      <c r="J2180" s="88"/>
      <c r="K2180" s="88"/>
      <c r="L2180" s="89"/>
      <c r="M2180" s="89"/>
      <c r="N2180" s="90"/>
      <c r="O2180" s="90"/>
      <c r="P2180" s="90"/>
      <c r="Q2180" s="87"/>
      <c r="R2180" s="98"/>
      <c r="S2180" s="90"/>
      <c r="T2180" s="99"/>
    </row>
    <row r="2181" spans="1:20" s="94" customFormat="1" x14ac:dyDescent="0.3">
      <c r="A2181" s="96"/>
      <c r="B2181" s="96"/>
      <c r="C2181" s="87"/>
      <c r="D2181" s="97"/>
      <c r="E2181" s="83"/>
      <c r="F2181" s="83"/>
      <c r="G2181" s="84"/>
      <c r="H2181" s="86" t="e">
        <f>IF(I2181="fora",0%,G2181/QUÓRUM!$C$6)</f>
        <v>#DIV/0!</v>
      </c>
      <c r="I2181" s="87"/>
      <c r="J2181" s="88"/>
      <c r="K2181" s="88"/>
      <c r="L2181" s="89"/>
      <c r="M2181" s="89"/>
      <c r="N2181" s="90"/>
      <c r="O2181" s="90"/>
      <c r="P2181" s="90"/>
      <c r="Q2181" s="87"/>
      <c r="R2181" s="98"/>
      <c r="S2181" s="90"/>
      <c r="T2181" s="99"/>
    </row>
    <row r="2182" spans="1:20" s="94" customFormat="1" x14ac:dyDescent="0.3">
      <c r="A2182" s="96"/>
      <c r="B2182" s="96"/>
      <c r="C2182" s="87"/>
      <c r="D2182" s="97"/>
      <c r="E2182" s="83"/>
      <c r="F2182" s="83"/>
      <c r="G2182" s="84"/>
      <c r="H2182" s="86" t="e">
        <f>IF(I2182="fora",0%,G2182/QUÓRUM!$C$6)</f>
        <v>#DIV/0!</v>
      </c>
      <c r="I2182" s="87"/>
      <c r="J2182" s="88"/>
      <c r="K2182" s="88"/>
      <c r="L2182" s="89"/>
      <c r="M2182" s="89"/>
      <c r="N2182" s="90"/>
      <c r="O2182" s="90"/>
      <c r="P2182" s="90"/>
      <c r="Q2182" s="87"/>
      <c r="R2182" s="98"/>
      <c r="S2182" s="90"/>
      <c r="T2182" s="99"/>
    </row>
    <row r="2183" spans="1:20" s="94" customFormat="1" x14ac:dyDescent="0.3">
      <c r="A2183" s="96"/>
      <c r="B2183" s="96"/>
      <c r="C2183" s="87"/>
      <c r="D2183" s="97"/>
      <c r="E2183" s="83"/>
      <c r="F2183" s="83"/>
      <c r="G2183" s="84"/>
      <c r="H2183" s="86" t="e">
        <f>IF(I2183="fora",0%,G2183/QUÓRUM!$C$6)</f>
        <v>#DIV/0!</v>
      </c>
      <c r="I2183" s="87"/>
      <c r="J2183" s="88"/>
      <c r="K2183" s="88"/>
      <c r="L2183" s="89"/>
      <c r="M2183" s="89"/>
      <c r="N2183" s="90"/>
      <c r="O2183" s="90"/>
      <c r="P2183" s="90"/>
      <c r="Q2183" s="87"/>
      <c r="R2183" s="98"/>
      <c r="S2183" s="90"/>
      <c r="T2183" s="99"/>
    </row>
    <row r="2184" spans="1:20" s="94" customFormat="1" x14ac:dyDescent="0.3">
      <c r="A2184" s="96"/>
      <c r="B2184" s="96"/>
      <c r="C2184" s="87"/>
      <c r="D2184" s="97"/>
      <c r="E2184" s="83"/>
      <c r="F2184" s="83"/>
      <c r="G2184" s="84"/>
      <c r="H2184" s="86" t="e">
        <f>IF(I2184="fora",0%,G2184/QUÓRUM!$C$6)</f>
        <v>#DIV/0!</v>
      </c>
      <c r="I2184" s="87"/>
      <c r="J2184" s="88"/>
      <c r="K2184" s="88"/>
      <c r="L2184" s="89"/>
      <c r="M2184" s="89"/>
      <c r="N2184" s="90"/>
      <c r="O2184" s="90"/>
      <c r="P2184" s="90"/>
      <c r="Q2184" s="87"/>
      <c r="R2184" s="98"/>
      <c r="S2184" s="90"/>
      <c r="T2184" s="99"/>
    </row>
    <row r="2185" spans="1:20" s="94" customFormat="1" x14ac:dyDescent="0.3">
      <c r="A2185" s="96"/>
      <c r="B2185" s="96"/>
      <c r="C2185" s="87"/>
      <c r="D2185" s="97"/>
      <c r="E2185" s="83"/>
      <c r="F2185" s="83"/>
      <c r="G2185" s="84"/>
      <c r="H2185" s="86" t="e">
        <f>IF(I2185="fora",0%,G2185/QUÓRUM!$C$6)</f>
        <v>#DIV/0!</v>
      </c>
      <c r="I2185" s="87"/>
      <c r="J2185" s="88"/>
      <c r="K2185" s="88"/>
      <c r="L2185" s="89"/>
      <c r="M2185" s="89"/>
      <c r="N2185" s="90"/>
      <c r="O2185" s="90"/>
      <c r="P2185" s="90"/>
      <c r="Q2185" s="87"/>
      <c r="R2185" s="98"/>
      <c r="S2185" s="90"/>
      <c r="T2185" s="99"/>
    </row>
    <row r="2186" spans="1:20" s="94" customFormat="1" x14ac:dyDescent="0.3">
      <c r="A2186" s="96"/>
      <c r="B2186" s="96"/>
      <c r="C2186" s="87"/>
      <c r="D2186" s="97"/>
      <c r="E2186" s="83"/>
      <c r="F2186" s="83"/>
      <c r="G2186" s="84"/>
      <c r="H2186" s="86" t="e">
        <f>IF(I2186="fora",0%,G2186/QUÓRUM!$C$6)</f>
        <v>#DIV/0!</v>
      </c>
      <c r="I2186" s="87"/>
      <c r="J2186" s="88"/>
      <c r="K2186" s="88"/>
      <c r="L2186" s="89"/>
      <c r="M2186" s="89"/>
      <c r="N2186" s="90"/>
      <c r="O2186" s="90"/>
      <c r="P2186" s="90"/>
      <c r="Q2186" s="87"/>
      <c r="R2186" s="98"/>
      <c r="S2186" s="90"/>
      <c r="T2186" s="99"/>
    </row>
    <row r="2187" spans="1:20" s="94" customFormat="1" x14ac:dyDescent="0.3">
      <c r="A2187" s="96"/>
      <c r="B2187" s="96"/>
      <c r="C2187" s="87"/>
      <c r="D2187" s="97"/>
      <c r="E2187" s="83"/>
      <c r="F2187" s="83"/>
      <c r="G2187" s="84"/>
      <c r="H2187" s="86" t="e">
        <f>IF(I2187="fora",0%,G2187/QUÓRUM!$C$6)</f>
        <v>#DIV/0!</v>
      </c>
      <c r="I2187" s="87"/>
      <c r="J2187" s="88"/>
      <c r="K2187" s="88"/>
      <c r="L2187" s="89"/>
      <c r="M2187" s="89"/>
      <c r="N2187" s="90"/>
      <c r="O2187" s="90"/>
      <c r="P2187" s="90"/>
      <c r="Q2187" s="87"/>
      <c r="R2187" s="98"/>
      <c r="S2187" s="90"/>
      <c r="T2187" s="99"/>
    </row>
    <row r="2188" spans="1:20" s="94" customFormat="1" x14ac:dyDescent="0.3">
      <c r="A2188" s="96"/>
      <c r="B2188" s="96"/>
      <c r="C2188" s="87"/>
      <c r="D2188" s="97"/>
      <c r="E2188" s="83"/>
      <c r="F2188" s="83"/>
      <c r="G2188" s="84"/>
      <c r="H2188" s="86" t="e">
        <f>IF(I2188="fora",0%,G2188/QUÓRUM!$C$6)</f>
        <v>#DIV/0!</v>
      </c>
      <c r="I2188" s="87"/>
      <c r="J2188" s="88"/>
      <c r="K2188" s="88"/>
      <c r="L2188" s="89"/>
      <c r="M2188" s="89"/>
      <c r="N2188" s="90"/>
      <c r="O2188" s="90"/>
      <c r="P2188" s="90"/>
      <c r="Q2188" s="87"/>
      <c r="R2188" s="98"/>
      <c r="S2188" s="90"/>
      <c r="T2188" s="99"/>
    </row>
    <row r="2189" spans="1:20" s="94" customFormat="1" x14ac:dyDescent="0.3">
      <c r="A2189" s="96"/>
      <c r="B2189" s="96"/>
      <c r="C2189" s="87"/>
      <c r="D2189" s="97"/>
      <c r="E2189" s="83"/>
      <c r="F2189" s="83"/>
      <c r="G2189" s="84"/>
      <c r="H2189" s="86" t="e">
        <f>IF(I2189="fora",0%,G2189/QUÓRUM!$C$6)</f>
        <v>#DIV/0!</v>
      </c>
      <c r="I2189" s="87"/>
      <c r="J2189" s="88"/>
      <c r="K2189" s="88"/>
      <c r="L2189" s="89"/>
      <c r="M2189" s="89"/>
      <c r="N2189" s="90"/>
      <c r="O2189" s="90"/>
      <c r="P2189" s="90"/>
      <c r="Q2189" s="87"/>
      <c r="R2189" s="98"/>
      <c r="S2189" s="90"/>
      <c r="T2189" s="99"/>
    </row>
    <row r="2190" spans="1:20" s="94" customFormat="1" x14ac:dyDescent="0.3">
      <c r="A2190" s="96"/>
      <c r="B2190" s="96"/>
      <c r="C2190" s="87"/>
      <c r="D2190" s="97"/>
      <c r="E2190" s="83"/>
      <c r="F2190" s="83"/>
      <c r="G2190" s="84"/>
      <c r="H2190" s="86" t="e">
        <f>IF(I2190="fora",0%,G2190/QUÓRUM!$C$6)</f>
        <v>#DIV/0!</v>
      </c>
      <c r="I2190" s="87"/>
      <c r="J2190" s="88"/>
      <c r="K2190" s="88"/>
      <c r="L2190" s="89"/>
      <c r="M2190" s="89"/>
      <c r="N2190" s="90"/>
      <c r="O2190" s="90"/>
      <c r="P2190" s="90"/>
      <c r="Q2190" s="87"/>
      <c r="R2190" s="98"/>
      <c r="S2190" s="90"/>
      <c r="T2190" s="99"/>
    </row>
    <row r="2191" spans="1:20" s="94" customFormat="1" x14ac:dyDescent="0.3">
      <c r="A2191" s="96"/>
      <c r="B2191" s="96"/>
      <c r="C2191" s="87"/>
      <c r="D2191" s="97"/>
      <c r="E2191" s="83"/>
      <c r="F2191" s="83"/>
      <c r="G2191" s="84"/>
      <c r="H2191" s="86" t="e">
        <f>IF(I2191="fora",0%,G2191/QUÓRUM!$C$6)</f>
        <v>#DIV/0!</v>
      </c>
      <c r="I2191" s="87"/>
      <c r="J2191" s="88"/>
      <c r="K2191" s="88"/>
      <c r="L2191" s="89"/>
      <c r="M2191" s="89"/>
      <c r="N2191" s="90"/>
      <c r="O2191" s="90"/>
      <c r="P2191" s="90"/>
      <c r="Q2191" s="87"/>
      <c r="R2191" s="98"/>
      <c r="S2191" s="90"/>
      <c r="T2191" s="99"/>
    </row>
    <row r="2192" spans="1:20" s="94" customFormat="1" x14ac:dyDescent="0.3">
      <c r="A2192" s="96"/>
      <c r="B2192" s="96"/>
      <c r="C2192" s="87"/>
      <c r="D2192" s="97"/>
      <c r="E2192" s="83"/>
      <c r="F2192" s="83"/>
      <c r="G2192" s="84"/>
      <c r="H2192" s="86" t="e">
        <f>IF(I2192="fora",0%,G2192/QUÓRUM!$C$6)</f>
        <v>#DIV/0!</v>
      </c>
      <c r="I2192" s="87"/>
      <c r="J2192" s="88"/>
      <c r="K2192" s="88"/>
      <c r="L2192" s="89"/>
      <c r="M2192" s="89"/>
      <c r="N2192" s="90"/>
      <c r="O2192" s="90"/>
      <c r="P2192" s="90"/>
      <c r="Q2192" s="87"/>
      <c r="R2192" s="98"/>
      <c r="S2192" s="90"/>
      <c r="T2192" s="99"/>
    </row>
    <row r="2193" spans="1:20" s="94" customFormat="1" x14ac:dyDescent="0.3">
      <c r="A2193" s="96"/>
      <c r="B2193" s="96"/>
      <c r="C2193" s="87"/>
      <c r="D2193" s="97"/>
      <c r="E2193" s="83"/>
      <c r="F2193" s="83"/>
      <c r="G2193" s="84"/>
      <c r="H2193" s="86" t="e">
        <f>IF(I2193="fora",0%,G2193/QUÓRUM!$C$6)</f>
        <v>#DIV/0!</v>
      </c>
      <c r="I2193" s="87"/>
      <c r="J2193" s="88"/>
      <c r="K2193" s="88"/>
      <c r="L2193" s="89"/>
      <c r="M2193" s="89"/>
      <c r="N2193" s="90"/>
      <c r="O2193" s="90"/>
      <c r="P2193" s="90"/>
      <c r="Q2193" s="87"/>
      <c r="R2193" s="98"/>
      <c r="S2193" s="90"/>
      <c r="T2193" s="99"/>
    </row>
    <row r="2194" spans="1:20" s="94" customFormat="1" x14ac:dyDescent="0.3">
      <c r="A2194" s="96"/>
      <c r="B2194" s="96"/>
      <c r="C2194" s="87"/>
      <c r="D2194" s="97"/>
      <c r="E2194" s="83"/>
      <c r="F2194" s="83"/>
      <c r="G2194" s="84"/>
      <c r="H2194" s="86" t="e">
        <f>IF(I2194="fora",0%,G2194/QUÓRUM!$C$6)</f>
        <v>#DIV/0!</v>
      </c>
      <c r="I2194" s="87"/>
      <c r="J2194" s="88"/>
      <c r="K2194" s="88"/>
      <c r="L2194" s="89"/>
      <c r="M2194" s="89"/>
      <c r="N2194" s="90"/>
      <c r="O2194" s="90"/>
      <c r="P2194" s="90"/>
      <c r="Q2194" s="87"/>
      <c r="R2194" s="98"/>
      <c r="S2194" s="90"/>
      <c r="T2194" s="99"/>
    </row>
    <row r="2195" spans="1:20" s="94" customFormat="1" x14ac:dyDescent="0.3">
      <c r="A2195" s="96"/>
      <c r="B2195" s="96"/>
      <c r="C2195" s="87"/>
      <c r="D2195" s="97"/>
      <c r="E2195" s="83"/>
      <c r="F2195" s="83"/>
      <c r="G2195" s="84"/>
      <c r="H2195" s="86" t="e">
        <f>IF(I2195="fora",0%,G2195/QUÓRUM!$C$6)</f>
        <v>#DIV/0!</v>
      </c>
      <c r="I2195" s="87"/>
      <c r="J2195" s="88"/>
      <c r="K2195" s="88"/>
      <c r="L2195" s="89"/>
      <c r="M2195" s="89"/>
      <c r="N2195" s="90"/>
      <c r="O2195" s="90"/>
      <c r="P2195" s="90"/>
      <c r="Q2195" s="87"/>
      <c r="R2195" s="98"/>
      <c r="S2195" s="90"/>
      <c r="T2195" s="99"/>
    </row>
    <row r="2196" spans="1:20" s="94" customFormat="1" x14ac:dyDescent="0.3">
      <c r="A2196" s="96"/>
      <c r="B2196" s="96"/>
      <c r="C2196" s="87"/>
      <c r="D2196" s="97"/>
      <c r="E2196" s="83"/>
      <c r="F2196" s="83"/>
      <c r="G2196" s="84"/>
      <c r="H2196" s="86" t="e">
        <f>IF(I2196="fora",0%,G2196/QUÓRUM!$C$6)</f>
        <v>#DIV/0!</v>
      </c>
      <c r="I2196" s="87"/>
      <c r="J2196" s="88"/>
      <c r="K2196" s="88"/>
      <c r="L2196" s="89"/>
      <c r="M2196" s="89"/>
      <c r="N2196" s="90"/>
      <c r="O2196" s="90"/>
      <c r="P2196" s="90"/>
      <c r="Q2196" s="87"/>
      <c r="R2196" s="98"/>
      <c r="S2196" s="90"/>
      <c r="T2196" s="99"/>
    </row>
    <row r="2197" spans="1:20" s="94" customFormat="1" x14ac:dyDescent="0.3">
      <c r="A2197" s="96"/>
      <c r="B2197" s="96"/>
      <c r="C2197" s="87"/>
      <c r="D2197" s="97"/>
      <c r="E2197" s="83"/>
      <c r="F2197" s="83"/>
      <c r="G2197" s="84"/>
      <c r="H2197" s="86" t="e">
        <f>IF(I2197="fora",0%,G2197/QUÓRUM!$C$6)</f>
        <v>#DIV/0!</v>
      </c>
      <c r="I2197" s="87"/>
      <c r="J2197" s="88"/>
      <c r="K2197" s="88"/>
      <c r="L2197" s="89"/>
      <c r="M2197" s="89"/>
      <c r="N2197" s="90"/>
      <c r="O2197" s="90"/>
      <c r="P2197" s="90"/>
      <c r="Q2197" s="87"/>
      <c r="R2197" s="98"/>
      <c r="S2197" s="90"/>
      <c r="T2197" s="99"/>
    </row>
    <row r="2198" spans="1:20" x14ac:dyDescent="0.3">
      <c r="C2198" s="87"/>
      <c r="H2198" s="86" t="e">
        <f>IF(I2198="fora",0%,G2198/QUÓRUM!$C$6)</f>
        <v>#DIV/0!</v>
      </c>
      <c r="I2198" s="87"/>
      <c r="J2198" s="88"/>
      <c r="K2198" s="88"/>
      <c r="L2198" s="89"/>
      <c r="M2198" s="89"/>
      <c r="N2198" s="90"/>
      <c r="Q2198" s="87"/>
    </row>
    <row r="2199" spans="1:20" x14ac:dyDescent="0.3">
      <c r="C2199" s="87"/>
      <c r="H2199" s="86" t="e">
        <f>IF(I2199="fora",0%,G2199/QUÓRUM!$C$6)</f>
        <v>#DIV/0!</v>
      </c>
      <c r="I2199" s="87"/>
      <c r="J2199" s="88"/>
      <c r="K2199" s="88"/>
      <c r="L2199" s="89"/>
      <c r="M2199" s="89"/>
      <c r="N2199" s="90"/>
      <c r="Q2199" s="87"/>
    </row>
    <row r="2200" spans="1:20" x14ac:dyDescent="0.3">
      <c r="C2200" s="87"/>
      <c r="H2200" s="86" t="e">
        <f>IF(I2200="fora",0%,G2200/QUÓRUM!$C$6)</f>
        <v>#DIV/0!</v>
      </c>
      <c r="I2200" s="87"/>
      <c r="J2200" s="88"/>
      <c r="K2200" s="88"/>
      <c r="L2200" s="89"/>
      <c r="M2200" s="89"/>
      <c r="N2200" s="90"/>
      <c r="Q2200" s="87"/>
    </row>
    <row r="2201" spans="1:20" x14ac:dyDescent="0.3">
      <c r="C2201" s="87"/>
      <c r="H2201" s="86" t="e">
        <f>IF(I2201="fora",0%,G2201/QUÓRUM!$C$6)</f>
        <v>#DIV/0!</v>
      </c>
      <c r="I2201" s="87"/>
      <c r="J2201" s="88"/>
      <c r="K2201" s="88"/>
      <c r="L2201" s="89"/>
      <c r="M2201" s="89"/>
      <c r="N2201" s="90"/>
      <c r="Q2201" s="87"/>
    </row>
    <row r="2202" spans="1:20" x14ac:dyDescent="0.3">
      <c r="C2202" s="87"/>
      <c r="H2202" s="86" t="e">
        <f>IF(I2202="fora",0%,G2202/QUÓRUM!$C$6)</f>
        <v>#DIV/0!</v>
      </c>
      <c r="I2202" s="87"/>
      <c r="J2202" s="88"/>
      <c r="K2202" s="88"/>
      <c r="L2202" s="89"/>
      <c r="M2202" s="89"/>
      <c r="N2202" s="90"/>
      <c r="Q2202" s="87"/>
    </row>
    <row r="2203" spans="1:20" x14ac:dyDescent="0.3">
      <c r="C2203" s="87"/>
      <c r="H2203" s="86" t="e">
        <f>IF(I2203="fora",0%,G2203/QUÓRUM!$C$6)</f>
        <v>#DIV/0!</v>
      </c>
      <c r="I2203" s="87"/>
      <c r="J2203" s="88"/>
      <c r="K2203" s="88"/>
      <c r="L2203" s="89"/>
      <c r="M2203" s="89"/>
      <c r="N2203" s="90"/>
      <c r="Q2203" s="87"/>
    </row>
    <row r="2204" spans="1:20" x14ac:dyDescent="0.3">
      <c r="C2204" s="87"/>
      <c r="H2204" s="86" t="e">
        <f>IF(I2204="fora",0%,G2204/QUÓRUM!$C$6)</f>
        <v>#DIV/0!</v>
      </c>
      <c r="I2204" s="87"/>
      <c r="J2204" s="88"/>
      <c r="K2204" s="88"/>
      <c r="L2204" s="89"/>
      <c r="M2204" s="89"/>
      <c r="N2204" s="90"/>
      <c r="Q2204" s="87"/>
    </row>
    <row r="2205" spans="1:20" x14ac:dyDescent="0.3">
      <c r="C2205" s="87"/>
      <c r="H2205" s="86" t="e">
        <f>IF(I2205="fora",0%,G2205/QUÓRUM!$C$6)</f>
        <v>#DIV/0!</v>
      </c>
      <c r="I2205" s="87"/>
      <c r="J2205" s="88"/>
      <c r="K2205" s="88"/>
      <c r="L2205" s="89"/>
      <c r="M2205" s="89"/>
      <c r="N2205" s="90"/>
      <c r="Q2205" s="87"/>
    </row>
    <row r="2206" spans="1:20" x14ac:dyDescent="0.3">
      <c r="C2206" s="87"/>
      <c r="H2206" s="86" t="e">
        <f>IF(I2206="fora",0%,G2206/QUÓRUM!$C$6)</f>
        <v>#DIV/0!</v>
      </c>
      <c r="I2206" s="87"/>
      <c r="J2206" s="88"/>
      <c r="K2206" s="88"/>
      <c r="L2206" s="89"/>
      <c r="M2206" s="89"/>
      <c r="N2206" s="90"/>
      <c r="Q2206" s="87"/>
    </row>
    <row r="2207" spans="1:20" x14ac:dyDescent="0.3">
      <c r="C2207" s="87"/>
      <c r="H2207" s="86" t="e">
        <f>IF(I2207="fora",0%,G2207/QUÓRUM!$C$6)</f>
        <v>#DIV/0!</v>
      </c>
      <c r="I2207" s="87"/>
      <c r="J2207" s="88"/>
      <c r="K2207" s="88"/>
      <c r="L2207" s="89"/>
      <c r="M2207" s="89"/>
      <c r="N2207" s="90"/>
      <c r="Q2207" s="87"/>
    </row>
    <row r="2208" spans="1:20" x14ac:dyDescent="0.3">
      <c r="C2208" s="87"/>
      <c r="H2208" s="86" t="e">
        <f>IF(I2208="fora",0%,G2208/QUÓRUM!$C$6)</f>
        <v>#DIV/0!</v>
      </c>
      <c r="I2208" s="87"/>
      <c r="J2208" s="88"/>
      <c r="K2208" s="88"/>
      <c r="L2208" s="89"/>
      <c r="M2208" s="89"/>
      <c r="N2208" s="90"/>
      <c r="Q2208" s="87"/>
    </row>
    <row r="2209" spans="3:17" x14ac:dyDescent="0.3">
      <c r="C2209" s="87"/>
      <c r="H2209" s="86" t="e">
        <f>IF(I2209="fora",0%,G2209/QUÓRUM!$C$6)</f>
        <v>#DIV/0!</v>
      </c>
      <c r="I2209" s="87"/>
      <c r="J2209" s="88"/>
      <c r="K2209" s="88"/>
      <c r="L2209" s="89"/>
      <c r="M2209" s="89"/>
      <c r="N2209" s="90"/>
      <c r="Q2209" s="87"/>
    </row>
    <row r="2210" spans="3:17" x14ac:dyDescent="0.3">
      <c r="C2210" s="87"/>
      <c r="H2210" s="86" t="e">
        <f>IF(I2210="fora",0%,G2210/QUÓRUM!$C$6)</f>
        <v>#DIV/0!</v>
      </c>
      <c r="I2210" s="87"/>
      <c r="J2210" s="88"/>
      <c r="K2210" s="88"/>
      <c r="L2210" s="89"/>
      <c r="M2210" s="89"/>
      <c r="N2210" s="90"/>
      <c r="Q2210" s="87"/>
    </row>
    <row r="2211" spans="3:17" x14ac:dyDescent="0.3">
      <c r="C2211" s="87"/>
      <c r="H2211" s="86" t="e">
        <f>IF(I2211="fora",0%,G2211/QUÓRUM!$C$6)</f>
        <v>#DIV/0!</v>
      </c>
      <c r="I2211" s="87"/>
      <c r="J2211" s="88"/>
      <c r="K2211" s="88"/>
      <c r="L2211" s="89"/>
      <c r="M2211" s="89"/>
      <c r="N2211" s="90"/>
      <c r="Q2211" s="87"/>
    </row>
    <row r="2212" spans="3:17" x14ac:dyDescent="0.3">
      <c r="C2212" s="87"/>
      <c r="H2212" s="86" t="e">
        <f>IF(I2212="fora",0%,G2212/QUÓRUM!$C$6)</f>
        <v>#DIV/0!</v>
      </c>
      <c r="I2212" s="87"/>
      <c r="J2212" s="88"/>
      <c r="K2212" s="88"/>
      <c r="L2212" s="89"/>
      <c r="M2212" s="89"/>
      <c r="N2212" s="90"/>
      <c r="Q2212" s="87"/>
    </row>
    <row r="2213" spans="3:17" x14ac:dyDescent="0.3">
      <c r="C2213" s="87"/>
      <c r="H2213" s="86" t="e">
        <f>IF(I2213="fora",0%,G2213/QUÓRUM!$C$6)</f>
        <v>#DIV/0!</v>
      </c>
      <c r="I2213" s="87"/>
      <c r="J2213" s="88"/>
      <c r="K2213" s="88"/>
      <c r="L2213" s="89"/>
      <c r="M2213" s="89"/>
      <c r="N2213" s="90"/>
      <c r="Q2213" s="87"/>
    </row>
    <row r="2214" spans="3:17" x14ac:dyDescent="0.3">
      <c r="C2214" s="87"/>
      <c r="H2214" s="86" t="e">
        <f>IF(I2214="fora",0%,G2214/QUÓRUM!$C$6)</f>
        <v>#DIV/0!</v>
      </c>
      <c r="I2214" s="87"/>
      <c r="J2214" s="88"/>
      <c r="K2214" s="88"/>
      <c r="L2214" s="89"/>
      <c r="M2214" s="89"/>
      <c r="N2214" s="90"/>
      <c r="Q2214" s="87"/>
    </row>
    <row r="2215" spans="3:17" x14ac:dyDescent="0.3">
      <c r="C2215" s="87"/>
      <c r="H2215" s="86" t="e">
        <f>IF(I2215="fora",0%,G2215/QUÓRUM!$C$6)</f>
        <v>#DIV/0!</v>
      </c>
      <c r="I2215" s="87"/>
      <c r="J2215" s="88"/>
      <c r="K2215" s="88"/>
      <c r="L2215" s="89"/>
      <c r="M2215" s="89"/>
      <c r="N2215" s="90"/>
      <c r="Q2215" s="87"/>
    </row>
    <row r="2216" spans="3:17" x14ac:dyDescent="0.3">
      <c r="C2216" s="87"/>
      <c r="H2216" s="86" t="e">
        <f>IF(I2216="fora",0%,G2216/QUÓRUM!$C$6)</f>
        <v>#DIV/0!</v>
      </c>
      <c r="I2216" s="87"/>
      <c r="J2216" s="88"/>
      <c r="K2216" s="88"/>
      <c r="L2216" s="89"/>
      <c r="M2216" s="89"/>
      <c r="N2216" s="90"/>
      <c r="Q2216" s="87"/>
    </row>
    <row r="2217" spans="3:17" x14ac:dyDescent="0.3">
      <c r="C2217" s="87"/>
      <c r="H2217" s="86" t="e">
        <f>IF(I2217="fora",0%,G2217/QUÓRUM!$C$6)</f>
        <v>#DIV/0!</v>
      </c>
      <c r="I2217" s="87"/>
      <c r="J2217" s="88"/>
      <c r="K2217" s="88"/>
      <c r="L2217" s="89"/>
      <c r="M2217" s="89"/>
      <c r="N2217" s="90"/>
      <c r="Q2217" s="87"/>
    </row>
    <row r="2218" spans="3:17" x14ac:dyDescent="0.3">
      <c r="C2218" s="87"/>
      <c r="H2218" s="86" t="e">
        <f>IF(I2218="fora",0%,G2218/QUÓRUM!$C$6)</f>
        <v>#DIV/0!</v>
      </c>
      <c r="I2218" s="87"/>
      <c r="J2218" s="88"/>
      <c r="K2218" s="88"/>
      <c r="L2218" s="89"/>
      <c r="M2218" s="89"/>
      <c r="N2218" s="90"/>
      <c r="Q2218" s="87"/>
    </row>
    <row r="2219" spans="3:17" x14ac:dyDescent="0.3">
      <c r="C2219" s="87"/>
      <c r="H2219" s="86" t="e">
        <f>IF(I2219="fora",0%,G2219/QUÓRUM!$C$6)</f>
        <v>#DIV/0!</v>
      </c>
      <c r="I2219" s="87"/>
      <c r="J2219" s="88"/>
      <c r="K2219" s="88"/>
      <c r="L2219" s="89"/>
      <c r="M2219" s="89"/>
      <c r="N2219" s="90"/>
      <c r="Q2219" s="87"/>
    </row>
    <row r="2220" spans="3:17" x14ac:dyDescent="0.3">
      <c r="C2220" s="87"/>
      <c r="H2220" s="86" t="e">
        <f>IF(I2220="fora",0%,G2220/QUÓRUM!$C$6)</f>
        <v>#DIV/0!</v>
      </c>
      <c r="I2220" s="87"/>
      <c r="J2220" s="88"/>
      <c r="K2220" s="88"/>
      <c r="L2220" s="89"/>
      <c r="M2220" s="89"/>
      <c r="N2220" s="90"/>
      <c r="Q2220" s="87"/>
    </row>
    <row r="2221" spans="3:17" x14ac:dyDescent="0.3">
      <c r="C2221" s="87"/>
      <c r="H2221" s="86" t="e">
        <f>IF(I2221="fora",0%,G2221/QUÓRUM!$C$6)</f>
        <v>#DIV/0!</v>
      </c>
      <c r="I2221" s="87"/>
      <c r="J2221" s="88"/>
      <c r="K2221" s="88"/>
      <c r="L2221" s="89"/>
      <c r="M2221" s="89"/>
      <c r="N2221" s="90"/>
      <c r="Q2221" s="87"/>
    </row>
    <row r="2222" spans="3:17" x14ac:dyDescent="0.3">
      <c r="C2222" s="87"/>
      <c r="H2222" s="86" t="e">
        <f>IF(I2222="fora",0%,G2222/QUÓRUM!$C$6)</f>
        <v>#DIV/0!</v>
      </c>
      <c r="I2222" s="87"/>
      <c r="J2222" s="88"/>
      <c r="K2222" s="88"/>
      <c r="L2222" s="89"/>
      <c r="M2222" s="89"/>
      <c r="N2222" s="90"/>
      <c r="Q2222" s="87"/>
    </row>
    <row r="2223" spans="3:17" x14ac:dyDescent="0.3">
      <c r="C2223" s="87"/>
      <c r="H2223" s="86" t="e">
        <f>IF(I2223="fora",0%,G2223/QUÓRUM!$C$6)</f>
        <v>#DIV/0!</v>
      </c>
      <c r="I2223" s="87"/>
      <c r="J2223" s="88"/>
      <c r="K2223" s="88"/>
      <c r="L2223" s="89"/>
      <c r="M2223" s="89"/>
      <c r="N2223" s="90"/>
      <c r="Q2223" s="87"/>
    </row>
    <row r="2224" spans="3:17" x14ac:dyDescent="0.3">
      <c r="C2224" s="87"/>
      <c r="H2224" s="86" t="e">
        <f>IF(I2224="fora",0%,G2224/QUÓRUM!$C$6)</f>
        <v>#DIV/0!</v>
      </c>
      <c r="I2224" s="87"/>
      <c r="J2224" s="88"/>
      <c r="K2224" s="88"/>
      <c r="L2224" s="89"/>
      <c r="M2224" s="89"/>
      <c r="N2224" s="90"/>
      <c r="Q2224" s="87"/>
    </row>
    <row r="2225" spans="3:17" x14ac:dyDescent="0.3">
      <c r="C2225" s="87"/>
      <c r="H2225" s="86" t="e">
        <f>IF(I2225="fora",0%,G2225/QUÓRUM!$C$6)</f>
        <v>#DIV/0!</v>
      </c>
      <c r="I2225" s="87"/>
      <c r="J2225" s="88"/>
      <c r="K2225" s="88"/>
      <c r="L2225" s="89"/>
      <c r="M2225" s="89"/>
      <c r="N2225" s="90"/>
      <c r="Q2225" s="87"/>
    </row>
    <row r="2226" spans="3:17" x14ac:dyDescent="0.3">
      <c r="C2226" s="87"/>
      <c r="H2226" s="86" t="e">
        <f>IF(I2226="fora",0%,G2226/QUÓRUM!$C$6)</f>
        <v>#DIV/0!</v>
      </c>
      <c r="I2226" s="87"/>
      <c r="J2226" s="88"/>
      <c r="K2226" s="88"/>
      <c r="L2226" s="89"/>
      <c r="M2226" s="89"/>
      <c r="N2226" s="90"/>
      <c r="Q2226" s="87"/>
    </row>
    <row r="2227" spans="3:17" x14ac:dyDescent="0.3">
      <c r="C2227" s="87"/>
      <c r="H2227" s="86" t="e">
        <f>IF(I2227="fora",0%,G2227/QUÓRUM!$C$6)</f>
        <v>#DIV/0!</v>
      </c>
      <c r="I2227" s="87"/>
      <c r="J2227" s="88"/>
      <c r="K2227" s="88"/>
      <c r="L2227" s="89"/>
      <c r="M2227" s="89"/>
      <c r="N2227" s="90"/>
      <c r="Q2227" s="87"/>
    </row>
    <row r="2228" spans="3:17" x14ac:dyDescent="0.3">
      <c r="C2228" s="87"/>
      <c r="H2228" s="86" t="e">
        <f>IF(I2228="fora",0%,G2228/QUÓRUM!$C$6)</f>
        <v>#DIV/0!</v>
      </c>
      <c r="I2228" s="87"/>
      <c r="J2228" s="88"/>
      <c r="K2228" s="88"/>
      <c r="L2228" s="89"/>
      <c r="M2228" s="89"/>
      <c r="N2228" s="90"/>
      <c r="Q2228" s="87"/>
    </row>
    <row r="2229" spans="3:17" x14ac:dyDescent="0.3">
      <c r="C2229" s="87"/>
      <c r="H2229" s="86" t="e">
        <f>IF(I2229="fora",0%,G2229/QUÓRUM!$C$6)</f>
        <v>#DIV/0!</v>
      </c>
      <c r="I2229" s="87"/>
      <c r="J2229" s="88"/>
      <c r="K2229" s="88"/>
      <c r="L2229" s="89"/>
      <c r="M2229" s="89"/>
      <c r="N2229" s="90"/>
      <c r="Q2229" s="87"/>
    </row>
    <row r="2230" spans="3:17" x14ac:dyDescent="0.3">
      <c r="C2230" s="87"/>
      <c r="H2230" s="86" t="e">
        <f>IF(I2230="fora",0%,G2230/QUÓRUM!$C$6)</f>
        <v>#DIV/0!</v>
      </c>
      <c r="I2230" s="87"/>
      <c r="J2230" s="88"/>
      <c r="K2230" s="88"/>
      <c r="L2230" s="89"/>
      <c r="M2230" s="89"/>
      <c r="N2230" s="90"/>
      <c r="Q2230" s="87"/>
    </row>
    <row r="2231" spans="3:17" x14ac:dyDescent="0.3">
      <c r="C2231" s="87"/>
      <c r="H2231" s="86" t="e">
        <f>IF(I2231="fora",0%,G2231/QUÓRUM!$C$6)</f>
        <v>#DIV/0!</v>
      </c>
      <c r="I2231" s="87"/>
      <c r="J2231" s="88"/>
      <c r="K2231" s="88"/>
      <c r="L2231" s="89"/>
      <c r="M2231" s="89"/>
      <c r="N2231" s="90"/>
      <c r="Q2231" s="87"/>
    </row>
    <row r="2232" spans="3:17" x14ac:dyDescent="0.3">
      <c r="C2232" s="87"/>
      <c r="H2232" s="86" t="e">
        <f>IF(I2232="fora",0%,G2232/QUÓRUM!$C$6)</f>
        <v>#DIV/0!</v>
      </c>
      <c r="I2232" s="87"/>
      <c r="J2232" s="88"/>
      <c r="K2232" s="88"/>
      <c r="L2232" s="89"/>
      <c r="M2232" s="89"/>
      <c r="N2232" s="90"/>
      <c r="Q2232" s="87"/>
    </row>
    <row r="2233" spans="3:17" x14ac:dyDescent="0.3">
      <c r="C2233" s="87"/>
      <c r="H2233" s="86" t="e">
        <f>IF(I2233="fora",0%,G2233/QUÓRUM!$C$6)</f>
        <v>#DIV/0!</v>
      </c>
      <c r="I2233" s="87"/>
      <c r="J2233" s="88"/>
      <c r="K2233" s="88"/>
      <c r="L2233" s="89"/>
      <c r="M2233" s="89"/>
      <c r="N2233" s="90"/>
      <c r="Q2233" s="87"/>
    </row>
    <row r="2234" spans="3:17" x14ac:dyDescent="0.3">
      <c r="C2234" s="87"/>
      <c r="H2234" s="86" t="e">
        <f>IF(I2234="fora",0%,G2234/QUÓRUM!$C$6)</f>
        <v>#DIV/0!</v>
      </c>
      <c r="I2234" s="87"/>
      <c r="J2234" s="88"/>
      <c r="K2234" s="88"/>
      <c r="L2234" s="89"/>
      <c r="M2234" s="89"/>
      <c r="N2234" s="90"/>
      <c r="Q2234" s="87"/>
    </row>
    <row r="2235" spans="3:17" x14ac:dyDescent="0.3">
      <c r="C2235" s="87"/>
      <c r="H2235" s="86" t="e">
        <f>IF(I2235="fora",0%,G2235/QUÓRUM!$C$6)</f>
        <v>#DIV/0!</v>
      </c>
      <c r="I2235" s="87"/>
      <c r="J2235" s="88"/>
      <c r="K2235" s="88"/>
      <c r="L2235" s="89"/>
      <c r="M2235" s="89"/>
      <c r="N2235" s="90"/>
      <c r="Q2235" s="87"/>
    </row>
    <row r="2236" spans="3:17" x14ac:dyDescent="0.3">
      <c r="C2236" s="87"/>
      <c r="H2236" s="86" t="e">
        <f>IF(I2236="fora",0%,G2236/QUÓRUM!$C$6)</f>
        <v>#DIV/0!</v>
      </c>
      <c r="I2236" s="87"/>
      <c r="J2236" s="88"/>
      <c r="K2236" s="88"/>
      <c r="L2236" s="89"/>
      <c r="M2236" s="89"/>
      <c r="N2236" s="90"/>
      <c r="Q2236" s="87"/>
    </row>
    <row r="2237" spans="3:17" x14ac:dyDescent="0.3">
      <c r="C2237" s="87"/>
      <c r="H2237" s="86" t="e">
        <f>IF(I2237="fora",0%,G2237/QUÓRUM!$C$6)</f>
        <v>#DIV/0!</v>
      </c>
      <c r="I2237" s="87"/>
      <c r="J2237" s="88"/>
      <c r="K2237" s="88"/>
      <c r="L2237" s="89"/>
      <c r="M2237" s="89"/>
      <c r="N2237" s="90"/>
      <c r="Q2237" s="87"/>
    </row>
    <row r="2238" spans="3:17" x14ac:dyDescent="0.3">
      <c r="C2238" s="87"/>
      <c r="H2238" s="86" t="e">
        <f>IF(I2238="fora",0%,G2238/QUÓRUM!$C$6)</f>
        <v>#DIV/0!</v>
      </c>
      <c r="I2238" s="87"/>
      <c r="J2238" s="88"/>
      <c r="K2238" s="88"/>
      <c r="L2238" s="89"/>
      <c r="M2238" s="89"/>
      <c r="N2238" s="90"/>
      <c r="Q2238" s="87"/>
    </row>
    <row r="2239" spans="3:17" x14ac:dyDescent="0.3">
      <c r="C2239" s="87"/>
      <c r="H2239" s="86" t="e">
        <f>IF(I2239="fora",0%,G2239/QUÓRUM!$C$6)</f>
        <v>#DIV/0!</v>
      </c>
      <c r="I2239" s="87"/>
      <c r="J2239" s="88"/>
      <c r="K2239" s="88"/>
      <c r="L2239" s="89"/>
      <c r="M2239" s="89"/>
      <c r="N2239" s="90"/>
      <c r="Q2239" s="87"/>
    </row>
    <row r="2240" spans="3:17" x14ac:dyDescent="0.3">
      <c r="C2240" s="87"/>
      <c r="H2240" s="86" t="e">
        <f>IF(I2240="fora",0%,G2240/QUÓRUM!$C$6)</f>
        <v>#DIV/0!</v>
      </c>
      <c r="I2240" s="87"/>
      <c r="J2240" s="88"/>
      <c r="K2240" s="88"/>
      <c r="L2240" s="89"/>
      <c r="M2240" s="89"/>
      <c r="N2240" s="90"/>
      <c r="Q2240" s="87"/>
    </row>
    <row r="2241" spans="3:17" x14ac:dyDescent="0.3">
      <c r="C2241" s="87"/>
      <c r="H2241" s="86" t="e">
        <f>IF(I2241="fora",0%,G2241/QUÓRUM!$C$6)</f>
        <v>#DIV/0!</v>
      </c>
      <c r="I2241" s="87"/>
      <c r="J2241" s="88"/>
      <c r="K2241" s="88"/>
      <c r="L2241" s="89"/>
      <c r="M2241" s="89"/>
      <c r="N2241" s="90"/>
      <c r="Q2241" s="87"/>
    </row>
    <row r="2242" spans="3:17" x14ac:dyDescent="0.3">
      <c r="C2242" s="87"/>
      <c r="H2242" s="86" t="e">
        <f>IF(I2242="fora",0%,G2242/QUÓRUM!$C$6)</f>
        <v>#DIV/0!</v>
      </c>
      <c r="I2242" s="87"/>
      <c r="J2242" s="88"/>
      <c r="K2242" s="88"/>
      <c r="L2242" s="89"/>
      <c r="M2242" s="89"/>
      <c r="N2242" s="90"/>
      <c r="Q2242" s="87"/>
    </row>
    <row r="2243" spans="3:17" x14ac:dyDescent="0.3">
      <c r="C2243" s="87"/>
      <c r="H2243" s="86" t="e">
        <f>IF(I2243="fora",0%,G2243/QUÓRUM!$C$6)</f>
        <v>#DIV/0!</v>
      </c>
      <c r="I2243" s="87"/>
      <c r="J2243" s="88"/>
      <c r="K2243" s="88"/>
      <c r="L2243" s="89"/>
      <c r="M2243" s="89"/>
      <c r="N2243" s="90"/>
      <c r="Q2243" s="87"/>
    </row>
    <row r="2244" spans="3:17" x14ac:dyDescent="0.3">
      <c r="C2244" s="87"/>
      <c r="H2244" s="86" t="e">
        <f>IF(I2244="fora",0%,G2244/QUÓRUM!$C$6)</f>
        <v>#DIV/0!</v>
      </c>
      <c r="I2244" s="87"/>
      <c r="J2244" s="88"/>
      <c r="K2244" s="88"/>
      <c r="L2244" s="89"/>
      <c r="M2244" s="89"/>
      <c r="N2244" s="90"/>
      <c r="Q2244" s="87"/>
    </row>
    <row r="2245" spans="3:17" x14ac:dyDescent="0.3">
      <c r="C2245" s="87"/>
      <c r="H2245" s="86" t="e">
        <f>IF(I2245="fora",0%,G2245/QUÓRUM!$C$6)</f>
        <v>#DIV/0!</v>
      </c>
      <c r="I2245" s="87"/>
      <c r="J2245" s="88"/>
      <c r="K2245" s="88"/>
      <c r="L2245" s="89"/>
      <c r="M2245" s="89"/>
      <c r="N2245" s="90"/>
      <c r="Q2245" s="87"/>
    </row>
    <row r="2246" spans="3:17" x14ac:dyDescent="0.3">
      <c r="C2246" s="87"/>
      <c r="H2246" s="86" t="e">
        <f>IF(I2246="fora",0%,G2246/QUÓRUM!$C$6)</f>
        <v>#DIV/0!</v>
      </c>
      <c r="I2246" s="87"/>
      <c r="J2246" s="88"/>
      <c r="K2246" s="88"/>
      <c r="L2246" s="89"/>
      <c r="M2246" s="89"/>
      <c r="N2246" s="90"/>
      <c r="Q2246" s="87"/>
    </row>
    <row r="2247" spans="3:17" x14ac:dyDescent="0.3">
      <c r="C2247" s="87"/>
      <c r="H2247" s="86" t="e">
        <f>IF(I2247="fora",0%,G2247/QUÓRUM!$C$6)</f>
        <v>#DIV/0!</v>
      </c>
      <c r="I2247" s="87"/>
      <c r="J2247" s="88"/>
      <c r="K2247" s="88"/>
      <c r="L2247" s="89"/>
      <c r="M2247" s="89"/>
      <c r="N2247" s="90"/>
      <c r="Q2247" s="87"/>
    </row>
    <row r="2248" spans="3:17" x14ac:dyDescent="0.3">
      <c r="C2248" s="87"/>
      <c r="H2248" s="86" t="e">
        <f>IF(I2248="fora",0%,G2248/QUÓRUM!$C$6)</f>
        <v>#DIV/0!</v>
      </c>
      <c r="I2248" s="87"/>
      <c r="J2248" s="88"/>
      <c r="K2248" s="88"/>
      <c r="L2248" s="89"/>
      <c r="M2248" s="89"/>
      <c r="N2248" s="90"/>
      <c r="Q2248" s="87"/>
    </row>
    <row r="2249" spans="3:17" x14ac:dyDescent="0.3">
      <c r="C2249" s="87"/>
      <c r="H2249" s="86" t="e">
        <f>IF(I2249="fora",0%,G2249/QUÓRUM!$C$6)</f>
        <v>#DIV/0!</v>
      </c>
      <c r="I2249" s="87"/>
      <c r="J2249" s="88"/>
      <c r="K2249" s="88"/>
      <c r="L2249" s="89"/>
      <c r="M2249" s="89"/>
      <c r="N2249" s="90"/>
      <c r="Q2249" s="87"/>
    </row>
    <row r="2250" spans="3:17" x14ac:dyDescent="0.3">
      <c r="C2250" s="87"/>
      <c r="H2250" s="86" t="e">
        <f>IF(I2250="fora",0%,G2250/QUÓRUM!$C$6)</f>
        <v>#DIV/0!</v>
      </c>
      <c r="I2250" s="87"/>
      <c r="J2250" s="88"/>
      <c r="K2250" s="88"/>
      <c r="L2250" s="89"/>
      <c r="M2250" s="89"/>
      <c r="N2250" s="90"/>
      <c r="Q2250" s="87"/>
    </row>
    <row r="2251" spans="3:17" x14ac:dyDescent="0.3">
      <c r="C2251" s="87"/>
      <c r="H2251" s="86" t="e">
        <f>IF(I2251="fora",0%,G2251/QUÓRUM!$C$6)</f>
        <v>#DIV/0!</v>
      </c>
      <c r="I2251" s="87"/>
      <c r="J2251" s="88"/>
      <c r="K2251" s="88"/>
      <c r="L2251" s="89"/>
      <c r="M2251" s="89"/>
      <c r="N2251" s="90"/>
      <c r="Q2251" s="87"/>
    </row>
    <row r="2252" spans="3:17" x14ac:dyDescent="0.3">
      <c r="C2252" s="87"/>
      <c r="H2252" s="86" t="e">
        <f>IF(I2252="fora",0%,G2252/QUÓRUM!$C$6)</f>
        <v>#DIV/0!</v>
      </c>
      <c r="I2252" s="87"/>
      <c r="J2252" s="88"/>
      <c r="K2252" s="88"/>
      <c r="L2252" s="89"/>
      <c r="M2252" s="89"/>
      <c r="N2252" s="90"/>
      <c r="Q2252" s="87"/>
    </row>
    <row r="2253" spans="3:17" x14ac:dyDescent="0.3">
      <c r="C2253" s="87"/>
      <c r="H2253" s="86" t="e">
        <f>IF(I2253="fora",0%,G2253/QUÓRUM!$C$6)</f>
        <v>#DIV/0!</v>
      </c>
      <c r="I2253" s="87"/>
      <c r="J2253" s="88"/>
      <c r="K2253" s="88"/>
      <c r="L2253" s="89"/>
      <c r="M2253" s="89"/>
      <c r="N2253" s="90"/>
      <c r="Q2253" s="87"/>
    </row>
    <row r="2254" spans="3:17" x14ac:dyDescent="0.3">
      <c r="C2254" s="87"/>
      <c r="H2254" s="86" t="e">
        <f>IF(I2254="fora",0%,G2254/QUÓRUM!$C$6)</f>
        <v>#DIV/0!</v>
      </c>
      <c r="I2254" s="87"/>
      <c r="J2254" s="88"/>
      <c r="K2254" s="88"/>
      <c r="L2254" s="89"/>
      <c r="M2254" s="89"/>
      <c r="N2254" s="90"/>
      <c r="Q2254" s="87"/>
    </row>
    <row r="2255" spans="3:17" x14ac:dyDescent="0.3">
      <c r="C2255" s="87"/>
      <c r="H2255" s="86" t="e">
        <f>IF(I2255="fora",0%,G2255/QUÓRUM!$C$6)</f>
        <v>#DIV/0!</v>
      </c>
      <c r="I2255" s="87"/>
      <c r="J2255" s="88"/>
      <c r="K2255" s="88"/>
      <c r="L2255" s="89"/>
      <c r="M2255" s="89"/>
      <c r="N2255" s="90"/>
      <c r="Q2255" s="87"/>
    </row>
    <row r="2256" spans="3:17" x14ac:dyDescent="0.3">
      <c r="C2256" s="87"/>
      <c r="H2256" s="86" t="e">
        <f>IF(I2256="fora",0%,G2256/QUÓRUM!$C$6)</f>
        <v>#DIV/0!</v>
      </c>
      <c r="I2256" s="87"/>
      <c r="J2256" s="88"/>
      <c r="K2256" s="88"/>
      <c r="L2256" s="89"/>
      <c r="M2256" s="89"/>
      <c r="N2256" s="90"/>
      <c r="Q2256" s="87"/>
    </row>
    <row r="2257" spans="3:17" x14ac:dyDescent="0.3">
      <c r="C2257" s="87"/>
      <c r="H2257" s="86" t="e">
        <f>IF(I2257="fora",0%,G2257/QUÓRUM!$C$6)</f>
        <v>#DIV/0!</v>
      </c>
      <c r="I2257" s="87"/>
      <c r="J2257" s="88"/>
      <c r="K2257" s="88"/>
      <c r="L2257" s="89"/>
      <c r="M2257" s="89"/>
      <c r="N2257" s="90"/>
      <c r="Q2257" s="87"/>
    </row>
    <row r="2258" spans="3:17" x14ac:dyDescent="0.3">
      <c r="C2258" s="87"/>
      <c r="H2258" s="86" t="e">
        <f>IF(I2258="fora",0%,G2258/QUÓRUM!$C$6)</f>
        <v>#DIV/0!</v>
      </c>
      <c r="I2258" s="87"/>
      <c r="J2258" s="88"/>
      <c r="K2258" s="88"/>
      <c r="L2258" s="89"/>
      <c r="M2258" s="89"/>
      <c r="N2258" s="90"/>
      <c r="Q2258" s="87"/>
    </row>
    <row r="2259" spans="3:17" x14ac:dyDescent="0.3">
      <c r="C2259" s="87"/>
      <c r="H2259" s="86" t="e">
        <f>IF(I2259="fora",0%,G2259/QUÓRUM!$C$6)</f>
        <v>#DIV/0!</v>
      </c>
      <c r="I2259" s="87"/>
      <c r="J2259" s="88"/>
      <c r="K2259" s="88"/>
      <c r="L2259" s="89"/>
      <c r="M2259" s="89"/>
      <c r="N2259" s="90"/>
      <c r="Q2259" s="87"/>
    </row>
    <row r="2260" spans="3:17" x14ac:dyDescent="0.3">
      <c r="C2260" s="87"/>
      <c r="H2260" s="86" t="e">
        <f>IF(I2260="fora",0%,G2260/QUÓRUM!$C$6)</f>
        <v>#DIV/0!</v>
      </c>
      <c r="I2260" s="87"/>
      <c r="J2260" s="88"/>
      <c r="K2260" s="88"/>
      <c r="L2260" s="89"/>
      <c r="M2260" s="89"/>
      <c r="N2260" s="90"/>
      <c r="Q2260" s="87"/>
    </row>
    <row r="2261" spans="3:17" x14ac:dyDescent="0.3">
      <c r="C2261" s="87"/>
      <c r="H2261" s="86" t="e">
        <f>IF(I2261="fora",0%,G2261/QUÓRUM!$C$6)</f>
        <v>#DIV/0!</v>
      </c>
      <c r="I2261" s="87"/>
      <c r="J2261" s="88"/>
      <c r="K2261" s="88"/>
      <c r="L2261" s="89"/>
      <c r="M2261" s="89"/>
      <c r="N2261" s="90"/>
      <c r="Q2261" s="87"/>
    </row>
    <row r="2262" spans="3:17" x14ac:dyDescent="0.3">
      <c r="C2262" s="87"/>
      <c r="H2262" s="86" t="e">
        <f>IF(I2262="fora",0%,G2262/QUÓRUM!$C$6)</f>
        <v>#DIV/0!</v>
      </c>
      <c r="I2262" s="87"/>
      <c r="J2262" s="88"/>
      <c r="K2262" s="88"/>
      <c r="L2262" s="89"/>
      <c r="M2262" s="89"/>
      <c r="N2262" s="90"/>
      <c r="Q2262" s="87"/>
    </row>
    <row r="2263" spans="3:17" x14ac:dyDescent="0.3">
      <c r="C2263" s="87"/>
      <c r="H2263" s="86" t="e">
        <f>IF(I2263="fora",0%,G2263/QUÓRUM!$C$6)</f>
        <v>#DIV/0!</v>
      </c>
      <c r="I2263" s="87"/>
      <c r="J2263" s="88"/>
      <c r="K2263" s="88"/>
      <c r="L2263" s="89"/>
      <c r="M2263" s="89"/>
      <c r="N2263" s="90"/>
      <c r="Q2263" s="87"/>
    </row>
    <row r="2264" spans="3:17" x14ac:dyDescent="0.3">
      <c r="C2264" s="87"/>
      <c r="H2264" s="86" t="e">
        <f>IF(I2264="fora",0%,G2264/QUÓRUM!$C$6)</f>
        <v>#DIV/0!</v>
      </c>
      <c r="I2264" s="87"/>
      <c r="J2264" s="88"/>
      <c r="K2264" s="88"/>
      <c r="L2264" s="89"/>
      <c r="M2264" s="89"/>
      <c r="N2264" s="90"/>
      <c r="Q2264" s="87"/>
    </row>
    <row r="2265" spans="3:17" x14ac:dyDescent="0.3">
      <c r="C2265" s="87"/>
      <c r="H2265" s="86" t="e">
        <f>IF(I2265="fora",0%,G2265/QUÓRUM!$C$6)</f>
        <v>#DIV/0!</v>
      </c>
      <c r="I2265" s="87"/>
      <c r="J2265" s="88"/>
      <c r="K2265" s="88"/>
      <c r="L2265" s="89"/>
      <c r="M2265" s="89"/>
      <c r="N2265" s="90"/>
      <c r="Q2265" s="87"/>
    </row>
    <row r="2266" spans="3:17" x14ac:dyDescent="0.3">
      <c r="C2266" s="87"/>
      <c r="H2266" s="86" t="e">
        <f>IF(I2266="fora",0%,G2266/QUÓRUM!$C$6)</f>
        <v>#DIV/0!</v>
      </c>
      <c r="I2266" s="87"/>
      <c r="J2266" s="88"/>
      <c r="K2266" s="88"/>
      <c r="L2266" s="89"/>
      <c r="M2266" s="89"/>
      <c r="N2266" s="90"/>
      <c r="Q2266" s="87"/>
    </row>
    <row r="2267" spans="3:17" x14ac:dyDescent="0.3">
      <c r="C2267" s="87"/>
      <c r="H2267" s="86" t="e">
        <f>IF(I2267="fora",0%,G2267/QUÓRUM!$C$6)</f>
        <v>#DIV/0!</v>
      </c>
      <c r="I2267" s="87"/>
      <c r="J2267" s="88"/>
      <c r="K2267" s="88"/>
      <c r="L2267" s="89"/>
      <c r="M2267" s="89"/>
      <c r="N2267" s="90"/>
      <c r="Q2267" s="87"/>
    </row>
    <row r="2268" spans="3:17" x14ac:dyDescent="0.3">
      <c r="C2268" s="87"/>
      <c r="H2268" s="86" t="e">
        <f>IF(I2268="fora",0%,G2268/QUÓRUM!$C$6)</f>
        <v>#DIV/0!</v>
      </c>
      <c r="I2268" s="87"/>
      <c r="J2268" s="88"/>
      <c r="K2268" s="88"/>
      <c r="L2268" s="89"/>
      <c r="M2268" s="89"/>
      <c r="N2268" s="90"/>
      <c r="Q2268" s="87"/>
    </row>
    <row r="2269" spans="3:17" x14ac:dyDescent="0.3">
      <c r="C2269" s="87"/>
      <c r="H2269" s="86" t="e">
        <f>IF(I2269="fora",0%,G2269/QUÓRUM!$C$6)</f>
        <v>#DIV/0!</v>
      </c>
      <c r="I2269" s="87"/>
      <c r="J2269" s="88"/>
      <c r="K2269" s="88"/>
      <c r="L2269" s="89"/>
      <c r="M2269" s="89"/>
      <c r="N2269" s="90"/>
      <c r="Q2269" s="87"/>
    </row>
    <row r="2270" spans="3:17" x14ac:dyDescent="0.3">
      <c r="C2270" s="87"/>
      <c r="H2270" s="86" t="e">
        <f>IF(I2270="fora",0%,G2270/QUÓRUM!$C$6)</f>
        <v>#DIV/0!</v>
      </c>
      <c r="I2270" s="87"/>
      <c r="J2270" s="88"/>
      <c r="K2270" s="88"/>
      <c r="L2270" s="89"/>
      <c r="M2270" s="89"/>
      <c r="N2270" s="90"/>
      <c r="Q2270" s="87"/>
    </row>
    <row r="2271" spans="3:17" x14ac:dyDescent="0.3">
      <c r="C2271" s="87"/>
      <c r="H2271" s="86" t="e">
        <f>IF(I2271="fora",0%,G2271/QUÓRUM!$C$6)</f>
        <v>#DIV/0!</v>
      </c>
      <c r="I2271" s="87"/>
      <c r="J2271" s="88"/>
      <c r="K2271" s="88"/>
      <c r="L2271" s="89"/>
      <c r="M2271" s="89"/>
      <c r="N2271" s="90"/>
      <c r="Q2271" s="87"/>
    </row>
    <row r="2272" spans="3:17" x14ac:dyDescent="0.3">
      <c r="C2272" s="87"/>
      <c r="H2272" s="86" t="e">
        <f>IF(I2272="fora",0%,G2272/QUÓRUM!$C$6)</f>
        <v>#DIV/0!</v>
      </c>
      <c r="I2272" s="87"/>
      <c r="J2272" s="88"/>
      <c r="K2272" s="88"/>
      <c r="L2272" s="89"/>
      <c r="M2272" s="89"/>
      <c r="N2272" s="90"/>
      <c r="Q2272" s="87"/>
    </row>
    <row r="2273" spans="3:17" x14ac:dyDescent="0.3">
      <c r="C2273" s="87"/>
      <c r="H2273" s="86" t="e">
        <f>IF(I2273="fora",0%,G2273/QUÓRUM!$C$6)</f>
        <v>#DIV/0!</v>
      </c>
      <c r="I2273" s="87"/>
      <c r="J2273" s="88"/>
      <c r="K2273" s="88"/>
      <c r="L2273" s="89"/>
      <c r="M2273" s="89"/>
      <c r="N2273" s="90"/>
      <c r="Q2273" s="87"/>
    </row>
    <row r="2274" spans="3:17" x14ac:dyDescent="0.3">
      <c r="C2274" s="87"/>
      <c r="H2274" s="86" t="e">
        <f>IF(I2274="fora",0%,G2274/QUÓRUM!$C$6)</f>
        <v>#DIV/0!</v>
      </c>
      <c r="I2274" s="87"/>
      <c r="J2274" s="88"/>
      <c r="K2274" s="88"/>
      <c r="L2274" s="89"/>
      <c r="M2274" s="89"/>
      <c r="N2274" s="90"/>
      <c r="Q2274" s="87"/>
    </row>
    <row r="2275" spans="3:17" x14ac:dyDescent="0.3">
      <c r="C2275" s="87"/>
      <c r="H2275" s="86" t="e">
        <f>IF(I2275="fora",0%,G2275/QUÓRUM!$C$6)</f>
        <v>#DIV/0!</v>
      </c>
      <c r="I2275" s="87"/>
      <c r="J2275" s="88"/>
      <c r="K2275" s="88"/>
      <c r="L2275" s="89"/>
      <c r="M2275" s="89"/>
      <c r="N2275" s="90"/>
      <c r="Q2275" s="87"/>
    </row>
    <row r="2276" spans="3:17" x14ac:dyDescent="0.3">
      <c r="C2276" s="87"/>
      <c r="H2276" s="86" t="e">
        <f>IF(I2276="fora",0%,G2276/QUÓRUM!$C$6)</f>
        <v>#DIV/0!</v>
      </c>
      <c r="I2276" s="87"/>
      <c r="J2276" s="88"/>
      <c r="K2276" s="88"/>
      <c r="L2276" s="89"/>
      <c r="M2276" s="89"/>
      <c r="N2276" s="90"/>
      <c r="Q2276" s="87"/>
    </row>
    <row r="2277" spans="3:17" x14ac:dyDescent="0.3">
      <c r="C2277" s="87"/>
      <c r="H2277" s="86" t="e">
        <f>IF(I2277="fora",0%,G2277/QUÓRUM!$C$6)</f>
        <v>#DIV/0!</v>
      </c>
      <c r="I2277" s="87"/>
      <c r="J2277" s="88"/>
      <c r="K2277" s="88"/>
      <c r="L2277" s="89"/>
      <c r="M2277" s="89"/>
      <c r="N2277" s="90"/>
      <c r="Q2277" s="87"/>
    </row>
    <row r="2278" spans="3:17" x14ac:dyDescent="0.3">
      <c r="C2278" s="87"/>
      <c r="H2278" s="86" t="e">
        <f>IF(I2278="fora",0%,G2278/QUÓRUM!$C$6)</f>
        <v>#DIV/0!</v>
      </c>
      <c r="I2278" s="87"/>
      <c r="J2278" s="88"/>
      <c r="K2278" s="88"/>
      <c r="L2278" s="89"/>
      <c r="M2278" s="89"/>
      <c r="N2278" s="90"/>
      <c r="Q2278" s="87"/>
    </row>
    <row r="2279" spans="3:17" x14ac:dyDescent="0.3">
      <c r="C2279" s="87"/>
      <c r="H2279" s="86" t="e">
        <f>IF(I2279="fora",0%,G2279/QUÓRUM!$C$6)</f>
        <v>#DIV/0!</v>
      </c>
      <c r="I2279" s="87"/>
      <c r="J2279" s="88"/>
      <c r="K2279" s="88"/>
      <c r="L2279" s="89"/>
      <c r="M2279" s="89"/>
      <c r="N2279" s="90"/>
      <c r="Q2279" s="87"/>
    </row>
    <row r="2280" spans="3:17" x14ac:dyDescent="0.3">
      <c r="C2280" s="87"/>
      <c r="H2280" s="86" t="e">
        <f>IF(I2280="fora",0%,G2280/QUÓRUM!$C$6)</f>
        <v>#DIV/0!</v>
      </c>
      <c r="I2280" s="87"/>
      <c r="J2280" s="88"/>
      <c r="K2280" s="88"/>
      <c r="L2280" s="89"/>
      <c r="M2280" s="89"/>
      <c r="N2280" s="90"/>
      <c r="Q2280" s="87"/>
    </row>
    <row r="2281" spans="3:17" x14ac:dyDescent="0.3">
      <c r="C2281" s="87"/>
      <c r="H2281" s="86" t="e">
        <f>IF(I2281="fora",0%,G2281/QUÓRUM!$C$6)</f>
        <v>#DIV/0!</v>
      </c>
      <c r="I2281" s="87"/>
      <c r="J2281" s="88"/>
      <c r="K2281" s="88"/>
      <c r="L2281" s="89"/>
      <c r="M2281" s="89"/>
      <c r="N2281" s="90"/>
      <c r="Q2281" s="87"/>
    </row>
    <row r="2282" spans="3:17" x14ac:dyDescent="0.3">
      <c r="C2282" s="87"/>
      <c r="H2282" s="86" t="e">
        <f>IF(I2282="fora",0%,G2282/QUÓRUM!$C$6)</f>
        <v>#DIV/0!</v>
      </c>
      <c r="I2282" s="87"/>
      <c r="J2282" s="88"/>
      <c r="K2282" s="88"/>
      <c r="L2282" s="89"/>
      <c r="M2282" s="89"/>
      <c r="N2282" s="90"/>
      <c r="Q2282" s="87"/>
    </row>
    <row r="2283" spans="3:17" x14ac:dyDescent="0.3">
      <c r="C2283" s="87"/>
      <c r="H2283" s="86" t="e">
        <f>IF(I2283="fora",0%,G2283/QUÓRUM!$C$6)</f>
        <v>#DIV/0!</v>
      </c>
      <c r="I2283" s="87"/>
      <c r="J2283" s="88"/>
      <c r="K2283" s="88"/>
      <c r="L2283" s="89"/>
      <c r="M2283" s="89"/>
      <c r="N2283" s="90"/>
      <c r="Q2283" s="87"/>
    </row>
    <row r="2284" spans="3:17" x14ac:dyDescent="0.3">
      <c r="C2284" s="87"/>
      <c r="H2284" s="86" t="e">
        <f>IF(I2284="fora",0%,G2284/QUÓRUM!$C$6)</f>
        <v>#DIV/0!</v>
      </c>
      <c r="I2284" s="87"/>
      <c r="J2284" s="88"/>
      <c r="K2284" s="88"/>
      <c r="L2284" s="89"/>
      <c r="M2284" s="89"/>
      <c r="N2284" s="90"/>
      <c r="Q2284" s="87"/>
    </row>
    <row r="2285" spans="3:17" x14ac:dyDescent="0.3">
      <c r="C2285" s="87"/>
      <c r="H2285" s="86" t="e">
        <f>IF(I2285="fora",0%,G2285/QUÓRUM!$C$6)</f>
        <v>#DIV/0!</v>
      </c>
      <c r="I2285" s="87"/>
      <c r="J2285" s="88"/>
      <c r="K2285" s="88"/>
      <c r="L2285" s="89"/>
      <c r="M2285" s="89"/>
      <c r="N2285" s="90"/>
      <c r="Q2285" s="87"/>
    </row>
    <row r="2286" spans="3:17" x14ac:dyDescent="0.3">
      <c r="C2286" s="87"/>
      <c r="H2286" s="86" t="e">
        <f>IF(I2286="fora",0%,G2286/QUÓRUM!$C$6)</f>
        <v>#DIV/0!</v>
      </c>
      <c r="I2286" s="87"/>
      <c r="J2286" s="88"/>
      <c r="K2286" s="88"/>
      <c r="L2286" s="89"/>
      <c r="M2286" s="89"/>
      <c r="N2286" s="90"/>
      <c r="Q2286" s="87"/>
    </row>
    <row r="2287" spans="3:17" x14ac:dyDescent="0.3">
      <c r="C2287" s="87"/>
      <c r="H2287" s="86" t="e">
        <f>IF(I2287="fora",0%,G2287/QUÓRUM!$C$6)</f>
        <v>#DIV/0!</v>
      </c>
      <c r="I2287" s="87"/>
      <c r="J2287" s="88"/>
      <c r="K2287" s="88"/>
      <c r="L2287" s="89"/>
      <c r="M2287" s="89"/>
      <c r="N2287" s="90"/>
      <c r="Q2287" s="87"/>
    </row>
    <row r="2288" spans="3:17" x14ac:dyDescent="0.3">
      <c r="C2288" s="87"/>
      <c r="H2288" s="86" t="e">
        <f>IF(I2288="fora",0%,G2288/QUÓRUM!$C$6)</f>
        <v>#DIV/0!</v>
      </c>
      <c r="I2288" s="87"/>
      <c r="J2288" s="88"/>
      <c r="K2288" s="88"/>
      <c r="L2288" s="89"/>
      <c r="M2288" s="89"/>
      <c r="N2288" s="90"/>
      <c r="Q2288" s="87"/>
    </row>
    <row r="2289" spans="3:17" x14ac:dyDescent="0.3">
      <c r="C2289" s="87"/>
      <c r="H2289" s="86" t="e">
        <f>IF(I2289="fora",0%,G2289/QUÓRUM!$C$6)</f>
        <v>#DIV/0!</v>
      </c>
      <c r="I2289" s="87"/>
      <c r="J2289" s="88"/>
      <c r="K2289" s="88"/>
      <c r="L2289" s="89"/>
      <c r="M2289" s="89"/>
      <c r="N2289" s="90"/>
      <c r="Q2289" s="87"/>
    </row>
    <row r="2290" spans="3:17" x14ac:dyDescent="0.3">
      <c r="C2290" s="87"/>
      <c r="H2290" s="86" t="e">
        <f>IF(I2290="fora",0%,G2290/QUÓRUM!$C$6)</f>
        <v>#DIV/0!</v>
      </c>
      <c r="I2290" s="87"/>
      <c r="J2290" s="88"/>
      <c r="K2290" s="88"/>
      <c r="L2290" s="89"/>
      <c r="M2290" s="89"/>
      <c r="N2290" s="90"/>
      <c r="Q2290" s="87"/>
    </row>
    <row r="2291" spans="3:17" x14ac:dyDescent="0.3">
      <c r="C2291" s="87"/>
      <c r="H2291" s="86" t="e">
        <f>IF(I2291="fora",0%,G2291/QUÓRUM!$C$6)</f>
        <v>#DIV/0!</v>
      </c>
      <c r="I2291" s="87"/>
      <c r="J2291" s="88"/>
      <c r="K2291" s="88"/>
      <c r="L2291" s="89"/>
      <c r="M2291" s="89"/>
      <c r="N2291" s="90"/>
      <c r="Q2291" s="87"/>
    </row>
    <row r="2292" spans="3:17" x14ac:dyDescent="0.3">
      <c r="C2292" s="87"/>
      <c r="H2292" s="86" t="e">
        <f>IF(I2292="fora",0%,G2292/QUÓRUM!$C$6)</f>
        <v>#DIV/0!</v>
      </c>
      <c r="I2292" s="87"/>
      <c r="J2292" s="88"/>
      <c r="K2292" s="88"/>
      <c r="L2292" s="89"/>
      <c r="M2292" s="89"/>
      <c r="N2292" s="90"/>
      <c r="Q2292" s="87"/>
    </row>
    <row r="2293" spans="3:17" x14ac:dyDescent="0.3">
      <c r="C2293" s="87"/>
      <c r="H2293" s="86" t="e">
        <f>IF(I2293="fora",0%,G2293/QUÓRUM!$C$6)</f>
        <v>#DIV/0!</v>
      </c>
      <c r="I2293" s="87"/>
      <c r="J2293" s="88"/>
      <c r="K2293" s="88"/>
      <c r="L2293" s="89"/>
      <c r="M2293" s="89"/>
      <c r="N2293" s="90"/>
      <c r="Q2293" s="87"/>
    </row>
    <row r="2294" spans="3:17" x14ac:dyDescent="0.3">
      <c r="C2294" s="87"/>
      <c r="H2294" s="86" t="e">
        <f>IF(I2294="fora",0%,G2294/QUÓRUM!$C$6)</f>
        <v>#DIV/0!</v>
      </c>
      <c r="I2294" s="87"/>
      <c r="J2294" s="88"/>
      <c r="K2294" s="88"/>
      <c r="L2294" s="89"/>
      <c r="M2294" s="89"/>
      <c r="N2294" s="90"/>
      <c r="Q2294" s="87"/>
    </row>
    <row r="2295" spans="3:17" x14ac:dyDescent="0.3">
      <c r="C2295" s="87"/>
      <c r="H2295" s="86" t="e">
        <f>IF(I2295="fora",0%,G2295/QUÓRUM!$C$6)</f>
        <v>#DIV/0!</v>
      </c>
      <c r="I2295" s="87"/>
      <c r="J2295" s="88"/>
      <c r="K2295" s="88"/>
      <c r="L2295" s="89"/>
      <c r="M2295" s="89"/>
      <c r="N2295" s="90"/>
      <c r="Q2295" s="87"/>
    </row>
    <row r="2296" spans="3:17" x14ac:dyDescent="0.3">
      <c r="C2296" s="87"/>
      <c r="H2296" s="86" t="e">
        <f>IF(I2296="fora",0%,G2296/QUÓRUM!$C$6)</f>
        <v>#DIV/0!</v>
      </c>
      <c r="I2296" s="87"/>
      <c r="J2296" s="88"/>
      <c r="K2296" s="88"/>
      <c r="L2296" s="89"/>
      <c r="M2296" s="89"/>
      <c r="N2296" s="90"/>
      <c r="Q2296" s="87"/>
    </row>
    <row r="2297" spans="3:17" x14ac:dyDescent="0.3">
      <c r="C2297" s="87"/>
      <c r="H2297" s="86" t="e">
        <f>IF(I2297="fora",0%,G2297/QUÓRUM!$C$6)</f>
        <v>#DIV/0!</v>
      </c>
      <c r="I2297" s="87"/>
      <c r="J2297" s="88"/>
      <c r="K2297" s="88"/>
      <c r="L2297" s="89"/>
      <c r="M2297" s="89"/>
      <c r="N2297" s="90"/>
      <c r="Q2297" s="87"/>
    </row>
    <row r="2298" spans="3:17" x14ac:dyDescent="0.3">
      <c r="C2298" s="87"/>
      <c r="H2298" s="86" t="e">
        <f>IF(I2298="fora",0%,G2298/QUÓRUM!$C$6)</f>
        <v>#DIV/0!</v>
      </c>
      <c r="I2298" s="87"/>
      <c r="J2298" s="88"/>
      <c r="K2298" s="88"/>
      <c r="L2298" s="89"/>
      <c r="M2298" s="89"/>
      <c r="N2298" s="90"/>
      <c r="Q2298" s="87"/>
    </row>
    <row r="2299" spans="3:17" x14ac:dyDescent="0.3">
      <c r="C2299" s="87"/>
      <c r="H2299" s="86" t="e">
        <f>IF(I2299="fora",0%,G2299/QUÓRUM!$C$6)</f>
        <v>#DIV/0!</v>
      </c>
      <c r="I2299" s="87"/>
      <c r="J2299" s="88"/>
      <c r="K2299" s="88"/>
      <c r="L2299" s="89"/>
      <c r="M2299" s="89"/>
      <c r="N2299" s="90"/>
      <c r="Q2299" s="87"/>
    </row>
    <row r="2300" spans="3:17" x14ac:dyDescent="0.3">
      <c r="C2300" s="87"/>
      <c r="H2300" s="86" t="e">
        <f>IF(I2300="fora",0%,G2300/QUÓRUM!$C$6)</f>
        <v>#DIV/0!</v>
      </c>
      <c r="I2300" s="87"/>
      <c r="J2300" s="88"/>
      <c r="K2300" s="88"/>
      <c r="L2300" s="89"/>
      <c r="M2300" s="89"/>
      <c r="N2300" s="90"/>
      <c r="Q2300" s="87"/>
    </row>
    <row r="2301" spans="3:17" x14ac:dyDescent="0.3">
      <c r="C2301" s="87"/>
      <c r="H2301" s="86" t="e">
        <f>IF(I2301="fora",0%,G2301/QUÓRUM!$C$6)</f>
        <v>#DIV/0!</v>
      </c>
      <c r="I2301" s="87"/>
      <c r="J2301" s="88"/>
      <c r="K2301" s="88"/>
      <c r="L2301" s="89"/>
      <c r="M2301" s="89"/>
      <c r="N2301" s="90"/>
      <c r="Q2301" s="87"/>
    </row>
    <row r="2302" spans="3:17" x14ac:dyDescent="0.3">
      <c r="C2302" s="87"/>
      <c r="H2302" s="86" t="e">
        <f>IF(I2302="fora",0%,G2302/QUÓRUM!$C$6)</f>
        <v>#DIV/0!</v>
      </c>
      <c r="I2302" s="87"/>
      <c r="J2302" s="88"/>
      <c r="K2302" s="88"/>
      <c r="L2302" s="89"/>
      <c r="M2302" s="89"/>
      <c r="N2302" s="90"/>
      <c r="Q2302" s="87"/>
    </row>
    <row r="2303" spans="3:17" x14ac:dyDescent="0.3">
      <c r="C2303" s="87"/>
      <c r="H2303" s="86" t="e">
        <f>IF(I2303="fora",0%,G2303/QUÓRUM!$C$6)</f>
        <v>#DIV/0!</v>
      </c>
      <c r="I2303" s="87"/>
      <c r="J2303" s="88"/>
      <c r="K2303" s="88"/>
      <c r="L2303" s="89"/>
      <c r="M2303" s="89"/>
      <c r="N2303" s="90"/>
      <c r="Q2303" s="87"/>
    </row>
    <row r="2304" spans="3:17" x14ac:dyDescent="0.3">
      <c r="C2304" s="87"/>
      <c r="H2304" s="86" t="e">
        <f>IF(I2304="fora",0%,G2304/QUÓRUM!$C$6)</f>
        <v>#DIV/0!</v>
      </c>
      <c r="I2304" s="87"/>
      <c r="J2304" s="88"/>
      <c r="K2304" s="88"/>
      <c r="L2304" s="89"/>
      <c r="M2304" s="89"/>
      <c r="N2304" s="90"/>
      <c r="Q2304" s="87"/>
    </row>
    <row r="2305" spans="3:17" x14ac:dyDescent="0.3">
      <c r="C2305" s="87"/>
      <c r="H2305" s="86" t="e">
        <f>IF(I2305="fora",0%,G2305/QUÓRUM!$C$6)</f>
        <v>#DIV/0!</v>
      </c>
      <c r="I2305" s="87"/>
      <c r="J2305" s="88"/>
      <c r="K2305" s="88"/>
      <c r="L2305" s="89"/>
      <c r="M2305" s="89"/>
      <c r="N2305" s="90"/>
      <c r="Q2305" s="87"/>
    </row>
    <row r="2306" spans="3:17" x14ac:dyDescent="0.3">
      <c r="C2306" s="87"/>
      <c r="H2306" s="86" t="e">
        <f>IF(I2306="fora",0%,G2306/QUÓRUM!$C$6)</f>
        <v>#DIV/0!</v>
      </c>
      <c r="I2306" s="87"/>
      <c r="J2306" s="88"/>
      <c r="K2306" s="88"/>
      <c r="L2306" s="89"/>
      <c r="M2306" s="89"/>
      <c r="N2306" s="90"/>
      <c r="Q2306" s="87"/>
    </row>
    <row r="2307" spans="3:17" x14ac:dyDescent="0.3">
      <c r="C2307" s="87"/>
      <c r="H2307" s="86" t="e">
        <f>IF(I2307="fora",0%,G2307/QUÓRUM!$C$6)</f>
        <v>#DIV/0!</v>
      </c>
      <c r="I2307" s="87"/>
      <c r="J2307" s="88"/>
      <c r="K2307" s="88"/>
      <c r="L2307" s="89"/>
      <c r="M2307" s="89"/>
      <c r="N2307" s="90"/>
      <c r="Q2307" s="87"/>
    </row>
    <row r="2308" spans="3:17" x14ac:dyDescent="0.3">
      <c r="C2308" s="87"/>
      <c r="H2308" s="86" t="e">
        <f>IF(I2308="fora",0%,G2308/QUÓRUM!$C$6)</f>
        <v>#DIV/0!</v>
      </c>
      <c r="I2308" s="87"/>
      <c r="J2308" s="88"/>
      <c r="K2308" s="88"/>
      <c r="L2308" s="89"/>
      <c r="M2308" s="89"/>
      <c r="N2308" s="90"/>
      <c r="Q2308" s="87"/>
    </row>
    <row r="2309" spans="3:17" x14ac:dyDescent="0.3">
      <c r="C2309" s="87"/>
      <c r="H2309" s="86" t="e">
        <f>IF(I2309="fora",0%,G2309/QUÓRUM!$C$6)</f>
        <v>#DIV/0!</v>
      </c>
      <c r="I2309" s="87"/>
      <c r="J2309" s="88"/>
      <c r="K2309" s="88"/>
      <c r="L2309" s="89"/>
      <c r="M2309" s="89"/>
      <c r="N2309" s="90"/>
      <c r="Q2309" s="87"/>
    </row>
    <row r="2310" spans="3:17" x14ac:dyDescent="0.3">
      <c r="C2310" s="87"/>
      <c r="H2310" s="86" t="e">
        <f>IF(I2310="fora",0%,G2310/QUÓRUM!$C$6)</f>
        <v>#DIV/0!</v>
      </c>
      <c r="I2310" s="87"/>
      <c r="J2310" s="88"/>
      <c r="K2310" s="88"/>
      <c r="L2310" s="89"/>
      <c r="M2310" s="89"/>
      <c r="N2310" s="90"/>
      <c r="Q2310" s="87"/>
    </row>
    <row r="2311" spans="3:17" x14ac:dyDescent="0.3">
      <c r="C2311" s="87"/>
      <c r="H2311" s="86" t="e">
        <f>IF(I2311="fora",0%,G2311/QUÓRUM!$C$6)</f>
        <v>#DIV/0!</v>
      </c>
      <c r="I2311" s="87"/>
      <c r="J2311" s="88"/>
      <c r="K2311" s="88"/>
      <c r="L2311" s="89"/>
      <c r="M2311" s="89"/>
      <c r="N2311" s="90"/>
      <c r="Q2311" s="87"/>
    </row>
    <row r="2312" spans="3:17" x14ac:dyDescent="0.3">
      <c r="C2312" s="87"/>
      <c r="H2312" s="86" t="e">
        <f>IF(I2312="fora",0%,G2312/QUÓRUM!$C$6)</f>
        <v>#DIV/0!</v>
      </c>
      <c r="I2312" s="87"/>
      <c r="J2312" s="88"/>
      <c r="K2312" s="88"/>
      <c r="L2312" s="89"/>
      <c r="M2312" s="89"/>
      <c r="N2312" s="90"/>
      <c r="Q2312" s="87"/>
    </row>
    <row r="2313" spans="3:17" x14ac:dyDescent="0.3">
      <c r="C2313" s="87"/>
      <c r="H2313" s="86" t="e">
        <f>IF(I2313="fora",0%,G2313/QUÓRUM!$C$6)</f>
        <v>#DIV/0!</v>
      </c>
      <c r="I2313" s="87"/>
      <c r="J2313" s="88"/>
      <c r="K2313" s="88"/>
      <c r="L2313" s="89"/>
      <c r="M2313" s="89"/>
      <c r="N2313" s="90"/>
      <c r="Q2313" s="87"/>
    </row>
    <row r="2314" spans="3:17" x14ac:dyDescent="0.3">
      <c r="C2314" s="87"/>
      <c r="H2314" s="86" t="e">
        <f>IF(I2314="fora",0%,G2314/QUÓRUM!$C$6)</f>
        <v>#DIV/0!</v>
      </c>
      <c r="I2314" s="87"/>
      <c r="J2314" s="88"/>
      <c r="K2314" s="88"/>
      <c r="L2314" s="89"/>
      <c r="M2314" s="89"/>
      <c r="N2314" s="90"/>
      <c r="Q2314" s="87"/>
    </row>
    <row r="2315" spans="3:17" x14ac:dyDescent="0.3">
      <c r="C2315" s="87"/>
      <c r="H2315" s="86" t="e">
        <f>IF(I2315="fora",0%,G2315/QUÓRUM!$C$6)</f>
        <v>#DIV/0!</v>
      </c>
      <c r="I2315" s="87"/>
      <c r="J2315" s="88"/>
      <c r="K2315" s="88"/>
      <c r="L2315" s="89"/>
      <c r="M2315" s="89"/>
      <c r="N2315" s="90"/>
      <c r="Q2315" s="87"/>
    </row>
    <row r="2316" spans="3:17" x14ac:dyDescent="0.3">
      <c r="C2316" s="87"/>
      <c r="H2316" s="86" t="e">
        <f>IF(I2316="fora",0%,G2316/QUÓRUM!$C$6)</f>
        <v>#DIV/0!</v>
      </c>
      <c r="I2316" s="87"/>
      <c r="J2316" s="88"/>
      <c r="K2316" s="88"/>
      <c r="L2316" s="89"/>
      <c r="M2316" s="89"/>
      <c r="N2316" s="90"/>
      <c r="Q2316" s="87"/>
    </row>
    <row r="2317" spans="3:17" x14ac:dyDescent="0.3">
      <c r="C2317" s="87"/>
      <c r="H2317" s="86" t="e">
        <f>IF(I2317="fora",0%,G2317/QUÓRUM!$C$6)</f>
        <v>#DIV/0!</v>
      </c>
      <c r="I2317" s="87"/>
      <c r="J2317" s="88"/>
      <c r="K2317" s="88"/>
      <c r="L2317" s="89"/>
      <c r="M2317" s="89"/>
      <c r="N2317" s="90"/>
      <c r="Q2317" s="87"/>
    </row>
    <row r="2318" spans="3:17" x14ac:dyDescent="0.3">
      <c r="C2318" s="87"/>
      <c r="H2318" s="86" t="e">
        <f>IF(I2318="fora",0%,G2318/QUÓRUM!$C$6)</f>
        <v>#DIV/0!</v>
      </c>
      <c r="I2318" s="87"/>
      <c r="J2318" s="88"/>
      <c r="K2318" s="88"/>
      <c r="L2318" s="89"/>
      <c r="M2318" s="89"/>
      <c r="N2318" s="90"/>
      <c r="Q2318" s="87"/>
    </row>
    <row r="2319" spans="3:17" x14ac:dyDescent="0.3">
      <c r="C2319" s="87"/>
      <c r="H2319" s="86" t="e">
        <f>IF(I2319="fora",0%,G2319/QUÓRUM!$C$6)</f>
        <v>#DIV/0!</v>
      </c>
      <c r="I2319" s="87"/>
      <c r="J2319" s="88"/>
      <c r="K2319" s="88"/>
      <c r="L2319" s="89"/>
      <c r="M2319" s="89"/>
      <c r="N2319" s="90"/>
      <c r="Q2319" s="87"/>
    </row>
    <row r="2320" spans="3:17" x14ac:dyDescent="0.3">
      <c r="C2320" s="87"/>
      <c r="H2320" s="86" t="e">
        <f>IF(I2320="fora",0%,G2320/QUÓRUM!$C$6)</f>
        <v>#DIV/0!</v>
      </c>
      <c r="I2320" s="87"/>
      <c r="J2320" s="88"/>
      <c r="K2320" s="88"/>
      <c r="L2320" s="89"/>
      <c r="M2320" s="89"/>
      <c r="N2320" s="90"/>
      <c r="Q2320" s="87"/>
    </row>
    <row r="2321" spans="3:17" x14ac:dyDescent="0.3">
      <c r="C2321" s="87"/>
      <c r="H2321" s="86" t="e">
        <f>IF(I2321="fora",0%,G2321/QUÓRUM!$C$6)</f>
        <v>#DIV/0!</v>
      </c>
      <c r="I2321" s="87"/>
      <c r="J2321" s="88"/>
      <c r="K2321" s="88"/>
      <c r="L2321" s="89"/>
      <c r="M2321" s="89"/>
      <c r="N2321" s="90"/>
      <c r="Q2321" s="87"/>
    </row>
    <row r="2322" spans="3:17" x14ac:dyDescent="0.3">
      <c r="C2322" s="87"/>
      <c r="H2322" s="86" t="e">
        <f>IF(I2322="fora",0%,G2322/QUÓRUM!$C$6)</f>
        <v>#DIV/0!</v>
      </c>
      <c r="I2322" s="87"/>
      <c r="J2322" s="88"/>
      <c r="K2322" s="88"/>
      <c r="L2322" s="89"/>
      <c r="M2322" s="89"/>
      <c r="N2322" s="90"/>
      <c r="Q2322" s="87"/>
    </row>
    <row r="2323" spans="3:17" x14ac:dyDescent="0.3">
      <c r="C2323" s="87"/>
      <c r="H2323" s="86" t="e">
        <f>IF(I2323="fora",0%,G2323/QUÓRUM!$C$6)</f>
        <v>#DIV/0!</v>
      </c>
      <c r="I2323" s="87"/>
      <c r="J2323" s="88"/>
      <c r="K2323" s="88"/>
      <c r="L2323" s="89"/>
      <c r="M2323" s="89"/>
      <c r="N2323" s="90"/>
      <c r="Q2323" s="87"/>
    </row>
    <row r="2324" spans="3:17" x14ac:dyDescent="0.3">
      <c r="C2324" s="87"/>
      <c r="H2324" s="86" t="e">
        <f>IF(I2324="fora",0%,G2324/QUÓRUM!$C$6)</f>
        <v>#DIV/0!</v>
      </c>
      <c r="I2324" s="87"/>
      <c r="J2324" s="88"/>
      <c r="K2324" s="88"/>
      <c r="L2324" s="89"/>
      <c r="M2324" s="89"/>
      <c r="N2324" s="90"/>
      <c r="Q2324" s="87"/>
    </row>
    <row r="2325" spans="3:17" x14ac:dyDescent="0.3">
      <c r="C2325" s="87"/>
      <c r="H2325" s="86" t="e">
        <f>IF(I2325="fora",0%,G2325/QUÓRUM!$C$6)</f>
        <v>#DIV/0!</v>
      </c>
      <c r="I2325" s="87"/>
      <c r="J2325" s="88"/>
      <c r="K2325" s="88"/>
      <c r="L2325" s="89"/>
      <c r="M2325" s="89"/>
      <c r="N2325" s="90"/>
      <c r="Q2325" s="87"/>
    </row>
    <row r="2326" spans="3:17" x14ac:dyDescent="0.3">
      <c r="C2326" s="87"/>
      <c r="H2326" s="86" t="e">
        <f>IF(I2326="fora",0%,G2326/QUÓRUM!$C$6)</f>
        <v>#DIV/0!</v>
      </c>
      <c r="I2326" s="87"/>
      <c r="J2326" s="88"/>
      <c r="K2326" s="88"/>
      <c r="L2326" s="89"/>
      <c r="M2326" s="89"/>
      <c r="N2326" s="90"/>
      <c r="Q2326" s="87"/>
    </row>
    <row r="2327" spans="3:17" x14ac:dyDescent="0.3">
      <c r="C2327" s="87"/>
      <c r="H2327" s="86" t="e">
        <f>IF(I2327="fora",0%,G2327/QUÓRUM!$C$6)</f>
        <v>#DIV/0!</v>
      </c>
      <c r="I2327" s="87"/>
      <c r="J2327" s="88"/>
      <c r="K2327" s="88"/>
      <c r="L2327" s="89"/>
      <c r="M2327" s="89"/>
      <c r="N2327" s="90"/>
      <c r="Q2327" s="87"/>
    </row>
    <row r="2328" spans="3:17" x14ac:dyDescent="0.3">
      <c r="C2328" s="87"/>
      <c r="H2328" s="86" t="e">
        <f>IF(I2328="fora",0%,G2328/QUÓRUM!$C$6)</f>
        <v>#DIV/0!</v>
      </c>
      <c r="I2328" s="87"/>
      <c r="J2328" s="88"/>
      <c r="K2328" s="88"/>
      <c r="L2328" s="89"/>
      <c r="M2328" s="89"/>
      <c r="N2328" s="90"/>
      <c r="Q2328" s="87"/>
    </row>
    <row r="2329" spans="3:17" x14ac:dyDescent="0.3">
      <c r="C2329" s="87"/>
      <c r="H2329" s="86" t="e">
        <f>IF(I2329="fora",0%,G2329/QUÓRUM!$C$6)</f>
        <v>#DIV/0!</v>
      </c>
      <c r="I2329" s="87"/>
      <c r="J2329" s="88"/>
      <c r="K2329" s="88"/>
      <c r="L2329" s="89"/>
      <c r="M2329" s="89"/>
      <c r="N2329" s="90"/>
      <c r="Q2329" s="87"/>
    </row>
    <row r="2330" spans="3:17" x14ac:dyDescent="0.3">
      <c r="C2330" s="87"/>
      <c r="H2330" s="86" t="e">
        <f>IF(I2330="fora",0%,G2330/QUÓRUM!$C$6)</f>
        <v>#DIV/0!</v>
      </c>
      <c r="I2330" s="87"/>
      <c r="J2330" s="88"/>
      <c r="K2330" s="88"/>
      <c r="L2330" s="89"/>
      <c r="M2330" s="89"/>
      <c r="N2330" s="90"/>
      <c r="Q2330" s="87"/>
    </row>
    <row r="2331" spans="3:17" x14ac:dyDescent="0.3">
      <c r="C2331" s="87"/>
      <c r="H2331" s="86" t="e">
        <f>IF(I2331="fora",0%,G2331/QUÓRUM!$C$6)</f>
        <v>#DIV/0!</v>
      </c>
      <c r="I2331" s="87"/>
      <c r="J2331" s="88"/>
      <c r="K2331" s="88"/>
      <c r="L2331" s="89"/>
      <c r="M2331" s="89"/>
      <c r="N2331" s="90"/>
      <c r="Q2331" s="87"/>
    </row>
    <row r="2332" spans="3:17" x14ac:dyDescent="0.3">
      <c r="C2332" s="87"/>
      <c r="H2332" s="86" t="e">
        <f>IF(I2332="fora",0%,G2332/QUÓRUM!$C$6)</f>
        <v>#DIV/0!</v>
      </c>
      <c r="I2332" s="87"/>
      <c r="J2332" s="88"/>
      <c r="K2332" s="88"/>
      <c r="L2332" s="89"/>
      <c r="M2332" s="89"/>
      <c r="N2332" s="90"/>
      <c r="Q2332" s="87"/>
    </row>
    <row r="2333" spans="3:17" x14ac:dyDescent="0.3">
      <c r="C2333" s="87"/>
      <c r="H2333" s="86" t="e">
        <f>IF(I2333="fora",0%,G2333/QUÓRUM!$C$6)</f>
        <v>#DIV/0!</v>
      </c>
      <c r="I2333" s="87"/>
      <c r="J2333" s="88"/>
      <c r="K2333" s="88"/>
      <c r="L2333" s="89"/>
      <c r="M2333" s="89"/>
      <c r="N2333" s="90"/>
      <c r="Q2333" s="87"/>
    </row>
    <row r="2334" spans="3:17" x14ac:dyDescent="0.3">
      <c r="C2334" s="87"/>
      <c r="H2334" s="86" t="e">
        <f>IF(I2334="fora",0%,G2334/QUÓRUM!$C$6)</f>
        <v>#DIV/0!</v>
      </c>
      <c r="I2334" s="87"/>
      <c r="J2334" s="88"/>
      <c r="K2334" s="88"/>
      <c r="L2334" s="89"/>
      <c r="M2334" s="89"/>
      <c r="N2334" s="90"/>
      <c r="Q2334" s="87"/>
    </row>
    <row r="2335" spans="3:17" x14ac:dyDescent="0.3">
      <c r="C2335" s="87"/>
      <c r="H2335" s="86" t="e">
        <f>IF(I2335="fora",0%,G2335/QUÓRUM!$C$6)</f>
        <v>#DIV/0!</v>
      </c>
      <c r="I2335" s="87"/>
      <c r="J2335" s="88"/>
      <c r="K2335" s="88"/>
      <c r="L2335" s="89"/>
      <c r="M2335" s="89"/>
      <c r="N2335" s="90"/>
      <c r="Q2335" s="87"/>
    </row>
    <row r="2336" spans="3:17" x14ac:dyDescent="0.3">
      <c r="C2336" s="87"/>
      <c r="H2336" s="86" t="e">
        <f>IF(I2336="fora",0%,G2336/QUÓRUM!$C$6)</f>
        <v>#DIV/0!</v>
      </c>
      <c r="I2336" s="87"/>
      <c r="J2336" s="88"/>
      <c r="K2336" s="88"/>
      <c r="L2336" s="89"/>
      <c r="M2336" s="89"/>
      <c r="N2336" s="90"/>
      <c r="Q2336" s="87"/>
    </row>
    <row r="2337" spans="3:17" x14ac:dyDescent="0.3">
      <c r="C2337" s="87"/>
      <c r="H2337" s="86" t="e">
        <f>IF(I2337="fora",0%,G2337/QUÓRUM!$C$6)</f>
        <v>#DIV/0!</v>
      </c>
      <c r="I2337" s="87"/>
      <c r="J2337" s="88"/>
      <c r="K2337" s="88"/>
      <c r="L2337" s="89"/>
      <c r="M2337" s="89"/>
      <c r="N2337" s="90"/>
      <c r="Q2337" s="87"/>
    </row>
    <row r="2338" spans="3:17" x14ac:dyDescent="0.3">
      <c r="C2338" s="87"/>
      <c r="H2338" s="86" t="e">
        <f>IF(I2338="fora",0%,G2338/QUÓRUM!$C$6)</f>
        <v>#DIV/0!</v>
      </c>
      <c r="I2338" s="87"/>
      <c r="J2338" s="88"/>
      <c r="K2338" s="88"/>
      <c r="L2338" s="89"/>
      <c r="M2338" s="89"/>
      <c r="N2338" s="90"/>
      <c r="Q2338" s="87"/>
    </row>
    <row r="2339" spans="3:17" x14ac:dyDescent="0.3">
      <c r="C2339" s="87"/>
      <c r="H2339" s="86" t="e">
        <f>IF(I2339="fora",0%,G2339/QUÓRUM!$C$6)</f>
        <v>#DIV/0!</v>
      </c>
      <c r="I2339" s="87"/>
      <c r="J2339" s="88"/>
      <c r="K2339" s="88"/>
      <c r="L2339" s="89"/>
      <c r="M2339" s="89"/>
      <c r="N2339" s="90"/>
      <c r="Q2339" s="87"/>
    </row>
    <row r="2340" spans="3:17" x14ac:dyDescent="0.3">
      <c r="C2340" s="87"/>
      <c r="H2340" s="86" t="e">
        <f>IF(I2340="fora",0%,G2340/QUÓRUM!$C$6)</f>
        <v>#DIV/0!</v>
      </c>
      <c r="I2340" s="87"/>
      <c r="J2340" s="88"/>
      <c r="K2340" s="88"/>
      <c r="L2340" s="89"/>
      <c r="M2340" s="89"/>
      <c r="N2340" s="90"/>
      <c r="Q2340" s="87"/>
    </row>
    <row r="2341" spans="3:17" x14ac:dyDescent="0.3">
      <c r="C2341" s="87"/>
      <c r="H2341" s="86" t="e">
        <f>IF(I2341="fora",0%,G2341/QUÓRUM!$C$6)</f>
        <v>#DIV/0!</v>
      </c>
      <c r="I2341" s="87"/>
      <c r="J2341" s="88"/>
      <c r="K2341" s="88"/>
      <c r="L2341" s="89"/>
      <c r="M2341" s="89"/>
      <c r="N2341" s="90"/>
      <c r="Q2341" s="87"/>
    </row>
    <row r="2342" spans="3:17" x14ac:dyDescent="0.3">
      <c r="C2342" s="87"/>
      <c r="H2342" s="86" t="e">
        <f>IF(I2342="fora",0%,G2342/QUÓRUM!$C$6)</f>
        <v>#DIV/0!</v>
      </c>
      <c r="I2342" s="87"/>
      <c r="J2342" s="88"/>
      <c r="K2342" s="88"/>
      <c r="L2342" s="89"/>
      <c r="M2342" s="89"/>
      <c r="N2342" s="90"/>
      <c r="Q2342" s="87"/>
    </row>
    <row r="2343" spans="3:17" x14ac:dyDescent="0.3">
      <c r="C2343" s="87"/>
      <c r="H2343" s="86" t="e">
        <f>IF(I2343="fora",0%,G2343/QUÓRUM!$C$6)</f>
        <v>#DIV/0!</v>
      </c>
      <c r="I2343" s="87"/>
      <c r="J2343" s="88"/>
      <c r="K2343" s="88"/>
      <c r="L2343" s="89"/>
      <c r="M2343" s="89"/>
      <c r="N2343" s="90"/>
      <c r="Q2343" s="87"/>
    </row>
    <row r="2344" spans="3:17" x14ac:dyDescent="0.3">
      <c r="C2344" s="87"/>
      <c r="H2344" s="86" t="e">
        <f>IF(I2344="fora",0%,G2344/QUÓRUM!$C$6)</f>
        <v>#DIV/0!</v>
      </c>
      <c r="I2344" s="87"/>
      <c r="J2344" s="88"/>
      <c r="K2344" s="88"/>
      <c r="L2344" s="89"/>
      <c r="M2344" s="89"/>
      <c r="N2344" s="90"/>
      <c r="Q2344" s="87"/>
    </row>
    <row r="2345" spans="3:17" x14ac:dyDescent="0.3">
      <c r="C2345" s="87"/>
      <c r="H2345" s="86" t="e">
        <f>IF(I2345="fora",0%,G2345/QUÓRUM!$C$6)</f>
        <v>#DIV/0!</v>
      </c>
      <c r="I2345" s="87"/>
      <c r="J2345" s="88"/>
      <c r="K2345" s="88"/>
      <c r="L2345" s="89"/>
      <c r="M2345" s="89"/>
      <c r="N2345" s="90"/>
      <c r="Q2345" s="87"/>
    </row>
    <row r="2346" spans="3:17" x14ac:dyDescent="0.3">
      <c r="C2346" s="87"/>
      <c r="H2346" s="86" t="e">
        <f>IF(I2346="fora",0%,G2346/QUÓRUM!$C$6)</f>
        <v>#DIV/0!</v>
      </c>
      <c r="I2346" s="87"/>
      <c r="J2346" s="88"/>
      <c r="K2346" s="88"/>
      <c r="L2346" s="89"/>
      <c r="M2346" s="89"/>
      <c r="N2346" s="90"/>
      <c r="Q2346" s="87"/>
    </row>
    <row r="2347" spans="3:17" x14ac:dyDescent="0.3">
      <c r="C2347" s="87"/>
      <c r="H2347" s="86" t="e">
        <f>IF(I2347="fora",0%,G2347/QUÓRUM!$C$6)</f>
        <v>#DIV/0!</v>
      </c>
      <c r="I2347" s="87"/>
      <c r="J2347" s="88"/>
      <c r="K2347" s="88"/>
      <c r="L2347" s="89"/>
      <c r="M2347" s="89"/>
      <c r="N2347" s="90"/>
      <c r="Q2347" s="87"/>
    </row>
    <row r="2348" spans="3:17" x14ac:dyDescent="0.3">
      <c r="C2348" s="87"/>
      <c r="H2348" s="86" t="e">
        <f>IF(I2348="fora",0%,G2348/QUÓRUM!$C$6)</f>
        <v>#DIV/0!</v>
      </c>
      <c r="I2348" s="87"/>
      <c r="J2348" s="88"/>
      <c r="K2348" s="88"/>
      <c r="L2348" s="89"/>
      <c r="M2348" s="89"/>
      <c r="N2348" s="90"/>
      <c r="Q2348" s="87"/>
    </row>
    <row r="2349" spans="3:17" x14ac:dyDescent="0.3">
      <c r="C2349" s="87"/>
      <c r="H2349" s="86" t="e">
        <f>IF(I2349="fora",0%,G2349/QUÓRUM!$C$6)</f>
        <v>#DIV/0!</v>
      </c>
      <c r="I2349" s="87"/>
      <c r="J2349" s="88"/>
      <c r="K2349" s="88"/>
      <c r="L2349" s="89"/>
      <c r="M2349" s="89"/>
      <c r="N2349" s="90"/>
      <c r="Q2349" s="87"/>
    </row>
    <row r="2350" spans="3:17" x14ac:dyDescent="0.3">
      <c r="C2350" s="87"/>
      <c r="H2350" s="86" t="e">
        <f>IF(I2350="fora",0%,G2350/QUÓRUM!$C$6)</f>
        <v>#DIV/0!</v>
      </c>
      <c r="I2350" s="87"/>
      <c r="J2350" s="88"/>
      <c r="K2350" s="88"/>
      <c r="L2350" s="89"/>
      <c r="M2350" s="89"/>
      <c r="N2350" s="90"/>
      <c r="Q2350" s="87"/>
    </row>
    <row r="2351" spans="3:17" x14ac:dyDescent="0.3">
      <c r="C2351" s="87"/>
      <c r="H2351" s="86" t="e">
        <f>IF(I2351="fora",0%,G2351/QUÓRUM!$C$6)</f>
        <v>#DIV/0!</v>
      </c>
      <c r="I2351" s="87"/>
      <c r="J2351" s="88"/>
      <c r="K2351" s="88"/>
      <c r="L2351" s="89"/>
      <c r="M2351" s="89"/>
      <c r="N2351" s="90"/>
      <c r="Q2351" s="87"/>
    </row>
    <row r="2352" spans="3:17" x14ac:dyDescent="0.3">
      <c r="C2352" s="87"/>
      <c r="H2352" s="86" t="e">
        <f>IF(I2352="fora",0%,G2352/QUÓRUM!$C$6)</f>
        <v>#DIV/0!</v>
      </c>
      <c r="I2352" s="87"/>
      <c r="J2352" s="88"/>
      <c r="K2352" s="88"/>
      <c r="L2352" s="89"/>
      <c r="M2352" s="89"/>
      <c r="N2352" s="90"/>
      <c r="Q2352" s="87"/>
    </row>
    <row r="2353" spans="3:17" x14ac:dyDescent="0.3">
      <c r="C2353" s="87"/>
      <c r="H2353" s="86" t="e">
        <f>IF(I2353="fora",0%,G2353/QUÓRUM!$C$6)</f>
        <v>#DIV/0!</v>
      </c>
      <c r="I2353" s="87"/>
      <c r="J2353" s="88"/>
      <c r="K2353" s="88"/>
      <c r="L2353" s="89"/>
      <c r="M2353" s="89"/>
      <c r="N2353" s="90"/>
      <c r="Q2353" s="87"/>
    </row>
    <row r="2354" spans="3:17" x14ac:dyDescent="0.3">
      <c r="C2354" s="87"/>
      <c r="H2354" s="86" t="e">
        <f>IF(I2354="fora",0%,G2354/QUÓRUM!$C$6)</f>
        <v>#DIV/0!</v>
      </c>
      <c r="I2354" s="87"/>
      <c r="J2354" s="88"/>
      <c r="K2354" s="88"/>
      <c r="L2354" s="89"/>
      <c r="M2354" s="89"/>
      <c r="N2354" s="90"/>
      <c r="Q2354" s="87"/>
    </row>
    <row r="2355" spans="3:17" x14ac:dyDescent="0.3">
      <c r="C2355" s="87"/>
      <c r="H2355" s="86" t="e">
        <f>IF(I2355="fora",0%,G2355/QUÓRUM!$C$6)</f>
        <v>#DIV/0!</v>
      </c>
      <c r="I2355" s="87"/>
      <c r="J2355" s="88"/>
      <c r="K2355" s="88"/>
      <c r="L2355" s="89"/>
      <c r="M2355" s="89"/>
      <c r="N2355" s="90"/>
      <c r="Q2355" s="87"/>
    </row>
    <row r="2356" spans="3:17" x14ac:dyDescent="0.3">
      <c r="C2356" s="87"/>
      <c r="H2356" s="86" t="e">
        <f>IF(I2356="fora",0%,G2356/QUÓRUM!$C$6)</f>
        <v>#DIV/0!</v>
      </c>
      <c r="I2356" s="87"/>
      <c r="J2356" s="88"/>
      <c r="K2356" s="88"/>
      <c r="L2356" s="89"/>
      <c r="M2356" s="89"/>
      <c r="N2356" s="90"/>
      <c r="Q2356" s="87"/>
    </row>
    <row r="2357" spans="3:17" x14ac:dyDescent="0.3">
      <c r="C2357" s="87"/>
      <c r="H2357" s="86" t="e">
        <f>IF(I2357="fora",0%,G2357/QUÓRUM!$C$6)</f>
        <v>#DIV/0!</v>
      </c>
      <c r="I2357" s="87"/>
      <c r="J2357" s="88"/>
      <c r="K2357" s="88"/>
      <c r="L2357" s="89"/>
      <c r="M2357" s="89"/>
      <c r="N2357" s="90"/>
      <c r="Q2357" s="87"/>
    </row>
    <row r="2358" spans="3:17" x14ac:dyDescent="0.3">
      <c r="C2358" s="87"/>
      <c r="H2358" s="86" t="e">
        <f>IF(I2358="fora",0%,G2358/QUÓRUM!$C$6)</f>
        <v>#DIV/0!</v>
      </c>
      <c r="I2358" s="87"/>
      <c r="J2358" s="88"/>
      <c r="K2358" s="88"/>
      <c r="L2358" s="89"/>
      <c r="M2358" s="89"/>
      <c r="N2358" s="90"/>
      <c r="Q2358" s="87"/>
    </row>
    <row r="2359" spans="3:17" x14ac:dyDescent="0.3">
      <c r="C2359" s="87"/>
      <c r="H2359" s="86" t="e">
        <f>IF(I2359="fora",0%,G2359/QUÓRUM!$C$6)</f>
        <v>#DIV/0!</v>
      </c>
      <c r="I2359" s="87"/>
      <c r="J2359" s="88"/>
      <c r="K2359" s="88"/>
      <c r="L2359" s="89"/>
      <c r="M2359" s="89"/>
      <c r="N2359" s="90"/>
      <c r="Q2359" s="87"/>
    </row>
    <row r="2360" spans="3:17" x14ac:dyDescent="0.3">
      <c r="C2360" s="87"/>
      <c r="H2360" s="86" t="e">
        <f>IF(I2360="fora",0%,G2360/QUÓRUM!$C$6)</f>
        <v>#DIV/0!</v>
      </c>
      <c r="I2360" s="87"/>
      <c r="J2360" s="88"/>
      <c r="K2360" s="88"/>
      <c r="L2360" s="89"/>
      <c r="M2360" s="89"/>
      <c r="N2360" s="90"/>
      <c r="Q2360" s="87"/>
    </row>
    <row r="2361" spans="3:17" x14ac:dyDescent="0.3">
      <c r="C2361" s="87"/>
      <c r="H2361" s="86" t="e">
        <f>IF(I2361="fora",0%,G2361/QUÓRUM!$C$6)</f>
        <v>#DIV/0!</v>
      </c>
      <c r="I2361" s="87"/>
      <c r="J2361" s="88"/>
      <c r="K2361" s="88"/>
      <c r="L2361" s="89"/>
      <c r="M2361" s="89"/>
      <c r="N2361" s="90"/>
      <c r="Q2361" s="87"/>
    </row>
    <row r="2362" spans="3:17" x14ac:dyDescent="0.3">
      <c r="C2362" s="87"/>
      <c r="H2362" s="86" t="e">
        <f>IF(I2362="fora",0%,G2362/QUÓRUM!$C$6)</f>
        <v>#DIV/0!</v>
      </c>
      <c r="I2362" s="87"/>
      <c r="J2362" s="88"/>
      <c r="K2362" s="88"/>
      <c r="L2362" s="89"/>
      <c r="M2362" s="89"/>
      <c r="N2362" s="90"/>
      <c r="Q2362" s="87"/>
    </row>
    <row r="2363" spans="3:17" x14ac:dyDescent="0.3">
      <c r="C2363" s="87"/>
      <c r="H2363" s="86" t="e">
        <f>IF(I2363="fora",0%,G2363/QUÓRUM!$C$6)</f>
        <v>#DIV/0!</v>
      </c>
      <c r="I2363" s="87"/>
      <c r="J2363" s="88"/>
      <c r="K2363" s="88"/>
      <c r="L2363" s="89"/>
      <c r="M2363" s="89"/>
      <c r="N2363" s="90"/>
      <c r="Q2363" s="87"/>
    </row>
    <row r="2364" spans="3:17" x14ac:dyDescent="0.3">
      <c r="C2364" s="87"/>
      <c r="H2364" s="86" t="e">
        <f>IF(I2364="fora",0%,G2364/QUÓRUM!$C$6)</f>
        <v>#DIV/0!</v>
      </c>
      <c r="I2364" s="87"/>
      <c r="J2364" s="88"/>
      <c r="K2364" s="88"/>
      <c r="L2364" s="89"/>
      <c r="M2364" s="89"/>
      <c r="N2364" s="90"/>
      <c r="Q2364" s="87"/>
    </row>
    <row r="2365" spans="3:17" x14ac:dyDescent="0.3">
      <c r="C2365" s="87"/>
      <c r="H2365" s="86" t="e">
        <f>IF(I2365="fora",0%,G2365/QUÓRUM!$C$6)</f>
        <v>#DIV/0!</v>
      </c>
      <c r="I2365" s="87"/>
      <c r="J2365" s="88"/>
      <c r="K2365" s="88"/>
      <c r="L2365" s="89"/>
      <c r="M2365" s="89"/>
      <c r="N2365" s="90"/>
      <c r="Q2365" s="87"/>
    </row>
    <row r="2366" spans="3:17" x14ac:dyDescent="0.3">
      <c r="C2366" s="87"/>
      <c r="H2366" s="86" t="e">
        <f>IF(I2366="fora",0%,G2366/QUÓRUM!$C$6)</f>
        <v>#DIV/0!</v>
      </c>
      <c r="I2366" s="87"/>
      <c r="J2366" s="88"/>
      <c r="K2366" s="88"/>
      <c r="L2366" s="89"/>
      <c r="M2366" s="89"/>
      <c r="N2366" s="90"/>
      <c r="Q2366" s="87"/>
    </row>
    <row r="2367" spans="3:17" x14ac:dyDescent="0.3">
      <c r="C2367" s="87"/>
      <c r="H2367" s="86" t="e">
        <f>IF(I2367="fora",0%,G2367/QUÓRUM!$C$6)</f>
        <v>#DIV/0!</v>
      </c>
      <c r="I2367" s="87"/>
      <c r="J2367" s="88"/>
      <c r="K2367" s="88"/>
      <c r="L2367" s="89"/>
      <c r="M2367" s="89"/>
      <c r="N2367" s="90"/>
      <c r="Q2367" s="87"/>
    </row>
    <row r="2368" spans="3:17" x14ac:dyDescent="0.3">
      <c r="C2368" s="87"/>
      <c r="H2368" s="86" t="e">
        <f>IF(I2368="fora",0%,G2368/QUÓRUM!$C$6)</f>
        <v>#DIV/0!</v>
      </c>
      <c r="I2368" s="87"/>
      <c r="J2368" s="88"/>
      <c r="K2368" s="88"/>
      <c r="L2368" s="89"/>
      <c r="M2368" s="89"/>
      <c r="N2368" s="90"/>
      <c r="Q2368" s="87"/>
    </row>
    <row r="2369" spans="3:17" x14ac:dyDescent="0.3">
      <c r="C2369" s="87"/>
      <c r="H2369" s="86" t="e">
        <f>IF(I2369="fora",0%,G2369/QUÓRUM!$C$6)</f>
        <v>#DIV/0!</v>
      </c>
      <c r="I2369" s="87"/>
      <c r="J2369" s="88"/>
      <c r="K2369" s="88"/>
      <c r="L2369" s="89"/>
      <c r="M2369" s="89"/>
      <c r="N2369" s="90"/>
      <c r="Q2369" s="87"/>
    </row>
    <row r="2370" spans="3:17" x14ac:dyDescent="0.3">
      <c r="C2370" s="87"/>
      <c r="H2370" s="86" t="e">
        <f>IF(I2370="fora",0%,G2370/QUÓRUM!$C$6)</f>
        <v>#DIV/0!</v>
      </c>
      <c r="I2370" s="87"/>
      <c r="J2370" s="88"/>
      <c r="K2370" s="88"/>
      <c r="L2370" s="89"/>
      <c r="M2370" s="89"/>
      <c r="N2370" s="90"/>
      <c r="Q2370" s="87"/>
    </row>
    <row r="2371" spans="3:17" x14ac:dyDescent="0.3">
      <c r="C2371" s="87"/>
      <c r="H2371" s="86" t="e">
        <f>IF(I2371="fora",0%,G2371/QUÓRUM!$C$6)</f>
        <v>#DIV/0!</v>
      </c>
      <c r="I2371" s="87"/>
      <c r="J2371" s="88"/>
      <c r="K2371" s="88"/>
      <c r="L2371" s="89"/>
      <c r="M2371" s="89"/>
      <c r="N2371" s="90"/>
      <c r="Q2371" s="87"/>
    </row>
    <row r="2372" spans="3:17" x14ac:dyDescent="0.3">
      <c r="C2372" s="87"/>
      <c r="H2372" s="86" t="e">
        <f>IF(I2372="fora",0%,G2372/QUÓRUM!$C$6)</f>
        <v>#DIV/0!</v>
      </c>
      <c r="I2372" s="87"/>
      <c r="J2372" s="88"/>
      <c r="K2372" s="88"/>
      <c r="L2372" s="89"/>
      <c r="M2372" s="89"/>
      <c r="N2372" s="90"/>
      <c r="Q2372" s="87"/>
    </row>
    <row r="2373" spans="3:17" x14ac:dyDescent="0.3">
      <c r="C2373" s="87"/>
      <c r="H2373" s="86" t="e">
        <f>IF(I2373="fora",0%,G2373/QUÓRUM!$C$6)</f>
        <v>#DIV/0!</v>
      </c>
      <c r="I2373" s="87"/>
      <c r="J2373" s="88"/>
      <c r="K2373" s="88"/>
      <c r="L2373" s="89"/>
      <c r="M2373" s="89"/>
      <c r="N2373" s="90"/>
      <c r="Q2373" s="87"/>
    </row>
    <row r="2374" spans="3:17" x14ac:dyDescent="0.3">
      <c r="C2374" s="87"/>
      <c r="H2374" s="86" t="e">
        <f>IF(I2374="fora",0%,G2374/QUÓRUM!$C$6)</f>
        <v>#DIV/0!</v>
      </c>
      <c r="I2374" s="87"/>
      <c r="J2374" s="88"/>
      <c r="K2374" s="88"/>
      <c r="L2374" s="89"/>
      <c r="M2374" s="89"/>
      <c r="N2374" s="90"/>
      <c r="Q2374" s="87"/>
    </row>
    <row r="2375" spans="3:17" x14ac:dyDescent="0.3">
      <c r="C2375" s="87"/>
      <c r="G2375" s="115"/>
      <c r="H2375" s="86" t="e">
        <f>IF(I2375="fora",0%,G2375/QUÓRUM!$C$6)</f>
        <v>#DIV/0!</v>
      </c>
      <c r="I2375" s="87"/>
      <c r="J2375" s="88"/>
      <c r="K2375" s="88"/>
      <c r="L2375" s="89"/>
      <c r="M2375" s="89"/>
      <c r="N2375" s="90"/>
      <c r="Q2375" s="87"/>
    </row>
    <row r="2376" spans="3:17" x14ac:dyDescent="0.3">
      <c r="C2376" s="87"/>
      <c r="H2376" s="86" t="e">
        <f>IF(I2376="fora",0%,G2376/QUÓRUM!$C$6)</f>
        <v>#DIV/0!</v>
      </c>
      <c r="I2376" s="87"/>
      <c r="J2376" s="88"/>
      <c r="K2376" s="88"/>
      <c r="L2376" s="89"/>
      <c r="M2376" s="89"/>
      <c r="N2376" s="90"/>
      <c r="Q2376" s="87"/>
    </row>
    <row r="2377" spans="3:17" x14ac:dyDescent="0.3">
      <c r="C2377" s="87"/>
      <c r="H2377" s="86" t="e">
        <f>IF(I2377="fora",0%,G2377/QUÓRUM!$C$6)</f>
        <v>#DIV/0!</v>
      </c>
      <c r="I2377" s="87"/>
      <c r="J2377" s="88"/>
      <c r="K2377" s="88"/>
      <c r="L2377" s="89"/>
      <c r="M2377" s="89"/>
      <c r="N2377" s="90"/>
      <c r="Q2377" s="87"/>
    </row>
    <row r="2378" spans="3:17" x14ac:dyDescent="0.3">
      <c r="C2378" s="87"/>
      <c r="H2378" s="86" t="e">
        <f>IF(I2378="fora",0%,G2378/QUÓRUM!$C$6)</f>
        <v>#DIV/0!</v>
      </c>
      <c r="I2378" s="87"/>
      <c r="J2378" s="88"/>
      <c r="K2378" s="88"/>
      <c r="L2378" s="89"/>
      <c r="M2378" s="89"/>
      <c r="N2378" s="90"/>
      <c r="Q2378" s="87"/>
    </row>
    <row r="2379" spans="3:17" x14ac:dyDescent="0.3">
      <c r="C2379" s="87"/>
      <c r="H2379" s="86" t="e">
        <f>IF(I2379="fora",0%,G2379/QUÓRUM!$C$6)</f>
        <v>#DIV/0!</v>
      </c>
      <c r="I2379" s="87"/>
      <c r="J2379" s="88"/>
      <c r="K2379" s="88"/>
      <c r="L2379" s="89"/>
      <c r="M2379" s="89"/>
      <c r="N2379" s="90"/>
      <c r="Q2379" s="87"/>
    </row>
    <row r="2380" spans="3:17" x14ac:dyDescent="0.3">
      <c r="C2380" s="87"/>
      <c r="H2380" s="86" t="e">
        <f>IF(I2380="fora",0%,G2380/QUÓRUM!$C$6)</f>
        <v>#DIV/0!</v>
      </c>
      <c r="I2380" s="87"/>
      <c r="J2380" s="88"/>
      <c r="K2380" s="88"/>
      <c r="L2380" s="89"/>
      <c r="M2380" s="89"/>
      <c r="N2380" s="90"/>
      <c r="Q2380" s="87"/>
    </row>
    <row r="2381" spans="3:17" x14ac:dyDescent="0.3">
      <c r="C2381" s="87"/>
      <c r="H2381" s="86" t="e">
        <f>IF(I2381="fora",0%,G2381/QUÓRUM!$C$6)</f>
        <v>#DIV/0!</v>
      </c>
      <c r="I2381" s="87"/>
      <c r="J2381" s="88"/>
      <c r="K2381" s="88"/>
      <c r="L2381" s="89"/>
      <c r="M2381" s="89"/>
      <c r="N2381" s="90"/>
      <c r="Q2381" s="87"/>
    </row>
    <row r="2382" spans="3:17" x14ac:dyDescent="0.3">
      <c r="C2382" s="87"/>
      <c r="H2382" s="86" t="e">
        <f>IF(I2382="fora",0%,G2382/QUÓRUM!$C$6)</f>
        <v>#DIV/0!</v>
      </c>
      <c r="I2382" s="87"/>
      <c r="J2382" s="88"/>
      <c r="K2382" s="88"/>
      <c r="L2382" s="89"/>
      <c r="M2382" s="89"/>
      <c r="N2382" s="90"/>
      <c r="Q2382" s="87"/>
    </row>
    <row r="2383" spans="3:17" x14ac:dyDescent="0.3">
      <c r="C2383" s="87"/>
      <c r="H2383" s="86" t="e">
        <f>IF(I2383="fora",0%,G2383/QUÓRUM!$C$6)</f>
        <v>#DIV/0!</v>
      </c>
      <c r="I2383" s="87"/>
      <c r="J2383" s="88"/>
      <c r="K2383" s="88"/>
      <c r="L2383" s="89"/>
      <c r="M2383" s="89"/>
      <c r="N2383" s="90"/>
      <c r="Q2383" s="87"/>
    </row>
    <row r="2384" spans="3:17" x14ac:dyDescent="0.3">
      <c r="C2384" s="87"/>
      <c r="H2384" s="86" t="e">
        <f>IF(I2384="fora",0%,G2384/QUÓRUM!$C$6)</f>
        <v>#DIV/0!</v>
      </c>
      <c r="I2384" s="87"/>
      <c r="J2384" s="88"/>
      <c r="K2384" s="88"/>
      <c r="L2384" s="89"/>
      <c r="M2384" s="89"/>
      <c r="N2384" s="90"/>
      <c r="Q2384" s="87"/>
    </row>
    <row r="2385" spans="3:17" x14ac:dyDescent="0.3">
      <c r="C2385" s="87"/>
      <c r="H2385" s="86" t="e">
        <f>IF(I2385="fora",0%,G2385/QUÓRUM!$C$6)</f>
        <v>#DIV/0!</v>
      </c>
      <c r="I2385" s="87"/>
      <c r="J2385" s="88"/>
      <c r="K2385" s="88"/>
      <c r="L2385" s="89"/>
      <c r="M2385" s="89"/>
      <c r="N2385" s="90"/>
      <c r="Q2385" s="87"/>
    </row>
    <row r="2386" spans="3:17" x14ac:dyDescent="0.3">
      <c r="C2386" s="87"/>
      <c r="H2386" s="86" t="e">
        <f>IF(I2386="fora",0%,G2386/QUÓRUM!$C$6)</f>
        <v>#DIV/0!</v>
      </c>
      <c r="I2386" s="87"/>
      <c r="J2386" s="88"/>
      <c r="K2386" s="88"/>
      <c r="L2386" s="89"/>
      <c r="M2386" s="89"/>
      <c r="N2386" s="90"/>
      <c r="Q2386" s="87"/>
    </row>
    <row r="2387" spans="3:17" x14ac:dyDescent="0.3">
      <c r="C2387" s="87"/>
      <c r="H2387" s="86" t="e">
        <f>IF(I2387="fora",0%,G2387/QUÓRUM!$C$6)</f>
        <v>#DIV/0!</v>
      </c>
      <c r="I2387" s="87"/>
      <c r="J2387" s="88"/>
      <c r="K2387" s="88"/>
      <c r="L2387" s="89"/>
      <c r="M2387" s="89"/>
      <c r="N2387" s="90"/>
      <c r="Q2387" s="87"/>
    </row>
    <row r="2388" spans="3:17" x14ac:dyDescent="0.3">
      <c r="C2388" s="87"/>
      <c r="H2388" s="86" t="e">
        <f>IF(I2388="fora",0%,G2388/QUÓRUM!$C$6)</f>
        <v>#DIV/0!</v>
      </c>
      <c r="I2388" s="87"/>
      <c r="J2388" s="88"/>
      <c r="K2388" s="88"/>
      <c r="L2388" s="89"/>
      <c r="M2388" s="89"/>
      <c r="N2388" s="90"/>
      <c r="Q2388" s="87"/>
    </row>
    <row r="2389" spans="3:17" x14ac:dyDescent="0.3">
      <c r="C2389" s="87"/>
      <c r="H2389" s="86" t="e">
        <f>IF(I2389="fora",0%,G2389/QUÓRUM!$C$6)</f>
        <v>#DIV/0!</v>
      </c>
      <c r="I2389" s="87"/>
      <c r="J2389" s="88"/>
      <c r="K2389" s="88"/>
      <c r="L2389" s="89"/>
      <c r="M2389" s="89"/>
      <c r="N2389" s="90"/>
      <c r="Q2389" s="87"/>
    </row>
    <row r="2390" spans="3:17" x14ac:dyDescent="0.3">
      <c r="C2390" s="87"/>
      <c r="H2390" s="86" t="e">
        <f>IF(I2390="fora",0%,G2390/QUÓRUM!$C$6)</f>
        <v>#DIV/0!</v>
      </c>
      <c r="I2390" s="87"/>
      <c r="J2390" s="88"/>
      <c r="K2390" s="88"/>
      <c r="L2390" s="89"/>
      <c r="M2390" s="89"/>
      <c r="N2390" s="90"/>
      <c r="Q2390" s="87"/>
    </row>
    <row r="2391" spans="3:17" x14ac:dyDescent="0.3">
      <c r="C2391" s="87"/>
      <c r="H2391" s="86" t="e">
        <f>IF(I2391="fora",0%,G2391/QUÓRUM!$C$6)</f>
        <v>#DIV/0!</v>
      </c>
      <c r="I2391" s="87"/>
      <c r="J2391" s="88"/>
      <c r="K2391" s="88"/>
      <c r="L2391" s="89"/>
      <c r="M2391" s="89"/>
      <c r="N2391" s="90"/>
      <c r="Q2391" s="87"/>
    </row>
    <row r="2392" spans="3:17" x14ac:dyDescent="0.3">
      <c r="C2392" s="87"/>
      <c r="H2392" s="86" t="e">
        <f>IF(I2392="fora",0%,G2392/QUÓRUM!$C$6)</f>
        <v>#DIV/0!</v>
      </c>
      <c r="I2392" s="87"/>
      <c r="J2392" s="88"/>
      <c r="K2392" s="88"/>
      <c r="L2392" s="89"/>
      <c r="M2392" s="89"/>
      <c r="N2392" s="90"/>
      <c r="Q2392" s="87"/>
    </row>
    <row r="2393" spans="3:17" x14ac:dyDescent="0.3">
      <c r="C2393" s="87"/>
      <c r="H2393" s="86" t="e">
        <f>IF(I2393="fora",0%,G2393/QUÓRUM!$C$6)</f>
        <v>#DIV/0!</v>
      </c>
      <c r="I2393" s="87"/>
      <c r="J2393" s="88"/>
      <c r="K2393" s="88"/>
      <c r="L2393" s="89"/>
      <c r="M2393" s="89"/>
      <c r="N2393" s="90"/>
      <c r="Q2393" s="87"/>
    </row>
    <row r="2394" spans="3:17" x14ac:dyDescent="0.3">
      <c r="C2394" s="87"/>
      <c r="H2394" s="86" t="e">
        <f>IF(I2394="fora",0%,G2394/QUÓRUM!$C$6)</f>
        <v>#DIV/0!</v>
      </c>
      <c r="I2394" s="87"/>
      <c r="J2394" s="88"/>
      <c r="K2394" s="88"/>
      <c r="L2394" s="89"/>
      <c r="M2394" s="89"/>
      <c r="N2394" s="90"/>
      <c r="Q2394" s="87"/>
    </row>
    <row r="2395" spans="3:17" x14ac:dyDescent="0.3">
      <c r="C2395" s="87"/>
      <c r="H2395" s="86" t="e">
        <f>IF(I2395="fora",0%,G2395/QUÓRUM!$C$6)</f>
        <v>#DIV/0!</v>
      </c>
      <c r="I2395" s="87"/>
      <c r="J2395" s="88"/>
      <c r="K2395" s="88"/>
      <c r="L2395" s="89"/>
      <c r="M2395" s="89"/>
      <c r="N2395" s="90"/>
      <c r="Q2395" s="87"/>
    </row>
    <row r="2396" spans="3:17" x14ac:dyDescent="0.3">
      <c r="C2396" s="87"/>
      <c r="H2396" s="86" t="e">
        <f>IF(I2396="fora",0%,G2396/QUÓRUM!$C$6)</f>
        <v>#DIV/0!</v>
      </c>
      <c r="I2396" s="87"/>
      <c r="J2396" s="88"/>
      <c r="K2396" s="88"/>
      <c r="L2396" s="89"/>
      <c r="M2396" s="89"/>
      <c r="N2396" s="90"/>
      <c r="Q2396" s="87"/>
    </row>
    <row r="2397" spans="3:17" x14ac:dyDescent="0.3">
      <c r="C2397" s="87"/>
      <c r="H2397" s="86" t="e">
        <f>IF(I2397="fora",0%,G2397/QUÓRUM!$C$6)</f>
        <v>#DIV/0!</v>
      </c>
      <c r="I2397" s="87"/>
      <c r="J2397" s="88"/>
      <c r="K2397" s="88"/>
      <c r="L2397" s="89"/>
      <c r="M2397" s="89"/>
      <c r="N2397" s="90"/>
      <c r="Q2397" s="87"/>
    </row>
    <row r="2398" spans="3:17" x14ac:dyDescent="0.3">
      <c r="C2398" s="87"/>
      <c r="H2398" s="86" t="e">
        <f>IF(I2398="fora",0%,G2398/QUÓRUM!$C$6)</f>
        <v>#DIV/0!</v>
      </c>
      <c r="I2398" s="87"/>
      <c r="J2398" s="88"/>
      <c r="K2398" s="88"/>
      <c r="L2398" s="89"/>
      <c r="M2398" s="89"/>
      <c r="N2398" s="90"/>
      <c r="Q2398" s="87"/>
    </row>
    <row r="2399" spans="3:17" x14ac:dyDescent="0.3">
      <c r="C2399" s="87"/>
      <c r="H2399" s="86" t="e">
        <f>IF(I2399="fora",0%,G2399/QUÓRUM!$C$6)</f>
        <v>#DIV/0!</v>
      </c>
      <c r="I2399" s="87"/>
      <c r="J2399" s="88"/>
      <c r="K2399" s="88"/>
      <c r="L2399" s="89"/>
      <c r="M2399" s="89"/>
      <c r="N2399" s="90"/>
      <c r="Q2399" s="87"/>
    </row>
    <row r="2400" spans="3:17" x14ac:dyDescent="0.3">
      <c r="C2400" s="87"/>
      <c r="H2400" s="86" t="e">
        <f>IF(I2400="fora",0%,G2400/QUÓRUM!$C$6)</f>
        <v>#DIV/0!</v>
      </c>
      <c r="I2400" s="87"/>
      <c r="J2400" s="88"/>
      <c r="K2400" s="88"/>
      <c r="L2400" s="89"/>
      <c r="M2400" s="89"/>
      <c r="N2400" s="90"/>
      <c r="Q2400" s="87"/>
    </row>
    <row r="2401" spans="3:17" x14ac:dyDescent="0.3">
      <c r="C2401" s="87"/>
      <c r="H2401" s="86" t="e">
        <f>IF(I2401="fora",0%,G2401/QUÓRUM!$C$6)</f>
        <v>#DIV/0!</v>
      </c>
      <c r="I2401" s="87"/>
      <c r="J2401" s="88"/>
      <c r="K2401" s="88"/>
      <c r="L2401" s="89"/>
      <c r="M2401" s="89"/>
      <c r="N2401" s="90"/>
      <c r="Q2401" s="87"/>
    </row>
    <row r="2402" spans="3:17" x14ac:dyDescent="0.3">
      <c r="C2402" s="87"/>
      <c r="H2402" s="86" t="e">
        <f>IF(I2402="fora",0%,G2402/QUÓRUM!$C$6)</f>
        <v>#DIV/0!</v>
      </c>
      <c r="I2402" s="87"/>
      <c r="J2402" s="88"/>
      <c r="K2402" s="88"/>
      <c r="L2402" s="89"/>
      <c r="M2402" s="89"/>
      <c r="N2402" s="90"/>
      <c r="Q2402" s="87"/>
    </row>
    <row r="2403" spans="3:17" x14ac:dyDescent="0.3">
      <c r="C2403" s="87"/>
      <c r="H2403" s="86" t="e">
        <f>IF(I2403="fora",0%,G2403/QUÓRUM!$C$6)</f>
        <v>#DIV/0!</v>
      </c>
      <c r="I2403" s="87"/>
      <c r="J2403" s="88"/>
      <c r="K2403" s="88"/>
      <c r="L2403" s="89"/>
      <c r="M2403" s="89"/>
      <c r="N2403" s="90"/>
      <c r="Q2403" s="87"/>
    </row>
    <row r="2404" spans="3:17" x14ac:dyDescent="0.3">
      <c r="C2404" s="87"/>
      <c r="H2404" s="86" t="e">
        <f>IF(I2404="fora",0%,G2404/QUÓRUM!$C$6)</f>
        <v>#DIV/0!</v>
      </c>
      <c r="I2404" s="87"/>
      <c r="J2404" s="88"/>
      <c r="K2404" s="88"/>
      <c r="L2404" s="89"/>
      <c r="M2404" s="89"/>
      <c r="N2404" s="90"/>
      <c r="Q2404" s="87"/>
    </row>
    <row r="2405" spans="3:17" x14ac:dyDescent="0.3">
      <c r="C2405" s="87"/>
      <c r="H2405" s="86" t="e">
        <f>IF(I2405="fora",0%,G2405/QUÓRUM!$C$6)</f>
        <v>#DIV/0!</v>
      </c>
      <c r="I2405" s="87"/>
      <c r="J2405" s="88"/>
      <c r="K2405" s="88"/>
      <c r="L2405" s="89"/>
      <c r="M2405" s="89"/>
      <c r="N2405" s="90"/>
      <c r="Q2405" s="87"/>
    </row>
    <row r="2406" spans="3:17" x14ac:dyDescent="0.3">
      <c r="C2406" s="87"/>
      <c r="H2406" s="86" t="e">
        <f>IF(I2406="fora",0%,G2406/QUÓRUM!$C$6)</f>
        <v>#DIV/0!</v>
      </c>
      <c r="I2406" s="87"/>
      <c r="J2406" s="88"/>
      <c r="K2406" s="88"/>
      <c r="L2406" s="89"/>
      <c r="M2406" s="89"/>
      <c r="N2406" s="90"/>
      <c r="Q2406" s="87"/>
    </row>
    <row r="2407" spans="3:17" x14ac:dyDescent="0.3">
      <c r="C2407" s="87"/>
      <c r="H2407" s="86" t="e">
        <f>IF(I2407="fora",0%,G2407/QUÓRUM!$C$6)</f>
        <v>#DIV/0!</v>
      </c>
      <c r="I2407" s="87"/>
      <c r="J2407" s="88"/>
      <c r="K2407" s="88"/>
      <c r="L2407" s="89"/>
      <c r="M2407" s="89"/>
      <c r="N2407" s="90"/>
      <c r="Q2407" s="87"/>
    </row>
    <row r="2408" spans="3:17" x14ac:dyDescent="0.3">
      <c r="C2408" s="87"/>
      <c r="H2408" s="86" t="e">
        <f>IF(I2408="fora",0%,G2408/QUÓRUM!$C$6)</f>
        <v>#DIV/0!</v>
      </c>
      <c r="I2408" s="87"/>
      <c r="J2408" s="88"/>
      <c r="K2408" s="88"/>
      <c r="L2408" s="89"/>
      <c r="M2408" s="89"/>
      <c r="N2408" s="90"/>
      <c r="Q2408" s="87"/>
    </row>
    <row r="2409" spans="3:17" x14ac:dyDescent="0.3">
      <c r="C2409" s="87"/>
      <c r="H2409" s="86" t="e">
        <f>IF(I2409="fora",0%,G2409/QUÓRUM!$C$6)</f>
        <v>#DIV/0!</v>
      </c>
      <c r="I2409" s="87"/>
      <c r="J2409" s="88"/>
      <c r="K2409" s="88"/>
      <c r="L2409" s="89"/>
      <c r="M2409" s="89"/>
      <c r="N2409" s="90"/>
      <c r="Q2409" s="87"/>
    </row>
    <row r="2410" spans="3:17" x14ac:dyDescent="0.3">
      <c r="C2410" s="87"/>
      <c r="H2410" s="86" t="e">
        <f>IF(I2410="fora",0%,G2410/QUÓRUM!$C$6)</f>
        <v>#DIV/0!</v>
      </c>
      <c r="I2410" s="87"/>
      <c r="J2410" s="88"/>
      <c r="K2410" s="88"/>
      <c r="L2410" s="89"/>
      <c r="M2410" s="89"/>
      <c r="N2410" s="90"/>
      <c r="Q2410" s="87"/>
    </row>
    <row r="2411" spans="3:17" x14ac:dyDescent="0.3">
      <c r="C2411" s="87"/>
      <c r="H2411" s="86" t="e">
        <f>IF(I2411="fora",0%,G2411/QUÓRUM!$C$6)</f>
        <v>#DIV/0!</v>
      </c>
      <c r="I2411" s="87"/>
      <c r="J2411" s="88"/>
      <c r="K2411" s="88"/>
      <c r="L2411" s="89"/>
      <c r="M2411" s="89"/>
      <c r="N2411" s="90"/>
      <c r="Q2411" s="105"/>
    </row>
    <row r="2412" spans="3:17" x14ac:dyDescent="0.3">
      <c r="C2412" s="87"/>
      <c r="H2412" s="86" t="e">
        <f>IF(I2412="fora",0%,G2412/QUÓRUM!$C$6)</f>
        <v>#DIV/0!</v>
      </c>
      <c r="I2412" s="87"/>
      <c r="J2412" s="88"/>
      <c r="K2412" s="88"/>
      <c r="L2412" s="89"/>
      <c r="M2412" s="89"/>
      <c r="N2412" s="90"/>
      <c r="Q2412" s="105"/>
    </row>
    <row r="2413" spans="3:17" x14ac:dyDescent="0.3">
      <c r="C2413" s="87"/>
      <c r="H2413" s="86" t="e">
        <f>IF(I2413="fora",0%,G2413/QUÓRUM!$C$6)</f>
        <v>#DIV/0!</v>
      </c>
      <c r="I2413" s="87"/>
      <c r="J2413" s="88"/>
      <c r="K2413" s="88"/>
      <c r="L2413" s="89"/>
      <c r="M2413" s="89"/>
      <c r="N2413" s="90"/>
      <c r="Q2413" s="105"/>
    </row>
    <row r="2414" spans="3:17" x14ac:dyDescent="0.3">
      <c r="C2414" s="87"/>
      <c r="H2414" s="86" t="e">
        <f>IF(I2414="fora",0%,G2414/QUÓRUM!$C$6)</f>
        <v>#DIV/0!</v>
      </c>
      <c r="I2414" s="87"/>
      <c r="J2414" s="88"/>
      <c r="K2414" s="88"/>
      <c r="L2414" s="89"/>
      <c r="M2414" s="89"/>
      <c r="N2414" s="90"/>
      <c r="Q2414" s="105"/>
    </row>
    <row r="2415" spans="3:17" x14ac:dyDescent="0.3">
      <c r="C2415" s="87"/>
      <c r="H2415" s="86" t="e">
        <f>IF(I2415="fora",0%,G2415/QUÓRUM!$C$6)</f>
        <v>#DIV/0!</v>
      </c>
      <c r="I2415" s="87"/>
      <c r="J2415" s="88"/>
      <c r="K2415" s="88"/>
      <c r="L2415" s="89"/>
      <c r="M2415" s="89"/>
      <c r="N2415" s="90"/>
      <c r="Q2415" s="105"/>
    </row>
    <row r="2416" spans="3:17" x14ac:dyDescent="0.3">
      <c r="C2416" s="87"/>
      <c r="H2416" s="86" t="e">
        <f>IF(I2416="fora",0%,G2416/QUÓRUM!$C$6)</f>
        <v>#DIV/0!</v>
      </c>
      <c r="I2416" s="87"/>
      <c r="J2416" s="88"/>
      <c r="K2416" s="88"/>
      <c r="L2416" s="89"/>
      <c r="M2416" s="89"/>
      <c r="N2416" s="90"/>
      <c r="Q2416" s="105"/>
    </row>
    <row r="2417" spans="3:17" x14ac:dyDescent="0.3">
      <c r="C2417" s="87"/>
      <c r="H2417" s="86" t="e">
        <f>IF(I2417="fora",0%,G2417/QUÓRUM!$C$6)</f>
        <v>#DIV/0!</v>
      </c>
      <c r="I2417" s="87"/>
      <c r="J2417" s="88"/>
      <c r="K2417" s="88"/>
      <c r="L2417" s="89"/>
      <c r="M2417" s="89"/>
      <c r="N2417" s="90"/>
      <c r="Q2417" s="105"/>
    </row>
    <row r="2418" spans="3:17" x14ac:dyDescent="0.3">
      <c r="C2418" s="87"/>
      <c r="H2418" s="86" t="e">
        <f>IF(I2418="fora",0%,G2418/QUÓRUM!$C$6)</f>
        <v>#DIV/0!</v>
      </c>
      <c r="I2418" s="87"/>
      <c r="J2418" s="88"/>
      <c r="K2418" s="88"/>
      <c r="L2418" s="89"/>
      <c r="M2418" s="89"/>
      <c r="N2418" s="90"/>
      <c r="Q2418" s="105"/>
    </row>
    <row r="2419" spans="3:17" x14ac:dyDescent="0.3">
      <c r="C2419" s="87"/>
      <c r="H2419" s="86" t="e">
        <f>IF(I2419="fora",0%,G2419/QUÓRUM!$C$6)</f>
        <v>#DIV/0!</v>
      </c>
      <c r="I2419" s="87"/>
      <c r="J2419" s="88"/>
      <c r="K2419" s="88"/>
      <c r="L2419" s="89"/>
      <c r="M2419" s="89"/>
      <c r="N2419" s="90"/>
      <c r="Q2419" s="105"/>
    </row>
    <row r="2420" spans="3:17" x14ac:dyDescent="0.3">
      <c r="C2420" s="87"/>
      <c r="H2420" s="86" t="e">
        <f>IF(I2420="fora",0%,G2420/QUÓRUM!$C$6)</f>
        <v>#DIV/0!</v>
      </c>
      <c r="I2420" s="87"/>
      <c r="J2420" s="88"/>
      <c r="K2420" s="88"/>
      <c r="L2420" s="89"/>
      <c r="M2420" s="89"/>
      <c r="N2420" s="90"/>
      <c r="Q2420" s="105"/>
    </row>
    <row r="2421" spans="3:17" x14ac:dyDescent="0.3">
      <c r="C2421" s="87"/>
      <c r="H2421" s="86" t="e">
        <f>IF(I2421="fora",0%,G2421/QUÓRUM!$C$6)</f>
        <v>#DIV/0!</v>
      </c>
      <c r="I2421" s="87"/>
      <c r="J2421" s="88"/>
      <c r="K2421" s="88"/>
      <c r="L2421" s="89"/>
      <c r="M2421" s="89"/>
      <c r="N2421" s="90"/>
      <c r="Q2421" s="105"/>
    </row>
    <row r="2422" spans="3:17" x14ac:dyDescent="0.3">
      <c r="C2422" s="87"/>
      <c r="H2422" s="86" t="e">
        <f>IF(I2422="fora",0%,G2422/QUÓRUM!$C$6)</f>
        <v>#DIV/0!</v>
      </c>
      <c r="I2422" s="87"/>
      <c r="J2422" s="88"/>
      <c r="K2422" s="88"/>
      <c r="L2422" s="89"/>
      <c r="M2422" s="89"/>
      <c r="N2422" s="90"/>
      <c r="Q2422" s="105"/>
    </row>
    <row r="2423" spans="3:17" x14ac:dyDescent="0.3">
      <c r="C2423" s="87"/>
      <c r="H2423" s="86" t="e">
        <f>IF(I2423="fora",0%,G2423/QUÓRUM!$C$6)</f>
        <v>#DIV/0!</v>
      </c>
      <c r="I2423" s="87"/>
      <c r="J2423" s="88"/>
      <c r="K2423" s="88"/>
      <c r="L2423" s="89"/>
      <c r="M2423" s="89"/>
      <c r="N2423" s="90"/>
      <c r="Q2423" s="105"/>
    </row>
    <row r="2424" spans="3:17" x14ac:dyDescent="0.3">
      <c r="C2424" s="87"/>
      <c r="H2424" s="86" t="e">
        <f>IF(I2424="fora",0%,G2424/QUÓRUM!$C$6)</f>
        <v>#DIV/0!</v>
      </c>
      <c r="I2424" s="87"/>
      <c r="J2424" s="88"/>
      <c r="K2424" s="88"/>
      <c r="L2424" s="89"/>
      <c r="M2424" s="89"/>
      <c r="N2424" s="90"/>
      <c r="Q2424" s="105"/>
    </row>
    <row r="2425" spans="3:17" x14ac:dyDescent="0.3">
      <c r="C2425" s="87"/>
      <c r="H2425" s="86" t="e">
        <f>IF(I2425="fora",0%,G2425/QUÓRUM!$C$6)</f>
        <v>#DIV/0!</v>
      </c>
      <c r="I2425" s="87"/>
      <c r="J2425" s="88"/>
      <c r="K2425" s="88"/>
      <c r="L2425" s="89"/>
      <c r="M2425" s="89"/>
      <c r="N2425" s="90"/>
      <c r="Q2425" s="105"/>
    </row>
    <row r="2426" spans="3:17" x14ac:dyDescent="0.3">
      <c r="C2426" s="87"/>
      <c r="H2426" s="86" t="e">
        <f>IF(I2426="fora",0%,G2426/QUÓRUM!$C$6)</f>
        <v>#DIV/0!</v>
      </c>
      <c r="I2426" s="87"/>
      <c r="J2426" s="88"/>
      <c r="K2426" s="88"/>
      <c r="L2426" s="89"/>
      <c r="M2426" s="89"/>
      <c r="N2426" s="90"/>
      <c r="Q2426" s="105"/>
    </row>
    <row r="2427" spans="3:17" x14ac:dyDescent="0.3">
      <c r="C2427" s="87"/>
      <c r="H2427" s="86" t="e">
        <f>IF(I2427="fora",0%,G2427/QUÓRUM!$C$6)</f>
        <v>#DIV/0!</v>
      </c>
      <c r="I2427" s="87"/>
      <c r="J2427" s="88"/>
      <c r="K2427" s="88"/>
      <c r="L2427" s="89"/>
      <c r="M2427" s="89"/>
      <c r="N2427" s="90"/>
      <c r="Q2427" s="105"/>
    </row>
    <row r="2428" spans="3:17" x14ac:dyDescent="0.3">
      <c r="C2428" s="87"/>
      <c r="H2428" s="86" t="e">
        <f>IF(I2428="fora",0%,G2428/QUÓRUM!$C$6)</f>
        <v>#DIV/0!</v>
      </c>
      <c r="I2428" s="87"/>
      <c r="J2428" s="88"/>
      <c r="K2428" s="88"/>
      <c r="L2428" s="89"/>
      <c r="M2428" s="89"/>
      <c r="N2428" s="90"/>
      <c r="Q2428" s="105"/>
    </row>
    <row r="2429" spans="3:17" x14ac:dyDescent="0.3">
      <c r="C2429" s="87"/>
      <c r="H2429" s="86" t="e">
        <f>IF(I2429="fora",0%,G2429/QUÓRUM!$C$6)</f>
        <v>#DIV/0!</v>
      </c>
      <c r="I2429" s="87"/>
      <c r="J2429" s="88"/>
      <c r="K2429" s="88"/>
      <c r="L2429" s="89"/>
      <c r="M2429" s="89"/>
      <c r="N2429" s="90"/>
      <c r="Q2429" s="105"/>
    </row>
    <row r="2430" spans="3:17" x14ac:dyDescent="0.3">
      <c r="C2430" s="87"/>
      <c r="H2430" s="86" t="e">
        <f>IF(I2430="fora",0%,G2430/QUÓRUM!$C$6)</f>
        <v>#DIV/0!</v>
      </c>
      <c r="I2430" s="87"/>
      <c r="J2430" s="88"/>
      <c r="K2430" s="88"/>
      <c r="L2430" s="89"/>
      <c r="M2430" s="89"/>
      <c r="N2430" s="90"/>
      <c r="Q2430" s="105"/>
    </row>
    <row r="2431" spans="3:17" x14ac:dyDescent="0.3">
      <c r="C2431" s="87"/>
      <c r="H2431" s="86" t="e">
        <f>IF(I2431="fora",0%,G2431/QUÓRUM!$C$6)</f>
        <v>#DIV/0!</v>
      </c>
      <c r="I2431" s="87"/>
      <c r="J2431" s="88"/>
      <c r="K2431" s="88"/>
      <c r="L2431" s="89"/>
      <c r="M2431" s="89"/>
      <c r="N2431" s="90"/>
      <c r="Q2431" s="105"/>
    </row>
    <row r="2432" spans="3:17" x14ac:dyDescent="0.3">
      <c r="C2432" s="87"/>
      <c r="H2432" s="86" t="e">
        <f>IF(I2432="fora",0%,G2432/QUÓRUM!$C$6)</f>
        <v>#DIV/0!</v>
      </c>
      <c r="I2432" s="87"/>
      <c r="J2432" s="88"/>
      <c r="K2432" s="88"/>
      <c r="L2432" s="89"/>
      <c r="M2432" s="89"/>
      <c r="N2432" s="90"/>
      <c r="Q2432" s="105"/>
    </row>
    <row r="2433" spans="3:17" x14ac:dyDescent="0.3">
      <c r="C2433" s="87"/>
      <c r="H2433" s="86" t="e">
        <f>IF(I2433="fora",0%,G2433/QUÓRUM!$C$6)</f>
        <v>#DIV/0!</v>
      </c>
      <c r="I2433" s="87"/>
      <c r="J2433" s="88"/>
      <c r="K2433" s="88"/>
      <c r="L2433" s="89"/>
      <c r="M2433" s="89"/>
      <c r="N2433" s="90"/>
      <c r="Q2433" s="105"/>
    </row>
    <row r="2434" spans="3:17" x14ac:dyDescent="0.3">
      <c r="C2434" s="87"/>
      <c r="H2434" s="86" t="e">
        <f>IF(I2434="fora",0%,G2434/QUÓRUM!$C$6)</f>
        <v>#DIV/0!</v>
      </c>
      <c r="I2434" s="87"/>
      <c r="J2434" s="88"/>
      <c r="K2434" s="88"/>
      <c r="L2434" s="89"/>
      <c r="M2434" s="89"/>
      <c r="N2434" s="90"/>
      <c r="Q2434" s="105"/>
    </row>
    <row r="2435" spans="3:17" x14ac:dyDescent="0.3">
      <c r="C2435" s="87"/>
      <c r="H2435" s="86" t="e">
        <f>IF(I2435="fora",0%,G2435/QUÓRUM!$C$6)</f>
        <v>#DIV/0!</v>
      </c>
      <c r="I2435" s="87"/>
      <c r="J2435" s="88"/>
      <c r="K2435" s="88"/>
      <c r="L2435" s="89"/>
      <c r="M2435" s="89"/>
      <c r="N2435" s="90"/>
      <c r="Q2435" s="105"/>
    </row>
    <row r="2436" spans="3:17" x14ac:dyDescent="0.3">
      <c r="C2436" s="87"/>
      <c r="H2436" s="86" t="e">
        <f>IF(I2436="fora",0%,G2436/QUÓRUM!$C$6)</f>
        <v>#DIV/0!</v>
      </c>
      <c r="I2436" s="87"/>
      <c r="J2436" s="88"/>
      <c r="K2436" s="88"/>
      <c r="L2436" s="89"/>
      <c r="M2436" s="89"/>
      <c r="N2436" s="90"/>
      <c r="Q2436" s="105"/>
    </row>
    <row r="2437" spans="3:17" x14ac:dyDescent="0.3">
      <c r="C2437" s="87"/>
      <c r="H2437" s="86" t="e">
        <f>IF(I2437="fora",0%,G2437/QUÓRUM!$C$6)</f>
        <v>#DIV/0!</v>
      </c>
      <c r="I2437" s="87"/>
      <c r="J2437" s="88"/>
      <c r="K2437" s="88"/>
      <c r="L2437" s="89"/>
      <c r="M2437" s="89"/>
      <c r="N2437" s="90"/>
      <c r="Q2437" s="105"/>
    </row>
    <row r="2438" spans="3:17" x14ac:dyDescent="0.3">
      <c r="C2438" s="87"/>
      <c r="H2438" s="86" t="e">
        <f>IF(I2438="fora",0%,G2438/QUÓRUM!$C$6)</f>
        <v>#DIV/0!</v>
      </c>
      <c r="I2438" s="87"/>
      <c r="J2438" s="88"/>
      <c r="K2438" s="88"/>
      <c r="L2438" s="89"/>
      <c r="M2438" s="89"/>
      <c r="N2438" s="90"/>
      <c r="Q2438" s="105"/>
    </row>
    <row r="2439" spans="3:17" x14ac:dyDescent="0.3">
      <c r="C2439" s="87"/>
      <c r="H2439" s="86" t="e">
        <f>IF(I2439="fora",0%,G2439/QUÓRUM!$C$6)</f>
        <v>#DIV/0!</v>
      </c>
      <c r="I2439" s="87"/>
      <c r="J2439" s="88"/>
      <c r="K2439" s="88"/>
      <c r="L2439" s="89"/>
      <c r="M2439" s="89"/>
      <c r="N2439" s="90"/>
      <c r="Q2439" s="105"/>
    </row>
    <row r="2440" spans="3:17" x14ac:dyDescent="0.3">
      <c r="C2440" s="87"/>
      <c r="H2440" s="86" t="e">
        <f>IF(I2440="fora",0%,G2440/QUÓRUM!$C$6)</f>
        <v>#DIV/0!</v>
      </c>
      <c r="I2440" s="87"/>
      <c r="J2440" s="88"/>
      <c r="K2440" s="88"/>
      <c r="L2440" s="89"/>
      <c r="M2440" s="89"/>
      <c r="N2440" s="90"/>
      <c r="Q2440" s="105"/>
    </row>
    <row r="2441" spans="3:17" x14ac:dyDescent="0.3">
      <c r="C2441" s="87"/>
      <c r="H2441" s="86" t="e">
        <f>IF(I2441="fora",0%,G2441/QUÓRUM!$C$6)</f>
        <v>#DIV/0!</v>
      </c>
      <c r="I2441" s="87"/>
      <c r="J2441" s="88"/>
      <c r="K2441" s="88"/>
      <c r="L2441" s="89"/>
      <c r="M2441" s="89"/>
      <c r="N2441" s="90"/>
      <c r="Q2441" s="105"/>
    </row>
    <row r="2442" spans="3:17" x14ac:dyDescent="0.3">
      <c r="C2442" s="87"/>
      <c r="H2442" s="86" t="e">
        <f>IF(I2442="fora",0%,G2442/QUÓRUM!$C$6)</f>
        <v>#DIV/0!</v>
      </c>
      <c r="I2442" s="87"/>
      <c r="J2442" s="88"/>
      <c r="K2442" s="88"/>
      <c r="L2442" s="89"/>
      <c r="M2442" s="89"/>
      <c r="N2442" s="90"/>
      <c r="Q2442" s="105"/>
    </row>
    <row r="2443" spans="3:17" x14ac:dyDescent="0.3">
      <c r="C2443" s="87"/>
      <c r="H2443" s="86" t="e">
        <f>IF(I2443="fora",0%,G2443/QUÓRUM!$C$6)</f>
        <v>#DIV/0!</v>
      </c>
      <c r="I2443" s="87"/>
      <c r="J2443" s="88"/>
      <c r="K2443" s="88"/>
      <c r="L2443" s="89"/>
      <c r="M2443" s="89"/>
      <c r="N2443" s="90"/>
      <c r="Q2443" s="105"/>
    </row>
    <row r="2444" spans="3:17" x14ac:dyDescent="0.3">
      <c r="C2444" s="87"/>
      <c r="H2444" s="86" t="e">
        <f>IF(I2444="fora",0%,G2444/QUÓRUM!$C$6)</f>
        <v>#DIV/0!</v>
      </c>
      <c r="I2444" s="87"/>
      <c r="J2444" s="88"/>
      <c r="K2444" s="88"/>
      <c r="L2444" s="89"/>
      <c r="M2444" s="89"/>
      <c r="N2444" s="90"/>
      <c r="Q2444" s="105"/>
    </row>
    <row r="2445" spans="3:17" x14ac:dyDescent="0.3">
      <c r="C2445" s="87"/>
      <c r="H2445" s="86" t="e">
        <f>IF(I2445="fora",0%,G2445/QUÓRUM!$C$6)</f>
        <v>#DIV/0!</v>
      </c>
      <c r="I2445" s="87"/>
      <c r="J2445" s="88"/>
      <c r="K2445" s="88"/>
      <c r="L2445" s="89"/>
      <c r="M2445" s="89"/>
      <c r="N2445" s="90"/>
      <c r="Q2445" s="105"/>
    </row>
    <row r="2446" spans="3:17" x14ac:dyDescent="0.3">
      <c r="C2446" s="87"/>
      <c r="H2446" s="86" t="e">
        <f>IF(I2446="fora",0%,G2446/QUÓRUM!$C$6)</f>
        <v>#DIV/0!</v>
      </c>
      <c r="I2446" s="87"/>
      <c r="J2446" s="88"/>
      <c r="K2446" s="88"/>
      <c r="L2446" s="89"/>
      <c r="M2446" s="89"/>
      <c r="N2446" s="90"/>
      <c r="Q2446" s="105"/>
    </row>
    <row r="2447" spans="3:17" x14ac:dyDescent="0.3">
      <c r="C2447" s="87"/>
      <c r="H2447" s="86" t="e">
        <f>IF(I2447="fora",0%,G2447/QUÓRUM!$C$6)</f>
        <v>#DIV/0!</v>
      </c>
      <c r="I2447" s="87"/>
      <c r="J2447" s="88"/>
      <c r="K2447" s="88"/>
      <c r="L2447" s="89"/>
      <c r="M2447" s="89"/>
      <c r="N2447" s="90"/>
      <c r="Q2447" s="105"/>
    </row>
    <row r="2448" spans="3:17" x14ac:dyDescent="0.3">
      <c r="C2448" s="87"/>
      <c r="H2448" s="86" t="e">
        <f>IF(I2448="fora",0%,G2448/QUÓRUM!$C$6)</f>
        <v>#DIV/0!</v>
      </c>
      <c r="I2448" s="87"/>
      <c r="J2448" s="88"/>
      <c r="K2448" s="88"/>
      <c r="L2448" s="89"/>
      <c r="M2448" s="89"/>
      <c r="N2448" s="90"/>
      <c r="Q2448" s="105"/>
    </row>
    <row r="2449" spans="3:17" x14ac:dyDescent="0.3">
      <c r="C2449" s="87"/>
      <c r="H2449" s="86" t="e">
        <f>IF(I2449="fora",0%,G2449/QUÓRUM!$C$6)</f>
        <v>#DIV/0!</v>
      </c>
      <c r="I2449" s="87"/>
      <c r="J2449" s="88"/>
      <c r="K2449" s="88"/>
      <c r="L2449" s="89"/>
      <c r="M2449" s="89"/>
      <c r="N2449" s="90"/>
      <c r="Q2449" s="105"/>
    </row>
    <row r="2450" spans="3:17" x14ac:dyDescent="0.3">
      <c r="C2450" s="87"/>
      <c r="H2450" s="86" t="e">
        <f>IF(I2450="fora",0%,G2450/QUÓRUM!$C$6)</f>
        <v>#DIV/0!</v>
      </c>
      <c r="I2450" s="87"/>
      <c r="J2450" s="88"/>
      <c r="K2450" s="88"/>
      <c r="L2450" s="89"/>
      <c r="M2450" s="89"/>
      <c r="N2450" s="90"/>
      <c r="Q2450" s="105"/>
    </row>
    <row r="2451" spans="3:17" x14ac:dyDescent="0.3">
      <c r="C2451" s="87"/>
      <c r="H2451" s="86" t="e">
        <f>IF(I2451="fora",0%,G2451/QUÓRUM!$C$6)</f>
        <v>#DIV/0!</v>
      </c>
      <c r="I2451" s="87"/>
      <c r="J2451" s="88"/>
      <c r="K2451" s="88"/>
      <c r="L2451" s="89"/>
      <c r="M2451" s="89"/>
      <c r="N2451" s="90"/>
      <c r="Q2451" s="105"/>
    </row>
    <row r="2452" spans="3:17" x14ac:dyDescent="0.3">
      <c r="C2452" s="87"/>
      <c r="H2452" s="86" t="e">
        <f>IF(I2452="fora",0%,G2452/QUÓRUM!$C$6)</f>
        <v>#DIV/0!</v>
      </c>
      <c r="I2452" s="87"/>
      <c r="J2452" s="88"/>
      <c r="K2452" s="88"/>
      <c r="L2452" s="89"/>
      <c r="M2452" s="89"/>
      <c r="N2452" s="90"/>
      <c r="Q2452" s="105"/>
    </row>
    <row r="2453" spans="3:17" x14ac:dyDescent="0.3">
      <c r="C2453" s="87"/>
      <c r="G2453" s="115"/>
      <c r="H2453" s="86" t="e">
        <f>IF(I2453="fora",0%,G2453/QUÓRUM!$C$6)</f>
        <v>#DIV/0!</v>
      </c>
      <c r="I2453" s="87"/>
      <c r="J2453" s="88"/>
      <c r="K2453" s="88"/>
      <c r="L2453" s="89"/>
      <c r="M2453" s="89"/>
      <c r="N2453" s="90"/>
      <c r="Q2453" s="105"/>
    </row>
    <row r="2454" spans="3:17" x14ac:dyDescent="0.3">
      <c r="C2454" s="87"/>
      <c r="H2454" s="86" t="e">
        <f>IF(I2454="fora",0%,G2454/QUÓRUM!$C$6)</f>
        <v>#DIV/0!</v>
      </c>
      <c r="I2454" s="87"/>
      <c r="J2454" s="88"/>
      <c r="K2454" s="88"/>
      <c r="L2454" s="89"/>
      <c r="M2454" s="89"/>
      <c r="N2454" s="90"/>
      <c r="Q2454" s="105"/>
    </row>
    <row r="2455" spans="3:17" x14ac:dyDescent="0.3">
      <c r="C2455" s="87"/>
      <c r="H2455" s="86" t="e">
        <f>IF(I2455="fora",0%,G2455/QUÓRUM!$C$6)</f>
        <v>#DIV/0!</v>
      </c>
      <c r="I2455" s="87"/>
      <c r="J2455" s="88"/>
      <c r="K2455" s="88"/>
      <c r="L2455" s="89"/>
      <c r="M2455" s="89"/>
      <c r="N2455" s="90"/>
      <c r="Q2455" s="105"/>
    </row>
    <row r="2456" spans="3:17" x14ac:dyDescent="0.3">
      <c r="C2456" s="87"/>
      <c r="H2456" s="86" t="e">
        <f>IF(I2456="fora",0%,G2456/QUÓRUM!$C$6)</f>
        <v>#DIV/0!</v>
      </c>
      <c r="I2456" s="87"/>
      <c r="J2456" s="88"/>
      <c r="K2456" s="88"/>
      <c r="L2456" s="89"/>
      <c r="M2456" s="89"/>
      <c r="N2456" s="90"/>
      <c r="Q2456" s="105"/>
    </row>
    <row r="2457" spans="3:17" x14ac:dyDescent="0.3">
      <c r="C2457" s="87"/>
      <c r="H2457" s="86" t="e">
        <f>IF(I2457="fora",0%,G2457/QUÓRUM!$C$6)</f>
        <v>#DIV/0!</v>
      </c>
      <c r="I2457" s="87"/>
      <c r="J2457" s="88"/>
      <c r="K2457" s="88"/>
      <c r="L2457" s="89"/>
      <c r="M2457" s="89"/>
      <c r="N2457" s="90"/>
      <c r="Q2457" s="105"/>
    </row>
    <row r="2458" spans="3:17" x14ac:dyDescent="0.3">
      <c r="C2458" s="87"/>
      <c r="H2458" s="86" t="e">
        <f>IF(I2458="fora",0%,G2458/QUÓRUM!$C$6)</f>
        <v>#DIV/0!</v>
      </c>
      <c r="I2458" s="87"/>
      <c r="J2458" s="88"/>
      <c r="K2458" s="88"/>
      <c r="L2458" s="89"/>
      <c r="M2458" s="89"/>
      <c r="N2458" s="90"/>
      <c r="Q2458" s="105"/>
    </row>
    <row r="2459" spans="3:17" x14ac:dyDescent="0.3">
      <c r="C2459" s="87"/>
      <c r="H2459" s="86" t="e">
        <f>IF(I2459="fora",0%,G2459/QUÓRUM!$C$6)</f>
        <v>#DIV/0!</v>
      </c>
      <c r="I2459" s="87"/>
      <c r="J2459" s="88"/>
      <c r="K2459" s="88"/>
      <c r="L2459" s="89"/>
      <c r="M2459" s="89"/>
      <c r="N2459" s="90"/>
      <c r="Q2459" s="105"/>
    </row>
    <row r="2460" spans="3:17" x14ac:dyDescent="0.3">
      <c r="C2460" s="87"/>
      <c r="H2460" s="86" t="e">
        <f>IF(I2460="fora",0%,G2460/QUÓRUM!$C$6)</f>
        <v>#DIV/0!</v>
      </c>
      <c r="I2460" s="87"/>
      <c r="J2460" s="88"/>
      <c r="K2460" s="88"/>
      <c r="L2460" s="89"/>
      <c r="M2460" s="89"/>
      <c r="N2460" s="90"/>
      <c r="Q2460" s="105"/>
    </row>
    <row r="2461" spans="3:17" x14ac:dyDescent="0.3">
      <c r="C2461" s="87"/>
      <c r="H2461" s="86" t="e">
        <f>IF(I2461="fora",0%,G2461/QUÓRUM!$C$6)</f>
        <v>#DIV/0!</v>
      </c>
      <c r="I2461" s="87"/>
      <c r="J2461" s="88"/>
      <c r="K2461" s="88"/>
      <c r="L2461" s="89"/>
      <c r="M2461" s="89"/>
      <c r="N2461" s="90"/>
      <c r="Q2461" s="105"/>
    </row>
    <row r="2462" spans="3:17" x14ac:dyDescent="0.3">
      <c r="C2462" s="87"/>
      <c r="H2462" s="86" t="e">
        <f>IF(I2462="fora",0%,G2462/QUÓRUM!$C$6)</f>
        <v>#DIV/0!</v>
      </c>
      <c r="I2462" s="87"/>
      <c r="J2462" s="88"/>
      <c r="K2462" s="88"/>
      <c r="L2462" s="89"/>
      <c r="M2462" s="89"/>
      <c r="N2462" s="90"/>
      <c r="Q2462" s="105"/>
    </row>
    <row r="2463" spans="3:17" x14ac:dyDescent="0.3">
      <c r="C2463" s="87"/>
      <c r="H2463" s="86" t="e">
        <f>IF(I2463="fora",0%,G2463/QUÓRUM!$C$6)</f>
        <v>#DIV/0!</v>
      </c>
      <c r="I2463" s="87"/>
      <c r="J2463" s="88"/>
      <c r="K2463" s="88"/>
      <c r="L2463" s="89"/>
      <c r="M2463" s="89"/>
      <c r="N2463" s="90"/>
      <c r="Q2463" s="105"/>
    </row>
    <row r="2464" spans="3:17" x14ac:dyDescent="0.3">
      <c r="C2464" s="87"/>
      <c r="H2464" s="86" t="e">
        <f>IF(I2464="fora",0%,G2464/QUÓRUM!$C$6)</f>
        <v>#DIV/0!</v>
      </c>
      <c r="I2464" s="87"/>
      <c r="J2464" s="88"/>
      <c r="K2464" s="88"/>
      <c r="L2464" s="89"/>
      <c r="M2464" s="89"/>
      <c r="N2464" s="90"/>
      <c r="Q2464" s="105"/>
    </row>
    <row r="2465" spans="3:17" x14ac:dyDescent="0.3">
      <c r="C2465" s="87"/>
      <c r="H2465" s="86" t="e">
        <f>IF(I2465="fora",0%,G2465/QUÓRUM!$C$6)</f>
        <v>#DIV/0!</v>
      </c>
      <c r="I2465" s="87"/>
      <c r="J2465" s="88"/>
      <c r="K2465" s="88"/>
      <c r="L2465" s="89"/>
      <c r="M2465" s="89"/>
      <c r="N2465" s="90"/>
      <c r="Q2465" s="105"/>
    </row>
    <row r="2466" spans="3:17" x14ac:dyDescent="0.3">
      <c r="C2466" s="87"/>
      <c r="H2466" s="86" t="e">
        <f>IF(I2466="fora",0%,G2466/QUÓRUM!$C$6)</f>
        <v>#DIV/0!</v>
      </c>
      <c r="I2466" s="87"/>
      <c r="J2466" s="88"/>
      <c r="K2466" s="88"/>
      <c r="L2466" s="89"/>
      <c r="M2466" s="89"/>
      <c r="N2466" s="90"/>
      <c r="Q2466" s="105"/>
    </row>
    <row r="2467" spans="3:17" x14ac:dyDescent="0.3">
      <c r="C2467" s="87"/>
      <c r="H2467" s="86" t="e">
        <f>IF(I2467="fora",0%,G2467/QUÓRUM!$C$6)</f>
        <v>#DIV/0!</v>
      </c>
      <c r="I2467" s="87"/>
      <c r="J2467" s="88"/>
      <c r="K2467" s="88"/>
      <c r="L2467" s="89"/>
      <c r="M2467" s="89"/>
      <c r="N2467" s="90"/>
      <c r="Q2467" s="105"/>
    </row>
    <row r="2468" spans="3:17" x14ac:dyDescent="0.3">
      <c r="C2468" s="87"/>
      <c r="H2468" s="86" t="e">
        <f>IF(I2468="fora",0%,G2468/QUÓRUM!$C$6)</f>
        <v>#DIV/0!</v>
      </c>
      <c r="I2468" s="87"/>
      <c r="J2468" s="88"/>
      <c r="K2468" s="88"/>
      <c r="L2468" s="89"/>
      <c r="M2468" s="89"/>
      <c r="N2468" s="90"/>
      <c r="Q2468" s="105"/>
    </row>
    <row r="2469" spans="3:17" x14ac:dyDescent="0.3">
      <c r="C2469" s="87"/>
      <c r="H2469" s="86" t="e">
        <f>IF(I2469="fora",0%,G2469/QUÓRUM!$C$6)</f>
        <v>#DIV/0!</v>
      </c>
      <c r="I2469" s="87"/>
      <c r="J2469" s="88"/>
      <c r="K2469" s="88"/>
      <c r="L2469" s="89"/>
      <c r="M2469" s="89"/>
      <c r="N2469" s="90"/>
      <c r="Q2469" s="105"/>
    </row>
    <row r="2470" spans="3:17" x14ac:dyDescent="0.3">
      <c r="C2470" s="87"/>
      <c r="H2470" s="86" t="e">
        <f>IF(I2470="fora",0%,G2470/QUÓRUM!$C$6)</f>
        <v>#DIV/0!</v>
      </c>
      <c r="I2470" s="87"/>
      <c r="J2470" s="88"/>
      <c r="K2470" s="88"/>
      <c r="L2470" s="89"/>
      <c r="M2470" s="89"/>
      <c r="N2470" s="90"/>
      <c r="Q2470" s="105"/>
    </row>
    <row r="2471" spans="3:17" x14ac:dyDescent="0.3">
      <c r="C2471" s="87"/>
      <c r="H2471" s="86" t="e">
        <f>IF(I2471="fora",0%,G2471/QUÓRUM!$C$6)</f>
        <v>#DIV/0!</v>
      </c>
      <c r="I2471" s="87"/>
      <c r="J2471" s="88"/>
      <c r="K2471" s="88"/>
      <c r="L2471" s="89"/>
      <c r="M2471" s="89"/>
      <c r="N2471" s="90"/>
      <c r="Q2471" s="105"/>
    </row>
    <row r="2472" spans="3:17" x14ac:dyDescent="0.3">
      <c r="C2472" s="87"/>
      <c r="H2472" s="86" t="e">
        <f>IF(I2472="fora",0%,G2472/QUÓRUM!$C$6)</f>
        <v>#DIV/0!</v>
      </c>
      <c r="I2472" s="87"/>
      <c r="J2472" s="88"/>
      <c r="K2472" s="88"/>
      <c r="L2472" s="89"/>
      <c r="M2472" s="89"/>
      <c r="N2472" s="90"/>
      <c r="Q2472" s="105"/>
    </row>
    <row r="2473" spans="3:17" x14ac:dyDescent="0.3">
      <c r="C2473" s="87"/>
      <c r="H2473" s="86" t="e">
        <f>IF(I2473="fora",0%,G2473/QUÓRUM!$C$6)</f>
        <v>#DIV/0!</v>
      </c>
      <c r="I2473" s="87"/>
      <c r="J2473" s="88"/>
      <c r="K2473" s="88"/>
      <c r="L2473" s="89"/>
      <c r="M2473" s="89"/>
      <c r="N2473" s="90"/>
      <c r="Q2473" s="105"/>
    </row>
    <row r="2474" spans="3:17" x14ac:dyDescent="0.3">
      <c r="C2474" s="87"/>
      <c r="H2474" s="86" t="e">
        <f>IF(I2474="fora",0%,G2474/QUÓRUM!$C$6)</f>
        <v>#DIV/0!</v>
      </c>
      <c r="I2474" s="87"/>
      <c r="J2474" s="88"/>
      <c r="K2474" s="88"/>
      <c r="L2474" s="89"/>
      <c r="M2474" s="89"/>
      <c r="N2474" s="90"/>
      <c r="Q2474" s="105"/>
    </row>
    <row r="2475" spans="3:17" x14ac:dyDescent="0.3">
      <c r="C2475" s="87"/>
      <c r="H2475" s="86" t="e">
        <f>IF(I2475="fora",0%,G2475/QUÓRUM!$C$6)</f>
        <v>#DIV/0!</v>
      </c>
      <c r="I2475" s="87"/>
      <c r="J2475" s="88"/>
      <c r="K2475" s="88"/>
      <c r="L2475" s="89"/>
      <c r="M2475" s="89"/>
      <c r="N2475" s="90"/>
      <c r="Q2475" s="105"/>
    </row>
    <row r="2476" spans="3:17" x14ac:dyDescent="0.3">
      <c r="C2476" s="87"/>
      <c r="H2476" s="86" t="e">
        <f>IF(I2476="fora",0%,G2476/QUÓRUM!$C$6)</f>
        <v>#DIV/0!</v>
      </c>
      <c r="I2476" s="87"/>
      <c r="J2476" s="88"/>
      <c r="K2476" s="88"/>
      <c r="L2476" s="89"/>
      <c r="M2476" s="89"/>
      <c r="N2476" s="90"/>
      <c r="Q2476" s="105"/>
    </row>
    <row r="2477" spans="3:17" x14ac:dyDescent="0.3">
      <c r="C2477" s="87"/>
      <c r="H2477" s="86" t="e">
        <f>IF(I2477="fora",0%,G2477/QUÓRUM!$C$6)</f>
        <v>#DIV/0!</v>
      </c>
      <c r="I2477" s="87"/>
      <c r="J2477" s="88"/>
      <c r="K2477" s="88"/>
      <c r="L2477" s="89"/>
      <c r="M2477" s="89"/>
      <c r="N2477" s="90"/>
      <c r="Q2477" s="105"/>
    </row>
    <row r="2478" spans="3:17" x14ac:dyDescent="0.3">
      <c r="C2478" s="87"/>
      <c r="H2478" s="86" t="e">
        <f>IF(I2478="fora",0%,G2478/QUÓRUM!$C$6)</f>
        <v>#DIV/0!</v>
      </c>
      <c r="I2478" s="87"/>
      <c r="J2478" s="88"/>
      <c r="K2478" s="88"/>
      <c r="L2478" s="89"/>
      <c r="M2478" s="89"/>
      <c r="N2478" s="90"/>
      <c r="Q2478" s="105"/>
    </row>
    <row r="2479" spans="3:17" x14ac:dyDescent="0.3">
      <c r="C2479" s="87"/>
      <c r="H2479" s="86" t="e">
        <f>IF(I2479="fora",0%,G2479/QUÓRUM!$C$6)</f>
        <v>#DIV/0!</v>
      </c>
      <c r="I2479" s="87"/>
      <c r="J2479" s="88"/>
      <c r="K2479" s="88"/>
      <c r="L2479" s="89"/>
      <c r="M2479" s="89"/>
      <c r="N2479" s="90"/>
      <c r="Q2479" s="105"/>
    </row>
    <row r="2480" spans="3:17" x14ac:dyDescent="0.3">
      <c r="C2480" s="87"/>
      <c r="H2480" s="86" t="e">
        <f>IF(I2480="fora",0%,G2480/QUÓRUM!$C$6)</f>
        <v>#DIV/0!</v>
      </c>
      <c r="I2480" s="87"/>
      <c r="J2480" s="88"/>
      <c r="K2480" s="88"/>
      <c r="L2480" s="89"/>
      <c r="M2480" s="89"/>
      <c r="N2480" s="90"/>
      <c r="Q2480" s="105"/>
    </row>
    <row r="2481" spans="3:17" x14ac:dyDescent="0.3">
      <c r="C2481" s="87"/>
      <c r="H2481" s="86" t="e">
        <f>IF(I2481="fora",0%,G2481/QUÓRUM!$C$6)</f>
        <v>#DIV/0!</v>
      </c>
      <c r="I2481" s="87"/>
      <c r="J2481" s="88"/>
      <c r="K2481" s="88"/>
      <c r="L2481" s="89"/>
      <c r="M2481" s="89"/>
      <c r="N2481" s="90"/>
      <c r="Q2481" s="105"/>
    </row>
    <row r="2482" spans="3:17" x14ac:dyDescent="0.3">
      <c r="C2482" s="87"/>
      <c r="H2482" s="86" t="e">
        <f>IF(I2482="fora",0%,G2482/QUÓRUM!$C$6)</f>
        <v>#DIV/0!</v>
      </c>
      <c r="I2482" s="87"/>
      <c r="J2482" s="88"/>
      <c r="K2482" s="88"/>
      <c r="L2482" s="89"/>
      <c r="M2482" s="89"/>
      <c r="N2482" s="90"/>
      <c r="Q2482" s="105"/>
    </row>
    <row r="2483" spans="3:17" x14ac:dyDescent="0.3">
      <c r="C2483" s="87"/>
      <c r="H2483" s="86" t="e">
        <f>IF(I2483="fora",0%,G2483/QUÓRUM!$C$6)</f>
        <v>#DIV/0!</v>
      </c>
      <c r="I2483" s="87"/>
      <c r="J2483" s="88"/>
      <c r="K2483" s="88"/>
      <c r="L2483" s="89"/>
      <c r="M2483" s="89"/>
      <c r="N2483" s="90"/>
      <c r="Q2483" s="105"/>
    </row>
    <row r="2484" spans="3:17" x14ac:dyDescent="0.3">
      <c r="C2484" s="87"/>
      <c r="H2484" s="86" t="e">
        <f>IF(I2484="fora",0%,G2484/QUÓRUM!$C$6)</f>
        <v>#DIV/0!</v>
      </c>
      <c r="I2484" s="87"/>
      <c r="J2484" s="88"/>
      <c r="K2484" s="88"/>
      <c r="L2484" s="89"/>
      <c r="M2484" s="89"/>
      <c r="N2484" s="90"/>
      <c r="Q2484" s="105"/>
    </row>
    <row r="2485" spans="3:17" x14ac:dyDescent="0.3">
      <c r="C2485" s="87"/>
      <c r="H2485" s="86" t="e">
        <f>IF(I2485="fora",0%,G2485/QUÓRUM!$C$6)</f>
        <v>#DIV/0!</v>
      </c>
      <c r="I2485" s="87"/>
      <c r="J2485" s="88"/>
      <c r="K2485" s="88"/>
      <c r="L2485" s="89"/>
      <c r="M2485" s="89"/>
      <c r="N2485" s="90"/>
      <c r="Q2485" s="105"/>
    </row>
    <row r="2486" spans="3:17" x14ac:dyDescent="0.3">
      <c r="C2486" s="87"/>
      <c r="H2486" s="86" t="e">
        <f>IF(I2486="fora",0%,G2486/QUÓRUM!$C$6)</f>
        <v>#DIV/0!</v>
      </c>
      <c r="I2486" s="87"/>
      <c r="J2486" s="88"/>
      <c r="K2486" s="88"/>
      <c r="L2486" s="89"/>
      <c r="M2486" s="89"/>
      <c r="N2486" s="90"/>
      <c r="Q2486" s="105"/>
    </row>
    <row r="2487" spans="3:17" x14ac:dyDescent="0.3">
      <c r="C2487" s="87"/>
      <c r="H2487" s="86" t="e">
        <f>IF(I2487="fora",0%,G2487/QUÓRUM!$C$6)</f>
        <v>#DIV/0!</v>
      </c>
      <c r="I2487" s="87"/>
      <c r="J2487" s="88"/>
      <c r="K2487" s="88"/>
      <c r="L2487" s="89"/>
      <c r="M2487" s="89"/>
      <c r="N2487" s="90"/>
      <c r="Q2487" s="105"/>
    </row>
    <row r="2488" spans="3:17" x14ac:dyDescent="0.3">
      <c r="C2488" s="87"/>
      <c r="H2488" s="86" t="e">
        <f>IF(I2488="fora",0%,G2488/QUÓRUM!$C$6)</f>
        <v>#DIV/0!</v>
      </c>
      <c r="I2488" s="87"/>
      <c r="J2488" s="88"/>
      <c r="K2488" s="88"/>
      <c r="L2488" s="89"/>
      <c r="M2488" s="89"/>
      <c r="N2488" s="90"/>
      <c r="Q2488" s="105"/>
    </row>
    <row r="2489" spans="3:17" x14ac:dyDescent="0.3">
      <c r="C2489" s="87"/>
      <c r="H2489" s="86" t="e">
        <f>IF(I2489="fora",0%,G2489/QUÓRUM!$C$6)</f>
        <v>#DIV/0!</v>
      </c>
      <c r="I2489" s="87"/>
      <c r="J2489" s="88"/>
      <c r="K2489" s="88"/>
      <c r="L2489" s="89"/>
      <c r="M2489" s="89"/>
      <c r="N2489" s="90"/>
      <c r="Q2489" s="105"/>
    </row>
    <row r="2490" spans="3:17" x14ac:dyDescent="0.3">
      <c r="C2490" s="87"/>
      <c r="H2490" s="86" t="e">
        <f>IF(I2490="fora",0%,G2490/QUÓRUM!$C$6)</f>
        <v>#DIV/0!</v>
      </c>
      <c r="I2490" s="87"/>
      <c r="J2490" s="88"/>
      <c r="K2490" s="88"/>
      <c r="L2490" s="89"/>
      <c r="M2490" s="89"/>
      <c r="N2490" s="90"/>
      <c r="Q2490" s="105"/>
    </row>
    <row r="2491" spans="3:17" x14ac:dyDescent="0.3">
      <c r="C2491" s="87"/>
      <c r="H2491" s="86" t="e">
        <f>IF(I2491="fora",0%,G2491/QUÓRUM!$C$6)</f>
        <v>#DIV/0!</v>
      </c>
      <c r="I2491" s="87"/>
      <c r="J2491" s="88"/>
      <c r="K2491" s="88"/>
      <c r="L2491" s="89"/>
      <c r="M2491" s="89"/>
      <c r="N2491" s="90"/>
      <c r="Q2491" s="105"/>
    </row>
    <row r="2492" spans="3:17" x14ac:dyDescent="0.3">
      <c r="C2492" s="87"/>
      <c r="H2492" s="86" t="e">
        <f>IF(I2492="fora",0%,G2492/QUÓRUM!$C$6)</f>
        <v>#DIV/0!</v>
      </c>
      <c r="I2492" s="87"/>
      <c r="J2492" s="88"/>
      <c r="K2492" s="88"/>
      <c r="L2492" s="89"/>
      <c r="M2492" s="89"/>
      <c r="N2492" s="90"/>
      <c r="Q2492" s="105"/>
    </row>
    <row r="2493" spans="3:17" x14ac:dyDescent="0.3">
      <c r="C2493" s="87"/>
      <c r="H2493" s="86" t="e">
        <f>IF(I2493="fora",0%,G2493/QUÓRUM!$C$6)</f>
        <v>#DIV/0!</v>
      </c>
      <c r="I2493" s="87"/>
      <c r="J2493" s="88"/>
      <c r="K2493" s="88"/>
      <c r="L2493" s="89"/>
      <c r="M2493" s="89"/>
      <c r="N2493" s="90"/>
      <c r="Q2493" s="105"/>
    </row>
    <row r="2494" spans="3:17" x14ac:dyDescent="0.3">
      <c r="C2494" s="87"/>
      <c r="H2494" s="86" t="e">
        <f>IF(I2494="fora",0%,G2494/QUÓRUM!$C$6)</f>
        <v>#DIV/0!</v>
      </c>
      <c r="I2494" s="87"/>
      <c r="J2494" s="88"/>
      <c r="K2494" s="88"/>
      <c r="L2494" s="89"/>
      <c r="M2494" s="89"/>
      <c r="N2494" s="90"/>
      <c r="Q2494" s="105"/>
    </row>
    <row r="2495" spans="3:17" x14ac:dyDescent="0.3">
      <c r="C2495" s="87"/>
      <c r="H2495" s="86" t="e">
        <f>IF(I2495="fora",0%,G2495/QUÓRUM!$C$6)</f>
        <v>#DIV/0!</v>
      </c>
      <c r="I2495" s="87"/>
      <c r="J2495" s="88"/>
      <c r="K2495" s="88"/>
      <c r="L2495" s="89"/>
      <c r="M2495" s="89"/>
      <c r="N2495" s="90"/>
      <c r="Q2495" s="105"/>
    </row>
    <row r="2496" spans="3:17" x14ac:dyDescent="0.3">
      <c r="C2496" s="87"/>
      <c r="H2496" s="86" t="e">
        <f>IF(I2496="fora",0%,G2496/QUÓRUM!$C$6)</f>
        <v>#DIV/0!</v>
      </c>
      <c r="I2496" s="87"/>
      <c r="J2496" s="88"/>
      <c r="K2496" s="88"/>
      <c r="L2496" s="89"/>
      <c r="M2496" s="89"/>
      <c r="N2496" s="90"/>
      <c r="Q2496" s="105"/>
    </row>
    <row r="2497" spans="3:17" x14ac:dyDescent="0.3">
      <c r="C2497" s="87"/>
      <c r="H2497" s="86" t="e">
        <f>IF(I2497="fora",0%,G2497/QUÓRUM!$C$6)</f>
        <v>#DIV/0!</v>
      </c>
      <c r="I2497" s="87"/>
      <c r="J2497" s="88"/>
      <c r="K2497" s="88"/>
      <c r="L2497" s="89"/>
      <c r="M2497" s="89"/>
      <c r="N2497" s="90"/>
      <c r="Q2497" s="105"/>
    </row>
    <row r="2498" spans="3:17" x14ac:dyDescent="0.3">
      <c r="C2498" s="87"/>
      <c r="H2498" s="86" t="e">
        <f>IF(I2498="fora",0%,G2498/QUÓRUM!$C$6)</f>
        <v>#DIV/0!</v>
      </c>
      <c r="I2498" s="87"/>
      <c r="J2498" s="88"/>
      <c r="K2498" s="88"/>
      <c r="L2498" s="89"/>
      <c r="M2498" s="89"/>
      <c r="N2498" s="90"/>
      <c r="Q2498" s="105"/>
    </row>
    <row r="2499" spans="3:17" x14ac:dyDescent="0.3">
      <c r="C2499" s="87"/>
      <c r="H2499" s="86" t="e">
        <f>IF(I2499="fora",0%,G2499/QUÓRUM!$C$6)</f>
        <v>#DIV/0!</v>
      </c>
      <c r="I2499" s="87"/>
      <c r="J2499" s="88"/>
      <c r="K2499" s="88"/>
      <c r="L2499" s="89"/>
      <c r="M2499" s="89"/>
      <c r="N2499" s="90"/>
      <c r="Q2499" s="105"/>
    </row>
    <row r="2500" spans="3:17" x14ac:dyDescent="0.3">
      <c r="C2500" s="87"/>
      <c r="H2500" s="86" t="e">
        <f>IF(I2500="fora",0%,G2500/QUÓRUM!$C$6)</f>
        <v>#DIV/0!</v>
      </c>
      <c r="I2500" s="87"/>
      <c r="J2500" s="88"/>
      <c r="K2500" s="88"/>
      <c r="L2500" s="89"/>
      <c r="M2500" s="89"/>
      <c r="N2500" s="90"/>
      <c r="Q2500" s="105"/>
    </row>
    <row r="2501" spans="3:17" x14ac:dyDescent="0.3">
      <c r="C2501" s="87"/>
      <c r="H2501" s="86" t="e">
        <f>IF(I2501="fora",0%,G2501/QUÓRUM!$C$6)</f>
        <v>#DIV/0!</v>
      </c>
      <c r="I2501" s="87"/>
      <c r="J2501" s="88"/>
      <c r="K2501" s="88"/>
      <c r="L2501" s="89"/>
      <c r="M2501" s="89"/>
      <c r="N2501" s="90"/>
      <c r="Q2501" s="105"/>
    </row>
    <row r="2502" spans="3:17" x14ac:dyDescent="0.3">
      <c r="C2502" s="87"/>
      <c r="H2502" s="86" t="e">
        <f>IF(I2502="fora",0%,G2502/QUÓRUM!$C$6)</f>
        <v>#DIV/0!</v>
      </c>
      <c r="I2502" s="87"/>
      <c r="J2502" s="88"/>
      <c r="K2502" s="88"/>
      <c r="L2502" s="89"/>
      <c r="M2502" s="89"/>
      <c r="N2502" s="90"/>
      <c r="Q2502" s="105"/>
    </row>
    <row r="2503" spans="3:17" x14ac:dyDescent="0.3">
      <c r="C2503" s="87"/>
      <c r="H2503" s="86" t="e">
        <f>IF(I2503="fora",0%,G2503/QUÓRUM!$C$6)</f>
        <v>#DIV/0!</v>
      </c>
      <c r="I2503" s="87"/>
      <c r="J2503" s="88"/>
      <c r="K2503" s="88"/>
      <c r="L2503" s="89"/>
      <c r="M2503" s="89"/>
      <c r="N2503" s="90"/>
      <c r="Q2503" s="105"/>
    </row>
    <row r="2504" spans="3:17" x14ac:dyDescent="0.3">
      <c r="C2504" s="87"/>
      <c r="H2504" s="86" t="e">
        <f>IF(I2504="fora",0%,G2504/QUÓRUM!$C$6)</f>
        <v>#DIV/0!</v>
      </c>
      <c r="I2504" s="87"/>
      <c r="J2504" s="88"/>
      <c r="K2504" s="88"/>
      <c r="L2504" s="89"/>
      <c r="M2504" s="89"/>
      <c r="N2504" s="90"/>
      <c r="Q2504" s="105"/>
    </row>
    <row r="2505" spans="3:17" x14ac:dyDescent="0.3">
      <c r="C2505" s="87"/>
      <c r="H2505" s="86" t="e">
        <f>IF(I2505="fora",0%,G2505/QUÓRUM!$C$6)</f>
        <v>#DIV/0!</v>
      </c>
      <c r="I2505" s="87"/>
      <c r="J2505" s="88"/>
      <c r="K2505" s="88"/>
      <c r="L2505" s="89"/>
      <c r="M2505" s="89"/>
      <c r="N2505" s="90"/>
      <c r="Q2505" s="105"/>
    </row>
    <row r="2506" spans="3:17" x14ac:dyDescent="0.3">
      <c r="C2506" s="87"/>
      <c r="H2506" s="86" t="e">
        <f>IF(I2506="fora",0%,G2506/QUÓRUM!$C$6)</f>
        <v>#DIV/0!</v>
      </c>
      <c r="I2506" s="87"/>
      <c r="J2506" s="88"/>
      <c r="K2506" s="88"/>
      <c r="L2506" s="89"/>
      <c r="M2506" s="89"/>
      <c r="N2506" s="90"/>
      <c r="Q2506" s="105"/>
    </row>
    <row r="2507" spans="3:17" x14ac:dyDescent="0.3">
      <c r="C2507" s="87"/>
      <c r="H2507" s="86" t="e">
        <f>IF(I2507="fora",0%,G2507/QUÓRUM!$C$6)</f>
        <v>#DIV/0!</v>
      </c>
      <c r="I2507" s="87"/>
      <c r="J2507" s="88"/>
      <c r="K2507" s="88"/>
      <c r="L2507" s="89"/>
      <c r="M2507" s="89"/>
      <c r="N2507" s="90"/>
      <c r="Q2507" s="105"/>
    </row>
    <row r="2508" spans="3:17" x14ac:dyDescent="0.3">
      <c r="C2508" s="87"/>
      <c r="H2508" s="86" t="e">
        <f>IF(I2508="fora",0%,G2508/QUÓRUM!$C$6)</f>
        <v>#DIV/0!</v>
      </c>
      <c r="I2508" s="87"/>
      <c r="J2508" s="88"/>
      <c r="K2508" s="88"/>
      <c r="L2508" s="89"/>
      <c r="M2508" s="89"/>
      <c r="N2508" s="90"/>
      <c r="Q2508" s="105"/>
    </row>
    <row r="2509" spans="3:17" x14ac:dyDescent="0.3">
      <c r="C2509" s="87"/>
      <c r="H2509" s="86" t="e">
        <f>IF(I2509="fora",0%,G2509/QUÓRUM!$C$6)</f>
        <v>#DIV/0!</v>
      </c>
      <c r="I2509" s="87"/>
      <c r="J2509" s="88"/>
      <c r="K2509" s="88"/>
      <c r="L2509" s="89"/>
      <c r="M2509" s="89"/>
      <c r="N2509" s="90"/>
      <c r="Q2509" s="105"/>
    </row>
    <row r="2510" spans="3:17" x14ac:dyDescent="0.3">
      <c r="C2510" s="87"/>
      <c r="H2510" s="86" t="e">
        <f>IF(I2510="fora",0%,G2510/QUÓRUM!$C$6)</f>
        <v>#DIV/0!</v>
      </c>
      <c r="I2510" s="87"/>
      <c r="J2510" s="88"/>
      <c r="K2510" s="88"/>
      <c r="L2510" s="89"/>
      <c r="M2510" s="89"/>
      <c r="N2510" s="90"/>
      <c r="Q2510" s="105"/>
    </row>
    <row r="2511" spans="3:17" x14ac:dyDescent="0.3">
      <c r="C2511" s="87"/>
      <c r="H2511" s="86" t="e">
        <f>IF(I2511="fora",0%,G2511/QUÓRUM!$C$6)</f>
        <v>#DIV/0!</v>
      </c>
      <c r="I2511" s="87"/>
      <c r="J2511" s="88"/>
      <c r="K2511" s="88"/>
      <c r="L2511" s="89"/>
      <c r="M2511" s="89"/>
      <c r="N2511" s="90"/>
      <c r="Q2511" s="105"/>
    </row>
    <row r="2512" spans="3:17" x14ac:dyDescent="0.3">
      <c r="C2512" s="87"/>
      <c r="H2512" s="86" t="e">
        <f>IF(I2512="fora",0%,G2512/QUÓRUM!$C$6)</f>
        <v>#DIV/0!</v>
      </c>
      <c r="I2512" s="87"/>
      <c r="J2512" s="88"/>
      <c r="K2512" s="88"/>
      <c r="L2512" s="89"/>
      <c r="M2512" s="89"/>
      <c r="N2512" s="90"/>
      <c r="Q2512" s="105"/>
    </row>
    <row r="2513" spans="3:17" x14ac:dyDescent="0.3">
      <c r="C2513" s="87"/>
      <c r="H2513" s="86" t="e">
        <f>IF(I2513="fora",0%,G2513/QUÓRUM!$C$6)</f>
        <v>#DIV/0!</v>
      </c>
      <c r="I2513" s="87"/>
      <c r="J2513" s="88"/>
      <c r="K2513" s="88"/>
      <c r="L2513" s="89"/>
      <c r="M2513" s="89"/>
      <c r="N2513" s="90"/>
      <c r="Q2513" s="105"/>
    </row>
    <row r="2514" spans="3:17" x14ac:dyDescent="0.3">
      <c r="C2514" s="87"/>
      <c r="H2514" s="86" t="e">
        <f>IF(I2514="fora",0%,G2514/QUÓRUM!$C$6)</f>
        <v>#DIV/0!</v>
      </c>
      <c r="I2514" s="87"/>
      <c r="J2514" s="88"/>
      <c r="K2514" s="88"/>
      <c r="L2514" s="89"/>
      <c r="M2514" s="89"/>
      <c r="N2514" s="90"/>
      <c r="Q2514" s="105"/>
    </row>
    <row r="2515" spans="3:17" x14ac:dyDescent="0.3">
      <c r="C2515" s="87"/>
      <c r="H2515" s="86" t="e">
        <f>IF(I2515="fora",0%,G2515/QUÓRUM!$C$6)</f>
        <v>#DIV/0!</v>
      </c>
      <c r="I2515" s="87"/>
      <c r="J2515" s="88"/>
      <c r="K2515" s="88"/>
      <c r="L2515" s="89"/>
      <c r="M2515" s="89"/>
      <c r="N2515" s="90"/>
      <c r="Q2515" s="105"/>
    </row>
    <row r="2516" spans="3:17" x14ac:dyDescent="0.3">
      <c r="C2516" s="87"/>
      <c r="H2516" s="86" t="e">
        <f>IF(I2516="fora",0%,G2516/QUÓRUM!$C$6)</f>
        <v>#DIV/0!</v>
      </c>
      <c r="I2516" s="87"/>
      <c r="J2516" s="88"/>
      <c r="K2516" s="88"/>
      <c r="L2516" s="89"/>
      <c r="M2516" s="89"/>
      <c r="N2516" s="90"/>
      <c r="Q2516" s="105"/>
    </row>
    <row r="2517" spans="3:17" x14ac:dyDescent="0.3">
      <c r="C2517" s="87"/>
      <c r="H2517" s="86" t="e">
        <f>IF(I2517="fora",0%,G2517/QUÓRUM!$C$6)</f>
        <v>#DIV/0!</v>
      </c>
      <c r="I2517" s="87"/>
      <c r="J2517" s="88"/>
      <c r="K2517" s="88"/>
      <c r="L2517" s="89"/>
      <c r="M2517" s="89"/>
      <c r="N2517" s="90"/>
      <c r="Q2517" s="105"/>
    </row>
    <row r="2518" spans="3:17" x14ac:dyDescent="0.3">
      <c r="C2518" s="87"/>
      <c r="H2518" s="86" t="e">
        <f>IF(I2518="fora",0%,G2518/QUÓRUM!$C$6)</f>
        <v>#DIV/0!</v>
      </c>
      <c r="I2518" s="87"/>
      <c r="J2518" s="88"/>
      <c r="K2518" s="88"/>
      <c r="L2518" s="89"/>
      <c r="M2518" s="89"/>
      <c r="N2518" s="90"/>
      <c r="Q2518" s="105"/>
    </row>
    <row r="2519" spans="3:17" x14ac:dyDescent="0.3">
      <c r="C2519" s="87"/>
      <c r="H2519" s="86" t="e">
        <f>IF(I2519="fora",0%,G2519/QUÓRUM!$C$6)</f>
        <v>#DIV/0!</v>
      </c>
      <c r="I2519" s="87"/>
      <c r="J2519" s="88"/>
      <c r="K2519" s="88"/>
      <c r="L2519" s="89"/>
      <c r="M2519" s="89"/>
      <c r="N2519" s="90"/>
      <c r="Q2519" s="105"/>
    </row>
    <row r="2520" spans="3:17" x14ac:dyDescent="0.3">
      <c r="C2520" s="87"/>
      <c r="H2520" s="86" t="e">
        <f>IF(I2520="fora",0%,G2520/QUÓRUM!$C$6)</f>
        <v>#DIV/0!</v>
      </c>
      <c r="I2520" s="87"/>
      <c r="J2520" s="88"/>
      <c r="K2520" s="88"/>
      <c r="L2520" s="89"/>
      <c r="M2520" s="89"/>
      <c r="N2520" s="90"/>
      <c r="Q2520" s="105"/>
    </row>
    <row r="2521" spans="3:17" x14ac:dyDescent="0.3">
      <c r="C2521" s="87"/>
      <c r="H2521" s="86" t="e">
        <f>IF(I2521="fora",0%,G2521/QUÓRUM!$C$6)</f>
        <v>#DIV/0!</v>
      </c>
      <c r="I2521" s="87"/>
      <c r="J2521" s="88"/>
      <c r="K2521" s="88"/>
      <c r="L2521" s="89"/>
      <c r="M2521" s="89"/>
      <c r="N2521" s="90"/>
      <c r="Q2521" s="105"/>
    </row>
    <row r="2522" spans="3:17" x14ac:dyDescent="0.3">
      <c r="C2522" s="87"/>
      <c r="H2522" s="86" t="e">
        <f>IF(I2522="fora",0%,G2522/QUÓRUM!$C$6)</f>
        <v>#DIV/0!</v>
      </c>
      <c r="I2522" s="87"/>
      <c r="J2522" s="88"/>
      <c r="K2522" s="88"/>
      <c r="L2522" s="89"/>
      <c r="M2522" s="89"/>
      <c r="N2522" s="90"/>
      <c r="Q2522" s="105"/>
    </row>
    <row r="2523" spans="3:17" x14ac:dyDescent="0.3">
      <c r="C2523" s="87"/>
      <c r="H2523" s="86" t="e">
        <f>IF(I2523="fora",0%,G2523/QUÓRUM!$C$6)</f>
        <v>#DIV/0!</v>
      </c>
      <c r="I2523" s="87"/>
      <c r="J2523" s="88"/>
      <c r="K2523" s="88"/>
      <c r="L2523" s="89"/>
      <c r="M2523" s="89"/>
      <c r="N2523" s="90"/>
      <c r="Q2523" s="105"/>
    </row>
    <row r="2524" spans="3:17" x14ac:dyDescent="0.3">
      <c r="C2524" s="87"/>
      <c r="H2524" s="86" t="e">
        <f>IF(I2524="fora",0%,G2524/QUÓRUM!$C$6)</f>
        <v>#DIV/0!</v>
      </c>
      <c r="I2524" s="87"/>
      <c r="J2524" s="88"/>
      <c r="K2524" s="88"/>
      <c r="L2524" s="89"/>
      <c r="M2524" s="89"/>
      <c r="N2524" s="90"/>
      <c r="Q2524" s="105"/>
    </row>
    <row r="2525" spans="3:17" x14ac:dyDescent="0.3">
      <c r="C2525" s="87"/>
      <c r="H2525" s="86" t="e">
        <f>IF(I2525="fora",0%,G2525/QUÓRUM!$C$6)</f>
        <v>#DIV/0!</v>
      </c>
      <c r="I2525" s="87"/>
      <c r="J2525" s="88"/>
      <c r="K2525" s="88"/>
      <c r="L2525" s="89"/>
      <c r="M2525" s="89"/>
      <c r="N2525" s="90"/>
      <c r="Q2525" s="105"/>
    </row>
    <row r="2526" spans="3:17" x14ac:dyDescent="0.3">
      <c r="C2526" s="87"/>
      <c r="H2526" s="86" t="e">
        <f>IF(I2526="fora",0%,G2526/QUÓRUM!$C$6)</f>
        <v>#DIV/0!</v>
      </c>
      <c r="I2526" s="87"/>
      <c r="J2526" s="88"/>
      <c r="K2526" s="88"/>
      <c r="L2526" s="89"/>
      <c r="M2526" s="89"/>
      <c r="N2526" s="90"/>
      <c r="Q2526" s="105"/>
    </row>
    <row r="2527" spans="3:17" x14ac:dyDescent="0.3">
      <c r="C2527" s="87"/>
      <c r="H2527" s="86" t="e">
        <f>IF(I2527="fora",0%,G2527/QUÓRUM!$C$6)</f>
        <v>#DIV/0!</v>
      </c>
      <c r="I2527" s="87"/>
      <c r="J2527" s="88"/>
      <c r="K2527" s="88"/>
      <c r="L2527" s="89"/>
      <c r="M2527" s="89"/>
      <c r="N2527" s="90"/>
      <c r="Q2527" s="105"/>
    </row>
    <row r="2528" spans="3:17" x14ac:dyDescent="0.3">
      <c r="C2528" s="87"/>
      <c r="H2528" s="86" t="e">
        <f>IF(I2528="fora",0%,G2528/QUÓRUM!$C$6)</f>
        <v>#DIV/0!</v>
      </c>
      <c r="I2528" s="87"/>
      <c r="J2528" s="88"/>
      <c r="K2528" s="88"/>
      <c r="L2528" s="89"/>
      <c r="M2528" s="89"/>
      <c r="N2528" s="90"/>
      <c r="Q2528" s="105"/>
    </row>
    <row r="2529" spans="3:17" x14ac:dyDescent="0.3">
      <c r="C2529" s="87"/>
      <c r="H2529" s="86" t="e">
        <f>IF(I2529="fora",0%,G2529/QUÓRUM!$C$6)</f>
        <v>#DIV/0!</v>
      </c>
      <c r="I2529" s="87"/>
      <c r="J2529" s="88"/>
      <c r="K2529" s="88"/>
      <c r="L2529" s="89"/>
      <c r="M2529" s="89"/>
      <c r="N2529" s="90"/>
      <c r="Q2529" s="105"/>
    </row>
    <row r="2530" spans="3:17" x14ac:dyDescent="0.3">
      <c r="C2530" s="87"/>
      <c r="H2530" s="86" t="e">
        <f>IF(I2530="fora",0%,G2530/QUÓRUM!$C$6)</f>
        <v>#DIV/0!</v>
      </c>
      <c r="I2530" s="87"/>
      <c r="J2530" s="88"/>
      <c r="K2530" s="88"/>
      <c r="L2530" s="89"/>
      <c r="M2530" s="89"/>
      <c r="N2530" s="90"/>
      <c r="Q2530" s="105"/>
    </row>
    <row r="2531" spans="3:17" x14ac:dyDescent="0.3">
      <c r="C2531" s="87"/>
      <c r="H2531" s="86" t="e">
        <f>IF(I2531="fora",0%,G2531/QUÓRUM!$C$6)</f>
        <v>#DIV/0!</v>
      </c>
      <c r="I2531" s="87"/>
      <c r="J2531" s="88"/>
      <c r="K2531" s="88"/>
      <c r="L2531" s="89"/>
      <c r="M2531" s="89"/>
      <c r="N2531" s="90"/>
      <c r="Q2531" s="105"/>
    </row>
    <row r="2532" spans="3:17" x14ac:dyDescent="0.3">
      <c r="C2532" s="87"/>
      <c r="H2532" s="86" t="e">
        <f>IF(I2532="fora",0%,G2532/QUÓRUM!$C$6)</f>
        <v>#DIV/0!</v>
      </c>
      <c r="I2532" s="87"/>
      <c r="J2532" s="88"/>
      <c r="K2532" s="88"/>
      <c r="L2532" s="89"/>
      <c r="M2532" s="89"/>
      <c r="N2532" s="90"/>
      <c r="Q2532" s="105"/>
    </row>
    <row r="2533" spans="3:17" x14ac:dyDescent="0.3">
      <c r="C2533" s="87"/>
      <c r="H2533" s="86" t="e">
        <f>IF(I2533="fora",0%,G2533/QUÓRUM!$C$6)</f>
        <v>#DIV/0!</v>
      </c>
      <c r="I2533" s="87"/>
      <c r="J2533" s="88"/>
      <c r="K2533" s="88"/>
      <c r="L2533" s="89"/>
      <c r="M2533" s="89"/>
      <c r="N2533" s="90"/>
      <c r="Q2533" s="105"/>
    </row>
    <row r="2534" spans="3:17" x14ac:dyDescent="0.3">
      <c r="C2534" s="87"/>
      <c r="H2534" s="86" t="e">
        <f>IF(I2534="fora",0%,G2534/QUÓRUM!$C$6)</f>
        <v>#DIV/0!</v>
      </c>
      <c r="I2534" s="87"/>
      <c r="J2534" s="88"/>
      <c r="K2534" s="88"/>
      <c r="L2534" s="89"/>
      <c r="M2534" s="89"/>
      <c r="N2534" s="90"/>
      <c r="Q2534" s="105"/>
    </row>
    <row r="2535" spans="3:17" x14ac:dyDescent="0.3">
      <c r="C2535" s="87"/>
      <c r="H2535" s="86" t="e">
        <f>IF(I2535="fora",0%,G2535/QUÓRUM!$C$6)</f>
        <v>#DIV/0!</v>
      </c>
      <c r="I2535" s="87"/>
      <c r="J2535" s="88"/>
      <c r="K2535" s="88"/>
      <c r="L2535" s="89"/>
      <c r="M2535" s="89"/>
      <c r="N2535" s="90"/>
      <c r="Q2535" s="105"/>
    </row>
    <row r="2536" spans="3:17" x14ac:dyDescent="0.3">
      <c r="C2536" s="87"/>
      <c r="H2536" s="86" t="e">
        <f>IF(I2536="fora",0%,G2536/QUÓRUM!$C$6)</f>
        <v>#DIV/0!</v>
      </c>
      <c r="I2536" s="87"/>
      <c r="J2536" s="88"/>
      <c r="K2536" s="88"/>
      <c r="L2536" s="89"/>
      <c r="M2536" s="89"/>
      <c r="N2536" s="90"/>
      <c r="Q2536" s="105"/>
    </row>
    <row r="2537" spans="3:17" x14ac:dyDescent="0.3">
      <c r="C2537" s="87"/>
      <c r="H2537" s="86" t="e">
        <f>IF(I2537="fora",0%,G2537/QUÓRUM!$C$6)</f>
        <v>#DIV/0!</v>
      </c>
      <c r="I2537" s="87"/>
      <c r="J2537" s="88"/>
      <c r="K2537" s="88"/>
      <c r="L2537" s="89"/>
      <c r="M2537" s="89"/>
      <c r="N2537" s="90"/>
      <c r="Q2537" s="105"/>
    </row>
    <row r="2538" spans="3:17" x14ac:dyDescent="0.3">
      <c r="C2538" s="87"/>
      <c r="H2538" s="86" t="e">
        <f>IF(I2538="fora",0%,G2538/QUÓRUM!$C$6)</f>
        <v>#DIV/0!</v>
      </c>
      <c r="I2538" s="87"/>
      <c r="J2538" s="88"/>
      <c r="K2538" s="88"/>
      <c r="L2538" s="89"/>
      <c r="M2538" s="89"/>
      <c r="N2538" s="90"/>
      <c r="Q2538" s="105"/>
    </row>
    <row r="2539" spans="3:17" x14ac:dyDescent="0.3">
      <c r="C2539" s="87"/>
      <c r="H2539" s="86" t="e">
        <f>IF(I2539="fora",0%,G2539/QUÓRUM!$C$6)</f>
        <v>#DIV/0!</v>
      </c>
      <c r="I2539" s="87"/>
      <c r="J2539" s="88"/>
      <c r="K2539" s="88"/>
      <c r="L2539" s="89"/>
      <c r="M2539" s="89"/>
      <c r="N2539" s="90"/>
      <c r="Q2539" s="105"/>
    </row>
    <row r="2540" spans="3:17" x14ac:dyDescent="0.3">
      <c r="C2540" s="87"/>
      <c r="H2540" s="86" t="e">
        <f>IF(I2540="fora",0%,G2540/QUÓRUM!$C$6)</f>
        <v>#DIV/0!</v>
      </c>
      <c r="I2540" s="87"/>
      <c r="J2540" s="88"/>
      <c r="K2540" s="88"/>
      <c r="L2540" s="89"/>
      <c r="M2540" s="89"/>
      <c r="N2540" s="90"/>
      <c r="Q2540" s="105"/>
    </row>
    <row r="2541" spans="3:17" x14ac:dyDescent="0.3">
      <c r="C2541" s="87"/>
      <c r="H2541" s="86" t="e">
        <f>IF(I2541="fora",0%,G2541/QUÓRUM!$C$6)</f>
        <v>#DIV/0!</v>
      </c>
      <c r="I2541" s="87"/>
      <c r="J2541" s="88"/>
      <c r="K2541" s="88"/>
      <c r="L2541" s="89"/>
      <c r="M2541" s="89"/>
      <c r="N2541" s="90"/>
      <c r="Q2541" s="105"/>
    </row>
    <row r="2542" spans="3:17" x14ac:dyDescent="0.3">
      <c r="C2542" s="87"/>
      <c r="H2542" s="86" t="e">
        <f>IF(I2542="fora",0%,G2542/QUÓRUM!$C$6)</f>
        <v>#DIV/0!</v>
      </c>
      <c r="I2542" s="87"/>
      <c r="J2542" s="88"/>
      <c r="K2542" s="88"/>
      <c r="L2542" s="89"/>
      <c r="M2542" s="89"/>
      <c r="N2542" s="90"/>
      <c r="Q2542" s="105"/>
    </row>
    <row r="2543" spans="3:17" x14ac:dyDescent="0.3">
      <c r="C2543" s="87"/>
      <c r="H2543" s="86" t="e">
        <f>IF(I2543="fora",0%,G2543/QUÓRUM!$C$6)</f>
        <v>#DIV/0!</v>
      </c>
      <c r="I2543" s="87"/>
      <c r="J2543" s="88"/>
      <c r="K2543" s="88"/>
      <c r="L2543" s="89"/>
      <c r="M2543" s="89"/>
      <c r="N2543" s="90"/>
      <c r="Q2543" s="105"/>
    </row>
    <row r="2544" spans="3:17" x14ac:dyDescent="0.3">
      <c r="C2544" s="87"/>
      <c r="H2544" s="86" t="e">
        <f>IF(I2544="fora",0%,G2544/QUÓRUM!$C$6)</f>
        <v>#DIV/0!</v>
      </c>
      <c r="I2544" s="87"/>
      <c r="J2544" s="88"/>
      <c r="K2544" s="88"/>
      <c r="L2544" s="89"/>
      <c r="M2544" s="89"/>
      <c r="N2544" s="90"/>
      <c r="Q2544" s="105"/>
    </row>
    <row r="2545" spans="3:17" x14ac:dyDescent="0.3">
      <c r="C2545" s="87"/>
      <c r="H2545" s="86" t="e">
        <f>IF(I2545="fora",0%,G2545/QUÓRUM!$C$6)</f>
        <v>#DIV/0!</v>
      </c>
      <c r="I2545" s="87"/>
      <c r="J2545" s="88"/>
      <c r="K2545" s="88"/>
      <c r="L2545" s="89"/>
      <c r="M2545" s="89"/>
      <c r="N2545" s="90"/>
      <c r="Q2545" s="105"/>
    </row>
    <row r="2546" spans="3:17" x14ac:dyDescent="0.3">
      <c r="C2546" s="87"/>
      <c r="H2546" s="86" t="e">
        <f>IF(I2546="fora",0%,G2546/QUÓRUM!$C$6)</f>
        <v>#DIV/0!</v>
      </c>
      <c r="I2546" s="87"/>
      <c r="J2546" s="88"/>
      <c r="K2546" s="88"/>
      <c r="L2546" s="89"/>
      <c r="M2546" s="89"/>
      <c r="N2546" s="90"/>
      <c r="Q2546" s="105"/>
    </row>
    <row r="2547" spans="3:17" x14ac:dyDescent="0.3">
      <c r="C2547" s="87"/>
      <c r="H2547" s="86" t="e">
        <f>IF(I2547="fora",0%,G2547/QUÓRUM!$C$6)</f>
        <v>#DIV/0!</v>
      </c>
      <c r="I2547" s="87"/>
      <c r="J2547" s="88"/>
      <c r="K2547" s="88"/>
      <c r="L2547" s="89"/>
      <c r="M2547" s="89"/>
      <c r="N2547" s="90"/>
      <c r="Q2547" s="105"/>
    </row>
    <row r="2548" spans="3:17" x14ac:dyDescent="0.3">
      <c r="C2548" s="87"/>
      <c r="H2548" s="86" t="e">
        <f>IF(I2548="fora",0%,G2548/QUÓRUM!$C$6)</f>
        <v>#DIV/0!</v>
      </c>
      <c r="I2548" s="87"/>
      <c r="J2548" s="88"/>
      <c r="K2548" s="88"/>
      <c r="L2548" s="89"/>
      <c r="M2548" s="89"/>
      <c r="N2548" s="90"/>
      <c r="Q2548" s="105"/>
    </row>
    <row r="2549" spans="3:17" x14ac:dyDescent="0.3">
      <c r="C2549" s="87"/>
      <c r="H2549" s="86" t="e">
        <f>IF(I2549="fora",0%,G2549/QUÓRUM!$C$6)</f>
        <v>#DIV/0!</v>
      </c>
      <c r="I2549" s="87"/>
      <c r="J2549" s="88"/>
      <c r="K2549" s="88"/>
      <c r="L2549" s="89"/>
      <c r="M2549" s="89"/>
      <c r="N2549" s="90"/>
      <c r="Q2549" s="105"/>
    </row>
    <row r="2550" spans="3:17" x14ac:dyDescent="0.3">
      <c r="C2550" s="87"/>
      <c r="H2550" s="86" t="e">
        <f>IF(I2550="fora",0%,G2550/QUÓRUM!$C$6)</f>
        <v>#DIV/0!</v>
      </c>
      <c r="I2550" s="87"/>
      <c r="J2550" s="88"/>
      <c r="K2550" s="88"/>
      <c r="L2550" s="89"/>
      <c r="M2550" s="89"/>
      <c r="N2550" s="90"/>
      <c r="Q2550" s="105"/>
    </row>
    <row r="2551" spans="3:17" x14ac:dyDescent="0.3">
      <c r="C2551" s="87"/>
      <c r="H2551" s="86" t="e">
        <f>IF(I2551="fora",0%,G2551/QUÓRUM!$C$6)</f>
        <v>#DIV/0!</v>
      </c>
      <c r="I2551" s="87"/>
      <c r="J2551" s="88"/>
      <c r="K2551" s="88"/>
      <c r="L2551" s="89"/>
      <c r="M2551" s="89"/>
      <c r="N2551" s="90"/>
      <c r="Q2551" s="105"/>
    </row>
    <row r="2552" spans="3:17" x14ac:dyDescent="0.3">
      <c r="C2552" s="87"/>
      <c r="H2552" s="86" t="e">
        <f>IF(I2552="fora",0%,G2552/QUÓRUM!$C$6)</f>
        <v>#DIV/0!</v>
      </c>
      <c r="I2552" s="87"/>
      <c r="J2552" s="88"/>
      <c r="K2552" s="88"/>
      <c r="L2552" s="89"/>
      <c r="M2552" s="89"/>
      <c r="N2552" s="90"/>
      <c r="Q2552" s="105"/>
    </row>
    <row r="2553" spans="3:17" x14ac:dyDescent="0.3">
      <c r="C2553" s="87"/>
      <c r="H2553" s="86" t="e">
        <f>IF(I2553="fora",0%,G2553/QUÓRUM!$C$6)</f>
        <v>#DIV/0!</v>
      </c>
      <c r="I2553" s="87"/>
      <c r="J2553" s="88"/>
      <c r="K2553" s="88"/>
      <c r="L2553" s="89"/>
      <c r="M2553" s="89"/>
      <c r="N2553" s="90"/>
      <c r="Q2553" s="105"/>
    </row>
    <row r="2554" spans="3:17" x14ac:dyDescent="0.3">
      <c r="C2554" s="87"/>
      <c r="H2554" s="86" t="e">
        <f>IF(I2554="fora",0%,G2554/QUÓRUM!$C$6)</f>
        <v>#DIV/0!</v>
      </c>
      <c r="I2554" s="87"/>
      <c r="J2554" s="88"/>
      <c r="K2554" s="88"/>
      <c r="L2554" s="89"/>
      <c r="M2554" s="89"/>
      <c r="N2554" s="90"/>
      <c r="Q2554" s="105"/>
    </row>
    <row r="2555" spans="3:17" x14ac:dyDescent="0.3">
      <c r="C2555" s="87"/>
      <c r="H2555" s="86" t="e">
        <f>IF(I2555="fora",0%,G2555/QUÓRUM!$C$6)</f>
        <v>#DIV/0!</v>
      </c>
      <c r="I2555" s="87"/>
      <c r="J2555" s="88"/>
      <c r="K2555" s="88"/>
      <c r="L2555" s="89"/>
      <c r="M2555" s="89"/>
      <c r="N2555" s="90"/>
      <c r="Q2555" s="105"/>
    </row>
    <row r="2556" spans="3:17" x14ac:dyDescent="0.3">
      <c r="C2556" s="87"/>
      <c r="H2556" s="86" t="e">
        <f>IF(I2556="fora",0%,G2556/QUÓRUM!$C$6)</f>
        <v>#DIV/0!</v>
      </c>
      <c r="I2556" s="87"/>
      <c r="J2556" s="88"/>
      <c r="K2556" s="88"/>
      <c r="L2556" s="89"/>
      <c r="M2556" s="89"/>
      <c r="N2556" s="90"/>
      <c r="Q2556" s="105"/>
    </row>
    <row r="2557" spans="3:17" x14ac:dyDescent="0.3">
      <c r="C2557" s="87"/>
      <c r="H2557" s="86" t="e">
        <f>IF(I2557="fora",0%,G2557/QUÓRUM!$C$6)</f>
        <v>#DIV/0!</v>
      </c>
      <c r="I2557" s="87"/>
      <c r="J2557" s="88"/>
      <c r="K2557" s="88"/>
      <c r="L2557" s="89"/>
      <c r="M2557" s="89"/>
      <c r="N2557" s="90"/>
      <c r="Q2557" s="105"/>
    </row>
    <row r="2558" spans="3:17" x14ac:dyDescent="0.3">
      <c r="C2558" s="87"/>
      <c r="H2558" s="86" t="e">
        <f>IF(I2558="fora",0%,G2558/QUÓRUM!$C$6)</f>
        <v>#DIV/0!</v>
      </c>
      <c r="I2558" s="87"/>
      <c r="J2558" s="88"/>
      <c r="K2558" s="88"/>
      <c r="L2558" s="89"/>
      <c r="M2558" s="89"/>
      <c r="N2558" s="90"/>
      <c r="Q2558" s="105"/>
    </row>
    <row r="2559" spans="3:17" x14ac:dyDescent="0.3">
      <c r="C2559" s="87"/>
      <c r="H2559" s="86" t="e">
        <f>IF(I2559="fora",0%,G2559/QUÓRUM!$C$6)</f>
        <v>#DIV/0!</v>
      </c>
      <c r="I2559" s="87"/>
      <c r="J2559" s="88"/>
      <c r="K2559" s="88"/>
      <c r="L2559" s="89"/>
      <c r="M2559" s="89"/>
      <c r="N2559" s="90"/>
      <c r="Q2559" s="105"/>
    </row>
    <row r="2560" spans="3:17" x14ac:dyDescent="0.3">
      <c r="C2560" s="87"/>
      <c r="H2560" s="86" t="e">
        <f>IF(I2560="fora",0%,G2560/QUÓRUM!$C$6)</f>
        <v>#DIV/0!</v>
      </c>
      <c r="I2560" s="87"/>
      <c r="J2560" s="88"/>
      <c r="K2560" s="88"/>
      <c r="L2560" s="89"/>
      <c r="M2560" s="89"/>
      <c r="N2560" s="90"/>
      <c r="Q2560" s="105"/>
    </row>
    <row r="2561" spans="3:17" x14ac:dyDescent="0.3">
      <c r="C2561" s="87"/>
      <c r="H2561" s="86" t="e">
        <f>IF(I2561="fora",0%,G2561/QUÓRUM!$C$6)</f>
        <v>#DIV/0!</v>
      </c>
      <c r="I2561" s="87"/>
      <c r="J2561" s="88"/>
      <c r="K2561" s="88"/>
      <c r="L2561" s="89"/>
      <c r="M2561" s="89"/>
      <c r="N2561" s="90"/>
      <c r="Q2561" s="105"/>
    </row>
    <row r="2562" spans="3:17" x14ac:dyDescent="0.3">
      <c r="C2562" s="87"/>
      <c r="H2562" s="86" t="e">
        <f>IF(I2562="fora",0%,G2562/QUÓRUM!$C$6)</f>
        <v>#DIV/0!</v>
      </c>
      <c r="I2562" s="87"/>
      <c r="J2562" s="88"/>
      <c r="K2562" s="88"/>
      <c r="L2562" s="89"/>
      <c r="M2562" s="89"/>
      <c r="N2562" s="90"/>
      <c r="Q2562" s="105"/>
    </row>
    <row r="2563" spans="3:17" x14ac:dyDescent="0.3">
      <c r="C2563" s="87"/>
      <c r="H2563" s="86" t="e">
        <f>IF(I2563="fora",0%,G2563/QUÓRUM!$C$6)</f>
        <v>#DIV/0!</v>
      </c>
      <c r="I2563" s="87"/>
      <c r="J2563" s="88"/>
      <c r="K2563" s="88"/>
      <c r="L2563" s="89"/>
      <c r="M2563" s="89"/>
      <c r="N2563" s="90"/>
      <c r="Q2563" s="105"/>
    </row>
    <row r="2564" spans="3:17" x14ac:dyDescent="0.3">
      <c r="C2564" s="87"/>
      <c r="H2564" s="86" t="e">
        <f>IF(I2564="fora",0%,G2564/QUÓRUM!$C$6)</f>
        <v>#DIV/0!</v>
      </c>
      <c r="I2564" s="87"/>
      <c r="J2564" s="88"/>
      <c r="K2564" s="88"/>
      <c r="L2564" s="89"/>
      <c r="M2564" s="89"/>
      <c r="N2564" s="90"/>
      <c r="Q2564" s="105"/>
    </row>
    <row r="2565" spans="3:17" x14ac:dyDescent="0.3">
      <c r="C2565" s="87"/>
      <c r="H2565" s="86" t="e">
        <f>IF(I2565="fora",0%,G2565/QUÓRUM!$C$6)</f>
        <v>#DIV/0!</v>
      </c>
      <c r="I2565" s="87"/>
      <c r="J2565" s="88"/>
      <c r="K2565" s="88"/>
      <c r="L2565" s="89"/>
      <c r="M2565" s="89"/>
      <c r="N2565" s="90"/>
      <c r="Q2565" s="105"/>
    </row>
    <row r="2566" spans="3:17" x14ac:dyDescent="0.3">
      <c r="C2566" s="87"/>
      <c r="H2566" s="86" t="e">
        <f>IF(I2566="fora",0%,G2566/QUÓRUM!$C$6)</f>
        <v>#DIV/0!</v>
      </c>
      <c r="I2566" s="87"/>
      <c r="J2566" s="88"/>
      <c r="K2566" s="88"/>
      <c r="L2566" s="89"/>
      <c r="M2566" s="89"/>
      <c r="N2566" s="90"/>
      <c r="Q2566" s="105"/>
    </row>
    <row r="2567" spans="3:17" x14ac:dyDescent="0.3">
      <c r="C2567" s="87"/>
      <c r="H2567" s="86" t="e">
        <f>IF(I2567="fora",0%,G2567/QUÓRUM!$C$6)</f>
        <v>#DIV/0!</v>
      </c>
      <c r="I2567" s="87"/>
      <c r="J2567" s="88"/>
      <c r="K2567" s="88"/>
      <c r="L2567" s="89"/>
      <c r="M2567" s="89"/>
      <c r="N2567" s="90"/>
      <c r="Q2567" s="105"/>
    </row>
    <row r="2568" spans="3:17" x14ac:dyDescent="0.3">
      <c r="C2568" s="87"/>
      <c r="H2568" s="86" t="e">
        <f>IF(I2568="fora",0%,G2568/QUÓRUM!$C$6)</f>
        <v>#DIV/0!</v>
      </c>
      <c r="I2568" s="87"/>
      <c r="J2568" s="88"/>
      <c r="K2568" s="88"/>
      <c r="L2568" s="89"/>
      <c r="M2568" s="89"/>
      <c r="N2568" s="90"/>
      <c r="Q2568" s="105"/>
    </row>
    <row r="2569" spans="3:17" x14ac:dyDescent="0.3">
      <c r="C2569" s="87"/>
      <c r="H2569" s="86" t="e">
        <f>IF(I2569="fora",0%,G2569/QUÓRUM!$C$6)</f>
        <v>#DIV/0!</v>
      </c>
      <c r="I2569" s="87"/>
      <c r="J2569" s="88"/>
      <c r="K2569" s="88"/>
      <c r="L2569" s="89"/>
      <c r="M2569" s="89"/>
      <c r="N2569" s="90"/>
      <c r="Q2569" s="105"/>
    </row>
    <row r="2570" spans="3:17" x14ac:dyDescent="0.3">
      <c r="C2570" s="87"/>
      <c r="H2570" s="86" t="e">
        <f>IF(I2570="fora",0%,G2570/QUÓRUM!$C$6)</f>
        <v>#DIV/0!</v>
      </c>
      <c r="I2570" s="87"/>
      <c r="J2570" s="88"/>
      <c r="K2570" s="88"/>
      <c r="L2570" s="89"/>
      <c r="M2570" s="89"/>
      <c r="N2570" s="90"/>
      <c r="Q2570" s="105"/>
    </row>
    <row r="2571" spans="3:17" x14ac:dyDescent="0.3">
      <c r="C2571" s="87"/>
      <c r="H2571" s="86" t="e">
        <f>IF(I2571="fora",0%,G2571/QUÓRUM!$C$6)</f>
        <v>#DIV/0!</v>
      </c>
      <c r="I2571" s="87"/>
      <c r="J2571" s="88"/>
      <c r="K2571" s="88"/>
      <c r="L2571" s="89"/>
      <c r="M2571" s="89"/>
      <c r="N2571" s="90"/>
      <c r="Q2571" s="105"/>
    </row>
    <row r="2572" spans="3:17" x14ac:dyDescent="0.3">
      <c r="C2572" s="87"/>
      <c r="H2572" s="86" t="e">
        <f>IF(I2572="fora",0%,G2572/QUÓRUM!$C$6)</f>
        <v>#DIV/0!</v>
      </c>
      <c r="I2572" s="87"/>
      <c r="J2572" s="88"/>
      <c r="K2572" s="88"/>
      <c r="L2572" s="89"/>
      <c r="M2572" s="89"/>
      <c r="N2572" s="90"/>
      <c r="Q2572" s="105"/>
    </row>
    <row r="2573" spans="3:17" x14ac:dyDescent="0.3">
      <c r="C2573" s="87"/>
      <c r="H2573" s="86" t="e">
        <f>IF(I2573="fora",0%,G2573/QUÓRUM!$C$6)</f>
        <v>#DIV/0!</v>
      </c>
      <c r="I2573" s="87"/>
      <c r="J2573" s="88"/>
      <c r="K2573" s="88"/>
      <c r="L2573" s="89"/>
      <c r="M2573" s="89"/>
      <c r="N2573" s="90"/>
      <c r="Q2573" s="105"/>
    </row>
    <row r="2574" spans="3:17" x14ac:dyDescent="0.3">
      <c r="C2574" s="87"/>
      <c r="H2574" s="86" t="e">
        <f>IF(I2574="fora",0%,G2574/QUÓRUM!$C$6)</f>
        <v>#DIV/0!</v>
      </c>
      <c r="I2574" s="87"/>
      <c r="J2574" s="88"/>
      <c r="K2574" s="88"/>
      <c r="L2574" s="89"/>
      <c r="M2574" s="89"/>
      <c r="N2574" s="90"/>
      <c r="Q2574" s="105"/>
    </row>
    <row r="2575" spans="3:17" x14ac:dyDescent="0.3">
      <c r="C2575" s="87"/>
      <c r="H2575" s="86" t="e">
        <f>IF(I2575="fora",0%,G2575/QUÓRUM!$C$6)</f>
        <v>#DIV/0!</v>
      </c>
      <c r="I2575" s="87"/>
      <c r="J2575" s="88"/>
      <c r="K2575" s="88"/>
      <c r="L2575" s="89"/>
      <c r="M2575" s="89"/>
      <c r="N2575" s="90"/>
      <c r="Q2575" s="105"/>
    </row>
    <row r="2576" spans="3:17" x14ac:dyDescent="0.3">
      <c r="C2576" s="87"/>
      <c r="H2576" s="86" t="e">
        <f>IF(I2576="fora",0%,G2576/QUÓRUM!$C$6)</f>
        <v>#DIV/0!</v>
      </c>
      <c r="I2576" s="87"/>
      <c r="J2576" s="88"/>
      <c r="K2576" s="88"/>
      <c r="L2576" s="89"/>
      <c r="M2576" s="89"/>
      <c r="N2576" s="90"/>
      <c r="Q2576" s="105"/>
    </row>
    <row r="2577" spans="3:17" x14ac:dyDescent="0.3">
      <c r="C2577" s="87"/>
      <c r="H2577" s="86" t="e">
        <f>IF(I2577="fora",0%,G2577/QUÓRUM!$C$6)</f>
        <v>#DIV/0!</v>
      </c>
      <c r="I2577" s="87"/>
      <c r="J2577" s="88"/>
      <c r="K2577" s="88"/>
      <c r="L2577" s="89"/>
      <c r="M2577" s="89"/>
      <c r="N2577" s="90"/>
      <c r="Q2577" s="105"/>
    </row>
    <row r="2578" spans="3:17" x14ac:dyDescent="0.3">
      <c r="C2578" s="87"/>
      <c r="H2578" s="86" t="e">
        <f>IF(I2578="fora",0%,G2578/QUÓRUM!$C$6)</f>
        <v>#DIV/0!</v>
      </c>
      <c r="I2578" s="87"/>
      <c r="J2578" s="88"/>
      <c r="K2578" s="88"/>
      <c r="L2578" s="89"/>
      <c r="M2578" s="89"/>
      <c r="N2578" s="90"/>
      <c r="Q2578" s="105"/>
    </row>
    <row r="2579" spans="3:17" x14ac:dyDescent="0.3">
      <c r="C2579" s="87"/>
      <c r="H2579" s="86" t="e">
        <f>IF(I2579="fora",0%,G2579/QUÓRUM!$C$6)</f>
        <v>#DIV/0!</v>
      </c>
      <c r="I2579" s="87"/>
      <c r="J2579" s="88"/>
      <c r="K2579" s="88"/>
      <c r="L2579" s="89"/>
      <c r="M2579" s="89"/>
      <c r="N2579" s="90"/>
      <c r="Q2579" s="105"/>
    </row>
    <row r="2580" spans="3:17" x14ac:dyDescent="0.3">
      <c r="C2580" s="87"/>
      <c r="H2580" s="86" t="e">
        <f>IF(I2580="fora",0%,G2580/QUÓRUM!$C$6)</f>
        <v>#DIV/0!</v>
      </c>
      <c r="I2580" s="87"/>
      <c r="J2580" s="88"/>
      <c r="K2580" s="88"/>
      <c r="L2580" s="89"/>
      <c r="M2580" s="89"/>
      <c r="N2580" s="90"/>
      <c r="Q2580" s="105"/>
    </row>
    <row r="2581" spans="3:17" x14ac:dyDescent="0.3">
      <c r="C2581" s="87"/>
      <c r="H2581" s="86" t="e">
        <f>IF(I2581="fora",0%,G2581/QUÓRUM!$C$6)</f>
        <v>#DIV/0!</v>
      </c>
      <c r="I2581" s="87"/>
      <c r="J2581" s="88"/>
      <c r="K2581" s="88"/>
      <c r="L2581" s="89"/>
      <c r="M2581" s="89"/>
      <c r="N2581" s="90"/>
      <c r="Q2581" s="105"/>
    </row>
    <row r="2582" spans="3:17" x14ac:dyDescent="0.3">
      <c r="C2582" s="87"/>
      <c r="H2582" s="86" t="e">
        <f>IF(I2582="fora",0%,G2582/QUÓRUM!$C$6)</f>
        <v>#DIV/0!</v>
      </c>
      <c r="I2582" s="87"/>
      <c r="J2582" s="88"/>
      <c r="K2582" s="88"/>
      <c r="L2582" s="89"/>
      <c r="M2582" s="89"/>
      <c r="N2582" s="90"/>
      <c r="Q2582" s="105"/>
    </row>
    <row r="2583" spans="3:17" x14ac:dyDescent="0.3">
      <c r="C2583" s="87"/>
      <c r="H2583" s="86" t="e">
        <f>IF(I2583="fora",0%,G2583/QUÓRUM!$C$6)</f>
        <v>#DIV/0!</v>
      </c>
      <c r="I2583" s="87"/>
      <c r="J2583" s="88"/>
      <c r="K2583" s="88"/>
      <c r="L2583" s="89"/>
      <c r="M2583" s="89"/>
      <c r="N2583" s="90"/>
      <c r="Q2583" s="105"/>
    </row>
    <row r="2584" spans="3:17" x14ac:dyDescent="0.3">
      <c r="C2584" s="87"/>
      <c r="H2584" s="86" t="e">
        <f>IF(I2584="fora",0%,G2584/QUÓRUM!$C$6)</f>
        <v>#DIV/0!</v>
      </c>
      <c r="I2584" s="87"/>
      <c r="J2584" s="88"/>
      <c r="K2584" s="88"/>
      <c r="L2584" s="89"/>
      <c r="M2584" s="89"/>
      <c r="N2584" s="90"/>
      <c r="Q2584" s="105"/>
    </row>
    <row r="2585" spans="3:17" x14ac:dyDescent="0.3">
      <c r="C2585" s="87"/>
      <c r="H2585" s="86" t="e">
        <f>IF(I2585="fora",0%,G2585/QUÓRUM!$C$6)</f>
        <v>#DIV/0!</v>
      </c>
      <c r="I2585" s="87"/>
      <c r="J2585" s="88"/>
      <c r="K2585" s="88"/>
      <c r="L2585" s="89"/>
      <c r="M2585" s="89"/>
      <c r="N2585" s="90"/>
      <c r="Q2585" s="105"/>
    </row>
    <row r="2586" spans="3:17" x14ac:dyDescent="0.3">
      <c r="C2586" s="87"/>
      <c r="H2586" s="86" t="e">
        <f>IF(I2586="fora",0%,G2586/QUÓRUM!$C$6)</f>
        <v>#DIV/0!</v>
      </c>
      <c r="I2586" s="87"/>
      <c r="J2586" s="88"/>
      <c r="K2586" s="88"/>
      <c r="L2586" s="89"/>
      <c r="M2586" s="89"/>
      <c r="N2586" s="90"/>
      <c r="Q2586" s="105"/>
    </row>
    <row r="2587" spans="3:17" x14ac:dyDescent="0.3">
      <c r="C2587" s="87"/>
      <c r="H2587" s="86" t="e">
        <f>IF(I2587="fora",0%,G2587/QUÓRUM!$C$6)</f>
        <v>#DIV/0!</v>
      </c>
      <c r="I2587" s="87"/>
      <c r="J2587" s="88"/>
      <c r="K2587" s="88"/>
      <c r="L2587" s="89"/>
      <c r="M2587" s="89"/>
      <c r="N2587" s="90"/>
      <c r="Q2587" s="105"/>
    </row>
    <row r="2588" spans="3:17" x14ac:dyDescent="0.3">
      <c r="C2588" s="87"/>
      <c r="H2588" s="86" t="e">
        <f>IF(I2588="fora",0%,G2588/QUÓRUM!$C$6)</f>
        <v>#DIV/0!</v>
      </c>
      <c r="I2588" s="87"/>
      <c r="J2588" s="88"/>
      <c r="K2588" s="88"/>
      <c r="L2588" s="89"/>
      <c r="M2588" s="89"/>
      <c r="N2588" s="90"/>
      <c r="Q2588" s="105"/>
    </row>
    <row r="2589" spans="3:17" x14ac:dyDescent="0.3">
      <c r="C2589" s="87"/>
      <c r="H2589" s="86" t="e">
        <f>IF(I2589="fora",0%,G2589/QUÓRUM!$C$6)</f>
        <v>#DIV/0!</v>
      </c>
      <c r="I2589" s="87"/>
      <c r="J2589" s="88"/>
      <c r="K2589" s="88"/>
      <c r="L2589" s="89"/>
      <c r="M2589" s="89"/>
      <c r="N2589" s="90"/>
      <c r="Q2589" s="105"/>
    </row>
    <row r="2590" spans="3:17" x14ac:dyDescent="0.3">
      <c r="C2590" s="87"/>
      <c r="H2590" s="86" t="e">
        <f>IF(I2590="fora",0%,G2590/QUÓRUM!$C$6)</f>
        <v>#DIV/0!</v>
      </c>
      <c r="I2590" s="87"/>
      <c r="J2590" s="88"/>
      <c r="K2590" s="88"/>
      <c r="L2590" s="89"/>
      <c r="M2590" s="89"/>
      <c r="N2590" s="90"/>
      <c r="Q2590" s="105"/>
    </row>
    <row r="2591" spans="3:17" x14ac:dyDescent="0.3">
      <c r="C2591" s="87"/>
      <c r="H2591" s="86" t="e">
        <f>IF(I2591="fora",0%,G2591/QUÓRUM!$C$6)</f>
        <v>#DIV/0!</v>
      </c>
      <c r="I2591" s="87"/>
      <c r="J2591" s="88"/>
      <c r="K2591" s="88"/>
      <c r="L2591" s="89"/>
      <c r="M2591" s="89"/>
      <c r="N2591" s="90"/>
      <c r="Q2591" s="105"/>
    </row>
    <row r="2592" spans="3:17" x14ac:dyDescent="0.3">
      <c r="C2592" s="87"/>
      <c r="H2592" s="86" t="e">
        <f>IF(I2592="fora",0%,G2592/QUÓRUM!$C$6)</f>
        <v>#DIV/0!</v>
      </c>
      <c r="I2592" s="87"/>
      <c r="J2592" s="88"/>
      <c r="K2592" s="88"/>
      <c r="L2592" s="89"/>
      <c r="M2592" s="89"/>
      <c r="N2592" s="90"/>
      <c r="Q2592" s="105"/>
    </row>
    <row r="2593" spans="3:17" x14ac:dyDescent="0.3">
      <c r="C2593" s="87"/>
      <c r="H2593" s="86" t="e">
        <f>IF(I2593="fora",0%,G2593/QUÓRUM!$C$6)</f>
        <v>#DIV/0!</v>
      </c>
      <c r="I2593" s="87"/>
      <c r="J2593" s="88"/>
      <c r="K2593" s="88"/>
      <c r="L2593" s="89"/>
      <c r="M2593" s="89"/>
      <c r="N2593" s="90"/>
      <c r="Q2593" s="105"/>
    </row>
    <row r="2594" spans="3:17" x14ac:dyDescent="0.3">
      <c r="C2594" s="87"/>
      <c r="H2594" s="86" t="e">
        <f>IF(I2594="fora",0%,G2594/QUÓRUM!$C$6)</f>
        <v>#DIV/0!</v>
      </c>
      <c r="I2594" s="87"/>
      <c r="J2594" s="88"/>
      <c r="K2594" s="88"/>
      <c r="L2594" s="89"/>
      <c r="M2594" s="89"/>
      <c r="N2594" s="90"/>
      <c r="Q2594" s="105"/>
    </row>
    <row r="2595" spans="3:17" x14ac:dyDescent="0.3">
      <c r="C2595" s="87"/>
      <c r="H2595" s="86" t="e">
        <f>IF(I2595="fora",0%,G2595/QUÓRUM!$C$6)</f>
        <v>#DIV/0!</v>
      </c>
      <c r="I2595" s="87"/>
      <c r="J2595" s="88"/>
      <c r="K2595" s="88"/>
      <c r="L2595" s="89"/>
      <c r="M2595" s="89"/>
      <c r="N2595" s="90"/>
      <c r="Q2595" s="105"/>
    </row>
    <row r="2596" spans="3:17" x14ac:dyDescent="0.3">
      <c r="C2596" s="87"/>
      <c r="H2596" s="86" t="e">
        <f>IF(I2596="fora",0%,G2596/QUÓRUM!$C$6)</f>
        <v>#DIV/0!</v>
      </c>
      <c r="I2596" s="87"/>
      <c r="J2596" s="88"/>
      <c r="K2596" s="88"/>
      <c r="L2596" s="89"/>
      <c r="M2596" s="89"/>
      <c r="N2596" s="90"/>
      <c r="Q2596" s="105"/>
    </row>
    <row r="2597" spans="3:17" x14ac:dyDescent="0.3">
      <c r="C2597" s="87"/>
      <c r="H2597" s="86" t="e">
        <f>IF(I2597="fora",0%,G2597/QUÓRUM!$C$6)</f>
        <v>#DIV/0!</v>
      </c>
      <c r="I2597" s="87"/>
      <c r="J2597" s="88"/>
      <c r="K2597" s="88"/>
      <c r="L2597" s="89"/>
      <c r="M2597" s="89"/>
      <c r="N2597" s="90"/>
      <c r="Q2597" s="105"/>
    </row>
    <row r="2598" spans="3:17" x14ac:dyDescent="0.3">
      <c r="C2598" s="87"/>
      <c r="H2598" s="86" t="e">
        <f>IF(I2598="fora",0%,G2598/QUÓRUM!$C$6)</f>
        <v>#DIV/0!</v>
      </c>
      <c r="I2598" s="87"/>
      <c r="J2598" s="88"/>
      <c r="K2598" s="88"/>
      <c r="L2598" s="89"/>
      <c r="M2598" s="89"/>
      <c r="N2598" s="90"/>
      <c r="Q2598" s="105"/>
    </row>
    <row r="2599" spans="3:17" x14ac:dyDescent="0.3">
      <c r="C2599" s="87"/>
      <c r="H2599" s="86" t="e">
        <f>IF(I2599="fora",0%,G2599/QUÓRUM!$C$6)</f>
        <v>#DIV/0!</v>
      </c>
      <c r="I2599" s="87"/>
      <c r="J2599" s="88"/>
      <c r="K2599" s="88"/>
      <c r="L2599" s="89"/>
      <c r="M2599" s="89"/>
      <c r="N2599" s="90"/>
      <c r="Q2599" s="105"/>
    </row>
    <row r="2600" spans="3:17" x14ac:dyDescent="0.3">
      <c r="C2600" s="87"/>
      <c r="H2600" s="86" t="e">
        <f>IF(I2600="fora",0%,G2600/QUÓRUM!$C$6)</f>
        <v>#DIV/0!</v>
      </c>
      <c r="I2600" s="87"/>
      <c r="J2600" s="88"/>
      <c r="K2600" s="88"/>
      <c r="L2600" s="89"/>
      <c r="M2600" s="89"/>
      <c r="N2600" s="90"/>
      <c r="Q2600" s="105"/>
    </row>
    <row r="2601" spans="3:17" x14ac:dyDescent="0.3">
      <c r="C2601" s="87"/>
      <c r="H2601" s="86" t="e">
        <f>IF(I2601="fora",0%,G2601/QUÓRUM!$C$6)</f>
        <v>#DIV/0!</v>
      </c>
      <c r="I2601" s="87"/>
      <c r="J2601" s="88"/>
      <c r="K2601" s="88"/>
      <c r="L2601" s="89"/>
      <c r="M2601" s="89"/>
      <c r="N2601" s="90"/>
      <c r="Q2601" s="105"/>
    </row>
    <row r="2602" spans="3:17" x14ac:dyDescent="0.3">
      <c r="C2602" s="87"/>
      <c r="H2602" s="86" t="e">
        <f>IF(I2602="fora",0%,G2602/QUÓRUM!$C$6)</f>
        <v>#DIV/0!</v>
      </c>
      <c r="I2602" s="87"/>
      <c r="J2602" s="88"/>
      <c r="K2602" s="88"/>
      <c r="L2602" s="89"/>
      <c r="M2602" s="89"/>
      <c r="N2602" s="90"/>
      <c r="Q2602" s="105"/>
    </row>
    <row r="2603" spans="3:17" x14ac:dyDescent="0.3">
      <c r="C2603" s="87"/>
      <c r="H2603" s="86" t="e">
        <f>IF(I2603="fora",0%,G2603/QUÓRUM!$C$6)</f>
        <v>#DIV/0!</v>
      </c>
      <c r="I2603" s="87"/>
      <c r="J2603" s="88"/>
      <c r="K2603" s="88"/>
      <c r="L2603" s="89"/>
      <c r="M2603" s="89"/>
      <c r="N2603" s="90"/>
      <c r="Q2603" s="105"/>
    </row>
    <row r="2604" spans="3:17" x14ac:dyDescent="0.3">
      <c r="C2604" s="87"/>
      <c r="H2604" s="86" t="e">
        <f>IF(I2604="fora",0%,G2604/QUÓRUM!$C$6)</f>
        <v>#DIV/0!</v>
      </c>
      <c r="I2604" s="87"/>
      <c r="J2604" s="88"/>
      <c r="K2604" s="88"/>
      <c r="L2604" s="89"/>
      <c r="M2604" s="89"/>
      <c r="N2604" s="90"/>
      <c r="Q2604" s="105"/>
    </row>
    <row r="2605" spans="3:17" x14ac:dyDescent="0.3">
      <c r="C2605" s="87"/>
      <c r="H2605" s="86" t="e">
        <f>IF(I2605="fora",0%,G2605/QUÓRUM!$C$6)</f>
        <v>#DIV/0!</v>
      </c>
      <c r="I2605" s="87"/>
      <c r="J2605" s="88"/>
      <c r="K2605" s="88"/>
      <c r="L2605" s="89"/>
      <c r="M2605" s="89"/>
      <c r="N2605" s="90"/>
      <c r="Q2605" s="105"/>
    </row>
    <row r="2606" spans="3:17" x14ac:dyDescent="0.3">
      <c r="C2606" s="87"/>
      <c r="H2606" s="86" t="e">
        <f>IF(I2606="fora",0%,G2606/QUÓRUM!$C$6)</f>
        <v>#DIV/0!</v>
      </c>
      <c r="I2606" s="87"/>
      <c r="J2606" s="88"/>
      <c r="K2606" s="88"/>
      <c r="L2606" s="89"/>
      <c r="M2606" s="89"/>
      <c r="N2606" s="90"/>
      <c r="Q2606" s="105"/>
    </row>
    <row r="2607" spans="3:17" x14ac:dyDescent="0.3">
      <c r="C2607" s="87"/>
      <c r="H2607" s="86" t="e">
        <f>IF(I2607="fora",0%,G2607/QUÓRUM!$C$6)</f>
        <v>#DIV/0!</v>
      </c>
      <c r="I2607" s="87"/>
      <c r="J2607" s="88"/>
      <c r="K2607" s="88"/>
      <c r="L2607" s="89"/>
      <c r="M2607" s="89"/>
      <c r="N2607" s="90"/>
      <c r="Q2607" s="105"/>
    </row>
    <row r="2608" spans="3:17" x14ac:dyDescent="0.3">
      <c r="C2608" s="87"/>
      <c r="G2608" s="115"/>
      <c r="H2608" s="86" t="e">
        <f>IF(I2608="fora",0%,G2608/QUÓRUM!$C$6)</f>
        <v>#DIV/0!</v>
      </c>
      <c r="I2608" s="87"/>
      <c r="J2608" s="88"/>
      <c r="K2608" s="88"/>
      <c r="L2608" s="89"/>
      <c r="M2608" s="89"/>
      <c r="N2608" s="90"/>
      <c r="Q2608" s="105"/>
    </row>
    <row r="2609" spans="3:17" x14ac:dyDescent="0.3">
      <c r="C2609" s="87"/>
      <c r="H2609" s="86" t="e">
        <f>IF(I2609="fora",0%,G2609/QUÓRUM!$C$6)</f>
        <v>#DIV/0!</v>
      </c>
      <c r="I2609" s="87"/>
      <c r="J2609" s="88"/>
      <c r="K2609" s="88"/>
      <c r="L2609" s="89"/>
      <c r="M2609" s="89"/>
      <c r="N2609" s="90"/>
      <c r="Q2609" s="105"/>
    </row>
    <row r="2610" spans="3:17" x14ac:dyDescent="0.3">
      <c r="C2610" s="87"/>
      <c r="H2610" s="86" t="e">
        <f>IF(I2610="fora",0%,G2610/QUÓRUM!$C$6)</f>
        <v>#DIV/0!</v>
      </c>
      <c r="I2610" s="87"/>
      <c r="J2610" s="88"/>
      <c r="K2610" s="88"/>
      <c r="L2610" s="89"/>
      <c r="M2610" s="89"/>
      <c r="N2610" s="90"/>
      <c r="Q2610" s="105"/>
    </row>
    <row r="2611" spans="3:17" x14ac:dyDescent="0.3">
      <c r="C2611" s="87"/>
      <c r="H2611" s="86" t="e">
        <f>IF(I2611="fora",0%,G2611/QUÓRUM!$C$6)</f>
        <v>#DIV/0!</v>
      </c>
      <c r="I2611" s="87"/>
      <c r="J2611" s="88"/>
      <c r="K2611" s="88"/>
      <c r="L2611" s="89"/>
      <c r="M2611" s="89"/>
      <c r="N2611" s="90"/>
      <c r="Q2611" s="105"/>
    </row>
    <row r="2612" spans="3:17" x14ac:dyDescent="0.3">
      <c r="C2612" s="87"/>
      <c r="H2612" s="86" t="e">
        <f>IF(I2612="fora",0%,G2612/QUÓRUM!$C$6)</f>
        <v>#DIV/0!</v>
      </c>
      <c r="I2612" s="87"/>
      <c r="J2612" s="88"/>
      <c r="K2612" s="88"/>
      <c r="L2612" s="89"/>
      <c r="M2612" s="89"/>
      <c r="N2612" s="90"/>
      <c r="Q2612" s="105"/>
    </row>
    <row r="2613" spans="3:17" x14ac:dyDescent="0.3">
      <c r="C2613" s="87"/>
      <c r="H2613" s="86" t="e">
        <f>IF(I2613="fora",0%,G2613/QUÓRUM!$C$6)</f>
        <v>#DIV/0!</v>
      </c>
      <c r="I2613" s="87"/>
      <c r="J2613" s="88"/>
      <c r="K2613" s="88"/>
      <c r="L2613" s="89"/>
      <c r="M2613" s="89"/>
      <c r="N2613" s="90"/>
      <c r="Q2613" s="105"/>
    </row>
    <row r="2614" spans="3:17" x14ac:dyDescent="0.3">
      <c r="C2614" s="87"/>
      <c r="H2614" s="86" t="e">
        <f>IF(I2614="fora",0%,G2614/QUÓRUM!$C$6)</f>
        <v>#DIV/0!</v>
      </c>
      <c r="I2614" s="87"/>
      <c r="J2614" s="88"/>
      <c r="K2614" s="88"/>
      <c r="L2614" s="89"/>
      <c r="M2614" s="89"/>
      <c r="N2614" s="90"/>
      <c r="Q2614" s="105"/>
    </row>
    <row r="2615" spans="3:17" x14ac:dyDescent="0.3">
      <c r="C2615" s="87"/>
      <c r="H2615" s="86" t="e">
        <f>IF(I2615="fora",0%,G2615/QUÓRUM!$C$6)</f>
        <v>#DIV/0!</v>
      </c>
      <c r="I2615" s="87"/>
      <c r="J2615" s="88"/>
      <c r="K2615" s="88"/>
      <c r="L2615" s="89"/>
      <c r="M2615" s="89"/>
      <c r="N2615" s="90"/>
      <c r="Q2615" s="105"/>
    </row>
    <row r="2616" spans="3:17" x14ac:dyDescent="0.3">
      <c r="C2616" s="87"/>
      <c r="H2616" s="86" t="e">
        <f>IF(I2616="fora",0%,G2616/QUÓRUM!$C$6)</f>
        <v>#DIV/0!</v>
      </c>
      <c r="I2616" s="87"/>
      <c r="J2616" s="88"/>
      <c r="K2616" s="88"/>
      <c r="L2616" s="89"/>
      <c r="M2616" s="89"/>
      <c r="N2616" s="90"/>
      <c r="Q2616" s="105"/>
    </row>
    <row r="2617" spans="3:17" x14ac:dyDescent="0.3">
      <c r="C2617" s="87"/>
      <c r="H2617" s="86" t="e">
        <f>IF(I2617="fora",0%,G2617/QUÓRUM!$C$6)</f>
        <v>#DIV/0!</v>
      </c>
      <c r="I2617" s="87"/>
      <c r="J2617" s="88"/>
      <c r="K2617" s="88"/>
      <c r="L2617" s="89"/>
      <c r="M2617" s="89"/>
      <c r="N2617" s="90"/>
      <c r="Q2617" s="105"/>
    </row>
    <row r="2618" spans="3:17" x14ac:dyDescent="0.3">
      <c r="C2618" s="87"/>
      <c r="H2618" s="86" t="e">
        <f>IF(I2618="fora",0%,G2618/QUÓRUM!$C$6)</f>
        <v>#DIV/0!</v>
      </c>
      <c r="I2618" s="87"/>
      <c r="J2618" s="88"/>
      <c r="K2618" s="88"/>
      <c r="L2618" s="89"/>
      <c r="M2618" s="89"/>
      <c r="N2618" s="90"/>
      <c r="Q2618" s="105"/>
    </row>
    <row r="2619" spans="3:17" x14ac:dyDescent="0.3">
      <c r="C2619" s="87"/>
      <c r="H2619" s="86" t="e">
        <f>IF(I2619="fora",0%,G2619/QUÓRUM!$C$6)</f>
        <v>#DIV/0!</v>
      </c>
      <c r="I2619" s="87"/>
      <c r="J2619" s="88"/>
      <c r="K2619" s="88"/>
      <c r="L2619" s="89"/>
      <c r="M2619" s="89"/>
      <c r="N2619" s="90"/>
      <c r="Q2619" s="105"/>
    </row>
    <row r="2620" spans="3:17" x14ac:dyDescent="0.3">
      <c r="C2620" s="87"/>
      <c r="H2620" s="86" t="e">
        <f>IF(I2620="fora",0%,G2620/QUÓRUM!$C$6)</f>
        <v>#DIV/0!</v>
      </c>
      <c r="I2620" s="87"/>
      <c r="J2620" s="88"/>
      <c r="K2620" s="88"/>
      <c r="L2620" s="89"/>
      <c r="M2620" s="89"/>
      <c r="N2620" s="90"/>
      <c r="Q2620" s="105"/>
    </row>
    <row r="2621" spans="3:17" x14ac:dyDescent="0.3">
      <c r="C2621" s="87"/>
      <c r="H2621" s="86" t="e">
        <f>IF(I2621="fora",0%,G2621/QUÓRUM!$C$6)</f>
        <v>#DIV/0!</v>
      </c>
      <c r="I2621" s="87"/>
      <c r="J2621" s="88"/>
      <c r="K2621" s="88"/>
      <c r="L2621" s="89"/>
      <c r="M2621" s="89"/>
      <c r="N2621" s="90"/>
      <c r="Q2621" s="105"/>
    </row>
    <row r="2622" spans="3:17" x14ac:dyDescent="0.3">
      <c r="C2622" s="87"/>
      <c r="H2622" s="86" t="e">
        <f>IF(I2622="fora",0%,G2622/QUÓRUM!$C$6)</f>
        <v>#DIV/0!</v>
      </c>
      <c r="I2622" s="87"/>
      <c r="J2622" s="88"/>
      <c r="K2622" s="88"/>
      <c r="L2622" s="89"/>
      <c r="M2622" s="89"/>
      <c r="N2622" s="90"/>
      <c r="Q2622" s="105"/>
    </row>
    <row r="2623" spans="3:17" x14ac:dyDescent="0.3">
      <c r="C2623" s="87"/>
      <c r="H2623" s="86" t="e">
        <f>IF(I2623="fora",0%,G2623/QUÓRUM!$C$6)</f>
        <v>#DIV/0!</v>
      </c>
      <c r="I2623" s="87"/>
      <c r="J2623" s="88"/>
      <c r="K2623" s="88"/>
      <c r="L2623" s="89"/>
      <c r="M2623" s="89"/>
      <c r="N2623" s="90"/>
      <c r="Q2623" s="105"/>
    </row>
    <row r="2624" spans="3:17" x14ac:dyDescent="0.3">
      <c r="C2624" s="87"/>
      <c r="H2624" s="86" t="e">
        <f>IF(I2624="fora",0%,G2624/QUÓRUM!$C$6)</f>
        <v>#DIV/0!</v>
      </c>
      <c r="I2624" s="87"/>
      <c r="J2624" s="88"/>
      <c r="K2624" s="88"/>
      <c r="L2624" s="89"/>
      <c r="M2624" s="89"/>
      <c r="N2624" s="90"/>
      <c r="Q2624" s="105"/>
    </row>
    <row r="2625" spans="3:17" x14ac:dyDescent="0.3">
      <c r="C2625" s="87"/>
      <c r="H2625" s="86" t="e">
        <f>IF(I2625="fora",0%,G2625/QUÓRUM!$C$6)</f>
        <v>#DIV/0!</v>
      </c>
      <c r="I2625" s="87"/>
      <c r="J2625" s="88"/>
      <c r="K2625" s="88"/>
      <c r="L2625" s="89"/>
      <c r="M2625" s="89"/>
      <c r="N2625" s="90"/>
      <c r="Q2625" s="105"/>
    </row>
    <row r="2626" spans="3:17" x14ac:dyDescent="0.3">
      <c r="C2626" s="87"/>
      <c r="H2626" s="86" t="e">
        <f>IF(I2626="fora",0%,G2626/QUÓRUM!$C$6)</f>
        <v>#DIV/0!</v>
      </c>
      <c r="I2626" s="87"/>
      <c r="J2626" s="88"/>
      <c r="K2626" s="88"/>
      <c r="L2626" s="89"/>
      <c r="M2626" s="89"/>
      <c r="N2626" s="90"/>
      <c r="Q2626" s="105"/>
    </row>
    <row r="2627" spans="3:17" x14ac:dyDescent="0.3">
      <c r="C2627" s="87"/>
      <c r="H2627" s="86" t="e">
        <f>IF(I2627="fora",0%,G2627/QUÓRUM!$C$6)</f>
        <v>#DIV/0!</v>
      </c>
      <c r="I2627" s="87"/>
      <c r="J2627" s="88"/>
      <c r="K2627" s="88"/>
      <c r="L2627" s="89"/>
      <c r="M2627" s="89"/>
      <c r="N2627" s="90"/>
      <c r="Q2627" s="105"/>
    </row>
    <row r="2628" spans="3:17" x14ac:dyDescent="0.3">
      <c r="C2628" s="87"/>
      <c r="H2628" s="86" t="e">
        <f>IF(I2628="fora",0%,G2628/QUÓRUM!$C$6)</f>
        <v>#DIV/0!</v>
      </c>
      <c r="I2628" s="87"/>
      <c r="J2628" s="88"/>
      <c r="K2628" s="88"/>
      <c r="L2628" s="89"/>
      <c r="M2628" s="89"/>
      <c r="N2628" s="90"/>
      <c r="Q2628" s="105"/>
    </row>
    <row r="2629" spans="3:17" x14ac:dyDescent="0.3">
      <c r="C2629" s="87"/>
      <c r="H2629" s="86" t="e">
        <f>IF(I2629="fora",0%,G2629/QUÓRUM!$C$6)</f>
        <v>#DIV/0!</v>
      </c>
      <c r="I2629" s="87"/>
      <c r="J2629" s="88"/>
      <c r="K2629" s="88"/>
      <c r="L2629" s="89"/>
      <c r="M2629" s="89"/>
      <c r="N2629" s="90"/>
      <c r="Q2629" s="105"/>
    </row>
    <row r="2630" spans="3:17" x14ac:dyDescent="0.3">
      <c r="C2630" s="87"/>
      <c r="H2630" s="86" t="e">
        <f>IF(I2630="fora",0%,G2630/QUÓRUM!$C$6)</f>
        <v>#DIV/0!</v>
      </c>
      <c r="I2630" s="87"/>
      <c r="J2630" s="88"/>
      <c r="K2630" s="88"/>
      <c r="L2630" s="89"/>
      <c r="M2630" s="89"/>
      <c r="N2630" s="90"/>
      <c r="Q2630" s="105"/>
    </row>
    <row r="2631" spans="3:17" x14ac:dyDescent="0.3">
      <c r="C2631" s="87"/>
      <c r="H2631" s="86" t="e">
        <f>IF(I2631="fora",0%,G2631/QUÓRUM!$C$6)</f>
        <v>#DIV/0!</v>
      </c>
      <c r="I2631" s="87"/>
      <c r="J2631" s="88"/>
      <c r="K2631" s="88"/>
      <c r="L2631" s="89"/>
      <c r="M2631" s="89"/>
      <c r="N2631" s="90"/>
      <c r="Q2631" s="105"/>
    </row>
    <row r="2632" spans="3:17" x14ac:dyDescent="0.3">
      <c r="C2632" s="87"/>
      <c r="H2632" s="86" t="e">
        <f>IF(I2632="fora",0%,G2632/QUÓRUM!$C$6)</f>
        <v>#DIV/0!</v>
      </c>
      <c r="I2632" s="87"/>
      <c r="J2632" s="88"/>
      <c r="K2632" s="88"/>
      <c r="L2632" s="89"/>
      <c r="M2632" s="89"/>
      <c r="N2632" s="90"/>
      <c r="Q2632" s="105"/>
    </row>
    <row r="2633" spans="3:17" x14ac:dyDescent="0.3">
      <c r="C2633" s="87"/>
      <c r="H2633" s="86" t="e">
        <f>IF(I2633="fora",0%,G2633/QUÓRUM!$C$6)</f>
        <v>#DIV/0!</v>
      </c>
      <c r="I2633" s="87"/>
      <c r="J2633" s="88"/>
      <c r="K2633" s="88"/>
      <c r="L2633" s="89"/>
      <c r="M2633" s="89"/>
      <c r="N2633" s="90"/>
      <c r="Q2633" s="105"/>
    </row>
    <row r="2634" spans="3:17" x14ac:dyDescent="0.3">
      <c r="C2634" s="87"/>
      <c r="H2634" s="86" t="e">
        <f>IF(I2634="fora",0%,G2634/QUÓRUM!$C$6)</f>
        <v>#DIV/0!</v>
      </c>
      <c r="I2634" s="87"/>
      <c r="J2634" s="88"/>
      <c r="K2634" s="88"/>
      <c r="L2634" s="89"/>
      <c r="M2634" s="89"/>
      <c r="N2634" s="90"/>
      <c r="Q2634" s="105"/>
    </row>
    <row r="2635" spans="3:17" x14ac:dyDescent="0.3">
      <c r="C2635" s="87"/>
      <c r="H2635" s="86" t="e">
        <f>IF(I2635="fora",0%,G2635/QUÓRUM!$C$6)</f>
        <v>#DIV/0!</v>
      </c>
      <c r="I2635" s="87"/>
      <c r="J2635" s="88"/>
      <c r="K2635" s="88"/>
      <c r="L2635" s="89"/>
      <c r="M2635" s="89"/>
      <c r="N2635" s="90"/>
      <c r="Q2635" s="105"/>
    </row>
    <row r="2636" spans="3:17" x14ac:dyDescent="0.3">
      <c r="C2636" s="87"/>
      <c r="H2636" s="86" t="e">
        <f>IF(I2636="fora",0%,G2636/QUÓRUM!$C$6)</f>
        <v>#DIV/0!</v>
      </c>
      <c r="I2636" s="87"/>
      <c r="J2636" s="88"/>
      <c r="K2636" s="88"/>
      <c r="L2636" s="89"/>
      <c r="M2636" s="89"/>
      <c r="N2636" s="90"/>
      <c r="Q2636" s="105"/>
    </row>
    <row r="2637" spans="3:17" x14ac:dyDescent="0.3">
      <c r="C2637" s="87"/>
      <c r="H2637" s="86" t="e">
        <f>IF(I2637="fora",0%,G2637/QUÓRUM!$C$6)</f>
        <v>#DIV/0!</v>
      </c>
      <c r="I2637" s="87"/>
      <c r="J2637" s="88"/>
      <c r="K2637" s="88"/>
      <c r="L2637" s="89"/>
      <c r="M2637" s="89"/>
      <c r="N2637" s="90"/>
      <c r="Q2637" s="105"/>
    </row>
    <row r="2638" spans="3:17" x14ac:dyDescent="0.3">
      <c r="C2638" s="87"/>
      <c r="H2638" s="86" t="e">
        <f>IF(I2638="fora",0%,G2638/QUÓRUM!$C$6)</f>
        <v>#DIV/0!</v>
      </c>
      <c r="I2638" s="87"/>
      <c r="J2638" s="88"/>
      <c r="K2638" s="88"/>
      <c r="L2638" s="89"/>
      <c r="M2638" s="89"/>
      <c r="N2638" s="90"/>
      <c r="Q2638" s="105"/>
    </row>
    <row r="2639" spans="3:17" x14ac:dyDescent="0.3">
      <c r="C2639" s="87"/>
      <c r="H2639" s="86" t="e">
        <f>IF(I2639="fora",0%,G2639/QUÓRUM!$C$6)</f>
        <v>#DIV/0!</v>
      </c>
      <c r="I2639" s="87"/>
      <c r="J2639" s="88"/>
      <c r="K2639" s="88"/>
      <c r="L2639" s="89"/>
      <c r="M2639" s="89"/>
      <c r="N2639" s="90"/>
      <c r="Q2639" s="105"/>
    </row>
    <row r="2640" spans="3:17" x14ac:dyDescent="0.3">
      <c r="C2640" s="87"/>
      <c r="H2640" s="86" t="e">
        <f>IF(I2640="fora",0%,G2640/QUÓRUM!$C$6)</f>
        <v>#DIV/0!</v>
      </c>
      <c r="I2640" s="87"/>
      <c r="J2640" s="88"/>
      <c r="K2640" s="88"/>
      <c r="L2640" s="89"/>
      <c r="M2640" s="89"/>
      <c r="N2640" s="90"/>
      <c r="Q2640" s="105"/>
    </row>
    <row r="2641" spans="3:17" x14ac:dyDescent="0.3">
      <c r="C2641" s="87"/>
      <c r="H2641" s="86" t="e">
        <f>IF(I2641="fora",0%,G2641/QUÓRUM!$C$6)</f>
        <v>#DIV/0!</v>
      </c>
      <c r="I2641" s="87"/>
      <c r="J2641" s="88"/>
      <c r="K2641" s="88"/>
      <c r="L2641" s="89"/>
      <c r="M2641" s="89"/>
      <c r="N2641" s="90"/>
      <c r="Q2641" s="105"/>
    </row>
    <row r="2642" spans="3:17" x14ac:dyDescent="0.3">
      <c r="C2642" s="87"/>
      <c r="H2642" s="86" t="e">
        <f>IF(I2642="fora",0%,G2642/QUÓRUM!$C$6)</f>
        <v>#DIV/0!</v>
      </c>
      <c r="I2642" s="87"/>
      <c r="J2642" s="88"/>
      <c r="K2642" s="88"/>
      <c r="L2642" s="89"/>
      <c r="M2642" s="89"/>
      <c r="N2642" s="90"/>
      <c r="Q2642" s="105"/>
    </row>
    <row r="2643" spans="3:17" x14ac:dyDescent="0.3">
      <c r="C2643" s="87"/>
      <c r="H2643" s="86" t="e">
        <f>IF(I2643="fora",0%,G2643/QUÓRUM!$C$6)</f>
        <v>#DIV/0!</v>
      </c>
      <c r="I2643" s="87"/>
      <c r="J2643" s="88"/>
      <c r="K2643" s="88"/>
      <c r="L2643" s="89"/>
      <c r="M2643" s="89"/>
      <c r="N2643" s="90"/>
      <c r="Q2643" s="105"/>
    </row>
    <row r="2644" spans="3:17" x14ac:dyDescent="0.3">
      <c r="C2644" s="87"/>
      <c r="H2644" s="86" t="e">
        <f>IF(I2644="fora",0%,G2644/QUÓRUM!$C$6)</f>
        <v>#DIV/0!</v>
      </c>
      <c r="I2644" s="87"/>
      <c r="J2644" s="88"/>
      <c r="K2644" s="88"/>
      <c r="L2644" s="89"/>
      <c r="M2644" s="89"/>
      <c r="N2644" s="90"/>
      <c r="Q2644" s="105"/>
    </row>
    <row r="2645" spans="3:17" x14ac:dyDescent="0.3">
      <c r="C2645" s="87"/>
      <c r="H2645" s="86" t="e">
        <f>IF(I2645="fora",0%,G2645/QUÓRUM!$C$6)</f>
        <v>#DIV/0!</v>
      </c>
      <c r="I2645" s="87"/>
      <c r="J2645" s="88"/>
      <c r="K2645" s="88"/>
      <c r="L2645" s="89"/>
      <c r="M2645" s="89"/>
      <c r="N2645" s="90"/>
      <c r="Q2645" s="105"/>
    </row>
    <row r="2646" spans="3:17" x14ac:dyDescent="0.3">
      <c r="C2646" s="87"/>
      <c r="H2646" s="86" t="e">
        <f>IF(I2646="fora",0%,G2646/QUÓRUM!$C$6)</f>
        <v>#DIV/0!</v>
      </c>
      <c r="I2646" s="87"/>
      <c r="J2646" s="88"/>
      <c r="K2646" s="88"/>
      <c r="L2646" s="89"/>
      <c r="M2646" s="89"/>
      <c r="N2646" s="90"/>
      <c r="Q2646" s="105"/>
    </row>
    <row r="2647" spans="3:17" x14ac:dyDescent="0.3">
      <c r="C2647" s="87"/>
      <c r="H2647" s="86" t="e">
        <f>IF(I2647="fora",0%,G2647/QUÓRUM!$C$6)</f>
        <v>#DIV/0!</v>
      </c>
      <c r="I2647" s="87"/>
      <c r="J2647" s="88"/>
      <c r="K2647" s="88"/>
      <c r="L2647" s="89"/>
      <c r="M2647" s="89"/>
      <c r="N2647" s="90"/>
      <c r="Q2647" s="105"/>
    </row>
    <row r="2648" spans="3:17" x14ac:dyDescent="0.3">
      <c r="C2648" s="87"/>
      <c r="H2648" s="86" t="e">
        <f>IF(I2648="fora",0%,G2648/QUÓRUM!$C$6)</f>
        <v>#DIV/0!</v>
      </c>
      <c r="I2648" s="87"/>
      <c r="J2648" s="88"/>
      <c r="K2648" s="88"/>
      <c r="L2648" s="89"/>
      <c r="M2648" s="89"/>
      <c r="N2648" s="90"/>
      <c r="Q2648" s="105"/>
    </row>
    <row r="2649" spans="3:17" x14ac:dyDescent="0.3">
      <c r="C2649" s="87"/>
      <c r="H2649" s="86" t="e">
        <f>IF(I2649="fora",0%,G2649/QUÓRUM!$C$6)</f>
        <v>#DIV/0!</v>
      </c>
      <c r="I2649" s="87"/>
      <c r="J2649" s="88"/>
      <c r="K2649" s="88"/>
      <c r="L2649" s="89"/>
      <c r="M2649" s="89"/>
      <c r="N2649" s="90"/>
      <c r="Q2649" s="105"/>
    </row>
    <row r="2650" spans="3:17" x14ac:dyDescent="0.3">
      <c r="C2650" s="87"/>
      <c r="H2650" s="86" t="e">
        <f>IF(I2650="fora",0%,G2650/QUÓRUM!$C$6)</f>
        <v>#DIV/0!</v>
      </c>
      <c r="I2650" s="87"/>
      <c r="J2650" s="88"/>
      <c r="K2650" s="88"/>
      <c r="L2650" s="89"/>
      <c r="M2650" s="89"/>
      <c r="N2650" s="90"/>
      <c r="Q2650" s="105"/>
    </row>
    <row r="2651" spans="3:17" x14ac:dyDescent="0.3">
      <c r="C2651" s="87"/>
      <c r="H2651" s="86" t="e">
        <f>IF(I2651="fora",0%,G2651/QUÓRUM!$C$6)</f>
        <v>#DIV/0!</v>
      </c>
      <c r="I2651" s="87"/>
      <c r="J2651" s="88"/>
      <c r="K2651" s="88"/>
      <c r="L2651" s="89"/>
      <c r="M2651" s="89"/>
      <c r="N2651" s="90"/>
      <c r="Q2651" s="105"/>
    </row>
    <row r="2652" spans="3:17" x14ac:dyDescent="0.3">
      <c r="C2652" s="87"/>
      <c r="H2652" s="86" t="e">
        <f>IF(I2652="fora",0%,G2652/QUÓRUM!$C$6)</f>
        <v>#DIV/0!</v>
      </c>
      <c r="I2652" s="87"/>
      <c r="J2652" s="88"/>
      <c r="K2652" s="88"/>
      <c r="L2652" s="89"/>
      <c r="M2652" s="89"/>
      <c r="N2652" s="90"/>
      <c r="Q2652" s="105"/>
    </row>
    <row r="2653" spans="3:17" x14ac:dyDescent="0.3">
      <c r="C2653" s="87"/>
      <c r="H2653" s="86" t="e">
        <f>IF(I2653="fora",0%,G2653/QUÓRUM!$C$6)</f>
        <v>#DIV/0!</v>
      </c>
      <c r="I2653" s="87"/>
      <c r="J2653" s="88"/>
      <c r="K2653" s="88"/>
      <c r="L2653" s="89"/>
      <c r="M2653" s="89"/>
      <c r="N2653" s="90"/>
      <c r="Q2653" s="105"/>
    </row>
    <row r="2654" spans="3:17" x14ac:dyDescent="0.3">
      <c r="C2654" s="87"/>
      <c r="H2654" s="86" t="e">
        <f>IF(I2654="fora",0%,G2654/QUÓRUM!$C$6)</f>
        <v>#DIV/0!</v>
      </c>
      <c r="I2654" s="87"/>
      <c r="J2654" s="88"/>
      <c r="K2654" s="88"/>
      <c r="L2654" s="89"/>
      <c r="M2654" s="89"/>
      <c r="N2654" s="90"/>
      <c r="Q2654" s="105"/>
    </row>
    <row r="2655" spans="3:17" x14ac:dyDescent="0.3">
      <c r="C2655" s="87"/>
      <c r="H2655" s="86" t="e">
        <f>IF(I2655="fora",0%,G2655/QUÓRUM!$C$6)</f>
        <v>#DIV/0!</v>
      </c>
      <c r="I2655" s="87"/>
      <c r="J2655" s="88"/>
      <c r="K2655" s="88"/>
      <c r="L2655" s="89"/>
      <c r="M2655" s="89"/>
      <c r="N2655" s="90"/>
      <c r="Q2655" s="105"/>
    </row>
    <row r="2656" spans="3:17" x14ac:dyDescent="0.3">
      <c r="C2656" s="87"/>
      <c r="H2656" s="86" t="e">
        <f>IF(I2656="fora",0%,G2656/QUÓRUM!$C$6)</f>
        <v>#DIV/0!</v>
      </c>
      <c r="I2656" s="87"/>
      <c r="J2656" s="88"/>
      <c r="K2656" s="88"/>
      <c r="L2656" s="89"/>
      <c r="M2656" s="89"/>
      <c r="N2656" s="90"/>
      <c r="Q2656" s="105"/>
    </row>
    <row r="2657" spans="3:17" x14ac:dyDescent="0.3">
      <c r="C2657" s="87"/>
      <c r="H2657" s="86" t="e">
        <f>IF(I2657="fora",0%,G2657/QUÓRUM!$C$6)</f>
        <v>#DIV/0!</v>
      </c>
      <c r="I2657" s="87"/>
      <c r="J2657" s="88"/>
      <c r="K2657" s="88"/>
      <c r="L2657" s="89"/>
      <c r="M2657" s="89"/>
      <c r="N2657" s="90"/>
      <c r="Q2657" s="105"/>
    </row>
    <row r="2658" spans="3:17" x14ac:dyDescent="0.3">
      <c r="C2658" s="87"/>
      <c r="H2658" s="86" t="e">
        <f>IF(I2658="fora",0%,G2658/QUÓRUM!$C$6)</f>
        <v>#DIV/0!</v>
      </c>
      <c r="I2658" s="87"/>
      <c r="J2658" s="88"/>
      <c r="K2658" s="88"/>
      <c r="L2658" s="89"/>
      <c r="M2658" s="89"/>
      <c r="N2658" s="90"/>
      <c r="Q2658" s="105"/>
    </row>
    <row r="2659" spans="3:17" x14ac:dyDescent="0.3">
      <c r="C2659" s="87"/>
      <c r="H2659" s="86" t="e">
        <f>IF(I2659="fora",0%,G2659/QUÓRUM!$C$6)</f>
        <v>#DIV/0!</v>
      </c>
      <c r="I2659" s="87"/>
      <c r="J2659" s="88"/>
      <c r="K2659" s="88"/>
      <c r="L2659" s="89"/>
      <c r="M2659" s="89"/>
      <c r="N2659" s="90"/>
      <c r="Q2659" s="105"/>
    </row>
    <row r="2660" spans="3:17" x14ac:dyDescent="0.3">
      <c r="C2660" s="87"/>
      <c r="H2660" s="86" t="e">
        <f>IF(I2660="fora",0%,G2660/QUÓRUM!$C$6)</f>
        <v>#DIV/0!</v>
      </c>
      <c r="I2660" s="87"/>
      <c r="J2660" s="88"/>
      <c r="K2660" s="88"/>
      <c r="L2660" s="89"/>
      <c r="M2660" s="89"/>
      <c r="N2660" s="90"/>
      <c r="Q2660" s="105"/>
    </row>
    <row r="2661" spans="3:17" x14ac:dyDescent="0.3">
      <c r="C2661" s="87"/>
      <c r="H2661" s="86" t="e">
        <f>IF(I2661="fora",0%,G2661/QUÓRUM!$C$6)</f>
        <v>#DIV/0!</v>
      </c>
      <c r="I2661" s="87"/>
      <c r="J2661" s="88"/>
      <c r="K2661" s="88"/>
      <c r="L2661" s="89"/>
      <c r="M2661" s="89"/>
      <c r="N2661" s="90"/>
      <c r="Q2661" s="105"/>
    </row>
    <row r="2662" spans="3:17" x14ac:dyDescent="0.3">
      <c r="C2662" s="87"/>
      <c r="H2662" s="86" t="e">
        <f>IF(I2662="fora",0%,G2662/QUÓRUM!$C$6)</f>
        <v>#DIV/0!</v>
      </c>
      <c r="I2662" s="87"/>
      <c r="J2662" s="88"/>
      <c r="K2662" s="88"/>
      <c r="L2662" s="89"/>
      <c r="M2662" s="89"/>
      <c r="N2662" s="90"/>
      <c r="Q2662" s="105"/>
    </row>
    <row r="2663" spans="3:17" x14ac:dyDescent="0.3">
      <c r="C2663" s="87"/>
      <c r="H2663" s="86" t="e">
        <f>IF(I2663="fora",0%,G2663/QUÓRUM!$C$6)</f>
        <v>#DIV/0!</v>
      </c>
      <c r="I2663" s="87"/>
      <c r="J2663" s="88"/>
      <c r="K2663" s="88"/>
      <c r="L2663" s="89"/>
      <c r="M2663" s="89"/>
      <c r="N2663" s="90"/>
      <c r="Q2663" s="105"/>
    </row>
    <row r="2664" spans="3:17" x14ac:dyDescent="0.3">
      <c r="C2664" s="87"/>
      <c r="H2664" s="86" t="e">
        <f>IF(I2664="fora",0%,G2664/QUÓRUM!$C$6)</f>
        <v>#DIV/0!</v>
      </c>
      <c r="I2664" s="87"/>
      <c r="J2664" s="88"/>
      <c r="K2664" s="88"/>
      <c r="L2664" s="89"/>
      <c r="M2664" s="89"/>
      <c r="N2664" s="90"/>
      <c r="Q2664" s="105"/>
    </row>
    <row r="2665" spans="3:17" x14ac:dyDescent="0.3">
      <c r="C2665" s="87"/>
      <c r="H2665" s="86" t="e">
        <f>IF(I2665="fora",0%,G2665/QUÓRUM!$C$6)</f>
        <v>#DIV/0!</v>
      </c>
      <c r="I2665" s="87"/>
      <c r="J2665" s="88"/>
      <c r="K2665" s="88"/>
      <c r="L2665" s="89"/>
      <c r="M2665" s="89"/>
      <c r="N2665" s="90"/>
      <c r="Q2665" s="105"/>
    </row>
    <row r="2666" spans="3:17" x14ac:dyDescent="0.3">
      <c r="C2666" s="87"/>
      <c r="G2666" s="115"/>
      <c r="H2666" s="86" t="e">
        <f>IF(I2666="fora",0%,G2666/QUÓRUM!$C$6)</f>
        <v>#DIV/0!</v>
      </c>
      <c r="I2666" s="87"/>
      <c r="J2666" s="88"/>
      <c r="K2666" s="88"/>
      <c r="L2666" s="89"/>
      <c r="M2666" s="89"/>
      <c r="N2666" s="90"/>
      <c r="Q2666" s="105"/>
    </row>
    <row r="2667" spans="3:17" x14ac:dyDescent="0.3">
      <c r="C2667" s="87"/>
      <c r="G2667" s="115"/>
      <c r="H2667" s="86" t="e">
        <f>IF(I2667="fora",0%,G2667/QUÓRUM!$C$6)</f>
        <v>#DIV/0!</v>
      </c>
      <c r="I2667" s="87"/>
      <c r="J2667" s="88"/>
      <c r="K2667" s="88"/>
      <c r="L2667" s="89"/>
      <c r="M2667" s="89"/>
      <c r="N2667" s="90"/>
      <c r="Q2667" s="105"/>
    </row>
    <row r="2668" spans="3:17" x14ac:dyDescent="0.3">
      <c r="C2668" s="87"/>
      <c r="H2668" s="86" t="e">
        <f>IF(I2668="fora",0%,G2668/QUÓRUM!$C$6)</f>
        <v>#DIV/0!</v>
      </c>
      <c r="I2668" s="87"/>
      <c r="J2668" s="88"/>
      <c r="K2668" s="88"/>
      <c r="L2668" s="89"/>
      <c r="M2668" s="89"/>
      <c r="N2668" s="90"/>
      <c r="Q2668" s="105"/>
    </row>
    <row r="2669" spans="3:17" x14ac:dyDescent="0.3">
      <c r="C2669" s="87"/>
      <c r="G2669" s="115"/>
      <c r="H2669" s="86" t="e">
        <f>IF(I2669="fora",0%,G2669/QUÓRUM!$C$6)</f>
        <v>#DIV/0!</v>
      </c>
      <c r="I2669" s="87"/>
      <c r="J2669" s="88"/>
      <c r="K2669" s="88"/>
      <c r="L2669" s="89"/>
      <c r="M2669" s="89"/>
      <c r="N2669" s="90"/>
      <c r="Q2669" s="105"/>
    </row>
    <row r="2670" spans="3:17" x14ac:dyDescent="0.3">
      <c r="C2670" s="87"/>
      <c r="G2670" s="115"/>
      <c r="H2670" s="86" t="e">
        <f>IF(I2670="fora",0%,G2670/QUÓRUM!$C$6)</f>
        <v>#DIV/0!</v>
      </c>
      <c r="I2670" s="87"/>
      <c r="J2670" s="88"/>
      <c r="K2670" s="88"/>
      <c r="L2670" s="89"/>
      <c r="M2670" s="89"/>
      <c r="N2670" s="90"/>
      <c r="Q2670" s="105"/>
    </row>
    <row r="2671" spans="3:17" x14ac:dyDescent="0.3">
      <c r="C2671" s="87"/>
      <c r="H2671" s="86" t="e">
        <f>IF(I2671="fora",0%,G2671/QUÓRUM!$C$6)</f>
        <v>#DIV/0!</v>
      </c>
      <c r="I2671" s="87"/>
      <c r="J2671" s="88"/>
      <c r="K2671" s="88"/>
      <c r="L2671" s="89"/>
      <c r="M2671" s="89"/>
      <c r="N2671" s="90"/>
      <c r="Q2671" s="105"/>
    </row>
    <row r="2672" spans="3:17" x14ac:dyDescent="0.3">
      <c r="C2672" s="87"/>
      <c r="H2672" s="86" t="e">
        <f>IF(I2672="fora",0%,G2672/QUÓRUM!$C$6)</f>
        <v>#DIV/0!</v>
      </c>
      <c r="I2672" s="87"/>
      <c r="J2672" s="88"/>
      <c r="K2672" s="88"/>
      <c r="L2672" s="89"/>
      <c r="M2672" s="89"/>
      <c r="N2672" s="90"/>
      <c r="Q2672" s="105"/>
    </row>
    <row r="2673" spans="3:17" x14ac:dyDescent="0.3">
      <c r="C2673" s="87"/>
      <c r="H2673" s="86" t="e">
        <f>IF(I2673="fora",0%,G2673/QUÓRUM!$C$6)</f>
        <v>#DIV/0!</v>
      </c>
      <c r="I2673" s="87"/>
      <c r="J2673" s="88"/>
      <c r="K2673" s="88"/>
      <c r="L2673" s="89"/>
      <c r="M2673" s="89"/>
      <c r="N2673" s="90"/>
      <c r="Q2673" s="105"/>
    </row>
    <row r="2674" spans="3:17" x14ac:dyDescent="0.3">
      <c r="C2674" s="87"/>
      <c r="G2674" s="115"/>
      <c r="H2674" s="86" t="e">
        <f>IF(I2674="fora",0%,G2674/QUÓRUM!$C$6)</f>
        <v>#DIV/0!</v>
      </c>
      <c r="I2674" s="87"/>
      <c r="J2674" s="88"/>
      <c r="K2674" s="88"/>
      <c r="L2674" s="89"/>
      <c r="M2674" s="89"/>
      <c r="N2674" s="90"/>
      <c r="Q2674" s="105"/>
    </row>
    <row r="2675" spans="3:17" x14ac:dyDescent="0.3">
      <c r="C2675" s="87"/>
      <c r="G2675" s="115"/>
      <c r="H2675" s="86" t="e">
        <f>IF(I2675="fora",0%,G2675/QUÓRUM!$C$6)</f>
        <v>#DIV/0!</v>
      </c>
      <c r="I2675" s="87"/>
      <c r="J2675" s="88"/>
      <c r="K2675" s="88"/>
      <c r="L2675" s="89"/>
      <c r="M2675" s="89"/>
      <c r="N2675" s="90"/>
      <c r="Q2675" s="105"/>
    </row>
    <row r="2676" spans="3:17" x14ac:dyDescent="0.3">
      <c r="C2676" s="87"/>
      <c r="H2676" s="86" t="e">
        <f>IF(I2676="fora",0%,G2676/QUÓRUM!$C$6)</f>
        <v>#DIV/0!</v>
      </c>
      <c r="I2676" s="87"/>
      <c r="J2676" s="88"/>
      <c r="K2676" s="88"/>
      <c r="L2676" s="89"/>
      <c r="M2676" s="89"/>
      <c r="N2676" s="90"/>
      <c r="Q2676" s="105"/>
    </row>
    <row r="2677" spans="3:17" x14ac:dyDescent="0.3">
      <c r="C2677" s="87"/>
      <c r="H2677" s="86" t="e">
        <f>IF(I2677="fora",0%,G2677/QUÓRUM!$C$6)</f>
        <v>#DIV/0!</v>
      </c>
      <c r="I2677" s="87"/>
      <c r="J2677" s="88"/>
      <c r="K2677" s="88"/>
      <c r="L2677" s="89"/>
      <c r="M2677" s="89"/>
      <c r="N2677" s="90"/>
      <c r="Q2677" s="105"/>
    </row>
    <row r="2678" spans="3:17" x14ac:dyDescent="0.3">
      <c r="C2678" s="87"/>
      <c r="G2678" s="115"/>
      <c r="H2678" s="86" t="e">
        <f>IF(I2678="fora",0%,G2678/QUÓRUM!$C$6)</f>
        <v>#DIV/0!</v>
      </c>
      <c r="I2678" s="87"/>
      <c r="J2678" s="88"/>
      <c r="K2678" s="88"/>
      <c r="L2678" s="89"/>
      <c r="M2678" s="89"/>
      <c r="N2678" s="90"/>
      <c r="Q2678" s="105"/>
    </row>
    <row r="2679" spans="3:17" x14ac:dyDescent="0.3">
      <c r="C2679" s="87"/>
      <c r="H2679" s="86" t="e">
        <f>IF(I2679="fora",0%,G2679/QUÓRUM!$C$6)</f>
        <v>#DIV/0!</v>
      </c>
      <c r="I2679" s="87"/>
      <c r="J2679" s="88"/>
      <c r="K2679" s="88"/>
      <c r="L2679" s="89"/>
      <c r="M2679" s="89"/>
      <c r="N2679" s="90"/>
      <c r="Q2679" s="105"/>
    </row>
    <row r="2680" spans="3:17" x14ac:dyDescent="0.3">
      <c r="C2680" s="87"/>
      <c r="H2680" s="86" t="e">
        <f>IF(I2680="fora",0%,G2680/QUÓRUM!$C$6)</f>
        <v>#DIV/0!</v>
      </c>
      <c r="I2680" s="87"/>
      <c r="J2680" s="88"/>
      <c r="K2680" s="88"/>
      <c r="L2680" s="89"/>
      <c r="M2680" s="89"/>
      <c r="N2680" s="90"/>
      <c r="Q2680" s="105"/>
    </row>
    <row r="2681" spans="3:17" x14ac:dyDescent="0.3">
      <c r="C2681" s="87"/>
      <c r="H2681" s="86" t="e">
        <f>IF(I2681="fora",0%,G2681/QUÓRUM!$C$6)</f>
        <v>#DIV/0!</v>
      </c>
      <c r="I2681" s="87"/>
      <c r="J2681" s="88"/>
      <c r="K2681" s="88"/>
      <c r="L2681" s="89"/>
      <c r="M2681" s="89"/>
      <c r="N2681" s="90"/>
      <c r="Q2681" s="105"/>
    </row>
    <row r="2682" spans="3:17" x14ac:dyDescent="0.3">
      <c r="C2682" s="87"/>
      <c r="G2682" s="115"/>
      <c r="H2682" s="86" t="e">
        <f>IF(I2682="fora",0%,G2682/QUÓRUM!$C$6)</f>
        <v>#DIV/0!</v>
      </c>
      <c r="I2682" s="87"/>
      <c r="J2682" s="88"/>
      <c r="K2682" s="88"/>
      <c r="L2682" s="89"/>
      <c r="M2682" s="89"/>
      <c r="N2682" s="90"/>
      <c r="Q2682" s="105"/>
    </row>
    <row r="2683" spans="3:17" x14ac:dyDescent="0.3">
      <c r="C2683" s="87"/>
      <c r="H2683" s="86" t="e">
        <f>IF(I2683="fora",0%,G2683/QUÓRUM!$C$6)</f>
        <v>#DIV/0!</v>
      </c>
      <c r="I2683" s="87"/>
      <c r="J2683" s="88"/>
      <c r="K2683" s="88"/>
      <c r="L2683" s="89"/>
      <c r="M2683" s="89"/>
      <c r="N2683" s="90"/>
      <c r="Q2683" s="105"/>
    </row>
    <row r="2684" spans="3:17" x14ac:dyDescent="0.3">
      <c r="C2684" s="87"/>
      <c r="H2684" s="86" t="e">
        <f>IF(I2684="fora",0%,G2684/QUÓRUM!$C$6)</f>
        <v>#DIV/0!</v>
      </c>
      <c r="I2684" s="87"/>
      <c r="J2684" s="88"/>
      <c r="K2684" s="88"/>
      <c r="L2684" s="89"/>
      <c r="M2684" s="89"/>
      <c r="N2684" s="90"/>
      <c r="Q2684" s="105"/>
    </row>
    <row r="2685" spans="3:17" x14ac:dyDescent="0.3">
      <c r="C2685" s="87"/>
      <c r="G2685" s="115"/>
      <c r="H2685" s="86" t="e">
        <f>IF(I2685="fora",0%,G2685/QUÓRUM!$C$6)</f>
        <v>#DIV/0!</v>
      </c>
      <c r="I2685" s="87"/>
      <c r="J2685" s="88"/>
      <c r="K2685" s="88"/>
      <c r="L2685" s="89"/>
      <c r="M2685" s="89"/>
      <c r="N2685" s="90"/>
      <c r="Q2685" s="105"/>
    </row>
    <row r="2686" spans="3:17" x14ac:dyDescent="0.3">
      <c r="C2686" s="87"/>
      <c r="H2686" s="86" t="e">
        <f>IF(I2686="fora",0%,G2686/QUÓRUM!$C$6)</f>
        <v>#DIV/0!</v>
      </c>
      <c r="I2686" s="87"/>
      <c r="J2686" s="88"/>
      <c r="K2686" s="88"/>
      <c r="L2686" s="89"/>
      <c r="M2686" s="89"/>
      <c r="N2686" s="90"/>
      <c r="Q2686" s="105"/>
    </row>
    <row r="2687" spans="3:17" x14ac:dyDescent="0.3">
      <c r="C2687" s="87"/>
      <c r="H2687" s="86" t="e">
        <f>IF(I2687="fora",0%,G2687/QUÓRUM!$C$6)</f>
        <v>#DIV/0!</v>
      </c>
      <c r="I2687" s="87"/>
      <c r="J2687" s="88"/>
      <c r="K2687" s="88"/>
      <c r="L2687" s="89"/>
      <c r="M2687" s="89"/>
      <c r="N2687" s="90"/>
      <c r="Q2687" s="105"/>
    </row>
    <row r="2688" spans="3:17" x14ac:dyDescent="0.3">
      <c r="C2688" s="87"/>
      <c r="H2688" s="86" t="e">
        <f>IF(I2688="fora",0%,G2688/QUÓRUM!$C$6)</f>
        <v>#DIV/0!</v>
      </c>
      <c r="I2688" s="87"/>
      <c r="J2688" s="88"/>
      <c r="K2688" s="88"/>
      <c r="L2688" s="89"/>
      <c r="M2688" s="89"/>
      <c r="N2688" s="90"/>
      <c r="Q2688" s="105"/>
    </row>
    <row r="2689" spans="3:17" x14ac:dyDescent="0.3">
      <c r="C2689" s="87"/>
      <c r="H2689" s="86" t="e">
        <f>IF(I2689="fora",0%,G2689/QUÓRUM!$C$6)</f>
        <v>#DIV/0!</v>
      </c>
      <c r="I2689" s="87"/>
      <c r="J2689" s="88"/>
      <c r="K2689" s="88"/>
      <c r="L2689" s="89"/>
      <c r="M2689" s="89"/>
      <c r="N2689" s="90"/>
      <c r="Q2689" s="105"/>
    </row>
    <row r="2690" spans="3:17" x14ac:dyDescent="0.3">
      <c r="C2690" s="87"/>
      <c r="H2690" s="86" t="e">
        <f>IF(I2690="fora",0%,G2690/QUÓRUM!$C$6)</f>
        <v>#DIV/0!</v>
      </c>
      <c r="I2690" s="87"/>
      <c r="J2690" s="88"/>
      <c r="K2690" s="88"/>
      <c r="L2690" s="89"/>
      <c r="M2690" s="89"/>
      <c r="N2690" s="90"/>
      <c r="Q2690" s="105"/>
    </row>
    <row r="2691" spans="3:17" x14ac:dyDescent="0.3">
      <c r="C2691" s="87"/>
      <c r="H2691" s="86" t="e">
        <f>IF(I2691="fora",0%,G2691/QUÓRUM!$C$6)</f>
        <v>#DIV/0!</v>
      </c>
      <c r="I2691" s="87"/>
      <c r="J2691" s="88"/>
      <c r="K2691" s="88"/>
      <c r="L2691" s="89"/>
      <c r="M2691" s="89"/>
      <c r="N2691" s="90"/>
      <c r="Q2691" s="105"/>
    </row>
    <row r="2692" spans="3:17" x14ac:dyDescent="0.3">
      <c r="C2692" s="87"/>
      <c r="H2692" s="86" t="e">
        <f>IF(I2692="fora",0%,G2692/QUÓRUM!$C$6)</f>
        <v>#DIV/0!</v>
      </c>
      <c r="I2692" s="87"/>
      <c r="J2692" s="88"/>
      <c r="K2692" s="88"/>
      <c r="L2692" s="89"/>
      <c r="M2692" s="89"/>
      <c r="N2692" s="90"/>
      <c r="Q2692" s="105"/>
    </row>
    <row r="2693" spans="3:17" x14ac:dyDescent="0.3">
      <c r="C2693" s="87"/>
      <c r="H2693" s="86" t="e">
        <f>IF(I2693="fora",0%,G2693/QUÓRUM!$C$6)</f>
        <v>#DIV/0!</v>
      </c>
      <c r="I2693" s="87"/>
      <c r="J2693" s="88"/>
      <c r="K2693" s="88"/>
      <c r="L2693" s="89"/>
      <c r="M2693" s="89"/>
      <c r="N2693" s="90"/>
      <c r="Q2693" s="105"/>
    </row>
    <row r="2694" spans="3:17" x14ac:dyDescent="0.3">
      <c r="C2694" s="87"/>
      <c r="H2694" s="86" t="e">
        <f>IF(I2694="fora",0%,G2694/QUÓRUM!$C$6)</f>
        <v>#DIV/0!</v>
      </c>
      <c r="I2694" s="87"/>
      <c r="J2694" s="88"/>
      <c r="K2694" s="88"/>
      <c r="L2694" s="89"/>
      <c r="M2694" s="89"/>
      <c r="N2694" s="90"/>
      <c r="Q2694" s="105"/>
    </row>
    <row r="2695" spans="3:17" x14ac:dyDescent="0.3">
      <c r="C2695" s="87"/>
      <c r="H2695" s="86" t="e">
        <f>IF(I2695="fora",0%,G2695/QUÓRUM!$C$6)</f>
        <v>#DIV/0!</v>
      </c>
      <c r="I2695" s="87"/>
      <c r="J2695" s="88"/>
      <c r="K2695" s="88"/>
      <c r="L2695" s="89"/>
      <c r="M2695" s="89"/>
      <c r="N2695" s="90"/>
      <c r="Q2695" s="105"/>
    </row>
    <row r="2696" spans="3:17" x14ac:dyDescent="0.3">
      <c r="C2696" s="87"/>
      <c r="H2696" s="86" t="e">
        <f>IF(I2696="fora",0%,G2696/QUÓRUM!$C$6)</f>
        <v>#DIV/0!</v>
      </c>
      <c r="I2696" s="87"/>
      <c r="J2696" s="88"/>
      <c r="K2696" s="88"/>
      <c r="L2696" s="89"/>
      <c r="M2696" s="89"/>
      <c r="N2696" s="90"/>
      <c r="Q2696" s="105"/>
    </row>
    <row r="2697" spans="3:17" x14ac:dyDescent="0.3">
      <c r="C2697" s="87"/>
      <c r="H2697" s="86" t="e">
        <f>IF(I2697="fora",0%,G2697/QUÓRUM!$C$6)</f>
        <v>#DIV/0!</v>
      </c>
      <c r="I2697" s="87"/>
      <c r="J2697" s="88"/>
      <c r="K2697" s="88"/>
      <c r="L2697" s="89"/>
      <c r="M2697" s="89"/>
      <c r="N2697" s="90"/>
      <c r="Q2697" s="105"/>
    </row>
    <row r="2698" spans="3:17" x14ac:dyDescent="0.3">
      <c r="C2698" s="87"/>
      <c r="H2698" s="86" t="e">
        <f>IF(I2698="fora",0%,G2698/QUÓRUM!$C$6)</f>
        <v>#DIV/0!</v>
      </c>
      <c r="I2698" s="87"/>
      <c r="J2698" s="88"/>
      <c r="K2698" s="88"/>
      <c r="L2698" s="89"/>
      <c r="M2698" s="89"/>
      <c r="N2698" s="90"/>
      <c r="Q2698" s="105"/>
    </row>
    <row r="2699" spans="3:17" x14ac:dyDescent="0.3">
      <c r="C2699" s="87"/>
      <c r="H2699" s="86" t="e">
        <f>IF(I2699="fora",0%,G2699/QUÓRUM!$C$6)</f>
        <v>#DIV/0!</v>
      </c>
      <c r="I2699" s="87"/>
      <c r="J2699" s="88"/>
      <c r="K2699" s="88"/>
      <c r="L2699" s="89"/>
      <c r="M2699" s="89"/>
      <c r="N2699" s="90"/>
      <c r="Q2699" s="105"/>
    </row>
    <row r="2700" spans="3:17" x14ac:dyDescent="0.3">
      <c r="C2700" s="87"/>
      <c r="H2700" s="86" t="e">
        <f>IF(I2700="fora",0%,G2700/QUÓRUM!$C$6)</f>
        <v>#DIV/0!</v>
      </c>
      <c r="I2700" s="87"/>
      <c r="J2700" s="88"/>
      <c r="K2700" s="88"/>
      <c r="L2700" s="89"/>
      <c r="M2700" s="89"/>
      <c r="N2700" s="90"/>
      <c r="Q2700" s="105"/>
    </row>
    <row r="2701" spans="3:17" x14ac:dyDescent="0.3">
      <c r="C2701" s="87"/>
      <c r="H2701" s="86" t="e">
        <f>IF(I2701="fora",0%,G2701/QUÓRUM!$C$6)</f>
        <v>#DIV/0!</v>
      </c>
      <c r="I2701" s="87"/>
      <c r="J2701" s="88"/>
      <c r="K2701" s="88"/>
      <c r="L2701" s="89"/>
      <c r="M2701" s="89"/>
      <c r="N2701" s="90"/>
      <c r="Q2701" s="105"/>
    </row>
    <row r="2702" spans="3:17" x14ac:dyDescent="0.3">
      <c r="C2702" s="87"/>
      <c r="H2702" s="86" t="e">
        <f>IF(I2702="fora",0%,G2702/QUÓRUM!$C$6)</f>
        <v>#DIV/0!</v>
      </c>
      <c r="I2702" s="87"/>
      <c r="J2702" s="88"/>
      <c r="K2702" s="88"/>
      <c r="L2702" s="89"/>
      <c r="M2702" s="89"/>
      <c r="N2702" s="90"/>
      <c r="Q2702" s="105"/>
    </row>
    <row r="2703" spans="3:17" x14ac:dyDescent="0.3">
      <c r="C2703" s="87"/>
      <c r="H2703" s="86" t="e">
        <f>IF(I2703="fora",0%,G2703/QUÓRUM!$C$6)</f>
        <v>#DIV/0!</v>
      </c>
      <c r="I2703" s="87"/>
      <c r="J2703" s="88"/>
      <c r="K2703" s="88"/>
      <c r="L2703" s="89"/>
      <c r="M2703" s="89"/>
      <c r="N2703" s="90"/>
      <c r="Q2703" s="105"/>
    </row>
    <row r="2704" spans="3:17" x14ac:dyDescent="0.3">
      <c r="C2704" s="87"/>
      <c r="H2704" s="86" t="e">
        <f>IF(I2704="fora",0%,G2704/QUÓRUM!$C$6)</f>
        <v>#DIV/0!</v>
      </c>
      <c r="I2704" s="87"/>
      <c r="J2704" s="88"/>
      <c r="K2704" s="88"/>
      <c r="L2704" s="89"/>
      <c r="M2704" s="89"/>
      <c r="N2704" s="90"/>
      <c r="Q2704" s="105"/>
    </row>
    <row r="2705" spans="3:17" x14ac:dyDescent="0.3">
      <c r="C2705" s="87"/>
      <c r="H2705" s="86" t="e">
        <f>IF(I2705="fora",0%,G2705/QUÓRUM!$C$6)</f>
        <v>#DIV/0!</v>
      </c>
      <c r="I2705" s="87"/>
      <c r="J2705" s="88"/>
      <c r="K2705" s="88"/>
      <c r="L2705" s="89"/>
      <c r="M2705" s="89"/>
      <c r="N2705" s="90"/>
      <c r="Q2705" s="105"/>
    </row>
    <row r="2706" spans="3:17" x14ac:dyDescent="0.3">
      <c r="C2706" s="87"/>
      <c r="H2706" s="86" t="e">
        <f>IF(I2706="fora",0%,G2706/QUÓRUM!$C$6)</f>
        <v>#DIV/0!</v>
      </c>
      <c r="I2706" s="87"/>
      <c r="J2706" s="88"/>
      <c r="K2706" s="88"/>
      <c r="L2706" s="89"/>
      <c r="M2706" s="89"/>
      <c r="N2706" s="90"/>
      <c r="Q2706" s="105"/>
    </row>
    <row r="2707" spans="3:17" x14ac:dyDescent="0.3">
      <c r="C2707" s="87"/>
      <c r="H2707" s="86" t="e">
        <f>IF(I2707="fora",0%,G2707/QUÓRUM!$C$6)</f>
        <v>#DIV/0!</v>
      </c>
      <c r="I2707" s="87"/>
      <c r="J2707" s="88"/>
      <c r="K2707" s="88"/>
      <c r="L2707" s="89"/>
      <c r="M2707" s="89"/>
      <c r="N2707" s="90"/>
      <c r="Q2707" s="105"/>
    </row>
    <row r="2708" spans="3:17" x14ac:dyDescent="0.3">
      <c r="C2708" s="87"/>
      <c r="H2708" s="86" t="e">
        <f>IF(I2708="fora",0%,G2708/QUÓRUM!$C$6)</f>
        <v>#DIV/0!</v>
      </c>
      <c r="I2708" s="87"/>
      <c r="J2708" s="88"/>
      <c r="K2708" s="88"/>
      <c r="L2708" s="89"/>
      <c r="M2708" s="89"/>
      <c r="N2708" s="90"/>
      <c r="Q2708" s="105"/>
    </row>
    <row r="2709" spans="3:17" x14ac:dyDescent="0.3">
      <c r="C2709" s="87"/>
      <c r="H2709" s="86" t="e">
        <f>IF(I2709="fora",0%,G2709/QUÓRUM!$C$6)</f>
        <v>#DIV/0!</v>
      </c>
      <c r="I2709" s="87"/>
      <c r="J2709" s="88"/>
      <c r="K2709" s="88"/>
      <c r="L2709" s="89"/>
      <c r="M2709" s="89"/>
      <c r="N2709" s="90"/>
      <c r="Q2709" s="105"/>
    </row>
    <row r="2710" spans="3:17" x14ac:dyDescent="0.3">
      <c r="C2710" s="87"/>
      <c r="H2710" s="86" t="e">
        <f>IF(I2710="fora",0%,G2710/QUÓRUM!$C$6)</f>
        <v>#DIV/0!</v>
      </c>
      <c r="I2710" s="87"/>
      <c r="J2710" s="88"/>
      <c r="K2710" s="88"/>
      <c r="L2710" s="89"/>
      <c r="M2710" s="89"/>
      <c r="N2710" s="90"/>
      <c r="Q2710" s="105"/>
    </row>
    <row r="2711" spans="3:17" x14ac:dyDescent="0.3">
      <c r="C2711" s="87"/>
      <c r="H2711" s="86" t="e">
        <f>IF(I2711="fora",0%,G2711/QUÓRUM!$C$6)</f>
        <v>#DIV/0!</v>
      </c>
      <c r="I2711" s="87"/>
      <c r="J2711" s="88"/>
      <c r="K2711" s="88"/>
      <c r="L2711" s="89"/>
      <c r="M2711" s="89"/>
      <c r="N2711" s="90"/>
      <c r="Q2711" s="105"/>
    </row>
    <row r="2712" spans="3:17" x14ac:dyDescent="0.3">
      <c r="C2712" s="87"/>
      <c r="H2712" s="86" t="e">
        <f>IF(I2712="fora",0%,G2712/QUÓRUM!$C$6)</f>
        <v>#DIV/0!</v>
      </c>
      <c r="I2712" s="87"/>
      <c r="J2712" s="88"/>
      <c r="K2712" s="88"/>
      <c r="L2712" s="89"/>
      <c r="M2712" s="89"/>
      <c r="N2712" s="90"/>
      <c r="Q2712" s="105"/>
    </row>
    <row r="2713" spans="3:17" x14ac:dyDescent="0.3">
      <c r="C2713" s="87"/>
      <c r="H2713" s="86" t="e">
        <f>IF(I2713="fora",0%,G2713/QUÓRUM!$C$6)</f>
        <v>#DIV/0!</v>
      </c>
      <c r="I2713" s="87"/>
      <c r="J2713" s="88"/>
      <c r="K2713" s="88"/>
      <c r="L2713" s="89"/>
      <c r="M2713" s="89"/>
      <c r="N2713" s="90"/>
      <c r="Q2713" s="105"/>
    </row>
    <row r="2714" spans="3:17" x14ac:dyDescent="0.3">
      <c r="C2714" s="87"/>
      <c r="H2714" s="86" t="e">
        <f>IF(I2714="fora",0%,G2714/QUÓRUM!$C$6)</f>
        <v>#DIV/0!</v>
      </c>
      <c r="I2714" s="87"/>
      <c r="J2714" s="88"/>
      <c r="K2714" s="88"/>
      <c r="L2714" s="89"/>
      <c r="M2714" s="89"/>
      <c r="N2714" s="90"/>
      <c r="Q2714" s="105"/>
    </row>
    <row r="2715" spans="3:17" x14ac:dyDescent="0.3">
      <c r="C2715" s="87"/>
      <c r="H2715" s="86" t="e">
        <f>IF(I2715="fora",0%,G2715/QUÓRUM!$C$6)</f>
        <v>#DIV/0!</v>
      </c>
      <c r="I2715" s="87"/>
      <c r="J2715" s="88"/>
      <c r="K2715" s="88"/>
      <c r="L2715" s="89"/>
      <c r="M2715" s="89"/>
      <c r="N2715" s="90"/>
      <c r="Q2715" s="105"/>
    </row>
    <row r="2716" spans="3:17" x14ac:dyDescent="0.3">
      <c r="C2716" s="87"/>
      <c r="H2716" s="86" t="e">
        <f>IF(I2716="fora",0%,G2716/QUÓRUM!$C$6)</f>
        <v>#DIV/0!</v>
      </c>
      <c r="I2716" s="87"/>
      <c r="J2716" s="88"/>
      <c r="K2716" s="88"/>
      <c r="L2716" s="89"/>
      <c r="M2716" s="89"/>
      <c r="N2716" s="90"/>
      <c r="Q2716" s="105"/>
    </row>
    <row r="2717" spans="3:17" x14ac:dyDescent="0.3">
      <c r="C2717" s="87"/>
      <c r="H2717" s="86" t="e">
        <f>IF(I2717="fora",0%,G2717/QUÓRUM!$C$6)</f>
        <v>#DIV/0!</v>
      </c>
      <c r="I2717" s="87"/>
      <c r="J2717" s="88"/>
      <c r="K2717" s="88"/>
      <c r="L2717" s="89"/>
      <c r="M2717" s="89"/>
      <c r="N2717" s="90"/>
      <c r="Q2717" s="105"/>
    </row>
    <row r="2718" spans="3:17" x14ac:dyDescent="0.3">
      <c r="C2718" s="87"/>
      <c r="H2718" s="86" t="e">
        <f>IF(I2718="fora",0%,G2718/QUÓRUM!$C$6)</f>
        <v>#DIV/0!</v>
      </c>
      <c r="I2718" s="87"/>
      <c r="J2718" s="88"/>
      <c r="K2718" s="88"/>
      <c r="L2718" s="89"/>
      <c r="M2718" s="89"/>
      <c r="N2718" s="90"/>
      <c r="Q2718" s="105"/>
    </row>
    <row r="2719" spans="3:17" x14ac:dyDescent="0.3">
      <c r="C2719" s="87"/>
      <c r="H2719" s="86" t="e">
        <f>IF(I2719="fora",0%,G2719/QUÓRUM!$C$6)</f>
        <v>#DIV/0!</v>
      </c>
      <c r="I2719" s="87"/>
      <c r="J2719" s="88"/>
      <c r="K2719" s="88"/>
      <c r="L2719" s="89"/>
      <c r="M2719" s="89"/>
      <c r="N2719" s="90"/>
      <c r="Q2719" s="105"/>
    </row>
    <row r="2720" spans="3:17" x14ac:dyDescent="0.3">
      <c r="C2720" s="87"/>
      <c r="H2720" s="86" t="e">
        <f>IF(I2720="fora",0%,G2720/QUÓRUM!$C$6)</f>
        <v>#DIV/0!</v>
      </c>
      <c r="I2720" s="87"/>
      <c r="J2720" s="88"/>
      <c r="K2720" s="88"/>
      <c r="L2720" s="89"/>
      <c r="M2720" s="89"/>
      <c r="N2720" s="90"/>
      <c r="Q2720" s="105"/>
    </row>
    <row r="2721" spans="3:17" x14ac:dyDescent="0.3">
      <c r="C2721" s="87"/>
      <c r="H2721" s="86" t="e">
        <f>IF(I2721="fora",0%,G2721/QUÓRUM!$C$6)</f>
        <v>#DIV/0!</v>
      </c>
      <c r="I2721" s="87"/>
      <c r="J2721" s="88"/>
      <c r="K2721" s="88"/>
      <c r="L2721" s="89"/>
      <c r="M2721" s="89"/>
      <c r="N2721" s="90"/>
      <c r="Q2721" s="105"/>
    </row>
    <row r="2722" spans="3:17" x14ac:dyDescent="0.3">
      <c r="C2722" s="87"/>
      <c r="H2722" s="86" t="e">
        <f>IF(I2722="fora",0%,G2722/QUÓRUM!$C$6)</f>
        <v>#DIV/0!</v>
      </c>
      <c r="I2722" s="87"/>
      <c r="J2722" s="88"/>
      <c r="K2722" s="88"/>
      <c r="L2722" s="89"/>
      <c r="M2722" s="89"/>
      <c r="N2722" s="90"/>
      <c r="Q2722" s="105"/>
    </row>
    <row r="2723" spans="3:17" x14ac:dyDescent="0.3">
      <c r="C2723" s="87"/>
      <c r="H2723" s="86" t="e">
        <f>IF(I2723="fora",0%,G2723/QUÓRUM!$C$6)</f>
        <v>#DIV/0!</v>
      </c>
      <c r="I2723" s="87"/>
      <c r="J2723" s="88"/>
      <c r="K2723" s="88"/>
      <c r="L2723" s="89"/>
      <c r="M2723" s="89"/>
      <c r="N2723" s="90"/>
      <c r="Q2723" s="105"/>
    </row>
    <row r="2724" spans="3:17" x14ac:dyDescent="0.3">
      <c r="C2724" s="87"/>
      <c r="H2724" s="86" t="e">
        <f>IF(I2724="fora",0%,G2724/QUÓRUM!$C$6)</f>
        <v>#DIV/0!</v>
      </c>
      <c r="I2724" s="87"/>
      <c r="J2724" s="88"/>
      <c r="K2724" s="88"/>
      <c r="L2724" s="89"/>
      <c r="M2724" s="89"/>
      <c r="N2724" s="90"/>
      <c r="Q2724" s="105"/>
    </row>
    <row r="2725" spans="3:17" x14ac:dyDescent="0.3">
      <c r="C2725" s="87"/>
      <c r="H2725" s="86" t="e">
        <f>IF(I2725="fora",0%,G2725/QUÓRUM!$C$6)</f>
        <v>#DIV/0!</v>
      </c>
      <c r="I2725" s="87"/>
      <c r="J2725" s="88"/>
      <c r="K2725" s="88"/>
      <c r="L2725" s="89"/>
      <c r="M2725" s="89"/>
      <c r="N2725" s="90"/>
      <c r="Q2725" s="105"/>
    </row>
    <row r="2726" spans="3:17" x14ac:dyDescent="0.3">
      <c r="C2726" s="87"/>
      <c r="H2726" s="86" t="e">
        <f>IF(I2726="fora",0%,G2726/QUÓRUM!$C$6)</f>
        <v>#DIV/0!</v>
      </c>
      <c r="I2726" s="87"/>
      <c r="J2726" s="88"/>
      <c r="K2726" s="88"/>
      <c r="L2726" s="89"/>
      <c r="M2726" s="89"/>
      <c r="N2726" s="90"/>
      <c r="Q2726" s="105"/>
    </row>
    <row r="2727" spans="3:17" x14ac:dyDescent="0.3">
      <c r="C2727" s="87"/>
      <c r="H2727" s="86" t="e">
        <f>IF(I2727="fora",0%,G2727/QUÓRUM!$C$6)</f>
        <v>#DIV/0!</v>
      </c>
      <c r="I2727" s="87"/>
      <c r="J2727" s="88"/>
      <c r="K2727" s="88"/>
      <c r="L2727" s="89"/>
      <c r="M2727" s="89"/>
      <c r="N2727" s="90"/>
      <c r="Q2727" s="105"/>
    </row>
    <row r="2728" spans="3:17" x14ac:dyDescent="0.3">
      <c r="C2728" s="87"/>
      <c r="H2728" s="86" t="e">
        <f>IF(I2728="fora",0%,G2728/QUÓRUM!$C$6)</f>
        <v>#DIV/0!</v>
      </c>
      <c r="I2728" s="87"/>
      <c r="J2728" s="88"/>
      <c r="K2728" s="88"/>
      <c r="L2728" s="89"/>
      <c r="M2728" s="89"/>
      <c r="N2728" s="90"/>
      <c r="Q2728" s="105"/>
    </row>
    <row r="2729" spans="3:17" x14ac:dyDescent="0.3">
      <c r="C2729" s="87"/>
      <c r="H2729" s="86" t="e">
        <f>IF(I2729="fora",0%,G2729/QUÓRUM!$C$6)</f>
        <v>#DIV/0!</v>
      </c>
      <c r="I2729" s="87"/>
      <c r="J2729" s="88"/>
      <c r="K2729" s="88"/>
      <c r="L2729" s="89"/>
      <c r="M2729" s="89"/>
      <c r="N2729" s="90"/>
      <c r="Q2729" s="105"/>
    </row>
    <row r="2730" spans="3:17" x14ac:dyDescent="0.3">
      <c r="C2730" s="87"/>
      <c r="H2730" s="86" t="e">
        <f>IF(I2730="fora",0%,G2730/QUÓRUM!$C$6)</f>
        <v>#DIV/0!</v>
      </c>
      <c r="I2730" s="87"/>
      <c r="J2730" s="88"/>
      <c r="K2730" s="88"/>
      <c r="L2730" s="89"/>
      <c r="M2730" s="89"/>
      <c r="N2730" s="90"/>
      <c r="Q2730" s="105"/>
    </row>
    <row r="2731" spans="3:17" x14ac:dyDescent="0.3">
      <c r="C2731" s="87"/>
      <c r="H2731" s="86" t="e">
        <f>IF(I2731="fora",0%,G2731/QUÓRUM!$C$6)</f>
        <v>#DIV/0!</v>
      </c>
      <c r="I2731" s="87"/>
      <c r="J2731" s="88"/>
      <c r="K2731" s="88"/>
      <c r="L2731" s="89"/>
      <c r="M2731" s="89"/>
      <c r="N2731" s="90"/>
      <c r="Q2731" s="105"/>
    </row>
    <row r="2732" spans="3:17" x14ac:dyDescent="0.3">
      <c r="C2732" s="87"/>
      <c r="H2732" s="86" t="e">
        <f>IF(I2732="fora",0%,G2732/QUÓRUM!$C$6)</f>
        <v>#DIV/0!</v>
      </c>
      <c r="I2732" s="87"/>
      <c r="J2732" s="88"/>
      <c r="K2732" s="88"/>
      <c r="L2732" s="89"/>
      <c r="M2732" s="89"/>
      <c r="N2732" s="90"/>
      <c r="Q2732" s="105"/>
    </row>
    <row r="2733" spans="3:17" x14ac:dyDescent="0.3">
      <c r="C2733" s="87"/>
      <c r="H2733" s="86" t="e">
        <f>IF(I2733="fora",0%,G2733/QUÓRUM!$C$6)</f>
        <v>#DIV/0!</v>
      </c>
      <c r="I2733" s="87"/>
      <c r="J2733" s="88"/>
      <c r="K2733" s="88"/>
      <c r="L2733" s="89"/>
      <c r="M2733" s="89"/>
      <c r="N2733" s="90"/>
      <c r="Q2733" s="105"/>
    </row>
    <row r="2734" spans="3:17" x14ac:dyDescent="0.3">
      <c r="C2734" s="87"/>
      <c r="H2734" s="86" t="e">
        <f>IF(I2734="fora",0%,G2734/QUÓRUM!$C$6)</f>
        <v>#DIV/0!</v>
      </c>
      <c r="I2734" s="87"/>
      <c r="J2734" s="88"/>
      <c r="K2734" s="88"/>
      <c r="L2734" s="89"/>
      <c r="M2734" s="89"/>
      <c r="N2734" s="90"/>
      <c r="Q2734" s="105"/>
    </row>
    <row r="2735" spans="3:17" x14ac:dyDescent="0.3">
      <c r="C2735" s="87"/>
      <c r="H2735" s="86" t="e">
        <f>IF(I2735="fora",0%,G2735/QUÓRUM!$C$6)</f>
        <v>#DIV/0!</v>
      </c>
      <c r="I2735" s="87"/>
      <c r="J2735" s="88"/>
      <c r="K2735" s="88"/>
      <c r="L2735" s="89"/>
      <c r="M2735" s="89"/>
      <c r="N2735" s="90"/>
      <c r="Q2735" s="105"/>
    </row>
    <row r="2736" spans="3:17" x14ac:dyDescent="0.3">
      <c r="C2736" s="87"/>
      <c r="H2736" s="86" t="e">
        <f>IF(I2736="fora",0%,G2736/QUÓRUM!$C$6)</f>
        <v>#DIV/0!</v>
      </c>
      <c r="I2736" s="87"/>
      <c r="J2736" s="88"/>
      <c r="K2736" s="88"/>
      <c r="L2736" s="89"/>
      <c r="M2736" s="89"/>
      <c r="N2736" s="90"/>
      <c r="Q2736" s="105"/>
    </row>
    <row r="2737" spans="3:17" x14ac:dyDescent="0.3">
      <c r="C2737" s="87"/>
      <c r="H2737" s="86" t="e">
        <f>IF(I2737="fora",0%,G2737/QUÓRUM!$C$6)</f>
        <v>#DIV/0!</v>
      </c>
      <c r="I2737" s="87"/>
      <c r="J2737" s="88"/>
      <c r="K2737" s="88"/>
      <c r="L2737" s="89"/>
      <c r="M2737" s="89"/>
      <c r="N2737" s="90"/>
      <c r="Q2737" s="105"/>
    </row>
    <row r="2738" spans="3:17" x14ac:dyDescent="0.3">
      <c r="C2738" s="87"/>
      <c r="H2738" s="86" t="e">
        <f>IF(I2738="fora",0%,G2738/QUÓRUM!$C$6)</f>
        <v>#DIV/0!</v>
      </c>
      <c r="I2738" s="87"/>
      <c r="J2738" s="88"/>
      <c r="K2738" s="88"/>
      <c r="L2738" s="89"/>
      <c r="M2738" s="89"/>
      <c r="N2738" s="90"/>
      <c r="Q2738" s="105"/>
    </row>
    <row r="2739" spans="3:17" x14ac:dyDescent="0.3">
      <c r="C2739" s="87"/>
      <c r="H2739" s="86" t="e">
        <f>IF(I2739="fora",0%,G2739/QUÓRUM!$C$6)</f>
        <v>#DIV/0!</v>
      </c>
      <c r="I2739" s="87"/>
      <c r="J2739" s="88"/>
      <c r="K2739" s="88"/>
      <c r="L2739" s="89"/>
      <c r="M2739" s="89"/>
      <c r="N2739" s="90"/>
      <c r="Q2739" s="105"/>
    </row>
    <row r="2740" spans="3:17" x14ac:dyDescent="0.3">
      <c r="C2740" s="87"/>
      <c r="H2740" s="86" t="e">
        <f>IF(I2740="fora",0%,G2740/QUÓRUM!$C$6)</f>
        <v>#DIV/0!</v>
      </c>
      <c r="I2740" s="87"/>
      <c r="J2740" s="88"/>
      <c r="K2740" s="88"/>
      <c r="L2740" s="89"/>
      <c r="M2740" s="89"/>
      <c r="N2740" s="90"/>
      <c r="Q2740" s="105"/>
    </row>
    <row r="2741" spans="3:17" x14ac:dyDescent="0.3">
      <c r="C2741" s="87"/>
      <c r="H2741" s="86" t="e">
        <f>IF(I2741="fora",0%,G2741/QUÓRUM!$C$6)</f>
        <v>#DIV/0!</v>
      </c>
      <c r="I2741" s="87"/>
      <c r="J2741" s="88"/>
      <c r="K2741" s="88"/>
      <c r="L2741" s="89"/>
      <c r="M2741" s="89"/>
      <c r="N2741" s="90"/>
      <c r="Q2741" s="105"/>
    </row>
    <row r="2742" spans="3:17" x14ac:dyDescent="0.3">
      <c r="C2742" s="87"/>
      <c r="H2742" s="86" t="e">
        <f>IF(I2742="fora",0%,G2742/QUÓRUM!$C$6)</f>
        <v>#DIV/0!</v>
      </c>
      <c r="I2742" s="87"/>
      <c r="J2742" s="88"/>
      <c r="K2742" s="88"/>
      <c r="L2742" s="89"/>
      <c r="M2742" s="89"/>
      <c r="N2742" s="90"/>
      <c r="Q2742" s="105"/>
    </row>
    <row r="2743" spans="3:17" x14ac:dyDescent="0.3">
      <c r="C2743" s="87"/>
      <c r="H2743" s="86" t="e">
        <f>IF(I2743="fora",0%,G2743/QUÓRUM!$C$6)</f>
        <v>#DIV/0!</v>
      </c>
      <c r="I2743" s="87"/>
      <c r="J2743" s="88"/>
      <c r="K2743" s="88"/>
      <c r="L2743" s="89"/>
      <c r="M2743" s="89"/>
      <c r="N2743" s="90"/>
      <c r="Q2743" s="105"/>
    </row>
    <row r="2744" spans="3:17" x14ac:dyDescent="0.3">
      <c r="C2744" s="87"/>
      <c r="H2744" s="86" t="e">
        <f>IF(I2744="fora",0%,G2744/QUÓRUM!$C$6)</f>
        <v>#DIV/0!</v>
      </c>
      <c r="I2744" s="87"/>
      <c r="J2744" s="88"/>
      <c r="K2744" s="88"/>
      <c r="L2744" s="89"/>
      <c r="M2744" s="89"/>
      <c r="N2744" s="90"/>
      <c r="Q2744" s="105"/>
    </row>
    <row r="2745" spans="3:17" x14ac:dyDescent="0.3">
      <c r="C2745" s="87"/>
      <c r="H2745" s="86" t="e">
        <f>IF(I2745="fora",0%,G2745/QUÓRUM!$C$6)</f>
        <v>#DIV/0!</v>
      </c>
      <c r="I2745" s="87"/>
      <c r="J2745" s="88"/>
      <c r="K2745" s="88"/>
      <c r="L2745" s="89"/>
      <c r="M2745" s="89"/>
      <c r="N2745" s="90"/>
      <c r="Q2745" s="105"/>
    </row>
    <row r="2746" spans="3:17" x14ac:dyDescent="0.3">
      <c r="C2746" s="87"/>
      <c r="H2746" s="86" t="e">
        <f>IF(I2746="fora",0%,G2746/QUÓRUM!$C$6)</f>
        <v>#DIV/0!</v>
      </c>
      <c r="I2746" s="87"/>
      <c r="J2746" s="88"/>
      <c r="K2746" s="88"/>
      <c r="L2746" s="89"/>
      <c r="M2746" s="89"/>
      <c r="N2746" s="90"/>
      <c r="Q2746" s="105"/>
    </row>
    <row r="2747" spans="3:17" x14ac:dyDescent="0.3">
      <c r="C2747" s="87"/>
      <c r="H2747" s="86" t="e">
        <f>IF(I2747="fora",0%,G2747/QUÓRUM!$C$6)</f>
        <v>#DIV/0!</v>
      </c>
      <c r="I2747" s="87"/>
      <c r="J2747" s="88"/>
      <c r="K2747" s="88"/>
      <c r="L2747" s="89"/>
      <c r="M2747" s="89"/>
      <c r="N2747" s="90"/>
      <c r="Q2747" s="105"/>
    </row>
    <row r="2748" spans="3:17" x14ac:dyDescent="0.3">
      <c r="C2748" s="87"/>
      <c r="H2748" s="86" t="e">
        <f>IF(I2748="fora",0%,G2748/QUÓRUM!$C$6)</f>
        <v>#DIV/0!</v>
      </c>
      <c r="I2748" s="87"/>
      <c r="J2748" s="88"/>
      <c r="K2748" s="88"/>
      <c r="L2748" s="89"/>
      <c r="M2748" s="89"/>
      <c r="N2748" s="90"/>
      <c r="Q2748" s="105"/>
    </row>
    <row r="2749" spans="3:17" x14ac:dyDescent="0.3">
      <c r="C2749" s="87"/>
      <c r="H2749" s="86" t="e">
        <f>IF(I2749="fora",0%,G2749/QUÓRUM!$C$6)</f>
        <v>#DIV/0!</v>
      </c>
      <c r="I2749" s="87"/>
      <c r="J2749" s="88"/>
      <c r="K2749" s="88"/>
      <c r="L2749" s="89"/>
      <c r="M2749" s="89"/>
      <c r="N2749" s="90"/>
      <c r="Q2749" s="105"/>
    </row>
    <row r="2750" spans="3:17" x14ac:dyDescent="0.3">
      <c r="C2750" s="87"/>
      <c r="H2750" s="86" t="e">
        <f>IF(I2750="fora",0%,G2750/QUÓRUM!$C$6)</f>
        <v>#DIV/0!</v>
      </c>
      <c r="I2750" s="87"/>
      <c r="J2750" s="88"/>
      <c r="K2750" s="88"/>
      <c r="L2750" s="89"/>
      <c r="M2750" s="89"/>
      <c r="N2750" s="90"/>
      <c r="Q2750" s="105"/>
    </row>
    <row r="2751" spans="3:17" x14ac:dyDescent="0.3">
      <c r="C2751" s="87"/>
      <c r="H2751" s="86" t="e">
        <f>IF(I2751="fora",0%,G2751/QUÓRUM!$C$6)</f>
        <v>#DIV/0!</v>
      </c>
      <c r="I2751" s="87"/>
      <c r="J2751" s="88"/>
      <c r="K2751" s="88"/>
      <c r="L2751" s="89"/>
      <c r="M2751" s="89"/>
      <c r="N2751" s="90"/>
      <c r="Q2751" s="105"/>
    </row>
    <row r="2752" spans="3:17" x14ac:dyDescent="0.3">
      <c r="C2752" s="87"/>
      <c r="H2752" s="86" t="e">
        <f>IF(I2752="fora",0%,G2752/QUÓRUM!$C$6)</f>
        <v>#DIV/0!</v>
      </c>
      <c r="I2752" s="87"/>
      <c r="J2752" s="88"/>
      <c r="K2752" s="88"/>
      <c r="L2752" s="89"/>
      <c r="M2752" s="89"/>
      <c r="N2752" s="90"/>
      <c r="Q2752" s="105"/>
    </row>
    <row r="2753" spans="3:17" x14ac:dyDescent="0.3">
      <c r="C2753" s="87"/>
      <c r="H2753" s="86" t="e">
        <f>IF(I2753="fora",0%,G2753/QUÓRUM!$C$6)</f>
        <v>#DIV/0!</v>
      </c>
      <c r="I2753" s="87"/>
      <c r="J2753" s="88"/>
      <c r="K2753" s="88"/>
      <c r="L2753" s="89"/>
      <c r="M2753" s="89"/>
      <c r="N2753" s="90"/>
      <c r="Q2753" s="105"/>
    </row>
    <row r="2754" spans="3:17" x14ac:dyDescent="0.3">
      <c r="C2754" s="87"/>
      <c r="H2754" s="86" t="e">
        <f>IF(I2754="fora",0%,G2754/QUÓRUM!$C$6)</f>
        <v>#DIV/0!</v>
      </c>
      <c r="I2754" s="87"/>
      <c r="J2754" s="88"/>
      <c r="K2754" s="88"/>
      <c r="L2754" s="89"/>
      <c r="M2754" s="89"/>
      <c r="N2754" s="90"/>
      <c r="Q2754" s="105"/>
    </row>
    <row r="2755" spans="3:17" x14ac:dyDescent="0.3">
      <c r="C2755" s="87"/>
      <c r="H2755" s="86" t="e">
        <f>IF(I2755="fora",0%,G2755/QUÓRUM!$C$6)</f>
        <v>#DIV/0!</v>
      </c>
      <c r="I2755" s="87"/>
      <c r="J2755" s="88"/>
      <c r="K2755" s="88"/>
      <c r="L2755" s="89"/>
      <c r="M2755" s="89"/>
      <c r="N2755" s="90"/>
      <c r="Q2755" s="105"/>
    </row>
    <row r="2756" spans="3:17" x14ac:dyDescent="0.3">
      <c r="C2756" s="87"/>
      <c r="H2756" s="86" t="e">
        <f>IF(I2756="fora",0%,G2756/QUÓRUM!$C$6)</f>
        <v>#DIV/0!</v>
      </c>
      <c r="I2756" s="87"/>
      <c r="J2756" s="88"/>
      <c r="K2756" s="88"/>
      <c r="L2756" s="89"/>
      <c r="M2756" s="89"/>
      <c r="N2756" s="90"/>
      <c r="Q2756" s="105"/>
    </row>
    <row r="2757" spans="3:17" x14ac:dyDescent="0.3">
      <c r="C2757" s="87"/>
      <c r="H2757" s="86" t="e">
        <f>IF(I2757="fora",0%,G2757/QUÓRUM!$C$6)</f>
        <v>#DIV/0!</v>
      </c>
      <c r="I2757" s="87"/>
      <c r="J2757" s="88"/>
      <c r="K2757" s="88"/>
      <c r="L2757" s="89"/>
      <c r="M2757" s="89"/>
      <c r="N2757" s="90"/>
      <c r="Q2757" s="105"/>
    </row>
    <row r="2758" spans="3:17" x14ac:dyDescent="0.3">
      <c r="C2758" s="87"/>
      <c r="H2758" s="86" t="e">
        <f>IF(I2758="fora",0%,G2758/QUÓRUM!$C$6)</f>
        <v>#DIV/0!</v>
      </c>
      <c r="I2758" s="87"/>
      <c r="J2758" s="88"/>
      <c r="K2758" s="88"/>
      <c r="L2758" s="89"/>
      <c r="M2758" s="89"/>
      <c r="N2758" s="90"/>
      <c r="Q2758" s="105"/>
    </row>
    <row r="2759" spans="3:17" x14ac:dyDescent="0.3">
      <c r="C2759" s="87"/>
      <c r="H2759" s="86" t="e">
        <f>IF(I2759="fora",0%,G2759/QUÓRUM!$C$6)</f>
        <v>#DIV/0!</v>
      </c>
      <c r="I2759" s="87"/>
      <c r="J2759" s="88"/>
      <c r="K2759" s="88"/>
      <c r="L2759" s="89"/>
      <c r="M2759" s="89"/>
      <c r="N2759" s="90"/>
      <c r="Q2759" s="105"/>
    </row>
    <row r="2760" spans="3:17" x14ac:dyDescent="0.3">
      <c r="C2760" s="87"/>
      <c r="H2760" s="86" t="e">
        <f>IF(I2760="fora",0%,G2760/QUÓRUM!$C$6)</f>
        <v>#DIV/0!</v>
      </c>
      <c r="I2760" s="87"/>
      <c r="J2760" s="88"/>
      <c r="K2760" s="88"/>
      <c r="L2760" s="89"/>
      <c r="M2760" s="89"/>
      <c r="N2760" s="90"/>
      <c r="Q2760" s="105"/>
    </row>
    <row r="2761" spans="3:17" x14ac:dyDescent="0.3">
      <c r="C2761" s="87"/>
      <c r="H2761" s="86" t="e">
        <f>IF(I2761="fora",0%,G2761/QUÓRUM!$C$6)</f>
        <v>#DIV/0!</v>
      </c>
      <c r="I2761" s="87"/>
      <c r="J2761" s="88"/>
      <c r="K2761" s="88"/>
      <c r="L2761" s="89"/>
      <c r="M2761" s="89"/>
      <c r="N2761" s="90"/>
      <c r="Q2761" s="105"/>
    </row>
    <row r="2762" spans="3:17" x14ac:dyDescent="0.3">
      <c r="C2762" s="87"/>
      <c r="H2762" s="86" t="e">
        <f>IF(I2762="fora",0%,G2762/QUÓRUM!$C$6)</f>
        <v>#DIV/0!</v>
      </c>
      <c r="I2762" s="87"/>
      <c r="J2762" s="88"/>
      <c r="K2762" s="88"/>
      <c r="L2762" s="89"/>
      <c r="M2762" s="89"/>
      <c r="N2762" s="90"/>
      <c r="Q2762" s="105"/>
    </row>
    <row r="2763" spans="3:17" x14ac:dyDescent="0.3">
      <c r="C2763" s="87"/>
      <c r="H2763" s="86" t="e">
        <f>IF(I2763="fora",0%,G2763/QUÓRUM!$C$6)</f>
        <v>#DIV/0!</v>
      </c>
      <c r="I2763" s="87"/>
      <c r="J2763" s="88"/>
      <c r="K2763" s="88"/>
      <c r="L2763" s="89"/>
      <c r="M2763" s="89"/>
      <c r="N2763" s="90"/>
      <c r="Q2763" s="105"/>
    </row>
    <row r="2764" spans="3:17" x14ac:dyDescent="0.3">
      <c r="C2764" s="87"/>
      <c r="H2764" s="86" t="e">
        <f>IF(I2764="fora",0%,G2764/QUÓRUM!$C$6)</f>
        <v>#DIV/0!</v>
      </c>
      <c r="I2764" s="87"/>
      <c r="J2764" s="88"/>
      <c r="K2764" s="88"/>
      <c r="L2764" s="89"/>
      <c r="M2764" s="89"/>
      <c r="N2764" s="90"/>
      <c r="Q2764" s="105"/>
    </row>
    <row r="2765" spans="3:17" x14ac:dyDescent="0.3">
      <c r="C2765" s="87"/>
      <c r="H2765" s="86" t="e">
        <f>IF(I2765="fora",0%,G2765/QUÓRUM!$C$6)</f>
        <v>#DIV/0!</v>
      </c>
      <c r="I2765" s="87"/>
      <c r="J2765" s="88"/>
      <c r="K2765" s="88"/>
      <c r="L2765" s="89"/>
      <c r="M2765" s="89"/>
      <c r="N2765" s="90"/>
      <c r="Q2765" s="105"/>
    </row>
    <row r="2766" spans="3:17" x14ac:dyDescent="0.3">
      <c r="C2766" s="87"/>
      <c r="H2766" s="86" t="e">
        <f>IF(I2766="fora",0%,G2766/QUÓRUM!$C$6)</f>
        <v>#DIV/0!</v>
      </c>
      <c r="I2766" s="87"/>
      <c r="J2766" s="88"/>
      <c r="K2766" s="88"/>
      <c r="L2766" s="89"/>
      <c r="M2766" s="89"/>
      <c r="N2766" s="90"/>
      <c r="Q2766" s="105"/>
    </row>
    <row r="2767" spans="3:17" x14ac:dyDescent="0.3">
      <c r="C2767" s="87"/>
      <c r="H2767" s="86" t="e">
        <f>IF(I2767="fora",0%,G2767/QUÓRUM!$C$6)</f>
        <v>#DIV/0!</v>
      </c>
      <c r="I2767" s="87"/>
      <c r="J2767" s="88"/>
      <c r="K2767" s="88"/>
      <c r="L2767" s="89"/>
      <c r="M2767" s="89"/>
      <c r="N2767" s="90"/>
      <c r="Q2767" s="105"/>
    </row>
    <row r="2768" spans="3:17" x14ac:dyDescent="0.3">
      <c r="C2768" s="87"/>
      <c r="H2768" s="86" t="e">
        <f>IF(I2768="fora",0%,G2768/QUÓRUM!$C$6)</f>
        <v>#DIV/0!</v>
      </c>
      <c r="I2768" s="87"/>
      <c r="J2768" s="88"/>
      <c r="K2768" s="88"/>
      <c r="L2768" s="89"/>
      <c r="M2768" s="89"/>
      <c r="N2768" s="90"/>
      <c r="Q2768" s="105"/>
    </row>
    <row r="2769" spans="3:17" x14ac:dyDescent="0.3">
      <c r="C2769" s="87"/>
      <c r="H2769" s="86" t="e">
        <f>IF(I2769="fora",0%,G2769/QUÓRUM!$C$6)</f>
        <v>#DIV/0!</v>
      </c>
      <c r="I2769" s="87"/>
      <c r="J2769" s="88"/>
      <c r="K2769" s="88"/>
      <c r="L2769" s="89"/>
      <c r="M2769" s="89"/>
      <c r="N2769" s="90"/>
      <c r="Q2769" s="105"/>
    </row>
    <row r="2770" spans="3:17" x14ac:dyDescent="0.3">
      <c r="C2770" s="87"/>
      <c r="H2770" s="86" t="e">
        <f>IF(I2770="fora",0%,G2770/QUÓRUM!$C$6)</f>
        <v>#DIV/0!</v>
      </c>
      <c r="I2770" s="87"/>
      <c r="J2770" s="88"/>
      <c r="K2770" s="88"/>
      <c r="L2770" s="89"/>
      <c r="M2770" s="89"/>
      <c r="N2770" s="90"/>
      <c r="Q2770" s="105"/>
    </row>
    <row r="2771" spans="3:17" x14ac:dyDescent="0.3">
      <c r="C2771" s="87"/>
      <c r="H2771" s="86" t="e">
        <f>IF(I2771="fora",0%,G2771/QUÓRUM!$C$6)</f>
        <v>#DIV/0!</v>
      </c>
      <c r="I2771" s="87"/>
      <c r="J2771" s="88"/>
      <c r="K2771" s="88"/>
      <c r="L2771" s="89"/>
      <c r="M2771" s="89"/>
      <c r="N2771" s="90"/>
      <c r="Q2771" s="105"/>
    </row>
    <row r="2772" spans="3:17" x14ac:dyDescent="0.3">
      <c r="C2772" s="87"/>
      <c r="H2772" s="86" t="e">
        <f>IF(I2772="fora",0%,G2772/QUÓRUM!$C$6)</f>
        <v>#DIV/0!</v>
      </c>
      <c r="I2772" s="87"/>
      <c r="J2772" s="88"/>
      <c r="K2772" s="88"/>
      <c r="L2772" s="89"/>
      <c r="M2772" s="89"/>
      <c r="N2772" s="90"/>
      <c r="Q2772" s="105"/>
    </row>
    <row r="2773" spans="3:17" x14ac:dyDescent="0.3">
      <c r="C2773" s="87"/>
      <c r="H2773" s="86" t="e">
        <f>IF(I2773="fora",0%,G2773/QUÓRUM!$C$6)</f>
        <v>#DIV/0!</v>
      </c>
      <c r="I2773" s="87"/>
      <c r="J2773" s="88"/>
      <c r="K2773" s="88"/>
      <c r="L2773" s="89"/>
      <c r="M2773" s="89"/>
      <c r="N2773" s="90"/>
      <c r="Q2773" s="105"/>
    </row>
    <row r="2774" spans="3:17" x14ac:dyDescent="0.3">
      <c r="C2774" s="87"/>
      <c r="H2774" s="86" t="e">
        <f>IF(I2774="fora",0%,G2774/QUÓRUM!$C$6)</f>
        <v>#DIV/0!</v>
      </c>
      <c r="I2774" s="87"/>
      <c r="J2774" s="88"/>
      <c r="K2774" s="88"/>
      <c r="L2774" s="89"/>
      <c r="M2774" s="89"/>
      <c r="N2774" s="90"/>
      <c r="Q2774" s="105"/>
    </row>
    <row r="2775" spans="3:17" x14ac:dyDescent="0.3">
      <c r="C2775" s="87"/>
      <c r="H2775" s="86" t="e">
        <f>IF(I2775="fora",0%,G2775/QUÓRUM!$C$6)</f>
        <v>#DIV/0!</v>
      </c>
      <c r="I2775" s="87"/>
      <c r="J2775" s="88"/>
      <c r="K2775" s="88"/>
      <c r="L2775" s="89"/>
      <c r="M2775" s="89"/>
      <c r="N2775" s="90"/>
      <c r="Q2775" s="105"/>
    </row>
    <row r="2776" spans="3:17" x14ac:dyDescent="0.3">
      <c r="C2776" s="87"/>
      <c r="H2776" s="86" t="e">
        <f>IF(I2776="fora",0%,G2776/QUÓRUM!$C$6)</f>
        <v>#DIV/0!</v>
      </c>
      <c r="I2776" s="87"/>
      <c r="J2776" s="88"/>
      <c r="K2776" s="88"/>
      <c r="L2776" s="89"/>
      <c r="M2776" s="89"/>
      <c r="N2776" s="90"/>
      <c r="Q2776" s="105"/>
    </row>
    <row r="2777" spans="3:17" x14ac:dyDescent="0.3">
      <c r="C2777" s="87"/>
      <c r="H2777" s="86" t="e">
        <f>IF(I2777="fora",0%,G2777/QUÓRUM!$C$6)</f>
        <v>#DIV/0!</v>
      </c>
      <c r="I2777" s="87"/>
      <c r="J2777" s="88"/>
      <c r="K2777" s="88"/>
      <c r="L2777" s="89"/>
      <c r="M2777" s="89"/>
      <c r="N2777" s="90"/>
      <c r="Q2777" s="105"/>
    </row>
    <row r="2778" spans="3:17" x14ac:dyDescent="0.3">
      <c r="C2778" s="87"/>
      <c r="H2778" s="86" t="e">
        <f>IF(I2778="fora",0%,G2778/QUÓRUM!$C$6)</f>
        <v>#DIV/0!</v>
      </c>
      <c r="I2778" s="87"/>
      <c r="J2778" s="88"/>
      <c r="K2778" s="88"/>
      <c r="L2778" s="89"/>
      <c r="M2778" s="89"/>
      <c r="N2778" s="90"/>
      <c r="Q2778" s="105"/>
    </row>
    <row r="2779" spans="3:17" x14ac:dyDescent="0.3">
      <c r="C2779" s="87"/>
      <c r="H2779" s="86" t="e">
        <f>IF(I2779="fora",0%,G2779/QUÓRUM!$C$6)</f>
        <v>#DIV/0!</v>
      </c>
      <c r="I2779" s="87"/>
      <c r="J2779" s="88"/>
      <c r="K2779" s="88"/>
      <c r="L2779" s="89"/>
      <c r="M2779" s="89"/>
      <c r="N2779" s="90"/>
      <c r="Q2779" s="105"/>
    </row>
    <row r="2780" spans="3:17" x14ac:dyDescent="0.3">
      <c r="C2780" s="87"/>
      <c r="H2780" s="86" t="e">
        <f>IF(I2780="fora",0%,G2780/QUÓRUM!$C$6)</f>
        <v>#DIV/0!</v>
      </c>
      <c r="I2780" s="87"/>
      <c r="J2780" s="88"/>
      <c r="K2780" s="88"/>
      <c r="L2780" s="89"/>
      <c r="M2780" s="89"/>
      <c r="N2780" s="90"/>
      <c r="Q2780" s="105"/>
    </row>
    <row r="2781" spans="3:17" x14ac:dyDescent="0.3">
      <c r="C2781" s="87"/>
      <c r="H2781" s="86" t="e">
        <f>IF(I2781="fora",0%,G2781/QUÓRUM!$C$6)</f>
        <v>#DIV/0!</v>
      </c>
      <c r="I2781" s="87"/>
      <c r="J2781" s="88"/>
      <c r="K2781" s="88"/>
      <c r="L2781" s="89"/>
      <c r="M2781" s="89"/>
      <c r="N2781" s="90"/>
      <c r="Q2781" s="105"/>
    </row>
    <row r="2782" spans="3:17" x14ac:dyDescent="0.3">
      <c r="C2782" s="87"/>
      <c r="H2782" s="86" t="e">
        <f>IF(I2782="fora",0%,G2782/QUÓRUM!$C$6)</f>
        <v>#DIV/0!</v>
      </c>
      <c r="I2782" s="87"/>
      <c r="J2782" s="88"/>
      <c r="K2782" s="88"/>
      <c r="L2782" s="89"/>
      <c r="M2782" s="89"/>
      <c r="N2782" s="90"/>
      <c r="Q2782" s="105"/>
    </row>
    <row r="2783" spans="3:17" x14ac:dyDescent="0.3">
      <c r="C2783" s="87"/>
      <c r="H2783" s="86" t="e">
        <f>IF(I2783="fora",0%,G2783/QUÓRUM!$C$6)</f>
        <v>#DIV/0!</v>
      </c>
      <c r="I2783" s="87"/>
      <c r="J2783" s="88"/>
      <c r="K2783" s="88"/>
      <c r="L2783" s="89"/>
      <c r="M2783" s="89"/>
      <c r="N2783" s="90"/>
      <c r="Q2783" s="105"/>
    </row>
    <row r="2784" spans="3:17" x14ac:dyDescent="0.3">
      <c r="C2784" s="87"/>
      <c r="H2784" s="86" t="e">
        <f>IF(I2784="fora",0%,G2784/QUÓRUM!$C$6)</f>
        <v>#DIV/0!</v>
      </c>
      <c r="I2784" s="87"/>
      <c r="J2784" s="88"/>
      <c r="K2784" s="88"/>
      <c r="L2784" s="89"/>
      <c r="M2784" s="89"/>
      <c r="N2784" s="90"/>
      <c r="Q2784" s="105"/>
    </row>
    <row r="2785" spans="3:17" x14ac:dyDescent="0.3">
      <c r="C2785" s="87"/>
      <c r="H2785" s="86" t="e">
        <f>IF(I2785="fora",0%,G2785/QUÓRUM!$C$6)</f>
        <v>#DIV/0!</v>
      </c>
      <c r="I2785" s="87"/>
      <c r="J2785" s="88"/>
      <c r="K2785" s="88"/>
      <c r="L2785" s="89"/>
      <c r="M2785" s="89"/>
      <c r="N2785" s="90"/>
      <c r="Q2785" s="105"/>
    </row>
    <row r="2786" spans="3:17" x14ac:dyDescent="0.3">
      <c r="C2786" s="87"/>
      <c r="H2786" s="86" t="e">
        <f>IF(I2786="fora",0%,G2786/QUÓRUM!$C$6)</f>
        <v>#DIV/0!</v>
      </c>
      <c r="I2786" s="87"/>
      <c r="J2786" s="88"/>
      <c r="K2786" s="88"/>
      <c r="L2786" s="89"/>
      <c r="M2786" s="89"/>
      <c r="N2786" s="90"/>
      <c r="Q2786" s="105"/>
    </row>
    <row r="2787" spans="3:17" x14ac:dyDescent="0.3">
      <c r="C2787" s="87"/>
      <c r="H2787" s="86" t="e">
        <f>IF(I2787="fora",0%,G2787/QUÓRUM!$C$6)</f>
        <v>#DIV/0!</v>
      </c>
      <c r="I2787" s="87"/>
      <c r="J2787" s="88"/>
      <c r="K2787" s="88"/>
      <c r="L2787" s="89"/>
      <c r="M2787" s="89"/>
      <c r="N2787" s="90"/>
      <c r="Q2787" s="105"/>
    </row>
    <row r="2788" spans="3:17" x14ac:dyDescent="0.3">
      <c r="C2788" s="87"/>
      <c r="H2788" s="86" t="e">
        <f>IF(I2788="fora",0%,G2788/QUÓRUM!$C$6)</f>
        <v>#DIV/0!</v>
      </c>
      <c r="I2788" s="87"/>
      <c r="J2788" s="88"/>
      <c r="K2788" s="88"/>
      <c r="L2788" s="89"/>
      <c r="M2788" s="89"/>
      <c r="N2788" s="90"/>
      <c r="Q2788" s="105"/>
    </row>
    <row r="2789" spans="3:17" x14ac:dyDescent="0.3">
      <c r="C2789" s="87"/>
      <c r="H2789" s="86" t="e">
        <f>IF(I2789="fora",0%,G2789/QUÓRUM!$C$6)</f>
        <v>#DIV/0!</v>
      </c>
      <c r="I2789" s="87"/>
      <c r="J2789" s="88"/>
      <c r="K2789" s="88"/>
      <c r="L2789" s="89"/>
      <c r="M2789" s="89"/>
      <c r="N2789" s="90"/>
      <c r="Q2789" s="105"/>
    </row>
    <row r="2790" spans="3:17" x14ac:dyDescent="0.3">
      <c r="C2790" s="87"/>
      <c r="H2790" s="86" t="e">
        <f>IF(I2790="fora",0%,G2790/QUÓRUM!$C$6)</f>
        <v>#DIV/0!</v>
      </c>
      <c r="I2790" s="87"/>
      <c r="J2790" s="88"/>
      <c r="K2790" s="88"/>
      <c r="L2790" s="89"/>
      <c r="M2790" s="89"/>
      <c r="N2790" s="90"/>
      <c r="Q2790" s="105"/>
    </row>
    <row r="2791" spans="3:17" x14ac:dyDescent="0.3">
      <c r="C2791" s="87"/>
      <c r="H2791" s="86" t="e">
        <f>IF(I2791="fora",0%,G2791/QUÓRUM!$C$6)</f>
        <v>#DIV/0!</v>
      </c>
      <c r="I2791" s="87"/>
      <c r="J2791" s="88"/>
      <c r="K2791" s="88"/>
      <c r="L2791" s="89"/>
      <c r="M2791" s="89"/>
      <c r="N2791" s="90"/>
      <c r="Q2791" s="105"/>
    </row>
    <row r="2792" spans="3:17" x14ac:dyDescent="0.3">
      <c r="C2792" s="87"/>
      <c r="H2792" s="86" t="e">
        <f>IF(I2792="fora",0%,G2792/QUÓRUM!$C$6)</f>
        <v>#DIV/0!</v>
      </c>
      <c r="I2792" s="87"/>
      <c r="J2792" s="88"/>
      <c r="K2792" s="88"/>
      <c r="L2792" s="89"/>
      <c r="M2792" s="89"/>
      <c r="N2792" s="90"/>
      <c r="Q2792" s="105"/>
    </row>
    <row r="2793" spans="3:17" x14ac:dyDescent="0.3">
      <c r="C2793" s="87"/>
      <c r="H2793" s="86" t="e">
        <f>IF(I2793="fora",0%,G2793/QUÓRUM!$C$6)</f>
        <v>#DIV/0!</v>
      </c>
      <c r="I2793" s="87"/>
      <c r="J2793" s="88"/>
      <c r="K2793" s="88"/>
      <c r="L2793" s="89"/>
      <c r="M2793" s="89"/>
      <c r="N2793" s="90"/>
      <c r="Q2793" s="105"/>
    </row>
    <row r="2794" spans="3:17" x14ac:dyDescent="0.3">
      <c r="C2794" s="87"/>
      <c r="H2794" s="86" t="e">
        <f>IF(I2794="fora",0%,G2794/QUÓRUM!$C$6)</f>
        <v>#DIV/0!</v>
      </c>
      <c r="I2794" s="87"/>
      <c r="J2794" s="88"/>
      <c r="K2794" s="88"/>
      <c r="L2794" s="89"/>
      <c r="M2794" s="89"/>
      <c r="N2794" s="90"/>
      <c r="Q2794" s="105"/>
    </row>
    <row r="2795" spans="3:17" x14ac:dyDescent="0.3">
      <c r="C2795" s="87"/>
      <c r="H2795" s="86" t="e">
        <f>IF(I2795="fora",0%,G2795/QUÓRUM!$C$6)</f>
        <v>#DIV/0!</v>
      </c>
      <c r="I2795" s="87"/>
      <c r="J2795" s="88"/>
      <c r="K2795" s="88"/>
      <c r="L2795" s="89"/>
      <c r="M2795" s="89"/>
      <c r="N2795" s="90"/>
      <c r="Q2795" s="105"/>
    </row>
    <row r="2796" spans="3:17" x14ac:dyDescent="0.3">
      <c r="C2796" s="87"/>
      <c r="H2796" s="86" t="e">
        <f>IF(I2796="fora",0%,G2796/QUÓRUM!$C$6)</f>
        <v>#DIV/0!</v>
      </c>
      <c r="I2796" s="87"/>
      <c r="J2796" s="88"/>
      <c r="K2796" s="88"/>
      <c r="L2796" s="89"/>
      <c r="M2796" s="89"/>
      <c r="N2796" s="90"/>
      <c r="Q2796" s="105"/>
    </row>
    <row r="2797" spans="3:17" x14ac:dyDescent="0.3">
      <c r="C2797" s="87"/>
      <c r="H2797" s="86" t="e">
        <f>IF(I2797="fora",0%,G2797/QUÓRUM!$C$6)</f>
        <v>#DIV/0!</v>
      </c>
      <c r="I2797" s="87"/>
      <c r="J2797" s="88"/>
      <c r="K2797" s="88"/>
      <c r="L2797" s="89"/>
      <c r="M2797" s="89"/>
      <c r="N2797" s="90"/>
      <c r="Q2797" s="105"/>
    </row>
    <row r="2798" spans="3:17" x14ac:dyDescent="0.3">
      <c r="C2798" s="87"/>
      <c r="H2798" s="86" t="e">
        <f>IF(I2798="fora",0%,G2798/QUÓRUM!$C$6)</f>
        <v>#DIV/0!</v>
      </c>
      <c r="I2798" s="87"/>
      <c r="J2798" s="88"/>
      <c r="K2798" s="88"/>
      <c r="L2798" s="89"/>
      <c r="M2798" s="89"/>
      <c r="N2798" s="90"/>
      <c r="Q2798" s="105"/>
    </row>
    <row r="2799" spans="3:17" x14ac:dyDescent="0.3">
      <c r="C2799" s="87"/>
      <c r="H2799" s="86" t="e">
        <f>IF(I2799="fora",0%,G2799/QUÓRUM!$C$6)</f>
        <v>#DIV/0!</v>
      </c>
      <c r="I2799" s="87"/>
      <c r="J2799" s="88"/>
      <c r="K2799" s="88"/>
      <c r="L2799" s="89"/>
      <c r="M2799" s="89"/>
      <c r="N2799" s="90"/>
      <c r="Q2799" s="105"/>
    </row>
    <row r="2800" spans="3:17" x14ac:dyDescent="0.3">
      <c r="C2800" s="87"/>
      <c r="H2800" s="86" t="e">
        <f>IF(I2800="fora",0%,G2800/QUÓRUM!$C$6)</f>
        <v>#DIV/0!</v>
      </c>
      <c r="I2800" s="87"/>
      <c r="J2800" s="88"/>
      <c r="K2800" s="88"/>
      <c r="L2800" s="89"/>
      <c r="M2800" s="89"/>
      <c r="N2800" s="90"/>
      <c r="Q2800" s="105"/>
    </row>
    <row r="2801" spans="3:17" x14ac:dyDescent="0.3">
      <c r="C2801" s="87"/>
      <c r="H2801" s="86" t="e">
        <f>IF(I2801="fora",0%,G2801/QUÓRUM!$C$6)</f>
        <v>#DIV/0!</v>
      </c>
      <c r="I2801" s="87"/>
      <c r="J2801" s="88"/>
      <c r="K2801" s="88"/>
      <c r="L2801" s="89"/>
      <c r="M2801" s="89"/>
      <c r="N2801" s="90"/>
      <c r="Q2801" s="105"/>
    </row>
    <row r="2802" spans="3:17" x14ac:dyDescent="0.3">
      <c r="C2802" s="87"/>
      <c r="H2802" s="86" t="e">
        <f>IF(I2802="fora",0%,G2802/QUÓRUM!$C$6)</f>
        <v>#DIV/0!</v>
      </c>
      <c r="I2802" s="87"/>
      <c r="J2802" s="88"/>
      <c r="K2802" s="88"/>
      <c r="L2802" s="89"/>
      <c r="M2802" s="89"/>
      <c r="N2802" s="90"/>
      <c r="Q2802" s="105"/>
    </row>
    <row r="2803" spans="3:17" x14ac:dyDescent="0.3">
      <c r="C2803" s="87"/>
      <c r="H2803" s="86" t="e">
        <f>IF(I2803="fora",0%,G2803/QUÓRUM!$C$6)</f>
        <v>#DIV/0!</v>
      </c>
      <c r="I2803" s="87"/>
      <c r="J2803" s="88"/>
      <c r="K2803" s="88"/>
      <c r="L2803" s="89"/>
      <c r="M2803" s="89"/>
      <c r="N2803" s="90"/>
      <c r="Q2803" s="105"/>
    </row>
    <row r="2804" spans="3:17" x14ac:dyDescent="0.3">
      <c r="C2804" s="87"/>
      <c r="H2804" s="86" t="e">
        <f>IF(I2804="fora",0%,G2804/QUÓRUM!$C$6)</f>
        <v>#DIV/0!</v>
      </c>
      <c r="I2804" s="87"/>
      <c r="J2804" s="88"/>
      <c r="K2804" s="88"/>
      <c r="L2804" s="89"/>
      <c r="M2804" s="89"/>
      <c r="N2804" s="90"/>
      <c r="Q2804" s="105"/>
    </row>
    <row r="2805" spans="3:17" x14ac:dyDescent="0.3">
      <c r="C2805" s="87"/>
      <c r="H2805" s="86" t="e">
        <f>IF(I2805="fora",0%,G2805/QUÓRUM!$C$6)</f>
        <v>#DIV/0!</v>
      </c>
      <c r="I2805" s="87"/>
      <c r="J2805" s="88"/>
      <c r="K2805" s="88"/>
      <c r="L2805" s="89"/>
      <c r="M2805" s="89"/>
      <c r="N2805" s="90"/>
      <c r="Q2805" s="105"/>
    </row>
    <row r="2806" spans="3:17" x14ac:dyDescent="0.3">
      <c r="C2806" s="87"/>
      <c r="H2806" s="86" t="e">
        <f>IF(I2806="fora",0%,G2806/QUÓRUM!$C$6)</f>
        <v>#DIV/0!</v>
      </c>
      <c r="I2806" s="87"/>
      <c r="J2806" s="88"/>
      <c r="K2806" s="88"/>
      <c r="L2806" s="89"/>
      <c r="M2806" s="89"/>
      <c r="N2806" s="90"/>
      <c r="Q2806" s="105"/>
    </row>
    <row r="2807" spans="3:17" x14ac:dyDescent="0.3">
      <c r="C2807" s="87"/>
      <c r="H2807" s="86" t="e">
        <f>IF(I2807="fora",0%,G2807/QUÓRUM!$C$6)</f>
        <v>#DIV/0!</v>
      </c>
      <c r="I2807" s="87"/>
      <c r="J2807" s="88"/>
      <c r="K2807" s="88"/>
      <c r="L2807" s="89"/>
      <c r="M2807" s="89"/>
      <c r="N2807" s="90"/>
      <c r="Q2807" s="105"/>
    </row>
    <row r="2808" spans="3:17" x14ac:dyDescent="0.3">
      <c r="C2808" s="87"/>
      <c r="H2808" s="86" t="e">
        <f>IF(I2808="fora",0%,G2808/QUÓRUM!$C$6)</f>
        <v>#DIV/0!</v>
      </c>
      <c r="I2808" s="87"/>
      <c r="J2808" s="88"/>
      <c r="K2808" s="88"/>
      <c r="L2808" s="89"/>
      <c r="M2808" s="89"/>
      <c r="N2808" s="90"/>
      <c r="Q2808" s="105"/>
    </row>
    <row r="2809" spans="3:17" x14ac:dyDescent="0.3">
      <c r="C2809" s="87"/>
      <c r="H2809" s="86" t="e">
        <f>IF(I2809="fora",0%,G2809/QUÓRUM!$C$6)</f>
        <v>#DIV/0!</v>
      </c>
      <c r="I2809" s="87"/>
      <c r="J2809" s="88"/>
      <c r="K2809" s="88"/>
      <c r="L2809" s="89"/>
      <c r="M2809" s="89"/>
      <c r="N2809" s="90"/>
      <c r="Q2809" s="105"/>
    </row>
    <row r="2810" spans="3:17" x14ac:dyDescent="0.3">
      <c r="C2810" s="87"/>
      <c r="H2810" s="86" t="e">
        <f>IF(I2810="fora",0%,G2810/QUÓRUM!$C$6)</f>
        <v>#DIV/0!</v>
      </c>
      <c r="I2810" s="87"/>
      <c r="J2810" s="88"/>
      <c r="K2810" s="88"/>
      <c r="L2810" s="89"/>
      <c r="M2810" s="89"/>
      <c r="N2810" s="90"/>
      <c r="Q2810" s="105"/>
    </row>
    <row r="2811" spans="3:17" x14ac:dyDescent="0.3">
      <c r="C2811" s="87"/>
      <c r="H2811" s="86" t="e">
        <f>IF(I2811="fora",0%,G2811/QUÓRUM!$C$6)</f>
        <v>#DIV/0!</v>
      </c>
      <c r="I2811" s="87"/>
      <c r="J2811" s="88"/>
      <c r="K2811" s="88"/>
      <c r="L2811" s="89"/>
      <c r="M2811" s="89"/>
      <c r="N2811" s="90"/>
      <c r="Q2811" s="105"/>
    </row>
    <row r="2812" spans="3:17" x14ac:dyDescent="0.3">
      <c r="C2812" s="87"/>
      <c r="H2812" s="86" t="e">
        <f>IF(I2812="fora",0%,G2812/QUÓRUM!$C$6)</f>
        <v>#DIV/0!</v>
      </c>
      <c r="I2812" s="87"/>
      <c r="J2812" s="88"/>
      <c r="K2812" s="88"/>
      <c r="L2812" s="89"/>
      <c r="M2812" s="89"/>
      <c r="N2812" s="90"/>
      <c r="Q2812" s="105"/>
    </row>
    <row r="2813" spans="3:17" x14ac:dyDescent="0.3">
      <c r="C2813" s="87"/>
      <c r="H2813" s="86" t="e">
        <f>IF(I2813="fora",0%,G2813/QUÓRUM!$C$6)</f>
        <v>#DIV/0!</v>
      </c>
      <c r="I2813" s="87"/>
      <c r="J2813" s="88"/>
      <c r="K2813" s="88"/>
      <c r="L2813" s="89"/>
      <c r="M2813" s="89"/>
      <c r="N2813" s="90"/>
      <c r="Q2813" s="105"/>
    </row>
    <row r="2814" spans="3:17" x14ac:dyDescent="0.3">
      <c r="C2814" s="87"/>
      <c r="H2814" s="86" t="e">
        <f>IF(I2814="fora",0%,G2814/QUÓRUM!$C$6)</f>
        <v>#DIV/0!</v>
      </c>
      <c r="I2814" s="87"/>
      <c r="J2814" s="88"/>
      <c r="K2814" s="88"/>
      <c r="L2814" s="89"/>
      <c r="M2814" s="89"/>
      <c r="N2814" s="90"/>
      <c r="Q2814" s="105"/>
    </row>
    <row r="2815" spans="3:17" x14ac:dyDescent="0.3">
      <c r="C2815" s="87"/>
      <c r="H2815" s="86" t="e">
        <f>IF(I2815="fora",0%,G2815/QUÓRUM!$C$6)</f>
        <v>#DIV/0!</v>
      </c>
      <c r="I2815" s="87"/>
      <c r="J2815" s="88"/>
      <c r="K2815" s="88"/>
      <c r="L2815" s="89"/>
      <c r="M2815" s="89"/>
      <c r="N2815" s="90"/>
      <c r="Q2815" s="105"/>
    </row>
    <row r="2816" spans="3:17" x14ac:dyDescent="0.3">
      <c r="C2816" s="87"/>
      <c r="H2816" s="86" t="e">
        <f>IF(I2816="fora",0%,G2816/QUÓRUM!$C$6)</f>
        <v>#DIV/0!</v>
      </c>
      <c r="I2816" s="87"/>
      <c r="J2816" s="88"/>
      <c r="K2816" s="88"/>
      <c r="L2816" s="89"/>
      <c r="M2816" s="89"/>
      <c r="N2816" s="90"/>
      <c r="Q2816" s="105"/>
    </row>
    <row r="2817" spans="3:17" x14ac:dyDescent="0.3">
      <c r="C2817" s="87"/>
      <c r="H2817" s="86" t="e">
        <f>IF(I2817="fora",0%,G2817/QUÓRUM!$C$6)</f>
        <v>#DIV/0!</v>
      </c>
      <c r="I2817" s="87"/>
      <c r="J2817" s="88"/>
      <c r="K2817" s="88"/>
      <c r="L2817" s="89"/>
      <c r="M2817" s="89"/>
      <c r="N2817" s="90"/>
      <c r="Q2817" s="105"/>
    </row>
    <row r="2818" spans="3:17" x14ac:dyDescent="0.3">
      <c r="C2818" s="87"/>
      <c r="H2818" s="86" t="e">
        <f>IF(I2818="fora",0%,G2818/QUÓRUM!$C$6)</f>
        <v>#DIV/0!</v>
      </c>
      <c r="I2818" s="87"/>
      <c r="J2818" s="88"/>
      <c r="K2818" s="88"/>
      <c r="L2818" s="89"/>
      <c r="M2818" s="89"/>
      <c r="N2818" s="90"/>
      <c r="Q2818" s="105"/>
    </row>
    <row r="2819" spans="3:17" x14ac:dyDescent="0.3">
      <c r="C2819" s="87"/>
      <c r="H2819" s="86" t="e">
        <f>IF(I2819="fora",0%,G2819/QUÓRUM!$C$6)</f>
        <v>#DIV/0!</v>
      </c>
      <c r="I2819" s="87"/>
      <c r="J2819" s="88"/>
      <c r="K2819" s="88"/>
      <c r="L2819" s="89"/>
      <c r="M2819" s="89"/>
      <c r="N2819" s="90"/>
      <c r="Q2819" s="105"/>
    </row>
    <row r="2820" spans="3:17" x14ac:dyDescent="0.3">
      <c r="C2820" s="87"/>
      <c r="H2820" s="86" t="e">
        <f>IF(I2820="fora",0%,G2820/QUÓRUM!$C$6)</f>
        <v>#DIV/0!</v>
      </c>
      <c r="I2820" s="87"/>
      <c r="J2820" s="88"/>
      <c r="K2820" s="88"/>
      <c r="L2820" s="89"/>
      <c r="M2820" s="89"/>
      <c r="N2820" s="90"/>
      <c r="Q2820" s="105"/>
    </row>
    <row r="2821" spans="3:17" x14ac:dyDescent="0.3">
      <c r="C2821" s="87"/>
      <c r="H2821" s="86" t="e">
        <f>IF(I2821="fora",0%,G2821/QUÓRUM!$C$6)</f>
        <v>#DIV/0!</v>
      </c>
      <c r="I2821" s="87"/>
      <c r="J2821" s="88"/>
      <c r="K2821" s="88"/>
      <c r="L2821" s="89"/>
      <c r="M2821" s="89"/>
      <c r="N2821" s="90"/>
      <c r="Q2821" s="105"/>
    </row>
    <row r="2822" spans="3:17" x14ac:dyDescent="0.3">
      <c r="C2822" s="87"/>
      <c r="H2822" s="86" t="e">
        <f>IF(I2822="fora",0%,G2822/QUÓRUM!$C$6)</f>
        <v>#DIV/0!</v>
      </c>
      <c r="I2822" s="87"/>
      <c r="J2822" s="88"/>
      <c r="K2822" s="88"/>
      <c r="L2822" s="89"/>
      <c r="M2822" s="89"/>
      <c r="N2822" s="90"/>
      <c r="Q2822" s="105"/>
    </row>
    <row r="2823" spans="3:17" x14ac:dyDescent="0.3">
      <c r="C2823" s="87"/>
      <c r="H2823" s="86" t="e">
        <f>IF(I2823="fora",0%,G2823/QUÓRUM!$C$6)</f>
        <v>#DIV/0!</v>
      </c>
      <c r="I2823" s="87"/>
      <c r="J2823" s="88"/>
      <c r="K2823" s="88"/>
      <c r="L2823" s="89"/>
      <c r="M2823" s="89"/>
      <c r="N2823" s="90"/>
      <c r="Q2823" s="105"/>
    </row>
    <row r="2824" spans="3:17" x14ac:dyDescent="0.3">
      <c r="C2824" s="87"/>
      <c r="H2824" s="86" t="e">
        <f>IF(I2824="fora",0%,G2824/QUÓRUM!$C$6)</f>
        <v>#DIV/0!</v>
      </c>
      <c r="I2824" s="87"/>
      <c r="J2824" s="88"/>
      <c r="K2824" s="88"/>
      <c r="L2824" s="89"/>
      <c r="M2824" s="89"/>
      <c r="N2824" s="90"/>
      <c r="Q2824" s="105"/>
    </row>
    <row r="2825" spans="3:17" x14ac:dyDescent="0.3">
      <c r="C2825" s="87"/>
      <c r="G2825" s="115"/>
      <c r="H2825" s="86" t="e">
        <f>IF(I2825="fora",0%,G2825/QUÓRUM!$C$6)</f>
        <v>#DIV/0!</v>
      </c>
      <c r="I2825" s="87"/>
      <c r="J2825" s="88"/>
      <c r="K2825" s="88"/>
      <c r="L2825" s="89"/>
      <c r="M2825" s="89"/>
      <c r="N2825" s="90"/>
      <c r="Q2825" s="105"/>
    </row>
    <row r="2826" spans="3:17" x14ac:dyDescent="0.3">
      <c r="C2826" s="87"/>
      <c r="H2826" s="86" t="e">
        <f>IF(I2826="fora",0%,G2826/QUÓRUM!$C$6)</f>
        <v>#DIV/0!</v>
      </c>
      <c r="I2826" s="87"/>
      <c r="J2826" s="88"/>
      <c r="K2826" s="88"/>
      <c r="L2826" s="89"/>
      <c r="M2826" s="89"/>
      <c r="N2826" s="90"/>
      <c r="Q2826" s="105"/>
    </row>
    <row r="2827" spans="3:17" x14ac:dyDescent="0.3">
      <c r="C2827" s="87"/>
      <c r="H2827" s="86" t="e">
        <f>IF(I2827="fora",0%,G2827/QUÓRUM!$C$6)</f>
        <v>#DIV/0!</v>
      </c>
      <c r="I2827" s="87"/>
      <c r="J2827" s="88"/>
      <c r="K2827" s="88"/>
      <c r="L2827" s="89"/>
      <c r="M2827" s="89"/>
      <c r="N2827" s="90"/>
      <c r="Q2827" s="105"/>
    </row>
    <row r="2828" spans="3:17" x14ac:dyDescent="0.3">
      <c r="C2828" s="87"/>
      <c r="H2828" s="86" t="e">
        <f>IF(I2828="fora",0%,G2828/QUÓRUM!$C$6)</f>
        <v>#DIV/0!</v>
      </c>
      <c r="I2828" s="87"/>
      <c r="J2828" s="88"/>
      <c r="K2828" s="88"/>
      <c r="L2828" s="89"/>
      <c r="M2828" s="89"/>
      <c r="N2828" s="90"/>
      <c r="Q2828" s="105"/>
    </row>
    <row r="2829" spans="3:17" x14ac:dyDescent="0.3">
      <c r="C2829" s="87"/>
      <c r="G2829" s="115"/>
      <c r="H2829" s="86" t="e">
        <f>IF(I2829="fora",0%,G2829/QUÓRUM!$C$6)</f>
        <v>#DIV/0!</v>
      </c>
      <c r="I2829" s="87"/>
      <c r="J2829" s="88"/>
      <c r="K2829" s="88"/>
      <c r="L2829" s="89"/>
      <c r="M2829" s="89"/>
      <c r="N2829" s="90"/>
      <c r="Q2829" s="105"/>
    </row>
    <row r="2830" spans="3:17" x14ac:dyDescent="0.3">
      <c r="C2830" s="87"/>
      <c r="H2830" s="86" t="e">
        <f>IF(I2830="fora",0%,G2830/QUÓRUM!$C$6)</f>
        <v>#DIV/0!</v>
      </c>
      <c r="I2830" s="87"/>
      <c r="J2830" s="88"/>
      <c r="K2830" s="88"/>
      <c r="L2830" s="89"/>
      <c r="M2830" s="89"/>
      <c r="N2830" s="90"/>
      <c r="Q2830" s="105"/>
    </row>
    <row r="2831" spans="3:17" x14ac:dyDescent="0.3">
      <c r="C2831" s="87"/>
      <c r="H2831" s="86" t="e">
        <f>IF(I2831="fora",0%,G2831/QUÓRUM!$C$6)</f>
        <v>#DIV/0!</v>
      </c>
      <c r="I2831" s="87"/>
      <c r="J2831" s="88"/>
      <c r="K2831" s="88"/>
      <c r="L2831" s="89"/>
      <c r="M2831" s="89"/>
      <c r="N2831" s="90"/>
      <c r="Q2831" s="105"/>
    </row>
    <row r="2832" spans="3:17" x14ac:dyDescent="0.3">
      <c r="C2832" s="87"/>
      <c r="H2832" s="86" t="e">
        <f>IF(I2832="fora",0%,G2832/QUÓRUM!$C$6)</f>
        <v>#DIV/0!</v>
      </c>
      <c r="I2832" s="87"/>
      <c r="J2832" s="88"/>
      <c r="K2832" s="88"/>
      <c r="L2832" s="89"/>
      <c r="M2832" s="89"/>
      <c r="N2832" s="90"/>
      <c r="Q2832" s="105"/>
    </row>
    <row r="2833" spans="3:17" x14ac:dyDescent="0.3">
      <c r="C2833" s="87"/>
      <c r="G2833" s="115"/>
      <c r="H2833" s="86" t="e">
        <f>IF(I2833="fora",0%,G2833/QUÓRUM!$C$6)</f>
        <v>#DIV/0!</v>
      </c>
      <c r="I2833" s="87"/>
      <c r="J2833" s="88"/>
      <c r="K2833" s="88"/>
      <c r="L2833" s="89"/>
      <c r="M2833" s="89"/>
      <c r="N2833" s="90"/>
      <c r="Q2833" s="105"/>
    </row>
    <row r="2834" spans="3:17" x14ac:dyDescent="0.3">
      <c r="C2834" s="87"/>
      <c r="H2834" s="86" t="e">
        <f>IF(I2834="fora",0%,G2834/QUÓRUM!$C$6)</f>
        <v>#DIV/0!</v>
      </c>
      <c r="I2834" s="87"/>
      <c r="J2834" s="88"/>
      <c r="K2834" s="88"/>
      <c r="L2834" s="89"/>
      <c r="M2834" s="89"/>
      <c r="N2834" s="90"/>
      <c r="Q2834" s="105"/>
    </row>
    <row r="2835" spans="3:17" x14ac:dyDescent="0.3">
      <c r="C2835" s="87"/>
      <c r="H2835" s="86" t="e">
        <f>IF(I2835="fora",0%,G2835/QUÓRUM!$C$6)</f>
        <v>#DIV/0!</v>
      </c>
      <c r="I2835" s="87"/>
      <c r="J2835" s="88"/>
      <c r="K2835" s="88"/>
      <c r="L2835" s="89"/>
      <c r="M2835" s="89"/>
      <c r="N2835" s="90"/>
      <c r="Q2835" s="105"/>
    </row>
    <row r="2836" spans="3:17" x14ac:dyDescent="0.3">
      <c r="C2836" s="87"/>
      <c r="H2836" s="86" t="e">
        <f>IF(I2836="fora",0%,G2836/QUÓRUM!$C$6)</f>
        <v>#DIV/0!</v>
      </c>
      <c r="I2836" s="87"/>
      <c r="J2836" s="88"/>
      <c r="K2836" s="88"/>
      <c r="L2836" s="89"/>
      <c r="M2836" s="89"/>
      <c r="N2836" s="90"/>
      <c r="Q2836" s="105"/>
    </row>
    <row r="2837" spans="3:17" x14ac:dyDescent="0.3">
      <c r="C2837" s="87"/>
      <c r="H2837" s="86" t="e">
        <f>IF(I2837="fora",0%,G2837/QUÓRUM!$C$6)</f>
        <v>#DIV/0!</v>
      </c>
      <c r="I2837" s="87"/>
      <c r="J2837" s="88"/>
      <c r="K2837" s="88"/>
      <c r="L2837" s="89"/>
      <c r="M2837" s="89"/>
      <c r="N2837" s="90"/>
      <c r="Q2837" s="105"/>
    </row>
    <row r="2838" spans="3:17" x14ac:dyDescent="0.3">
      <c r="C2838" s="87"/>
      <c r="H2838" s="86" t="e">
        <f>IF(I2838="fora",0%,G2838/QUÓRUM!$C$6)</f>
        <v>#DIV/0!</v>
      </c>
      <c r="I2838" s="87"/>
      <c r="J2838" s="88"/>
      <c r="K2838" s="88"/>
      <c r="L2838" s="89"/>
      <c r="M2838" s="89"/>
      <c r="N2838" s="90"/>
      <c r="Q2838" s="105"/>
    </row>
    <row r="2839" spans="3:17" x14ac:dyDescent="0.3">
      <c r="C2839" s="87"/>
      <c r="H2839" s="86" t="e">
        <f>IF(I2839="fora",0%,G2839/QUÓRUM!$C$6)</f>
        <v>#DIV/0!</v>
      </c>
      <c r="I2839" s="87"/>
      <c r="J2839" s="88"/>
      <c r="K2839" s="88"/>
      <c r="L2839" s="89"/>
      <c r="M2839" s="89"/>
      <c r="N2839" s="90"/>
      <c r="Q2839" s="105"/>
    </row>
    <row r="2840" spans="3:17" x14ac:dyDescent="0.3">
      <c r="C2840" s="87"/>
      <c r="G2840" s="115"/>
      <c r="H2840" s="86" t="e">
        <f>IF(I2840="fora",0%,G2840/QUÓRUM!$C$6)</f>
        <v>#DIV/0!</v>
      </c>
      <c r="I2840" s="87"/>
      <c r="J2840" s="88"/>
      <c r="K2840" s="88"/>
      <c r="L2840" s="89"/>
      <c r="M2840" s="89"/>
      <c r="N2840" s="90"/>
      <c r="Q2840" s="105"/>
    </row>
    <row r="2841" spans="3:17" x14ac:dyDescent="0.3">
      <c r="C2841" s="87"/>
      <c r="H2841" s="86" t="e">
        <f>IF(I2841="fora",0%,G2841/QUÓRUM!$C$6)</f>
        <v>#DIV/0!</v>
      </c>
      <c r="I2841" s="87"/>
      <c r="J2841" s="88"/>
      <c r="K2841" s="88"/>
      <c r="L2841" s="89"/>
      <c r="M2841" s="89"/>
      <c r="N2841" s="90"/>
      <c r="Q2841" s="105"/>
    </row>
    <row r="2842" spans="3:17" x14ac:dyDescent="0.3">
      <c r="C2842" s="87"/>
      <c r="H2842" s="86" t="e">
        <f>IF(I2842="fora",0%,G2842/QUÓRUM!$C$6)</f>
        <v>#DIV/0!</v>
      </c>
      <c r="I2842" s="87"/>
      <c r="J2842" s="88"/>
      <c r="K2842" s="88"/>
      <c r="L2842" s="89"/>
      <c r="M2842" s="89"/>
      <c r="N2842" s="90"/>
      <c r="Q2842" s="105"/>
    </row>
    <row r="2843" spans="3:17" x14ac:dyDescent="0.3">
      <c r="C2843" s="87"/>
      <c r="H2843" s="86" t="e">
        <f>IF(I2843="fora",0%,G2843/QUÓRUM!$C$6)</f>
        <v>#DIV/0!</v>
      </c>
      <c r="I2843" s="87"/>
      <c r="J2843" s="88"/>
      <c r="K2843" s="88"/>
      <c r="L2843" s="89"/>
      <c r="M2843" s="89"/>
      <c r="N2843" s="90"/>
      <c r="Q2843" s="105"/>
    </row>
    <row r="2844" spans="3:17" x14ac:dyDescent="0.3">
      <c r="C2844" s="87"/>
      <c r="H2844" s="86" t="e">
        <f>IF(I2844="fora",0%,G2844/QUÓRUM!$C$6)</f>
        <v>#DIV/0!</v>
      </c>
      <c r="I2844" s="87"/>
      <c r="J2844" s="88"/>
      <c r="K2844" s="88"/>
      <c r="L2844" s="89"/>
      <c r="M2844" s="89"/>
      <c r="N2844" s="90"/>
      <c r="Q2844" s="105"/>
    </row>
    <row r="2845" spans="3:17" x14ac:dyDescent="0.3">
      <c r="C2845" s="87"/>
      <c r="H2845" s="86" t="e">
        <f>IF(I2845="fora",0%,G2845/QUÓRUM!$C$6)</f>
        <v>#DIV/0!</v>
      </c>
      <c r="I2845" s="87"/>
      <c r="J2845" s="88"/>
      <c r="K2845" s="88"/>
      <c r="L2845" s="89"/>
      <c r="M2845" s="89"/>
      <c r="N2845" s="90"/>
      <c r="Q2845" s="105"/>
    </row>
    <row r="2846" spans="3:17" x14ac:dyDescent="0.3">
      <c r="C2846" s="87"/>
      <c r="H2846" s="86" t="e">
        <f>IF(I2846="fora",0%,G2846/QUÓRUM!$C$6)</f>
        <v>#DIV/0!</v>
      </c>
      <c r="I2846" s="87"/>
      <c r="J2846" s="88"/>
      <c r="K2846" s="88"/>
      <c r="L2846" s="89"/>
      <c r="M2846" s="89"/>
      <c r="N2846" s="90"/>
      <c r="Q2846" s="105"/>
    </row>
    <row r="2847" spans="3:17" x14ac:dyDescent="0.3">
      <c r="C2847" s="87"/>
      <c r="H2847" s="86" t="e">
        <f>IF(I2847="fora",0%,G2847/QUÓRUM!$C$6)</f>
        <v>#DIV/0!</v>
      </c>
      <c r="I2847" s="87"/>
      <c r="J2847" s="88"/>
      <c r="K2847" s="88"/>
      <c r="L2847" s="89"/>
      <c r="M2847" s="89"/>
      <c r="N2847" s="90"/>
      <c r="Q2847" s="105"/>
    </row>
    <row r="2848" spans="3:17" x14ac:dyDescent="0.3">
      <c r="C2848" s="87"/>
      <c r="H2848" s="86" t="e">
        <f>IF(I2848="fora",0%,G2848/QUÓRUM!$C$6)</f>
        <v>#DIV/0!</v>
      </c>
      <c r="I2848" s="87"/>
      <c r="J2848" s="88"/>
      <c r="K2848" s="88"/>
      <c r="L2848" s="89"/>
      <c r="M2848" s="89"/>
      <c r="N2848" s="90"/>
      <c r="Q2848" s="105"/>
    </row>
    <row r="2849" spans="3:17" x14ac:dyDescent="0.3">
      <c r="C2849" s="87"/>
      <c r="H2849" s="86" t="e">
        <f>IF(I2849="fora",0%,G2849/QUÓRUM!$C$6)</f>
        <v>#DIV/0!</v>
      </c>
      <c r="I2849" s="87"/>
      <c r="J2849" s="88"/>
      <c r="K2849" s="88"/>
      <c r="L2849" s="89"/>
      <c r="M2849" s="89"/>
      <c r="N2849" s="90"/>
      <c r="Q2849" s="105"/>
    </row>
    <row r="2850" spans="3:17" x14ac:dyDescent="0.3">
      <c r="C2850" s="87"/>
      <c r="G2850" s="115"/>
      <c r="H2850" s="86" t="e">
        <f>IF(I2850="fora",0%,G2850/QUÓRUM!$C$6)</f>
        <v>#DIV/0!</v>
      </c>
      <c r="I2850" s="87"/>
      <c r="J2850" s="88"/>
      <c r="K2850" s="88"/>
      <c r="L2850" s="89"/>
      <c r="M2850" s="89"/>
      <c r="N2850" s="90"/>
      <c r="Q2850" s="105"/>
    </row>
    <row r="2851" spans="3:17" x14ac:dyDescent="0.3">
      <c r="C2851" s="87"/>
      <c r="G2851" s="115"/>
      <c r="H2851" s="86" t="e">
        <f>IF(I2851="fora",0%,G2851/QUÓRUM!$C$6)</f>
        <v>#DIV/0!</v>
      </c>
      <c r="I2851" s="87"/>
      <c r="J2851" s="88"/>
      <c r="K2851" s="88"/>
      <c r="L2851" s="89"/>
      <c r="M2851" s="89"/>
      <c r="N2851" s="90"/>
      <c r="Q2851" s="105"/>
    </row>
    <row r="2852" spans="3:17" x14ac:dyDescent="0.3">
      <c r="C2852" s="87"/>
      <c r="H2852" s="86" t="e">
        <f>IF(I2852="fora",0%,G2852/QUÓRUM!$C$6)</f>
        <v>#DIV/0!</v>
      </c>
      <c r="I2852" s="87"/>
      <c r="J2852" s="88"/>
      <c r="K2852" s="88"/>
      <c r="L2852" s="89"/>
      <c r="M2852" s="89"/>
      <c r="N2852" s="90"/>
      <c r="Q2852" s="105"/>
    </row>
    <row r="2853" spans="3:17" x14ac:dyDescent="0.3">
      <c r="C2853" s="87"/>
      <c r="H2853" s="86" t="e">
        <f>IF(I2853="fora",0%,G2853/QUÓRUM!$C$6)</f>
        <v>#DIV/0!</v>
      </c>
      <c r="I2853" s="87"/>
      <c r="J2853" s="88"/>
      <c r="K2853" s="88"/>
      <c r="L2853" s="89"/>
      <c r="M2853" s="89"/>
      <c r="N2853" s="90"/>
      <c r="Q2853" s="105"/>
    </row>
    <row r="2854" spans="3:17" x14ac:dyDescent="0.3">
      <c r="C2854" s="87"/>
      <c r="G2854" s="115"/>
      <c r="H2854" s="86" t="e">
        <f>IF(I2854="fora",0%,G2854/QUÓRUM!$C$6)</f>
        <v>#DIV/0!</v>
      </c>
      <c r="I2854" s="87"/>
      <c r="J2854" s="88"/>
      <c r="K2854" s="88"/>
      <c r="L2854" s="89"/>
      <c r="M2854" s="89"/>
      <c r="N2854" s="90"/>
      <c r="Q2854" s="105"/>
    </row>
    <row r="2855" spans="3:17" x14ac:dyDescent="0.3">
      <c r="C2855" s="87"/>
      <c r="H2855" s="86" t="e">
        <f>IF(I2855="fora",0%,G2855/QUÓRUM!$C$6)</f>
        <v>#DIV/0!</v>
      </c>
      <c r="I2855" s="87"/>
      <c r="J2855" s="88"/>
      <c r="K2855" s="88"/>
      <c r="L2855" s="89"/>
      <c r="M2855" s="89"/>
      <c r="N2855" s="90"/>
      <c r="Q2855" s="105"/>
    </row>
    <row r="2856" spans="3:17" x14ac:dyDescent="0.3">
      <c r="C2856" s="87"/>
      <c r="H2856" s="86" t="e">
        <f>IF(I2856="fora",0%,G2856/QUÓRUM!$C$6)</f>
        <v>#DIV/0!</v>
      </c>
      <c r="I2856" s="87"/>
      <c r="J2856" s="88"/>
      <c r="K2856" s="88"/>
      <c r="L2856" s="89"/>
      <c r="M2856" s="89"/>
      <c r="N2856" s="90"/>
      <c r="Q2856" s="105"/>
    </row>
    <row r="2857" spans="3:17" x14ac:dyDescent="0.3">
      <c r="C2857" s="87"/>
      <c r="G2857" s="115"/>
      <c r="H2857" s="86" t="e">
        <f>IF(I2857="fora",0%,G2857/QUÓRUM!$C$6)</f>
        <v>#DIV/0!</v>
      </c>
      <c r="I2857" s="87"/>
      <c r="J2857" s="88"/>
      <c r="K2857" s="88"/>
      <c r="L2857" s="89"/>
      <c r="M2857" s="89"/>
      <c r="N2857" s="90"/>
      <c r="Q2857" s="105"/>
    </row>
    <row r="2858" spans="3:17" x14ac:dyDescent="0.3">
      <c r="C2858" s="87"/>
      <c r="G2858" s="115"/>
      <c r="H2858" s="86" t="e">
        <f>IF(I2858="fora",0%,G2858/QUÓRUM!$C$6)</f>
        <v>#DIV/0!</v>
      </c>
      <c r="I2858" s="87"/>
      <c r="J2858" s="88"/>
      <c r="K2858" s="88"/>
      <c r="L2858" s="89"/>
      <c r="M2858" s="89"/>
      <c r="N2858" s="90"/>
      <c r="Q2858" s="105"/>
    </row>
    <row r="2859" spans="3:17" x14ac:dyDescent="0.3">
      <c r="C2859" s="87"/>
      <c r="H2859" s="86" t="e">
        <f>IF(I2859="fora",0%,G2859/QUÓRUM!$C$6)</f>
        <v>#DIV/0!</v>
      </c>
      <c r="I2859" s="87"/>
      <c r="J2859" s="88"/>
      <c r="K2859" s="88"/>
      <c r="L2859" s="89"/>
      <c r="M2859" s="89"/>
      <c r="N2859" s="90"/>
      <c r="Q2859" s="105"/>
    </row>
    <row r="2860" spans="3:17" x14ac:dyDescent="0.3">
      <c r="C2860" s="87"/>
      <c r="G2860" s="115"/>
      <c r="H2860" s="86" t="e">
        <f>IF(I2860="fora",0%,G2860/QUÓRUM!$C$6)</f>
        <v>#DIV/0!</v>
      </c>
      <c r="I2860" s="87"/>
      <c r="J2860" s="88"/>
      <c r="K2860" s="88"/>
      <c r="L2860" s="89"/>
      <c r="M2860" s="89"/>
      <c r="N2860" s="90"/>
      <c r="Q2860" s="105"/>
    </row>
    <row r="2861" spans="3:17" x14ac:dyDescent="0.3">
      <c r="C2861" s="87"/>
      <c r="H2861" s="86" t="e">
        <f>IF(I2861="fora",0%,G2861/QUÓRUM!$C$6)</f>
        <v>#DIV/0!</v>
      </c>
      <c r="I2861" s="87"/>
      <c r="J2861" s="88"/>
      <c r="K2861" s="88"/>
      <c r="L2861" s="89"/>
      <c r="M2861" s="89"/>
      <c r="N2861" s="90"/>
      <c r="Q2861" s="105"/>
    </row>
    <row r="2862" spans="3:17" x14ac:dyDescent="0.3">
      <c r="C2862" s="87"/>
      <c r="H2862" s="86" t="e">
        <f>IF(I2862="fora",0%,G2862/QUÓRUM!$C$6)</f>
        <v>#DIV/0!</v>
      </c>
      <c r="I2862" s="87"/>
      <c r="J2862" s="88"/>
      <c r="K2862" s="88"/>
      <c r="L2862" s="89"/>
      <c r="M2862" s="89"/>
      <c r="N2862" s="90"/>
      <c r="Q2862" s="105"/>
    </row>
    <row r="2863" spans="3:17" x14ac:dyDescent="0.3">
      <c r="C2863" s="87"/>
      <c r="H2863" s="86" t="e">
        <f>IF(I2863="fora",0%,G2863/QUÓRUM!$C$6)</f>
        <v>#DIV/0!</v>
      </c>
      <c r="I2863" s="87"/>
      <c r="J2863" s="88"/>
      <c r="K2863" s="88"/>
      <c r="L2863" s="89"/>
      <c r="M2863" s="89"/>
      <c r="N2863" s="90"/>
      <c r="Q2863" s="105"/>
    </row>
    <row r="2864" spans="3:17" x14ac:dyDescent="0.3">
      <c r="C2864" s="87"/>
      <c r="H2864" s="86" t="e">
        <f>IF(I2864="fora",0%,G2864/QUÓRUM!$C$6)</f>
        <v>#DIV/0!</v>
      </c>
      <c r="I2864" s="87"/>
      <c r="J2864" s="88"/>
      <c r="K2864" s="88"/>
      <c r="L2864" s="89"/>
      <c r="M2864" s="89"/>
      <c r="N2864" s="90"/>
      <c r="Q2864" s="105"/>
    </row>
    <row r="2865" spans="3:17" x14ac:dyDescent="0.3">
      <c r="C2865" s="87"/>
      <c r="G2865" s="115"/>
      <c r="H2865" s="86" t="e">
        <f>IF(I2865="fora",0%,G2865/QUÓRUM!$C$6)</f>
        <v>#DIV/0!</v>
      </c>
      <c r="I2865" s="87"/>
      <c r="J2865" s="88"/>
      <c r="K2865" s="88"/>
      <c r="L2865" s="89"/>
      <c r="M2865" s="89"/>
      <c r="N2865" s="90"/>
      <c r="Q2865" s="105"/>
    </row>
    <row r="2866" spans="3:17" x14ac:dyDescent="0.3">
      <c r="C2866" s="87"/>
      <c r="H2866" s="86" t="e">
        <f>IF(I2866="fora",0%,G2866/QUÓRUM!$C$6)</f>
        <v>#DIV/0!</v>
      </c>
      <c r="I2866" s="87"/>
      <c r="J2866" s="88"/>
      <c r="K2866" s="88"/>
      <c r="L2866" s="89"/>
      <c r="M2866" s="89"/>
      <c r="N2866" s="90"/>
      <c r="Q2866" s="105"/>
    </row>
    <row r="2867" spans="3:17" x14ac:dyDescent="0.3">
      <c r="C2867" s="87"/>
      <c r="H2867" s="86" t="e">
        <f>IF(I2867="fora",0%,G2867/QUÓRUM!$C$6)</f>
        <v>#DIV/0!</v>
      </c>
      <c r="I2867" s="87"/>
      <c r="J2867" s="88"/>
      <c r="K2867" s="88"/>
      <c r="L2867" s="89"/>
      <c r="M2867" s="89"/>
      <c r="N2867" s="90"/>
      <c r="Q2867" s="105"/>
    </row>
    <row r="2868" spans="3:17" x14ac:dyDescent="0.3">
      <c r="C2868" s="87"/>
      <c r="H2868" s="86" t="e">
        <f>IF(I2868="fora",0%,G2868/QUÓRUM!$C$6)</f>
        <v>#DIV/0!</v>
      </c>
      <c r="I2868" s="87"/>
      <c r="J2868" s="88"/>
      <c r="K2868" s="88"/>
      <c r="L2868" s="89"/>
      <c r="M2868" s="89"/>
      <c r="N2868" s="90"/>
      <c r="Q2868" s="105"/>
    </row>
    <row r="2869" spans="3:17" x14ac:dyDescent="0.3">
      <c r="C2869" s="87"/>
      <c r="H2869" s="86" t="e">
        <f>IF(I2869="fora",0%,G2869/QUÓRUM!$C$6)</f>
        <v>#DIV/0!</v>
      </c>
      <c r="I2869" s="87"/>
      <c r="J2869" s="88"/>
      <c r="K2869" s="88"/>
      <c r="L2869" s="89"/>
      <c r="M2869" s="89"/>
      <c r="N2869" s="90"/>
      <c r="Q2869" s="105"/>
    </row>
    <row r="2870" spans="3:17" x14ac:dyDescent="0.3">
      <c r="C2870" s="87"/>
      <c r="H2870" s="86" t="e">
        <f>IF(I2870="fora",0%,G2870/QUÓRUM!$C$6)</f>
        <v>#DIV/0!</v>
      </c>
      <c r="I2870" s="87"/>
      <c r="J2870" s="88"/>
      <c r="K2870" s="88"/>
      <c r="L2870" s="89"/>
      <c r="M2870" s="89"/>
      <c r="N2870" s="90"/>
      <c r="Q2870" s="105"/>
    </row>
    <row r="2871" spans="3:17" x14ac:dyDescent="0.3">
      <c r="C2871" s="87"/>
      <c r="H2871" s="86" t="e">
        <f>IF(I2871="fora",0%,G2871/QUÓRUM!$C$6)</f>
        <v>#DIV/0!</v>
      </c>
      <c r="I2871" s="87"/>
      <c r="J2871" s="88"/>
      <c r="K2871" s="88"/>
      <c r="L2871" s="89"/>
      <c r="M2871" s="89"/>
      <c r="N2871" s="90"/>
      <c r="Q2871" s="105"/>
    </row>
    <row r="2872" spans="3:17" x14ac:dyDescent="0.3">
      <c r="C2872" s="87"/>
      <c r="H2872" s="86" t="e">
        <f>IF(I2872="fora",0%,G2872/QUÓRUM!$C$6)</f>
        <v>#DIV/0!</v>
      </c>
      <c r="I2872" s="87"/>
      <c r="J2872" s="88"/>
      <c r="K2872" s="88"/>
      <c r="L2872" s="89"/>
      <c r="M2872" s="89"/>
      <c r="N2872" s="90"/>
      <c r="Q2872" s="105"/>
    </row>
    <row r="2873" spans="3:17" x14ac:dyDescent="0.3">
      <c r="C2873" s="87"/>
      <c r="H2873" s="86" t="e">
        <f>IF(I2873="fora",0%,G2873/QUÓRUM!$C$6)</f>
        <v>#DIV/0!</v>
      </c>
      <c r="I2873" s="87"/>
      <c r="J2873" s="88"/>
      <c r="K2873" s="88"/>
      <c r="L2873" s="89"/>
      <c r="M2873" s="89"/>
      <c r="N2873" s="90"/>
      <c r="Q2873" s="105"/>
    </row>
    <row r="2874" spans="3:17" x14ac:dyDescent="0.3">
      <c r="C2874" s="87"/>
      <c r="H2874" s="86" t="e">
        <f>IF(I2874="fora",0%,G2874/QUÓRUM!$C$6)</f>
        <v>#DIV/0!</v>
      </c>
      <c r="I2874" s="87"/>
      <c r="J2874" s="88"/>
      <c r="K2874" s="88"/>
      <c r="L2874" s="89"/>
      <c r="M2874" s="89"/>
      <c r="N2874" s="90"/>
      <c r="Q2874" s="105"/>
    </row>
    <row r="2875" spans="3:17" x14ac:dyDescent="0.3">
      <c r="C2875" s="87"/>
      <c r="H2875" s="86" t="e">
        <f>IF(I2875="fora",0%,G2875/QUÓRUM!$C$6)</f>
        <v>#DIV/0!</v>
      </c>
      <c r="I2875" s="87"/>
      <c r="J2875" s="88"/>
      <c r="K2875" s="88"/>
      <c r="L2875" s="89"/>
      <c r="M2875" s="89"/>
      <c r="N2875" s="90"/>
      <c r="Q2875" s="105"/>
    </row>
    <row r="2876" spans="3:17" x14ac:dyDescent="0.3">
      <c r="C2876" s="87"/>
      <c r="H2876" s="86" t="e">
        <f>IF(I2876="fora",0%,G2876/QUÓRUM!$C$6)</f>
        <v>#DIV/0!</v>
      </c>
      <c r="I2876" s="87"/>
      <c r="J2876" s="88"/>
      <c r="K2876" s="88"/>
      <c r="L2876" s="89"/>
      <c r="M2876" s="89"/>
      <c r="N2876" s="90"/>
      <c r="Q2876" s="105"/>
    </row>
    <row r="2877" spans="3:17" x14ac:dyDescent="0.3">
      <c r="C2877" s="87"/>
      <c r="H2877" s="86" t="e">
        <f>IF(I2877="fora",0%,G2877/QUÓRUM!$C$6)</f>
        <v>#DIV/0!</v>
      </c>
      <c r="I2877" s="87"/>
      <c r="J2877" s="88"/>
      <c r="K2877" s="88"/>
      <c r="L2877" s="89"/>
      <c r="M2877" s="89"/>
      <c r="N2877" s="90"/>
      <c r="Q2877" s="105"/>
    </row>
    <row r="2878" spans="3:17" x14ac:dyDescent="0.3">
      <c r="C2878" s="87"/>
      <c r="H2878" s="86" t="e">
        <f>IF(I2878="fora",0%,G2878/QUÓRUM!$C$6)</f>
        <v>#DIV/0!</v>
      </c>
      <c r="I2878" s="87"/>
      <c r="J2878" s="88"/>
      <c r="K2878" s="88"/>
      <c r="L2878" s="89"/>
      <c r="M2878" s="89"/>
      <c r="N2878" s="90"/>
      <c r="Q2878" s="105"/>
    </row>
    <row r="2879" spans="3:17" x14ac:dyDescent="0.3">
      <c r="C2879" s="87"/>
      <c r="H2879" s="86" t="e">
        <f>IF(I2879="fora",0%,G2879/QUÓRUM!$C$6)</f>
        <v>#DIV/0!</v>
      </c>
      <c r="I2879" s="87"/>
      <c r="J2879" s="88"/>
      <c r="K2879" s="88"/>
      <c r="L2879" s="89"/>
      <c r="M2879" s="89"/>
      <c r="N2879" s="90"/>
      <c r="Q2879" s="105"/>
    </row>
    <row r="2880" spans="3:17" x14ac:dyDescent="0.3">
      <c r="C2880" s="87"/>
      <c r="H2880" s="86" t="e">
        <f>IF(I2880="fora",0%,G2880/QUÓRUM!$C$6)</f>
        <v>#DIV/0!</v>
      </c>
      <c r="I2880" s="87"/>
      <c r="J2880" s="88"/>
      <c r="K2880" s="88"/>
      <c r="L2880" s="89"/>
      <c r="M2880" s="89"/>
      <c r="N2880" s="90"/>
      <c r="Q2880" s="105"/>
    </row>
    <row r="2881" spans="3:17" x14ac:dyDescent="0.3">
      <c r="C2881" s="87"/>
      <c r="H2881" s="86" t="e">
        <f>IF(I2881="fora",0%,G2881/QUÓRUM!$C$6)</f>
        <v>#DIV/0!</v>
      </c>
      <c r="I2881" s="87"/>
      <c r="J2881" s="88"/>
      <c r="K2881" s="88"/>
      <c r="L2881" s="89"/>
      <c r="M2881" s="89"/>
      <c r="N2881" s="90"/>
      <c r="Q2881" s="105"/>
    </row>
    <row r="2882" spans="3:17" x14ac:dyDescent="0.3">
      <c r="C2882" s="87"/>
      <c r="H2882" s="86" t="e">
        <f>IF(I2882="fora",0%,G2882/QUÓRUM!$C$6)</f>
        <v>#DIV/0!</v>
      </c>
      <c r="I2882" s="87"/>
      <c r="J2882" s="88"/>
      <c r="K2882" s="88"/>
      <c r="L2882" s="89"/>
      <c r="M2882" s="89"/>
      <c r="N2882" s="90"/>
      <c r="Q2882" s="105"/>
    </row>
    <row r="2883" spans="3:17" x14ac:dyDescent="0.3">
      <c r="C2883" s="87"/>
      <c r="H2883" s="86" t="e">
        <f>IF(I2883="fora",0%,G2883/QUÓRUM!$C$6)</f>
        <v>#DIV/0!</v>
      </c>
      <c r="I2883" s="87"/>
      <c r="J2883" s="88"/>
      <c r="K2883" s="88"/>
      <c r="L2883" s="89"/>
      <c r="M2883" s="89"/>
      <c r="N2883" s="90"/>
      <c r="Q2883" s="105"/>
    </row>
    <row r="2884" spans="3:17" x14ac:dyDescent="0.3">
      <c r="C2884" s="87"/>
      <c r="G2884" s="115"/>
      <c r="H2884" s="86" t="e">
        <f>IF(I2884="fora",0%,G2884/QUÓRUM!$C$6)</f>
        <v>#DIV/0!</v>
      </c>
      <c r="I2884" s="87"/>
      <c r="J2884" s="88"/>
      <c r="K2884" s="88"/>
      <c r="L2884" s="89"/>
      <c r="M2884" s="89"/>
      <c r="N2884" s="90"/>
      <c r="Q2884" s="105"/>
    </row>
    <row r="2885" spans="3:17" x14ac:dyDescent="0.3">
      <c r="C2885" s="87"/>
      <c r="H2885" s="86" t="e">
        <f>IF(I2885="fora",0%,G2885/QUÓRUM!$C$6)</f>
        <v>#DIV/0!</v>
      </c>
      <c r="I2885" s="87"/>
      <c r="J2885" s="88"/>
      <c r="K2885" s="88"/>
      <c r="L2885" s="89"/>
      <c r="M2885" s="89"/>
      <c r="N2885" s="90"/>
      <c r="Q2885" s="105"/>
    </row>
    <row r="2886" spans="3:17" x14ac:dyDescent="0.3">
      <c r="C2886" s="87"/>
      <c r="H2886" s="86" t="e">
        <f>IF(I2886="fora",0%,G2886/QUÓRUM!$C$6)</f>
        <v>#DIV/0!</v>
      </c>
      <c r="I2886" s="87"/>
      <c r="J2886" s="88"/>
      <c r="K2886" s="88"/>
      <c r="L2886" s="89"/>
      <c r="M2886" s="89"/>
      <c r="N2886" s="90"/>
      <c r="Q2886" s="105"/>
    </row>
    <row r="2887" spans="3:17" x14ac:dyDescent="0.3">
      <c r="C2887" s="87"/>
      <c r="H2887" s="86" t="e">
        <f>IF(I2887="fora",0%,G2887/QUÓRUM!$C$6)</f>
        <v>#DIV/0!</v>
      </c>
      <c r="I2887" s="87"/>
      <c r="J2887" s="88"/>
      <c r="K2887" s="88"/>
      <c r="L2887" s="89"/>
      <c r="M2887" s="89"/>
      <c r="N2887" s="90"/>
      <c r="Q2887" s="105"/>
    </row>
    <row r="2888" spans="3:17" x14ac:dyDescent="0.3">
      <c r="C2888" s="87"/>
      <c r="H2888" s="86" t="e">
        <f>IF(I2888="fora",0%,G2888/QUÓRUM!$C$6)</f>
        <v>#DIV/0!</v>
      </c>
      <c r="I2888" s="87"/>
      <c r="J2888" s="88"/>
      <c r="K2888" s="88"/>
      <c r="L2888" s="89"/>
      <c r="M2888" s="89"/>
      <c r="N2888" s="90"/>
      <c r="Q2888" s="105"/>
    </row>
    <row r="2889" spans="3:17" x14ac:dyDescent="0.3">
      <c r="C2889" s="87"/>
      <c r="H2889" s="86" t="e">
        <f>IF(I2889="fora",0%,G2889/QUÓRUM!$C$6)</f>
        <v>#DIV/0!</v>
      </c>
      <c r="I2889" s="87"/>
      <c r="J2889" s="88"/>
      <c r="K2889" s="88"/>
      <c r="L2889" s="89"/>
      <c r="M2889" s="89"/>
      <c r="N2889" s="90"/>
      <c r="Q2889" s="105"/>
    </row>
    <row r="2890" spans="3:17" x14ac:dyDescent="0.3">
      <c r="C2890" s="87"/>
      <c r="H2890" s="86" t="e">
        <f>IF(I2890="fora",0%,G2890/QUÓRUM!$C$6)</f>
        <v>#DIV/0!</v>
      </c>
      <c r="I2890" s="87"/>
      <c r="J2890" s="88"/>
      <c r="K2890" s="88"/>
      <c r="L2890" s="89"/>
      <c r="M2890" s="89"/>
      <c r="N2890" s="90"/>
      <c r="Q2890" s="105"/>
    </row>
    <row r="2891" spans="3:17" x14ac:dyDescent="0.3">
      <c r="C2891" s="87"/>
      <c r="H2891" s="86" t="e">
        <f>IF(I2891="fora",0%,G2891/QUÓRUM!$C$6)</f>
        <v>#DIV/0!</v>
      </c>
      <c r="I2891" s="87"/>
      <c r="J2891" s="88"/>
      <c r="K2891" s="88"/>
      <c r="L2891" s="89"/>
      <c r="M2891" s="89"/>
      <c r="N2891" s="90"/>
      <c r="Q2891" s="105"/>
    </row>
    <row r="2892" spans="3:17" x14ac:dyDescent="0.3">
      <c r="C2892" s="87"/>
      <c r="H2892" s="86" t="e">
        <f>IF(I2892="fora",0%,G2892/QUÓRUM!$C$6)</f>
        <v>#DIV/0!</v>
      </c>
      <c r="I2892" s="87"/>
      <c r="J2892" s="88"/>
      <c r="K2892" s="88"/>
      <c r="L2892" s="89"/>
      <c r="M2892" s="89"/>
      <c r="N2892" s="90"/>
      <c r="Q2892" s="105"/>
    </row>
    <row r="2893" spans="3:17" x14ac:dyDescent="0.3">
      <c r="C2893" s="87"/>
      <c r="H2893" s="86" t="e">
        <f>IF(I2893="fora",0%,G2893/QUÓRUM!$C$6)</f>
        <v>#DIV/0!</v>
      </c>
      <c r="I2893" s="87"/>
      <c r="J2893" s="88"/>
      <c r="K2893" s="88"/>
      <c r="L2893" s="89"/>
      <c r="M2893" s="89"/>
      <c r="N2893" s="90"/>
      <c r="Q2893" s="105"/>
    </row>
    <row r="2894" spans="3:17" x14ac:dyDescent="0.3">
      <c r="C2894" s="87"/>
      <c r="H2894" s="86" t="e">
        <f>IF(I2894="fora",0%,G2894/QUÓRUM!$C$6)</f>
        <v>#DIV/0!</v>
      </c>
      <c r="I2894" s="87"/>
      <c r="J2894" s="88"/>
      <c r="K2894" s="88"/>
      <c r="L2894" s="89"/>
      <c r="M2894" s="89"/>
      <c r="N2894" s="90"/>
      <c r="Q2894" s="105"/>
    </row>
    <row r="2895" spans="3:17" x14ac:dyDescent="0.3">
      <c r="C2895" s="87"/>
      <c r="H2895" s="86" t="e">
        <f>IF(I2895="fora",0%,G2895/QUÓRUM!$C$6)</f>
        <v>#DIV/0!</v>
      </c>
      <c r="I2895" s="87"/>
      <c r="J2895" s="88"/>
      <c r="K2895" s="88"/>
      <c r="L2895" s="89"/>
      <c r="M2895" s="89"/>
      <c r="N2895" s="90"/>
      <c r="Q2895" s="105"/>
    </row>
    <row r="2896" spans="3:17" x14ac:dyDescent="0.3">
      <c r="C2896" s="87"/>
      <c r="H2896" s="86" t="e">
        <f>IF(I2896="fora",0%,G2896/QUÓRUM!$C$6)</f>
        <v>#DIV/0!</v>
      </c>
      <c r="I2896" s="87"/>
      <c r="J2896" s="88"/>
      <c r="K2896" s="88"/>
      <c r="L2896" s="89"/>
      <c r="M2896" s="89"/>
      <c r="N2896" s="90"/>
      <c r="Q2896" s="105"/>
    </row>
    <row r="2897" spans="3:17" x14ac:dyDescent="0.3">
      <c r="C2897" s="87"/>
      <c r="G2897" s="115"/>
      <c r="H2897" s="86" t="e">
        <f>IF(I2897="fora",0%,G2897/QUÓRUM!$C$6)</f>
        <v>#DIV/0!</v>
      </c>
      <c r="I2897" s="87"/>
      <c r="J2897" s="88"/>
      <c r="K2897" s="88"/>
      <c r="L2897" s="89"/>
      <c r="M2897" s="89"/>
      <c r="N2897" s="90"/>
      <c r="Q2897" s="105"/>
    </row>
    <row r="2898" spans="3:17" x14ac:dyDescent="0.3">
      <c r="C2898" s="87"/>
      <c r="H2898" s="86" t="e">
        <f>IF(I2898="fora",0%,G2898/QUÓRUM!$C$6)</f>
        <v>#DIV/0!</v>
      </c>
      <c r="I2898" s="87"/>
      <c r="J2898" s="88"/>
      <c r="K2898" s="88"/>
      <c r="L2898" s="89"/>
      <c r="M2898" s="89"/>
      <c r="N2898" s="90"/>
      <c r="Q2898" s="105"/>
    </row>
    <row r="2899" spans="3:17" x14ac:dyDescent="0.3">
      <c r="C2899" s="87"/>
      <c r="H2899" s="86" t="e">
        <f>IF(I2899="fora",0%,G2899/QUÓRUM!$C$6)</f>
        <v>#DIV/0!</v>
      </c>
      <c r="I2899" s="87"/>
      <c r="J2899" s="88"/>
      <c r="K2899" s="88"/>
      <c r="L2899" s="89"/>
      <c r="M2899" s="89"/>
      <c r="N2899" s="90"/>
      <c r="Q2899" s="105"/>
    </row>
    <row r="2900" spans="3:17" x14ac:dyDescent="0.3">
      <c r="C2900" s="87"/>
      <c r="G2900" s="115"/>
      <c r="H2900" s="86" t="e">
        <f>IF(I2900="fora",0%,G2900/QUÓRUM!$C$6)</f>
        <v>#DIV/0!</v>
      </c>
      <c r="I2900" s="87"/>
      <c r="J2900" s="88"/>
      <c r="K2900" s="88"/>
      <c r="L2900" s="89"/>
      <c r="M2900" s="89"/>
      <c r="N2900" s="90"/>
      <c r="Q2900" s="105"/>
    </row>
    <row r="2901" spans="3:17" x14ac:dyDescent="0.3">
      <c r="C2901" s="87"/>
      <c r="H2901" s="86" t="e">
        <f>IF(I2901="fora",0%,G2901/QUÓRUM!$C$6)</f>
        <v>#DIV/0!</v>
      </c>
      <c r="I2901" s="87"/>
      <c r="J2901" s="88"/>
      <c r="K2901" s="88"/>
      <c r="L2901" s="89"/>
      <c r="M2901" s="89"/>
      <c r="N2901" s="90"/>
      <c r="Q2901" s="105"/>
    </row>
    <row r="2902" spans="3:17" x14ac:dyDescent="0.3">
      <c r="C2902" s="87"/>
      <c r="G2902" s="115"/>
      <c r="H2902" s="86" t="e">
        <f>IF(I2902="fora",0%,G2902/QUÓRUM!$C$6)</f>
        <v>#DIV/0!</v>
      </c>
      <c r="I2902" s="87"/>
      <c r="J2902" s="88"/>
      <c r="K2902" s="88"/>
      <c r="L2902" s="89"/>
      <c r="M2902" s="89"/>
      <c r="N2902" s="90"/>
      <c r="Q2902" s="105"/>
    </row>
    <row r="2903" spans="3:17" x14ac:dyDescent="0.3">
      <c r="C2903" s="87"/>
      <c r="G2903" s="115"/>
      <c r="H2903" s="86" t="e">
        <f>IF(I2903="fora",0%,G2903/QUÓRUM!$C$6)</f>
        <v>#DIV/0!</v>
      </c>
      <c r="I2903" s="87"/>
      <c r="J2903" s="88"/>
      <c r="K2903" s="88"/>
      <c r="L2903" s="89"/>
      <c r="M2903" s="89"/>
      <c r="N2903" s="90"/>
      <c r="Q2903" s="105"/>
    </row>
    <row r="2904" spans="3:17" x14ac:dyDescent="0.3">
      <c r="C2904" s="87"/>
      <c r="H2904" s="86" t="e">
        <f>IF(I2904="fora",0%,G2904/QUÓRUM!$C$6)</f>
        <v>#DIV/0!</v>
      </c>
      <c r="I2904" s="87"/>
      <c r="J2904" s="88"/>
      <c r="K2904" s="88"/>
      <c r="L2904" s="89"/>
      <c r="M2904" s="89"/>
      <c r="N2904" s="90"/>
      <c r="Q2904" s="105"/>
    </row>
    <row r="2905" spans="3:17" x14ac:dyDescent="0.3">
      <c r="C2905" s="87"/>
      <c r="H2905" s="86" t="e">
        <f>IF(I2905="fora",0%,G2905/QUÓRUM!$C$6)</f>
        <v>#DIV/0!</v>
      </c>
      <c r="I2905" s="87"/>
      <c r="J2905" s="88"/>
      <c r="K2905" s="88"/>
      <c r="L2905" s="89"/>
      <c r="M2905" s="89"/>
      <c r="N2905" s="90"/>
      <c r="Q2905" s="105"/>
    </row>
    <row r="2906" spans="3:17" x14ac:dyDescent="0.3">
      <c r="C2906" s="87"/>
      <c r="H2906" s="86" t="e">
        <f>IF(I2906="fora",0%,G2906/QUÓRUM!$C$6)</f>
        <v>#DIV/0!</v>
      </c>
      <c r="I2906" s="87"/>
      <c r="J2906" s="88"/>
      <c r="K2906" s="88"/>
      <c r="L2906" s="89"/>
      <c r="M2906" s="89"/>
      <c r="N2906" s="90"/>
      <c r="Q2906" s="105"/>
    </row>
    <row r="2907" spans="3:17" x14ac:dyDescent="0.3">
      <c r="C2907" s="87"/>
      <c r="G2907" s="115"/>
      <c r="H2907" s="86" t="e">
        <f>IF(I2907="fora",0%,G2907/QUÓRUM!$C$6)</f>
        <v>#DIV/0!</v>
      </c>
      <c r="I2907" s="87"/>
      <c r="J2907" s="88"/>
      <c r="K2907" s="88"/>
      <c r="L2907" s="89"/>
      <c r="M2907" s="89"/>
      <c r="N2907" s="90"/>
      <c r="Q2907" s="105"/>
    </row>
    <row r="2908" spans="3:17" x14ac:dyDescent="0.3">
      <c r="C2908" s="87"/>
      <c r="H2908" s="86" t="e">
        <f>IF(I2908="fora",0%,G2908/QUÓRUM!$C$6)</f>
        <v>#DIV/0!</v>
      </c>
      <c r="I2908" s="87"/>
      <c r="J2908" s="88"/>
      <c r="K2908" s="88"/>
      <c r="L2908" s="89"/>
      <c r="M2908" s="89"/>
      <c r="N2908" s="90"/>
      <c r="Q2908" s="105"/>
    </row>
    <row r="2909" spans="3:17" x14ac:dyDescent="0.3">
      <c r="C2909" s="87"/>
      <c r="H2909" s="86" t="e">
        <f>IF(I2909="fora",0%,G2909/QUÓRUM!$C$6)</f>
        <v>#DIV/0!</v>
      </c>
      <c r="I2909" s="87"/>
      <c r="J2909" s="88"/>
      <c r="K2909" s="88"/>
      <c r="L2909" s="89"/>
      <c r="M2909" s="89"/>
      <c r="N2909" s="90"/>
      <c r="Q2909" s="105"/>
    </row>
    <row r="2910" spans="3:17" x14ac:dyDescent="0.3">
      <c r="C2910" s="87"/>
      <c r="G2910" s="115"/>
      <c r="H2910" s="86" t="e">
        <f>IF(I2910="fora",0%,G2910/QUÓRUM!$C$6)</f>
        <v>#DIV/0!</v>
      </c>
      <c r="I2910" s="87"/>
      <c r="J2910" s="88"/>
      <c r="K2910" s="88"/>
      <c r="L2910" s="89"/>
      <c r="M2910" s="89"/>
      <c r="N2910" s="90"/>
      <c r="Q2910" s="105"/>
    </row>
    <row r="2911" spans="3:17" x14ac:dyDescent="0.3">
      <c r="C2911" s="87"/>
      <c r="H2911" s="86" t="e">
        <f>IF(I2911="fora",0%,G2911/QUÓRUM!$C$6)</f>
        <v>#DIV/0!</v>
      </c>
      <c r="I2911" s="87"/>
      <c r="J2911" s="88"/>
      <c r="K2911" s="88"/>
      <c r="L2911" s="89"/>
      <c r="M2911" s="89"/>
      <c r="N2911" s="90"/>
      <c r="Q2911" s="105"/>
    </row>
    <row r="2912" spans="3:17" x14ac:dyDescent="0.3">
      <c r="C2912" s="87"/>
      <c r="H2912" s="86" t="e">
        <f>IF(I2912="fora",0%,G2912/QUÓRUM!$C$6)</f>
        <v>#DIV/0!</v>
      </c>
      <c r="I2912" s="87"/>
      <c r="J2912" s="88"/>
      <c r="K2912" s="88"/>
      <c r="L2912" s="89"/>
      <c r="M2912" s="89"/>
      <c r="N2912" s="90"/>
      <c r="Q2912" s="105"/>
    </row>
    <row r="2913" spans="3:17" x14ac:dyDescent="0.3">
      <c r="C2913" s="87"/>
      <c r="H2913" s="86" t="e">
        <f>IF(I2913="fora",0%,G2913/QUÓRUM!$C$6)</f>
        <v>#DIV/0!</v>
      </c>
      <c r="I2913" s="87"/>
      <c r="J2913" s="88"/>
      <c r="K2913" s="88"/>
      <c r="L2913" s="89"/>
      <c r="M2913" s="89"/>
      <c r="N2913" s="90"/>
      <c r="Q2913" s="105"/>
    </row>
    <row r="2914" spans="3:17" x14ac:dyDescent="0.3">
      <c r="C2914" s="87"/>
      <c r="H2914" s="86" t="e">
        <f>IF(I2914="fora",0%,G2914/QUÓRUM!$C$6)</f>
        <v>#DIV/0!</v>
      </c>
      <c r="I2914" s="87"/>
      <c r="J2914" s="88"/>
      <c r="K2914" s="88"/>
      <c r="L2914" s="89"/>
      <c r="M2914" s="89"/>
      <c r="N2914" s="90"/>
      <c r="Q2914" s="105"/>
    </row>
    <row r="2915" spans="3:17" x14ac:dyDescent="0.3">
      <c r="C2915" s="87"/>
      <c r="H2915" s="86" t="e">
        <f>IF(I2915="fora",0%,G2915/QUÓRUM!$C$6)</f>
        <v>#DIV/0!</v>
      </c>
      <c r="I2915" s="87"/>
      <c r="J2915" s="88"/>
      <c r="K2915" s="88"/>
      <c r="L2915" s="89"/>
      <c r="M2915" s="89"/>
      <c r="N2915" s="90"/>
      <c r="Q2915" s="105"/>
    </row>
    <row r="2916" spans="3:17" x14ac:dyDescent="0.3">
      <c r="C2916" s="87"/>
      <c r="G2916" s="115"/>
      <c r="H2916" s="86" t="e">
        <f>IF(I2916="fora",0%,G2916/QUÓRUM!$C$6)</f>
        <v>#DIV/0!</v>
      </c>
      <c r="I2916" s="87"/>
      <c r="J2916" s="88"/>
      <c r="K2916" s="88"/>
      <c r="L2916" s="89"/>
      <c r="M2916" s="89"/>
      <c r="N2916" s="90"/>
      <c r="Q2916" s="105"/>
    </row>
    <row r="2917" spans="3:17" x14ac:dyDescent="0.3">
      <c r="C2917" s="87"/>
      <c r="G2917" s="115"/>
      <c r="H2917" s="86" t="e">
        <f>IF(I2917="fora",0%,G2917/QUÓRUM!$C$6)</f>
        <v>#DIV/0!</v>
      </c>
      <c r="I2917" s="87"/>
      <c r="J2917" s="88"/>
      <c r="K2917" s="88"/>
      <c r="L2917" s="89"/>
      <c r="M2917" s="89"/>
      <c r="N2917" s="90"/>
      <c r="Q2917" s="105"/>
    </row>
    <row r="2918" spans="3:17" x14ac:dyDescent="0.3">
      <c r="C2918" s="87"/>
      <c r="G2918" s="115"/>
      <c r="H2918" s="86" t="e">
        <f>IF(I2918="fora",0%,G2918/QUÓRUM!$C$6)</f>
        <v>#DIV/0!</v>
      </c>
      <c r="I2918" s="87"/>
      <c r="J2918" s="88"/>
      <c r="K2918" s="88"/>
      <c r="L2918" s="89"/>
      <c r="M2918" s="89"/>
      <c r="N2918" s="90"/>
      <c r="Q2918" s="105"/>
    </row>
    <row r="2919" spans="3:17" x14ac:dyDescent="0.3">
      <c r="C2919" s="87"/>
      <c r="H2919" s="86" t="e">
        <f>IF(I2919="fora",0%,G2919/QUÓRUM!$C$6)</f>
        <v>#DIV/0!</v>
      </c>
      <c r="I2919" s="87"/>
      <c r="J2919" s="88"/>
      <c r="K2919" s="88"/>
      <c r="L2919" s="89"/>
      <c r="M2919" s="89"/>
      <c r="N2919" s="90"/>
      <c r="Q2919" s="105"/>
    </row>
    <row r="2920" spans="3:17" x14ac:dyDescent="0.3">
      <c r="C2920" s="87"/>
      <c r="H2920" s="86" t="e">
        <f>IF(I2920="fora",0%,G2920/QUÓRUM!$C$6)</f>
        <v>#DIV/0!</v>
      </c>
      <c r="I2920" s="87"/>
      <c r="J2920" s="88"/>
      <c r="K2920" s="88"/>
      <c r="L2920" s="89"/>
      <c r="M2920" s="89"/>
      <c r="N2920" s="90"/>
      <c r="Q2920" s="105"/>
    </row>
    <row r="2921" spans="3:17" x14ac:dyDescent="0.3">
      <c r="C2921" s="87"/>
      <c r="H2921" s="86" t="e">
        <f>IF(I2921="fora",0%,G2921/QUÓRUM!$C$6)</f>
        <v>#DIV/0!</v>
      </c>
      <c r="I2921" s="87"/>
      <c r="J2921" s="88"/>
      <c r="K2921" s="88"/>
      <c r="L2921" s="89"/>
      <c r="M2921" s="89"/>
      <c r="N2921" s="90"/>
      <c r="Q2921" s="105"/>
    </row>
    <row r="2922" spans="3:17" x14ac:dyDescent="0.3">
      <c r="C2922" s="87"/>
      <c r="H2922" s="86" t="e">
        <f>IF(I2922="fora",0%,G2922/QUÓRUM!$C$6)</f>
        <v>#DIV/0!</v>
      </c>
      <c r="I2922" s="87"/>
      <c r="J2922" s="88"/>
      <c r="K2922" s="88"/>
      <c r="L2922" s="89"/>
      <c r="M2922" s="89"/>
      <c r="N2922" s="90"/>
      <c r="Q2922" s="105"/>
    </row>
    <row r="2923" spans="3:17" x14ac:dyDescent="0.3">
      <c r="C2923" s="87"/>
      <c r="H2923" s="86" t="e">
        <f>IF(I2923="fora",0%,G2923/QUÓRUM!$C$6)</f>
        <v>#DIV/0!</v>
      </c>
      <c r="I2923" s="87"/>
      <c r="J2923" s="88"/>
      <c r="K2923" s="88"/>
      <c r="L2923" s="89"/>
      <c r="M2923" s="89"/>
      <c r="N2923" s="90"/>
      <c r="Q2923" s="105"/>
    </row>
    <row r="2924" spans="3:17" x14ac:dyDescent="0.3">
      <c r="C2924" s="87"/>
      <c r="H2924" s="86" t="e">
        <f>IF(I2924="fora",0%,G2924/QUÓRUM!$C$6)</f>
        <v>#DIV/0!</v>
      </c>
      <c r="I2924" s="87"/>
      <c r="J2924" s="88"/>
      <c r="K2924" s="88"/>
      <c r="L2924" s="89"/>
      <c r="M2924" s="89"/>
      <c r="N2924" s="90"/>
      <c r="Q2924" s="105"/>
    </row>
    <row r="2925" spans="3:17" x14ac:dyDescent="0.3">
      <c r="C2925" s="87"/>
      <c r="G2925" s="115"/>
      <c r="H2925" s="86" t="e">
        <f>IF(I2925="fora",0%,G2925/QUÓRUM!$C$6)</f>
        <v>#DIV/0!</v>
      </c>
      <c r="I2925" s="87"/>
      <c r="J2925" s="88"/>
      <c r="K2925" s="88"/>
      <c r="L2925" s="89"/>
      <c r="M2925" s="89"/>
      <c r="N2925" s="90"/>
      <c r="Q2925" s="105"/>
    </row>
    <row r="2926" spans="3:17" x14ac:dyDescent="0.3">
      <c r="C2926" s="87"/>
      <c r="H2926" s="86" t="e">
        <f>IF(I2926="fora",0%,G2926/QUÓRUM!$C$6)</f>
        <v>#DIV/0!</v>
      </c>
      <c r="I2926" s="87"/>
      <c r="J2926" s="88"/>
      <c r="K2926" s="88"/>
      <c r="L2926" s="89"/>
      <c r="M2926" s="89"/>
      <c r="N2926" s="90"/>
      <c r="Q2926" s="105"/>
    </row>
    <row r="2927" spans="3:17" x14ac:dyDescent="0.3">
      <c r="C2927" s="87"/>
      <c r="H2927" s="86" t="e">
        <f>IF(I2927="fora",0%,G2927/QUÓRUM!$C$6)</f>
        <v>#DIV/0!</v>
      </c>
      <c r="I2927" s="87"/>
      <c r="J2927" s="88"/>
      <c r="K2927" s="88"/>
      <c r="L2927" s="89"/>
      <c r="M2927" s="89"/>
      <c r="N2927" s="90"/>
      <c r="Q2927" s="105"/>
    </row>
    <row r="2928" spans="3:17" x14ac:dyDescent="0.3">
      <c r="C2928" s="87"/>
      <c r="G2928" s="115"/>
      <c r="H2928" s="86" t="e">
        <f>IF(I2928="fora",0%,G2928/QUÓRUM!$C$6)</f>
        <v>#DIV/0!</v>
      </c>
      <c r="I2928" s="87"/>
      <c r="J2928" s="88"/>
      <c r="K2928" s="88"/>
      <c r="L2928" s="89"/>
      <c r="M2928" s="89"/>
      <c r="N2928" s="90"/>
      <c r="Q2928" s="105"/>
    </row>
    <row r="2929" spans="3:17" x14ac:dyDescent="0.3">
      <c r="C2929" s="87"/>
      <c r="H2929" s="86" t="e">
        <f>IF(I2929="fora",0%,G2929/QUÓRUM!$C$6)</f>
        <v>#DIV/0!</v>
      </c>
      <c r="I2929" s="87"/>
      <c r="J2929" s="88"/>
      <c r="K2929" s="88"/>
      <c r="L2929" s="89"/>
      <c r="M2929" s="89"/>
      <c r="N2929" s="90"/>
      <c r="Q2929" s="105"/>
    </row>
    <row r="2930" spans="3:17" x14ac:dyDescent="0.3">
      <c r="C2930" s="87"/>
      <c r="H2930" s="86" t="e">
        <f>IF(I2930="fora",0%,G2930/QUÓRUM!$C$6)</f>
        <v>#DIV/0!</v>
      </c>
      <c r="I2930" s="87"/>
      <c r="J2930" s="88"/>
      <c r="K2930" s="88"/>
      <c r="L2930" s="89"/>
      <c r="M2930" s="89"/>
      <c r="N2930" s="90"/>
      <c r="Q2930" s="105"/>
    </row>
    <row r="2931" spans="3:17" x14ac:dyDescent="0.3">
      <c r="C2931" s="87"/>
      <c r="H2931" s="86" t="e">
        <f>IF(I2931="fora",0%,G2931/QUÓRUM!$C$6)</f>
        <v>#DIV/0!</v>
      </c>
      <c r="I2931" s="87"/>
      <c r="J2931" s="88"/>
      <c r="K2931" s="88"/>
      <c r="L2931" s="89"/>
      <c r="M2931" s="89"/>
      <c r="N2931" s="90"/>
      <c r="Q2931" s="105"/>
    </row>
    <row r="2932" spans="3:17" x14ac:dyDescent="0.3">
      <c r="C2932" s="87"/>
      <c r="G2932" s="115"/>
      <c r="H2932" s="86" t="e">
        <f>IF(I2932="fora",0%,G2932/QUÓRUM!$C$6)</f>
        <v>#DIV/0!</v>
      </c>
      <c r="I2932" s="87"/>
      <c r="J2932" s="88"/>
      <c r="K2932" s="88"/>
      <c r="L2932" s="89"/>
      <c r="M2932" s="89"/>
      <c r="N2932" s="90"/>
      <c r="Q2932" s="105"/>
    </row>
    <row r="2933" spans="3:17" x14ac:dyDescent="0.3">
      <c r="C2933" s="87"/>
      <c r="H2933" s="86" t="e">
        <f>IF(I2933="fora",0%,G2933/QUÓRUM!$C$6)</f>
        <v>#DIV/0!</v>
      </c>
      <c r="I2933" s="87"/>
      <c r="J2933" s="88"/>
      <c r="K2933" s="88"/>
      <c r="L2933" s="89"/>
      <c r="M2933" s="89"/>
      <c r="N2933" s="90"/>
      <c r="Q2933" s="105"/>
    </row>
    <row r="2934" spans="3:17" x14ac:dyDescent="0.3">
      <c r="C2934" s="87"/>
      <c r="H2934" s="86" t="e">
        <f>IF(I2934="fora",0%,G2934/QUÓRUM!$C$6)</f>
        <v>#DIV/0!</v>
      </c>
      <c r="I2934" s="87"/>
      <c r="J2934" s="88"/>
      <c r="K2934" s="88"/>
      <c r="L2934" s="89"/>
      <c r="M2934" s="89"/>
      <c r="N2934" s="90"/>
      <c r="Q2934" s="105"/>
    </row>
    <row r="2935" spans="3:17" x14ac:dyDescent="0.3">
      <c r="C2935" s="87"/>
      <c r="G2935" s="115"/>
      <c r="H2935" s="86" t="e">
        <f>IF(I2935="fora",0%,G2935/QUÓRUM!$C$6)</f>
        <v>#DIV/0!</v>
      </c>
      <c r="I2935" s="87"/>
      <c r="J2935" s="88"/>
      <c r="K2935" s="88"/>
      <c r="L2935" s="89"/>
      <c r="M2935" s="89"/>
      <c r="N2935" s="90"/>
      <c r="Q2935" s="105"/>
    </row>
    <row r="2936" spans="3:17" x14ac:dyDescent="0.3">
      <c r="C2936" s="87"/>
      <c r="H2936" s="86" t="e">
        <f>IF(I2936="fora",0%,G2936/QUÓRUM!$C$6)</f>
        <v>#DIV/0!</v>
      </c>
      <c r="I2936" s="87"/>
      <c r="J2936" s="88"/>
      <c r="K2936" s="88"/>
      <c r="L2936" s="89"/>
      <c r="M2936" s="89"/>
      <c r="N2936" s="90"/>
      <c r="Q2936" s="105"/>
    </row>
    <row r="2937" spans="3:17" x14ac:dyDescent="0.3">
      <c r="C2937" s="87"/>
      <c r="H2937" s="86" t="e">
        <f>IF(I2937="fora",0%,G2937/QUÓRUM!$C$6)</f>
        <v>#DIV/0!</v>
      </c>
      <c r="I2937" s="87"/>
      <c r="J2937" s="88"/>
      <c r="K2937" s="88"/>
      <c r="L2937" s="89"/>
      <c r="M2937" s="89"/>
      <c r="N2937" s="90"/>
      <c r="Q2937" s="105"/>
    </row>
    <row r="2938" spans="3:17" x14ac:dyDescent="0.3">
      <c r="C2938" s="87"/>
      <c r="G2938" s="115"/>
      <c r="H2938" s="86" t="e">
        <f>IF(I2938="fora",0%,G2938/QUÓRUM!$C$6)</f>
        <v>#DIV/0!</v>
      </c>
      <c r="I2938" s="87"/>
      <c r="J2938" s="88"/>
      <c r="K2938" s="88"/>
      <c r="L2938" s="89"/>
      <c r="M2938" s="89"/>
      <c r="N2938" s="90"/>
      <c r="Q2938" s="105"/>
    </row>
    <row r="2939" spans="3:17" x14ac:dyDescent="0.3">
      <c r="C2939" s="87"/>
      <c r="G2939" s="115"/>
      <c r="H2939" s="86" t="e">
        <f>IF(I2939="fora",0%,G2939/QUÓRUM!$C$6)</f>
        <v>#DIV/0!</v>
      </c>
      <c r="I2939" s="87"/>
      <c r="J2939" s="88"/>
      <c r="K2939" s="88"/>
      <c r="L2939" s="89"/>
      <c r="M2939" s="89"/>
      <c r="N2939" s="90"/>
      <c r="Q2939" s="105"/>
    </row>
    <row r="2940" spans="3:17" x14ac:dyDescent="0.3">
      <c r="C2940" s="87"/>
      <c r="H2940" s="86" t="e">
        <f>IF(I2940="fora",0%,G2940/QUÓRUM!$C$6)</f>
        <v>#DIV/0!</v>
      </c>
      <c r="I2940" s="87"/>
      <c r="J2940" s="88"/>
      <c r="K2940" s="88"/>
      <c r="L2940" s="89"/>
      <c r="M2940" s="89"/>
      <c r="N2940" s="90"/>
      <c r="Q2940" s="105"/>
    </row>
    <row r="2941" spans="3:17" x14ac:dyDescent="0.3">
      <c r="C2941" s="87"/>
      <c r="H2941" s="86" t="e">
        <f>IF(I2941="fora",0%,G2941/QUÓRUM!$C$6)</f>
        <v>#DIV/0!</v>
      </c>
      <c r="I2941" s="87"/>
      <c r="J2941" s="88"/>
      <c r="K2941" s="88"/>
      <c r="L2941" s="89"/>
      <c r="M2941" s="89"/>
      <c r="N2941" s="90"/>
      <c r="Q2941" s="105"/>
    </row>
    <row r="2942" spans="3:17" x14ac:dyDescent="0.3">
      <c r="C2942" s="87"/>
      <c r="H2942" s="86" t="e">
        <f>IF(I2942="fora",0%,G2942/QUÓRUM!$C$6)</f>
        <v>#DIV/0!</v>
      </c>
      <c r="I2942" s="87"/>
      <c r="J2942" s="88"/>
      <c r="K2942" s="88"/>
      <c r="L2942" s="89"/>
      <c r="M2942" s="89"/>
      <c r="N2942" s="90"/>
      <c r="Q2942" s="105"/>
    </row>
    <row r="2943" spans="3:17" x14ac:dyDescent="0.3">
      <c r="C2943" s="87"/>
      <c r="H2943" s="86" t="e">
        <f>IF(I2943="fora",0%,G2943/QUÓRUM!$C$6)</f>
        <v>#DIV/0!</v>
      </c>
      <c r="I2943" s="87"/>
      <c r="J2943" s="88"/>
      <c r="K2943" s="88"/>
      <c r="L2943" s="89"/>
      <c r="M2943" s="89"/>
      <c r="N2943" s="90"/>
      <c r="Q2943" s="105"/>
    </row>
    <row r="2944" spans="3:17" x14ac:dyDescent="0.3">
      <c r="C2944" s="87"/>
      <c r="G2944" s="115"/>
      <c r="H2944" s="86" t="e">
        <f>IF(I2944="fora",0%,G2944/QUÓRUM!$C$6)</f>
        <v>#DIV/0!</v>
      </c>
      <c r="I2944" s="87"/>
      <c r="J2944" s="88"/>
      <c r="K2944" s="88"/>
      <c r="L2944" s="89"/>
      <c r="M2944" s="89"/>
      <c r="N2944" s="90"/>
      <c r="Q2944" s="105"/>
    </row>
    <row r="2945" spans="3:17" x14ac:dyDescent="0.3">
      <c r="C2945" s="87"/>
      <c r="H2945" s="86" t="e">
        <f>IF(I2945="fora",0%,G2945/QUÓRUM!$C$6)</f>
        <v>#DIV/0!</v>
      </c>
      <c r="I2945" s="87"/>
      <c r="J2945" s="88"/>
      <c r="K2945" s="88"/>
      <c r="L2945" s="89"/>
      <c r="M2945" s="89"/>
      <c r="N2945" s="90"/>
      <c r="Q2945" s="105"/>
    </row>
    <row r="2946" spans="3:17" x14ac:dyDescent="0.3">
      <c r="C2946" s="87"/>
      <c r="H2946" s="86" t="e">
        <f>IF(I2946="fora",0%,G2946/QUÓRUM!$C$6)</f>
        <v>#DIV/0!</v>
      </c>
      <c r="I2946" s="87"/>
      <c r="J2946" s="88"/>
      <c r="K2946" s="88"/>
      <c r="L2946" s="89"/>
      <c r="M2946" s="89"/>
      <c r="N2946" s="90"/>
      <c r="Q2946" s="105"/>
    </row>
    <row r="2947" spans="3:17" x14ac:dyDescent="0.3">
      <c r="C2947" s="87"/>
      <c r="H2947" s="86" t="e">
        <f>IF(I2947="fora",0%,G2947/QUÓRUM!$C$6)</f>
        <v>#DIV/0!</v>
      </c>
      <c r="I2947" s="87"/>
      <c r="J2947" s="88"/>
      <c r="K2947" s="88"/>
      <c r="L2947" s="89"/>
      <c r="M2947" s="89"/>
      <c r="N2947" s="90"/>
      <c r="Q2947" s="105"/>
    </row>
    <row r="2948" spans="3:17" x14ac:dyDescent="0.3">
      <c r="C2948" s="87"/>
      <c r="H2948" s="86" t="e">
        <f>IF(I2948="fora",0%,G2948/QUÓRUM!$C$6)</f>
        <v>#DIV/0!</v>
      </c>
      <c r="I2948" s="87"/>
      <c r="J2948" s="88"/>
      <c r="K2948" s="88"/>
      <c r="L2948" s="89"/>
      <c r="M2948" s="89"/>
      <c r="N2948" s="90"/>
      <c r="Q2948" s="105"/>
    </row>
    <row r="2949" spans="3:17" x14ac:dyDescent="0.3">
      <c r="C2949" s="87"/>
      <c r="H2949" s="86" t="e">
        <f>IF(I2949="fora",0%,G2949/QUÓRUM!$C$6)</f>
        <v>#DIV/0!</v>
      </c>
      <c r="I2949" s="87"/>
      <c r="J2949" s="88"/>
      <c r="K2949" s="88"/>
      <c r="L2949" s="89"/>
      <c r="M2949" s="89"/>
      <c r="N2949" s="90"/>
      <c r="Q2949" s="105"/>
    </row>
    <row r="2950" spans="3:17" x14ac:dyDescent="0.3">
      <c r="C2950" s="87"/>
      <c r="G2950" s="115"/>
      <c r="H2950" s="86" t="e">
        <f>IF(I2950="fora",0%,G2950/QUÓRUM!$C$6)</f>
        <v>#DIV/0!</v>
      </c>
      <c r="I2950" s="87"/>
      <c r="J2950" s="88"/>
      <c r="K2950" s="88"/>
      <c r="L2950" s="89"/>
      <c r="M2950" s="89"/>
      <c r="N2950" s="90"/>
      <c r="Q2950" s="105"/>
    </row>
    <row r="2951" spans="3:17" x14ac:dyDescent="0.3">
      <c r="C2951" s="87"/>
      <c r="G2951" s="115"/>
      <c r="H2951" s="86" t="e">
        <f>IF(I2951="fora",0%,G2951/QUÓRUM!$C$6)</f>
        <v>#DIV/0!</v>
      </c>
      <c r="I2951" s="87"/>
      <c r="J2951" s="88"/>
      <c r="K2951" s="88"/>
      <c r="L2951" s="89"/>
      <c r="M2951" s="89"/>
      <c r="N2951" s="90"/>
      <c r="Q2951" s="105"/>
    </row>
    <row r="2952" spans="3:17" x14ac:dyDescent="0.3">
      <c r="C2952" s="87"/>
      <c r="H2952" s="86" t="e">
        <f>IF(I2952="fora",0%,G2952/QUÓRUM!$C$6)</f>
        <v>#DIV/0!</v>
      </c>
      <c r="I2952" s="87"/>
      <c r="J2952" s="88"/>
      <c r="K2952" s="88"/>
      <c r="L2952" s="89"/>
      <c r="M2952" s="89"/>
      <c r="N2952" s="90"/>
      <c r="Q2952" s="105"/>
    </row>
    <row r="2953" spans="3:17" x14ac:dyDescent="0.3">
      <c r="C2953" s="87"/>
      <c r="H2953" s="86" t="e">
        <f>IF(I2953="fora",0%,G2953/QUÓRUM!$C$6)</f>
        <v>#DIV/0!</v>
      </c>
      <c r="I2953" s="87"/>
      <c r="J2953" s="88"/>
      <c r="K2953" s="88"/>
      <c r="L2953" s="89"/>
      <c r="M2953" s="89"/>
      <c r="N2953" s="90"/>
      <c r="Q2953" s="105"/>
    </row>
    <row r="2954" spans="3:17" x14ac:dyDescent="0.3">
      <c r="C2954" s="87"/>
      <c r="H2954" s="86" t="e">
        <f>IF(I2954="fora",0%,G2954/QUÓRUM!$C$6)</f>
        <v>#DIV/0!</v>
      </c>
      <c r="I2954" s="87"/>
      <c r="J2954" s="88"/>
      <c r="K2954" s="88"/>
      <c r="L2954" s="89"/>
      <c r="M2954" s="89"/>
      <c r="N2954" s="90"/>
      <c r="Q2954" s="105"/>
    </row>
    <row r="2955" spans="3:17" x14ac:dyDescent="0.3">
      <c r="C2955" s="87"/>
      <c r="H2955" s="86" t="e">
        <f>IF(I2955="fora",0%,G2955/QUÓRUM!$C$6)</f>
        <v>#DIV/0!</v>
      </c>
      <c r="I2955" s="87"/>
      <c r="J2955" s="88"/>
      <c r="K2955" s="88"/>
      <c r="L2955" s="89"/>
      <c r="M2955" s="89"/>
      <c r="N2955" s="90"/>
      <c r="Q2955" s="105"/>
    </row>
    <row r="2956" spans="3:17" x14ac:dyDescent="0.3">
      <c r="C2956" s="87"/>
      <c r="H2956" s="86" t="e">
        <f>IF(I2956="fora",0%,G2956/QUÓRUM!$C$6)</f>
        <v>#DIV/0!</v>
      </c>
      <c r="I2956" s="87"/>
      <c r="J2956" s="88"/>
      <c r="K2956" s="88"/>
      <c r="L2956" s="89"/>
      <c r="M2956" s="89"/>
      <c r="N2956" s="90"/>
      <c r="Q2956" s="105"/>
    </row>
    <row r="2957" spans="3:17" x14ac:dyDescent="0.3">
      <c r="C2957" s="87"/>
      <c r="G2957" s="115"/>
      <c r="H2957" s="86" t="e">
        <f>IF(I2957="fora",0%,G2957/QUÓRUM!$C$6)</f>
        <v>#DIV/0!</v>
      </c>
      <c r="I2957" s="87"/>
      <c r="J2957" s="88"/>
      <c r="K2957" s="88"/>
      <c r="L2957" s="89"/>
      <c r="M2957" s="89"/>
      <c r="N2957" s="90"/>
      <c r="Q2957" s="105"/>
    </row>
    <row r="2958" spans="3:17" x14ac:dyDescent="0.3">
      <c r="C2958" s="87"/>
      <c r="H2958" s="86" t="e">
        <f>IF(I2958="fora",0%,G2958/QUÓRUM!$C$6)</f>
        <v>#DIV/0!</v>
      </c>
      <c r="I2958" s="87"/>
      <c r="J2958" s="88"/>
      <c r="K2958" s="88"/>
      <c r="L2958" s="89"/>
      <c r="M2958" s="89"/>
      <c r="N2958" s="90"/>
      <c r="Q2958" s="105"/>
    </row>
    <row r="2959" spans="3:17" x14ac:dyDescent="0.3">
      <c r="C2959" s="87"/>
      <c r="H2959" s="86" t="e">
        <f>IF(I2959="fora",0%,G2959/QUÓRUM!$C$6)</f>
        <v>#DIV/0!</v>
      </c>
      <c r="I2959" s="87"/>
      <c r="J2959" s="88"/>
      <c r="K2959" s="88"/>
      <c r="L2959" s="89"/>
      <c r="M2959" s="89"/>
      <c r="N2959" s="90"/>
      <c r="Q2959" s="105"/>
    </row>
    <row r="2960" spans="3:17" x14ac:dyDescent="0.3">
      <c r="C2960" s="87"/>
      <c r="H2960" s="86" t="e">
        <f>IF(I2960="fora",0%,G2960/QUÓRUM!$C$6)</f>
        <v>#DIV/0!</v>
      </c>
      <c r="I2960" s="87"/>
      <c r="J2960" s="88"/>
      <c r="K2960" s="88"/>
      <c r="L2960" s="89"/>
      <c r="M2960" s="89"/>
      <c r="N2960" s="90"/>
      <c r="Q2960" s="105"/>
    </row>
    <row r="2961" spans="3:17" x14ac:dyDescent="0.3">
      <c r="C2961" s="87"/>
      <c r="H2961" s="86" t="e">
        <f>IF(I2961="fora",0%,G2961/QUÓRUM!$C$6)</f>
        <v>#DIV/0!</v>
      </c>
      <c r="I2961" s="87"/>
      <c r="J2961" s="88"/>
      <c r="K2961" s="88"/>
      <c r="L2961" s="89"/>
      <c r="M2961" s="89"/>
      <c r="N2961" s="90"/>
      <c r="Q2961" s="105"/>
    </row>
    <row r="2962" spans="3:17" x14ac:dyDescent="0.3">
      <c r="C2962" s="87"/>
      <c r="H2962" s="86" t="e">
        <f>IF(I2962="fora",0%,G2962/QUÓRUM!$C$6)</f>
        <v>#DIV/0!</v>
      </c>
      <c r="I2962" s="87"/>
      <c r="J2962" s="88"/>
      <c r="K2962" s="88"/>
      <c r="L2962" s="89"/>
      <c r="M2962" s="89"/>
      <c r="N2962" s="90"/>
      <c r="Q2962" s="105"/>
    </row>
    <row r="2963" spans="3:17" x14ac:dyDescent="0.3">
      <c r="C2963" s="87"/>
      <c r="H2963" s="86" t="e">
        <f>IF(I2963="fora",0%,G2963/QUÓRUM!$C$6)</f>
        <v>#DIV/0!</v>
      </c>
      <c r="I2963" s="87"/>
      <c r="J2963" s="88"/>
      <c r="K2963" s="88"/>
      <c r="L2963" s="89"/>
      <c r="M2963" s="89"/>
      <c r="N2963" s="90"/>
      <c r="Q2963" s="105"/>
    </row>
    <row r="2964" spans="3:17" x14ac:dyDescent="0.3">
      <c r="C2964" s="87"/>
      <c r="H2964" s="86" t="e">
        <f>IF(I2964="fora",0%,G2964/QUÓRUM!$C$6)</f>
        <v>#DIV/0!</v>
      </c>
      <c r="I2964" s="87"/>
      <c r="J2964" s="88"/>
      <c r="K2964" s="88"/>
      <c r="L2964" s="89"/>
      <c r="M2964" s="89"/>
      <c r="N2964" s="90"/>
      <c r="Q2964" s="105"/>
    </row>
    <row r="2965" spans="3:17" x14ac:dyDescent="0.3">
      <c r="C2965" s="87"/>
      <c r="H2965" s="86" t="e">
        <f>IF(I2965="fora",0%,G2965/QUÓRUM!$C$6)</f>
        <v>#DIV/0!</v>
      </c>
      <c r="I2965" s="87"/>
      <c r="J2965" s="88"/>
      <c r="K2965" s="88"/>
      <c r="L2965" s="89"/>
      <c r="M2965" s="89"/>
      <c r="N2965" s="90"/>
      <c r="Q2965" s="105"/>
    </row>
    <row r="2966" spans="3:17" x14ac:dyDescent="0.3">
      <c r="C2966" s="87"/>
      <c r="H2966" s="86" t="e">
        <f>IF(I2966="fora",0%,G2966/QUÓRUM!$C$6)</f>
        <v>#DIV/0!</v>
      </c>
      <c r="I2966" s="87"/>
      <c r="J2966" s="88"/>
      <c r="K2966" s="88"/>
      <c r="L2966" s="89"/>
      <c r="M2966" s="89"/>
      <c r="N2966" s="90"/>
      <c r="Q2966" s="105"/>
    </row>
    <row r="2967" spans="3:17" x14ac:dyDescent="0.3">
      <c r="C2967" s="87"/>
      <c r="H2967" s="86" t="e">
        <f>IF(I2967="fora",0%,G2967/QUÓRUM!$C$6)</f>
        <v>#DIV/0!</v>
      </c>
      <c r="I2967" s="87"/>
      <c r="J2967" s="88"/>
      <c r="K2967" s="88"/>
      <c r="L2967" s="89"/>
      <c r="M2967" s="89"/>
      <c r="N2967" s="90"/>
      <c r="Q2967" s="105"/>
    </row>
    <row r="2968" spans="3:17" x14ac:dyDescent="0.3">
      <c r="C2968" s="87"/>
      <c r="H2968" s="86" t="e">
        <f>IF(I2968="fora",0%,G2968/QUÓRUM!$C$6)</f>
        <v>#DIV/0!</v>
      </c>
      <c r="I2968" s="87"/>
      <c r="J2968" s="88"/>
      <c r="K2968" s="88"/>
      <c r="L2968" s="89"/>
      <c r="M2968" s="89"/>
      <c r="N2968" s="90"/>
      <c r="Q2968" s="105"/>
    </row>
    <row r="2969" spans="3:17" x14ac:dyDescent="0.3">
      <c r="C2969" s="87"/>
      <c r="G2969" s="115"/>
      <c r="H2969" s="86" t="e">
        <f>IF(I2969="fora",0%,G2969/QUÓRUM!$C$6)</f>
        <v>#DIV/0!</v>
      </c>
      <c r="I2969" s="87"/>
      <c r="J2969" s="88"/>
      <c r="K2969" s="88"/>
      <c r="L2969" s="89"/>
      <c r="M2969" s="89"/>
      <c r="N2969" s="90"/>
      <c r="Q2969" s="105"/>
    </row>
    <row r="2970" spans="3:17" x14ac:dyDescent="0.3">
      <c r="C2970" s="87"/>
      <c r="H2970" s="86" t="e">
        <f>IF(I2970="fora",0%,G2970/QUÓRUM!$C$6)</f>
        <v>#DIV/0!</v>
      </c>
      <c r="I2970" s="87"/>
      <c r="J2970" s="88"/>
      <c r="K2970" s="88"/>
      <c r="L2970" s="89"/>
      <c r="M2970" s="89"/>
      <c r="N2970" s="90"/>
      <c r="Q2970" s="105"/>
    </row>
    <row r="2971" spans="3:17" x14ac:dyDescent="0.3">
      <c r="C2971" s="87"/>
      <c r="G2971" s="115"/>
      <c r="H2971" s="86" t="e">
        <f>IF(I2971="fora",0%,G2971/QUÓRUM!$C$6)</f>
        <v>#DIV/0!</v>
      </c>
      <c r="I2971" s="87"/>
      <c r="J2971" s="88"/>
      <c r="K2971" s="88"/>
      <c r="L2971" s="89"/>
      <c r="M2971" s="89"/>
      <c r="N2971" s="90"/>
      <c r="Q2971" s="105"/>
    </row>
    <row r="2972" spans="3:17" x14ac:dyDescent="0.3">
      <c r="C2972" s="87"/>
      <c r="G2972" s="115"/>
      <c r="H2972" s="86" t="e">
        <f>IF(I2972="fora",0%,G2972/QUÓRUM!$C$6)</f>
        <v>#DIV/0!</v>
      </c>
      <c r="I2972" s="87"/>
      <c r="J2972" s="88"/>
      <c r="K2972" s="88"/>
      <c r="L2972" s="89"/>
      <c r="M2972" s="89"/>
      <c r="N2972" s="90"/>
      <c r="Q2972" s="105"/>
    </row>
    <row r="2973" spans="3:17" x14ac:dyDescent="0.3">
      <c r="C2973" s="87"/>
      <c r="H2973" s="86" t="e">
        <f>IF(I2973="fora",0%,G2973/QUÓRUM!$C$6)</f>
        <v>#DIV/0!</v>
      </c>
      <c r="I2973" s="87"/>
      <c r="J2973" s="88"/>
      <c r="K2973" s="88"/>
      <c r="L2973" s="89"/>
      <c r="M2973" s="89"/>
      <c r="N2973" s="90"/>
      <c r="Q2973" s="105"/>
    </row>
    <row r="2974" spans="3:17" x14ac:dyDescent="0.3">
      <c r="C2974" s="87"/>
      <c r="H2974" s="86" t="e">
        <f>IF(I2974="fora",0%,G2974/QUÓRUM!$C$6)</f>
        <v>#DIV/0!</v>
      </c>
      <c r="I2974" s="87"/>
      <c r="J2974" s="88"/>
      <c r="K2974" s="88"/>
      <c r="L2974" s="89"/>
      <c r="M2974" s="89"/>
      <c r="N2974" s="90"/>
      <c r="Q2974" s="105"/>
    </row>
    <row r="2975" spans="3:17" x14ac:dyDescent="0.3">
      <c r="C2975" s="87"/>
      <c r="H2975" s="86" t="e">
        <f>IF(I2975="fora",0%,G2975/QUÓRUM!$C$6)</f>
        <v>#DIV/0!</v>
      </c>
      <c r="I2975" s="87"/>
      <c r="J2975" s="88"/>
      <c r="K2975" s="88"/>
      <c r="L2975" s="89"/>
      <c r="M2975" s="89"/>
      <c r="N2975" s="90"/>
      <c r="Q2975" s="105"/>
    </row>
    <row r="2976" spans="3:17" x14ac:dyDescent="0.3">
      <c r="C2976" s="87"/>
      <c r="H2976" s="86" t="e">
        <f>IF(I2976="fora",0%,G2976/QUÓRUM!$C$6)</f>
        <v>#DIV/0!</v>
      </c>
      <c r="I2976" s="87"/>
      <c r="J2976" s="88"/>
      <c r="K2976" s="88"/>
      <c r="L2976" s="89"/>
      <c r="M2976" s="89"/>
      <c r="N2976" s="90"/>
      <c r="Q2976" s="105"/>
    </row>
    <row r="2977" spans="3:17" x14ac:dyDescent="0.3">
      <c r="C2977" s="87"/>
      <c r="H2977" s="86" t="e">
        <f>IF(I2977="fora",0%,G2977/QUÓRUM!$C$6)</f>
        <v>#DIV/0!</v>
      </c>
      <c r="I2977" s="87"/>
      <c r="J2977" s="88"/>
      <c r="K2977" s="88"/>
      <c r="L2977" s="89"/>
      <c r="M2977" s="89"/>
      <c r="N2977" s="90"/>
      <c r="Q2977" s="105"/>
    </row>
    <row r="2978" spans="3:17" x14ac:dyDescent="0.3">
      <c r="C2978" s="87"/>
      <c r="H2978" s="86" t="e">
        <f>IF(I2978="fora",0%,G2978/QUÓRUM!$C$6)</f>
        <v>#DIV/0!</v>
      </c>
      <c r="I2978" s="87"/>
      <c r="J2978" s="88"/>
      <c r="K2978" s="88"/>
      <c r="L2978" s="89"/>
      <c r="M2978" s="89"/>
      <c r="N2978" s="90"/>
      <c r="Q2978" s="105"/>
    </row>
    <row r="2979" spans="3:17" x14ac:dyDescent="0.3">
      <c r="C2979" s="87"/>
      <c r="H2979" s="86" t="e">
        <f>IF(I2979="fora",0%,G2979/QUÓRUM!$C$6)</f>
        <v>#DIV/0!</v>
      </c>
      <c r="I2979" s="87"/>
      <c r="J2979" s="88"/>
      <c r="K2979" s="88"/>
      <c r="L2979" s="89"/>
      <c r="M2979" s="89"/>
      <c r="N2979" s="90"/>
      <c r="Q2979" s="105"/>
    </row>
    <row r="2980" spans="3:17" x14ac:dyDescent="0.3">
      <c r="C2980" s="87"/>
      <c r="G2980" s="115"/>
      <c r="H2980" s="86" t="e">
        <f>IF(I2980="fora",0%,G2980/QUÓRUM!$C$6)</f>
        <v>#DIV/0!</v>
      </c>
      <c r="I2980" s="87"/>
      <c r="J2980" s="88"/>
      <c r="K2980" s="88"/>
      <c r="L2980" s="89"/>
      <c r="M2980" s="89"/>
      <c r="N2980" s="90"/>
      <c r="Q2980" s="105"/>
    </row>
    <row r="2981" spans="3:17" x14ac:dyDescent="0.3">
      <c r="C2981" s="87"/>
      <c r="H2981" s="86" t="e">
        <f>IF(I2981="fora",0%,G2981/QUÓRUM!$C$6)</f>
        <v>#DIV/0!</v>
      </c>
      <c r="I2981" s="87"/>
      <c r="J2981" s="88"/>
      <c r="K2981" s="88"/>
      <c r="L2981" s="89"/>
      <c r="M2981" s="89"/>
      <c r="N2981" s="90"/>
      <c r="Q2981" s="105"/>
    </row>
    <row r="2982" spans="3:17" x14ac:dyDescent="0.3">
      <c r="C2982" s="87"/>
      <c r="H2982" s="86" t="e">
        <f>IF(I2982="fora",0%,G2982/QUÓRUM!$C$6)</f>
        <v>#DIV/0!</v>
      </c>
      <c r="I2982" s="87"/>
      <c r="J2982" s="88"/>
      <c r="K2982" s="88"/>
      <c r="L2982" s="89"/>
      <c r="M2982" s="89"/>
      <c r="N2982" s="90"/>
      <c r="Q2982" s="105"/>
    </row>
    <row r="2983" spans="3:17" x14ac:dyDescent="0.3">
      <c r="C2983" s="87"/>
      <c r="H2983" s="86" t="e">
        <f>IF(I2983="fora",0%,G2983/QUÓRUM!$C$6)</f>
        <v>#DIV/0!</v>
      </c>
      <c r="I2983" s="87"/>
      <c r="J2983" s="88"/>
      <c r="K2983" s="88"/>
      <c r="L2983" s="89"/>
      <c r="M2983" s="89"/>
      <c r="N2983" s="90"/>
      <c r="Q2983" s="105"/>
    </row>
    <row r="2984" spans="3:17" x14ac:dyDescent="0.3">
      <c r="C2984" s="87"/>
      <c r="G2984" s="115"/>
      <c r="H2984" s="86" t="e">
        <f>IF(I2984="fora",0%,G2984/QUÓRUM!$C$6)</f>
        <v>#DIV/0!</v>
      </c>
      <c r="I2984" s="87"/>
      <c r="J2984" s="88"/>
      <c r="K2984" s="88"/>
      <c r="L2984" s="89"/>
      <c r="M2984" s="89"/>
      <c r="N2984" s="90"/>
      <c r="Q2984" s="105"/>
    </row>
    <row r="2985" spans="3:17" x14ac:dyDescent="0.3">
      <c r="C2985" s="87"/>
      <c r="G2985" s="115"/>
      <c r="H2985" s="86" t="e">
        <f>IF(I2985="fora",0%,G2985/QUÓRUM!$C$6)</f>
        <v>#DIV/0!</v>
      </c>
      <c r="I2985" s="87"/>
      <c r="J2985" s="88"/>
      <c r="K2985" s="88"/>
      <c r="L2985" s="89"/>
      <c r="M2985" s="89"/>
      <c r="N2985" s="90"/>
      <c r="Q2985" s="105"/>
    </row>
    <row r="2986" spans="3:17" x14ac:dyDescent="0.3">
      <c r="C2986" s="87"/>
      <c r="H2986" s="86" t="e">
        <f>IF(I2986="fora",0%,G2986/QUÓRUM!$C$6)</f>
        <v>#DIV/0!</v>
      </c>
      <c r="I2986" s="87"/>
      <c r="J2986" s="88"/>
      <c r="K2986" s="88"/>
      <c r="L2986" s="89"/>
      <c r="M2986" s="89"/>
      <c r="N2986" s="90"/>
      <c r="Q2986" s="105"/>
    </row>
    <row r="2987" spans="3:17" x14ac:dyDescent="0.3">
      <c r="C2987" s="87"/>
      <c r="G2987" s="115"/>
      <c r="H2987" s="86" t="e">
        <f>IF(I2987="fora",0%,G2987/QUÓRUM!$C$6)</f>
        <v>#DIV/0!</v>
      </c>
      <c r="I2987" s="87"/>
      <c r="J2987" s="88"/>
      <c r="K2987" s="88"/>
      <c r="L2987" s="89"/>
      <c r="M2987" s="89"/>
      <c r="Q2987" s="105"/>
    </row>
    <row r="2988" spans="3:17" x14ac:dyDescent="0.3">
      <c r="C2988" s="87"/>
      <c r="H2988" s="86" t="e">
        <f>IF(I2988="fora",0%,G2988/QUÓRUM!$C$6)</f>
        <v>#DIV/0!</v>
      </c>
      <c r="I2988" s="87"/>
      <c r="J2988" s="88"/>
      <c r="K2988" s="88"/>
      <c r="L2988" s="89"/>
      <c r="M2988" s="89"/>
      <c r="Q2988" s="105"/>
    </row>
    <row r="2989" spans="3:17" x14ac:dyDescent="0.3">
      <c r="C2989" s="87"/>
      <c r="H2989" s="86" t="e">
        <f>IF(I2989="fora",0%,G2989/QUÓRUM!$C$6)</f>
        <v>#DIV/0!</v>
      </c>
      <c r="I2989" s="87"/>
      <c r="J2989" s="88"/>
      <c r="K2989" s="88"/>
      <c r="L2989" s="89"/>
      <c r="M2989" s="89"/>
      <c r="Q2989" s="105"/>
    </row>
    <row r="2990" spans="3:17" x14ac:dyDescent="0.3">
      <c r="C2990" s="87"/>
      <c r="H2990" s="86" t="e">
        <f>IF(I2990="fora",0%,G2990/QUÓRUM!$C$6)</f>
        <v>#DIV/0!</v>
      </c>
      <c r="I2990" s="87"/>
      <c r="J2990" s="88"/>
      <c r="K2990" s="88"/>
      <c r="L2990" s="89"/>
      <c r="M2990" s="89"/>
      <c r="Q2990" s="105"/>
    </row>
    <row r="2991" spans="3:17" x14ac:dyDescent="0.3">
      <c r="C2991" s="87"/>
      <c r="G2991" s="115"/>
      <c r="H2991" s="86" t="e">
        <f>IF(I2991="fora",0%,G2991/QUÓRUM!$C$6)</f>
        <v>#DIV/0!</v>
      </c>
      <c r="I2991" s="87"/>
      <c r="J2991" s="88"/>
      <c r="K2991" s="88"/>
      <c r="L2991" s="89"/>
      <c r="M2991" s="89"/>
      <c r="Q2991" s="105"/>
    </row>
    <row r="2992" spans="3:17" x14ac:dyDescent="0.3">
      <c r="C2992" s="87"/>
      <c r="H2992" s="86" t="e">
        <f>IF(I2992="fora",0%,G2992/QUÓRUM!$C$6)</f>
        <v>#DIV/0!</v>
      </c>
      <c r="I2992" s="87"/>
      <c r="J2992" s="88"/>
      <c r="K2992" s="88"/>
      <c r="L2992" s="89"/>
      <c r="M2992" s="89"/>
      <c r="Q2992" s="105"/>
    </row>
    <row r="2993" spans="3:17" x14ac:dyDescent="0.3">
      <c r="C2993" s="87"/>
      <c r="H2993" s="86" t="e">
        <f>IF(I2993="fora",0%,G2993/QUÓRUM!$C$6)</f>
        <v>#DIV/0!</v>
      </c>
      <c r="I2993" s="87"/>
      <c r="J2993" s="88"/>
      <c r="K2993" s="88"/>
      <c r="L2993" s="89"/>
      <c r="M2993" s="89"/>
      <c r="Q2993" s="105"/>
    </row>
    <row r="2994" spans="3:17" x14ac:dyDescent="0.3">
      <c r="C2994" s="87"/>
      <c r="H2994" s="86" t="e">
        <f>IF(I2994="fora",0%,G2994/QUÓRUM!$C$6)</f>
        <v>#DIV/0!</v>
      </c>
      <c r="I2994" s="87"/>
      <c r="J2994" s="88"/>
      <c r="K2994" s="88"/>
      <c r="L2994" s="89"/>
      <c r="M2994" s="89"/>
      <c r="Q2994" s="105"/>
    </row>
    <row r="2995" spans="3:17" x14ac:dyDescent="0.3">
      <c r="C2995" s="87"/>
      <c r="H2995" s="86" t="e">
        <f>IF(I2995="fora",0%,G2995/QUÓRUM!$C$6)</f>
        <v>#DIV/0!</v>
      </c>
      <c r="I2995" s="87"/>
      <c r="J2995" s="88"/>
      <c r="K2995" s="88"/>
      <c r="L2995" s="89"/>
      <c r="M2995" s="89"/>
      <c r="Q2995" s="105"/>
    </row>
    <row r="2996" spans="3:17" x14ac:dyDescent="0.3">
      <c r="C2996" s="87"/>
      <c r="H2996" s="86" t="e">
        <f>IF(I2996="fora",0%,G2996/QUÓRUM!$C$6)</f>
        <v>#DIV/0!</v>
      </c>
      <c r="I2996" s="87"/>
      <c r="J2996" s="88"/>
      <c r="K2996" s="88"/>
      <c r="L2996" s="89"/>
      <c r="M2996" s="89"/>
      <c r="Q2996" s="105"/>
    </row>
    <row r="2997" spans="3:17" x14ac:dyDescent="0.3">
      <c r="C2997" s="87"/>
      <c r="H2997" s="86" t="e">
        <f>IF(I2997="fora",0%,G2997/QUÓRUM!$C$6)</f>
        <v>#DIV/0!</v>
      </c>
      <c r="I2997" s="87"/>
      <c r="J2997" s="88"/>
      <c r="K2997" s="88"/>
      <c r="L2997" s="89"/>
      <c r="M2997" s="89"/>
      <c r="Q2997" s="105"/>
    </row>
    <row r="2998" spans="3:17" x14ac:dyDescent="0.3">
      <c r="C2998" s="87"/>
      <c r="G2998" s="115"/>
      <c r="H2998" s="86" t="e">
        <f>IF(I2998="fora",0%,G2998/QUÓRUM!$C$6)</f>
        <v>#DIV/0!</v>
      </c>
      <c r="I2998" s="87"/>
      <c r="J2998" s="88"/>
      <c r="K2998" s="88"/>
      <c r="L2998" s="89"/>
      <c r="M2998" s="89"/>
      <c r="Q2998" s="105"/>
    </row>
    <row r="2999" spans="3:17" x14ac:dyDescent="0.3">
      <c r="C2999" s="87"/>
      <c r="H2999" s="86" t="e">
        <f>IF(I2999="fora",0%,G2999/QUÓRUM!$C$6)</f>
        <v>#DIV/0!</v>
      </c>
      <c r="I2999" s="87"/>
      <c r="J2999" s="88"/>
      <c r="K2999" s="88"/>
      <c r="L2999" s="89"/>
      <c r="M2999" s="89"/>
      <c r="Q2999" s="105"/>
    </row>
    <row r="3000" spans="3:17" x14ac:dyDescent="0.3">
      <c r="C3000" s="87"/>
      <c r="H3000" s="86" t="e">
        <f>IF(I3000="fora",0%,G3000/QUÓRUM!$C$6)</f>
        <v>#DIV/0!</v>
      </c>
      <c r="I3000" s="87"/>
      <c r="J3000" s="88"/>
      <c r="K3000" s="88"/>
      <c r="L3000" s="89"/>
      <c r="M3000" s="89"/>
      <c r="Q3000" s="105"/>
    </row>
    <row r="3001" spans="3:17" x14ac:dyDescent="0.3">
      <c r="C3001" s="87"/>
      <c r="H3001" s="86" t="e">
        <f>IF(I3001="fora",0%,G3001/QUÓRUM!$C$6)</f>
        <v>#DIV/0!</v>
      </c>
      <c r="I3001" s="87"/>
      <c r="J3001" s="88"/>
      <c r="K3001" s="88"/>
      <c r="L3001" s="89"/>
      <c r="M3001" s="89"/>
      <c r="Q3001" s="105"/>
    </row>
    <row r="3002" spans="3:17" x14ac:dyDescent="0.3">
      <c r="C3002" s="87"/>
      <c r="H3002" s="86" t="e">
        <f>IF(I3002="fora",0%,G3002/QUÓRUM!$C$6)</f>
        <v>#DIV/0!</v>
      </c>
      <c r="I3002" s="87"/>
      <c r="J3002" s="88"/>
      <c r="K3002" s="88"/>
      <c r="L3002" s="89"/>
      <c r="M3002" s="89"/>
      <c r="Q3002" s="105"/>
    </row>
    <row r="3003" spans="3:17" x14ac:dyDescent="0.3">
      <c r="C3003" s="87"/>
      <c r="H3003" s="86" t="e">
        <f>IF(I3003="fora",0%,G3003/QUÓRUM!$C$6)</f>
        <v>#DIV/0!</v>
      </c>
      <c r="I3003" s="87"/>
      <c r="J3003" s="88"/>
      <c r="K3003" s="88"/>
      <c r="L3003" s="89"/>
      <c r="M3003" s="89"/>
      <c r="Q3003" s="105"/>
    </row>
    <row r="3004" spans="3:17" x14ac:dyDescent="0.3">
      <c r="C3004" s="87"/>
      <c r="H3004" s="86" t="e">
        <f>IF(I3004="fora",0%,G3004/QUÓRUM!$C$6)</f>
        <v>#DIV/0!</v>
      </c>
      <c r="I3004" s="87"/>
      <c r="J3004" s="88"/>
      <c r="K3004" s="88"/>
      <c r="L3004" s="89"/>
      <c r="M3004" s="89"/>
      <c r="Q3004" s="105"/>
    </row>
    <row r="3005" spans="3:17" x14ac:dyDescent="0.3">
      <c r="C3005" s="87"/>
      <c r="H3005" s="86" t="e">
        <f>IF(I3005="fora",0%,G3005/QUÓRUM!$C$6)</f>
        <v>#DIV/0!</v>
      </c>
      <c r="I3005" s="87"/>
      <c r="J3005" s="88"/>
      <c r="K3005" s="88"/>
      <c r="L3005" s="89"/>
      <c r="M3005" s="89"/>
      <c r="Q3005" s="105"/>
    </row>
    <row r="3006" spans="3:17" x14ac:dyDescent="0.3">
      <c r="C3006" s="87"/>
      <c r="H3006" s="86" t="e">
        <f>IF(I3006="fora",0%,G3006/QUÓRUM!$C$6)</f>
        <v>#DIV/0!</v>
      </c>
      <c r="I3006" s="87"/>
      <c r="J3006" s="88"/>
      <c r="K3006" s="88"/>
      <c r="L3006" s="89"/>
      <c r="M3006" s="89"/>
      <c r="Q3006" s="105"/>
    </row>
    <row r="3007" spans="3:17" x14ac:dyDescent="0.3">
      <c r="C3007" s="87"/>
      <c r="H3007" s="86" t="e">
        <f>IF(I3007="fora",0%,G3007/QUÓRUM!$C$6)</f>
        <v>#DIV/0!</v>
      </c>
      <c r="I3007" s="87"/>
      <c r="J3007" s="88"/>
      <c r="K3007" s="88"/>
      <c r="L3007" s="89"/>
      <c r="M3007" s="89"/>
      <c r="Q3007" s="105"/>
    </row>
    <row r="3008" spans="3:17" x14ac:dyDescent="0.3">
      <c r="C3008" s="87"/>
      <c r="H3008" s="86" t="e">
        <f>IF(I3008="fora",0%,G3008/QUÓRUM!$C$6)</f>
        <v>#DIV/0!</v>
      </c>
      <c r="I3008" s="87"/>
      <c r="J3008" s="88"/>
      <c r="K3008" s="88"/>
      <c r="L3008" s="89"/>
      <c r="M3008" s="89"/>
      <c r="Q3008" s="105"/>
    </row>
    <row r="3009" spans="3:17" x14ac:dyDescent="0.3">
      <c r="C3009" s="87"/>
      <c r="H3009" s="86" t="e">
        <f>IF(I3009="fora",0%,G3009/QUÓRUM!$C$6)</f>
        <v>#DIV/0!</v>
      </c>
      <c r="I3009" s="87"/>
      <c r="J3009" s="88"/>
      <c r="K3009" s="88"/>
      <c r="L3009" s="89"/>
      <c r="M3009" s="89"/>
      <c r="Q3009" s="105"/>
    </row>
    <row r="3010" spans="3:17" x14ac:dyDescent="0.3">
      <c r="C3010" s="87"/>
      <c r="H3010" s="86" t="e">
        <f>IF(I3010="fora",0%,G3010/QUÓRUM!$C$6)</f>
        <v>#DIV/0!</v>
      </c>
      <c r="I3010" s="87"/>
      <c r="J3010" s="88"/>
      <c r="K3010" s="88"/>
      <c r="L3010" s="89"/>
      <c r="M3010" s="89"/>
      <c r="Q3010" s="105"/>
    </row>
    <row r="3011" spans="3:17" x14ac:dyDescent="0.3">
      <c r="C3011" s="87"/>
      <c r="H3011" s="86" t="e">
        <f>IF(I3011="fora",0%,G3011/QUÓRUM!$C$6)</f>
        <v>#DIV/0!</v>
      </c>
      <c r="I3011" s="87"/>
      <c r="J3011" s="88"/>
      <c r="K3011" s="88"/>
      <c r="L3011" s="89"/>
      <c r="M3011" s="89"/>
      <c r="Q3011" s="105"/>
    </row>
    <row r="3012" spans="3:17" x14ac:dyDescent="0.3">
      <c r="C3012" s="87"/>
      <c r="H3012" s="86" t="e">
        <f>IF(I3012="fora",0%,G3012/QUÓRUM!$C$6)</f>
        <v>#DIV/0!</v>
      </c>
      <c r="I3012" s="87"/>
      <c r="J3012" s="88"/>
      <c r="K3012" s="88"/>
      <c r="L3012" s="89"/>
      <c r="M3012" s="89"/>
      <c r="Q3012" s="105"/>
    </row>
    <row r="3013" spans="3:17" x14ac:dyDescent="0.3">
      <c r="C3013" s="87"/>
      <c r="H3013" s="86" t="e">
        <f>IF(I3013="fora",0%,G3013/QUÓRUM!$C$6)</f>
        <v>#DIV/0!</v>
      </c>
      <c r="I3013" s="87"/>
      <c r="J3013" s="88"/>
      <c r="K3013" s="88"/>
      <c r="L3013" s="89"/>
      <c r="M3013" s="89"/>
      <c r="Q3013" s="105"/>
    </row>
    <row r="3014" spans="3:17" x14ac:dyDescent="0.3">
      <c r="C3014" s="87"/>
      <c r="H3014" s="86" t="e">
        <f>IF(I3014="fora",0%,G3014/QUÓRUM!$C$6)</f>
        <v>#DIV/0!</v>
      </c>
      <c r="I3014" s="87"/>
      <c r="J3014" s="88"/>
      <c r="K3014" s="88"/>
      <c r="L3014" s="89"/>
      <c r="M3014" s="89"/>
      <c r="Q3014" s="105"/>
    </row>
    <row r="3015" spans="3:17" x14ac:dyDescent="0.3">
      <c r="C3015" s="87"/>
      <c r="H3015" s="86" t="e">
        <f>IF(I3015="fora",0%,G3015/QUÓRUM!$C$6)</f>
        <v>#DIV/0!</v>
      </c>
      <c r="I3015" s="87"/>
      <c r="J3015" s="88"/>
      <c r="K3015" s="88"/>
      <c r="L3015" s="89"/>
      <c r="M3015" s="89"/>
      <c r="Q3015" s="105"/>
    </row>
    <row r="3016" spans="3:17" x14ac:dyDescent="0.3">
      <c r="C3016" s="87"/>
      <c r="H3016" s="86" t="e">
        <f>IF(I3016="fora",0%,G3016/QUÓRUM!$C$6)</f>
        <v>#DIV/0!</v>
      </c>
      <c r="I3016" s="87"/>
      <c r="J3016" s="88"/>
      <c r="K3016" s="88"/>
      <c r="L3016" s="89"/>
      <c r="M3016" s="89"/>
      <c r="Q3016" s="105"/>
    </row>
    <row r="3017" spans="3:17" x14ac:dyDescent="0.3">
      <c r="C3017" s="87"/>
      <c r="H3017" s="86" t="e">
        <f>IF(I3017="fora",0%,G3017/QUÓRUM!$C$6)</f>
        <v>#DIV/0!</v>
      </c>
      <c r="I3017" s="87"/>
      <c r="J3017" s="88"/>
      <c r="K3017" s="88"/>
      <c r="L3017" s="89"/>
      <c r="M3017" s="89"/>
      <c r="Q3017" s="105"/>
    </row>
    <row r="3018" spans="3:17" x14ac:dyDescent="0.3">
      <c r="C3018" s="87"/>
      <c r="H3018" s="86" t="e">
        <f>IF(I3018="fora",0%,G3018/QUÓRUM!$C$6)</f>
        <v>#DIV/0!</v>
      </c>
      <c r="I3018" s="87"/>
      <c r="J3018" s="88"/>
      <c r="K3018" s="88"/>
      <c r="L3018" s="89"/>
      <c r="M3018" s="89"/>
      <c r="Q3018" s="105"/>
    </row>
    <row r="3019" spans="3:17" x14ac:dyDescent="0.3">
      <c r="C3019" s="87"/>
      <c r="H3019" s="86" t="e">
        <f>IF(I3019="fora",0%,G3019/QUÓRUM!$C$6)</f>
        <v>#DIV/0!</v>
      </c>
      <c r="I3019" s="87"/>
      <c r="J3019" s="88"/>
      <c r="K3019" s="88"/>
      <c r="L3019" s="89"/>
      <c r="M3019" s="89"/>
      <c r="Q3019" s="105"/>
    </row>
    <row r="3020" spans="3:17" x14ac:dyDescent="0.3">
      <c r="C3020" s="87"/>
      <c r="H3020" s="86" t="e">
        <f>IF(I3020="fora",0%,G3020/QUÓRUM!$C$6)</f>
        <v>#DIV/0!</v>
      </c>
      <c r="I3020" s="87"/>
      <c r="J3020" s="88"/>
      <c r="K3020" s="88"/>
      <c r="L3020" s="89"/>
      <c r="M3020" s="89"/>
      <c r="Q3020" s="105"/>
    </row>
    <row r="3021" spans="3:17" x14ac:dyDescent="0.3">
      <c r="C3021" s="87"/>
      <c r="H3021" s="86" t="e">
        <f>IF(I3021="fora",0%,G3021/QUÓRUM!$C$6)</f>
        <v>#DIV/0!</v>
      </c>
      <c r="I3021" s="87"/>
      <c r="J3021" s="88"/>
      <c r="K3021" s="88"/>
      <c r="L3021" s="89"/>
      <c r="M3021" s="89"/>
      <c r="Q3021" s="105"/>
    </row>
    <row r="3022" spans="3:17" x14ac:dyDescent="0.3">
      <c r="C3022" s="87"/>
      <c r="H3022" s="86" t="e">
        <f>IF(I3022="fora",0%,G3022/QUÓRUM!$C$6)</f>
        <v>#DIV/0!</v>
      </c>
      <c r="I3022" s="87"/>
      <c r="J3022" s="88"/>
      <c r="K3022" s="88"/>
      <c r="L3022" s="89"/>
      <c r="M3022" s="89"/>
      <c r="Q3022" s="105"/>
    </row>
    <row r="3023" spans="3:17" x14ac:dyDescent="0.3">
      <c r="C3023" s="87"/>
      <c r="H3023" s="86" t="e">
        <f>IF(I3023="fora",0%,G3023/QUÓRUM!$C$6)</f>
        <v>#DIV/0!</v>
      </c>
      <c r="I3023" s="87"/>
      <c r="J3023" s="88"/>
      <c r="K3023" s="88"/>
      <c r="L3023" s="89"/>
      <c r="M3023" s="89"/>
      <c r="Q3023" s="105"/>
    </row>
    <row r="3024" spans="3:17" x14ac:dyDescent="0.3">
      <c r="C3024" s="87"/>
      <c r="H3024" s="86" t="e">
        <f>IF(I3024="fora",0%,G3024/QUÓRUM!$C$6)</f>
        <v>#DIV/0!</v>
      </c>
      <c r="I3024" s="87"/>
      <c r="J3024" s="88"/>
      <c r="K3024" s="88"/>
      <c r="L3024" s="89"/>
      <c r="M3024" s="89"/>
      <c r="Q3024" s="105"/>
    </row>
    <row r="3025" spans="3:17" x14ac:dyDescent="0.3">
      <c r="C3025" s="87"/>
      <c r="H3025" s="86" t="e">
        <f>IF(I3025="fora",0%,G3025/QUÓRUM!$C$6)</f>
        <v>#DIV/0!</v>
      </c>
      <c r="I3025" s="87"/>
      <c r="J3025" s="88"/>
      <c r="K3025" s="88"/>
      <c r="L3025" s="89"/>
      <c r="M3025" s="89"/>
      <c r="Q3025" s="105"/>
    </row>
    <row r="3026" spans="3:17" x14ac:dyDescent="0.3">
      <c r="C3026" s="87"/>
      <c r="H3026" s="86" t="e">
        <f>IF(I3026="fora",0%,G3026/QUÓRUM!$C$6)</f>
        <v>#DIV/0!</v>
      </c>
      <c r="I3026" s="87"/>
      <c r="J3026" s="88"/>
      <c r="K3026" s="88"/>
      <c r="L3026" s="89"/>
      <c r="M3026" s="89"/>
      <c r="Q3026" s="105"/>
    </row>
    <row r="3027" spans="3:17" x14ac:dyDescent="0.3">
      <c r="C3027" s="87"/>
      <c r="H3027" s="86" t="e">
        <f>IF(I3027="fora",0%,G3027/QUÓRUM!$C$6)</f>
        <v>#DIV/0!</v>
      </c>
      <c r="I3027" s="87"/>
      <c r="J3027" s="88"/>
      <c r="K3027" s="88"/>
      <c r="L3027" s="89"/>
      <c r="M3027" s="89"/>
      <c r="Q3027" s="105"/>
    </row>
    <row r="3028" spans="3:17" x14ac:dyDescent="0.3">
      <c r="C3028" s="87"/>
      <c r="H3028" s="86" t="e">
        <f>IF(I3028="fora",0%,G3028/QUÓRUM!$C$6)</f>
        <v>#DIV/0!</v>
      </c>
      <c r="I3028" s="87"/>
      <c r="J3028" s="88"/>
      <c r="K3028" s="88"/>
      <c r="L3028" s="89"/>
      <c r="M3028" s="89"/>
      <c r="Q3028" s="105"/>
    </row>
    <row r="3029" spans="3:17" x14ac:dyDescent="0.3">
      <c r="C3029" s="87"/>
      <c r="H3029" s="86" t="e">
        <f>IF(I3029="fora",0%,G3029/QUÓRUM!$C$6)</f>
        <v>#DIV/0!</v>
      </c>
      <c r="I3029" s="87"/>
      <c r="J3029" s="88"/>
      <c r="K3029" s="88"/>
      <c r="L3029" s="89"/>
      <c r="M3029" s="89"/>
      <c r="Q3029" s="105"/>
    </row>
    <row r="3030" spans="3:17" x14ac:dyDescent="0.3">
      <c r="C3030" s="87"/>
      <c r="H3030" s="86" t="e">
        <f>IF(I3030="fora",0%,G3030/QUÓRUM!$C$6)</f>
        <v>#DIV/0!</v>
      </c>
      <c r="I3030" s="87"/>
      <c r="J3030" s="88"/>
      <c r="K3030" s="88"/>
      <c r="L3030" s="89"/>
      <c r="M3030" s="89"/>
      <c r="Q3030" s="105"/>
    </row>
    <row r="3031" spans="3:17" x14ac:dyDescent="0.3">
      <c r="C3031" s="87"/>
      <c r="H3031" s="86" t="e">
        <f>IF(I3031="fora",0%,G3031/QUÓRUM!$C$6)</f>
        <v>#DIV/0!</v>
      </c>
      <c r="I3031" s="87"/>
      <c r="J3031" s="88"/>
      <c r="K3031" s="88"/>
      <c r="L3031" s="89"/>
      <c r="M3031" s="89"/>
      <c r="Q3031" s="105"/>
    </row>
    <row r="3032" spans="3:17" x14ac:dyDescent="0.3">
      <c r="C3032" s="87"/>
      <c r="H3032" s="86" t="e">
        <f>IF(I3032="fora",0%,G3032/QUÓRUM!$C$6)</f>
        <v>#DIV/0!</v>
      </c>
      <c r="I3032" s="87"/>
      <c r="J3032" s="88"/>
      <c r="K3032" s="88"/>
      <c r="L3032" s="89"/>
      <c r="M3032" s="89"/>
      <c r="Q3032" s="105"/>
    </row>
    <row r="3033" spans="3:17" x14ac:dyDescent="0.3">
      <c r="C3033" s="87"/>
      <c r="H3033" s="86" t="e">
        <f>IF(I3033="fora",0%,G3033/QUÓRUM!$C$6)</f>
        <v>#DIV/0!</v>
      </c>
      <c r="I3033" s="87"/>
      <c r="J3033" s="88"/>
      <c r="K3033" s="88"/>
      <c r="L3033" s="89"/>
      <c r="M3033" s="89"/>
      <c r="Q3033" s="105"/>
    </row>
    <row r="3034" spans="3:17" x14ac:dyDescent="0.3">
      <c r="C3034" s="87"/>
      <c r="H3034" s="86" t="e">
        <f>IF(I3034="fora",0%,G3034/QUÓRUM!$C$6)</f>
        <v>#DIV/0!</v>
      </c>
      <c r="I3034" s="87"/>
      <c r="J3034" s="88"/>
      <c r="K3034" s="88"/>
      <c r="L3034" s="89"/>
      <c r="M3034" s="89"/>
      <c r="Q3034" s="105"/>
    </row>
    <row r="3035" spans="3:17" x14ac:dyDescent="0.3">
      <c r="C3035" s="87"/>
      <c r="H3035" s="86" t="e">
        <f>IF(I3035="fora",0%,G3035/QUÓRUM!$C$6)</f>
        <v>#DIV/0!</v>
      </c>
      <c r="I3035" s="87"/>
      <c r="J3035" s="88"/>
      <c r="K3035" s="88"/>
      <c r="L3035" s="89"/>
      <c r="M3035" s="89"/>
      <c r="Q3035" s="105"/>
    </row>
    <row r="3036" spans="3:17" x14ac:dyDescent="0.3">
      <c r="C3036" s="87"/>
      <c r="H3036" s="86" t="e">
        <f>IF(I3036="fora",0%,G3036/QUÓRUM!$C$6)</f>
        <v>#DIV/0!</v>
      </c>
      <c r="I3036" s="87"/>
      <c r="J3036" s="88"/>
      <c r="K3036" s="88"/>
      <c r="L3036" s="89"/>
      <c r="M3036" s="89"/>
      <c r="Q3036" s="105"/>
    </row>
    <row r="3037" spans="3:17" x14ac:dyDescent="0.3">
      <c r="C3037" s="87"/>
      <c r="H3037" s="86" t="e">
        <f>IF(I3037="fora",0%,G3037/QUÓRUM!$C$6)</f>
        <v>#DIV/0!</v>
      </c>
      <c r="I3037" s="87"/>
      <c r="J3037" s="88"/>
      <c r="K3037" s="88"/>
      <c r="L3037" s="89"/>
      <c r="M3037" s="89"/>
      <c r="Q3037" s="105"/>
    </row>
    <row r="3038" spans="3:17" x14ac:dyDescent="0.3">
      <c r="C3038" s="87"/>
      <c r="H3038" s="86" t="e">
        <f>IF(I3038="fora",0%,G3038/QUÓRUM!$C$6)</f>
        <v>#DIV/0!</v>
      </c>
      <c r="I3038" s="87"/>
      <c r="J3038" s="88"/>
      <c r="K3038" s="88"/>
      <c r="L3038" s="89"/>
      <c r="M3038" s="89"/>
      <c r="Q3038" s="105"/>
    </row>
    <row r="3039" spans="3:17" x14ac:dyDescent="0.3">
      <c r="C3039" s="87"/>
      <c r="H3039" s="86" t="e">
        <f>IF(I3039="fora",0%,G3039/QUÓRUM!$C$6)</f>
        <v>#DIV/0!</v>
      </c>
      <c r="I3039" s="87"/>
      <c r="J3039" s="88"/>
      <c r="K3039" s="88"/>
      <c r="L3039" s="89"/>
      <c r="M3039" s="89"/>
      <c r="Q3039" s="105"/>
    </row>
    <row r="3040" spans="3:17" x14ac:dyDescent="0.3">
      <c r="C3040" s="87"/>
      <c r="H3040" s="86" t="e">
        <f>IF(I3040="fora",0%,G3040/QUÓRUM!$C$6)</f>
        <v>#DIV/0!</v>
      </c>
      <c r="I3040" s="87"/>
      <c r="J3040" s="88"/>
      <c r="K3040" s="88"/>
      <c r="L3040" s="89"/>
      <c r="M3040" s="89"/>
      <c r="Q3040" s="105"/>
    </row>
    <row r="3041" spans="3:17" x14ac:dyDescent="0.3">
      <c r="C3041" s="87"/>
      <c r="H3041" s="86" t="e">
        <f>IF(I3041="fora",0%,G3041/QUÓRUM!$C$6)</f>
        <v>#DIV/0!</v>
      </c>
      <c r="I3041" s="87"/>
      <c r="J3041" s="88"/>
      <c r="K3041" s="88"/>
      <c r="L3041" s="89"/>
      <c r="M3041" s="89"/>
      <c r="Q3041" s="105"/>
    </row>
    <row r="3042" spans="3:17" x14ac:dyDescent="0.3">
      <c r="C3042" s="87"/>
      <c r="H3042" s="86" t="e">
        <f>IF(I3042="fora",0%,G3042/QUÓRUM!$C$6)</f>
        <v>#DIV/0!</v>
      </c>
      <c r="I3042" s="87"/>
      <c r="J3042" s="88"/>
      <c r="K3042" s="88"/>
      <c r="L3042" s="89"/>
      <c r="M3042" s="89"/>
      <c r="Q3042" s="105"/>
    </row>
    <row r="3043" spans="3:17" x14ac:dyDescent="0.3">
      <c r="C3043" s="87"/>
      <c r="H3043" s="86" t="e">
        <f>IF(I3043="fora",0%,G3043/QUÓRUM!$C$6)</f>
        <v>#DIV/0!</v>
      </c>
      <c r="I3043" s="87"/>
      <c r="J3043" s="88"/>
      <c r="K3043" s="88"/>
      <c r="L3043" s="89"/>
      <c r="M3043" s="89"/>
      <c r="Q3043" s="105"/>
    </row>
    <row r="3044" spans="3:17" x14ac:dyDescent="0.3">
      <c r="C3044" s="87"/>
      <c r="H3044" s="86" t="e">
        <f>IF(I3044="fora",0%,G3044/QUÓRUM!$C$6)</f>
        <v>#DIV/0!</v>
      </c>
      <c r="I3044" s="87"/>
      <c r="J3044" s="88"/>
      <c r="K3044" s="88"/>
      <c r="L3044" s="89"/>
      <c r="M3044" s="89"/>
      <c r="Q3044" s="105"/>
    </row>
    <row r="3045" spans="3:17" x14ac:dyDescent="0.3">
      <c r="C3045" s="87"/>
      <c r="H3045" s="86" t="e">
        <f>IF(I3045="fora",0%,G3045/QUÓRUM!$C$6)</f>
        <v>#DIV/0!</v>
      </c>
      <c r="I3045" s="87"/>
      <c r="J3045" s="88"/>
      <c r="K3045" s="88"/>
      <c r="L3045" s="89"/>
      <c r="M3045" s="89"/>
      <c r="Q3045" s="105"/>
    </row>
    <row r="3046" spans="3:17" x14ac:dyDescent="0.3">
      <c r="C3046" s="87"/>
      <c r="H3046" s="86" t="e">
        <f>IF(I3046="fora",0%,G3046/QUÓRUM!$C$6)</f>
        <v>#DIV/0!</v>
      </c>
      <c r="I3046" s="87"/>
      <c r="J3046" s="88"/>
      <c r="K3046" s="88"/>
      <c r="L3046" s="89"/>
      <c r="M3046" s="89"/>
      <c r="Q3046" s="105"/>
    </row>
    <row r="3047" spans="3:17" x14ac:dyDescent="0.3">
      <c r="C3047" s="87"/>
      <c r="H3047" s="86" t="e">
        <f>IF(I3047="fora",0%,G3047/QUÓRUM!$C$6)</f>
        <v>#DIV/0!</v>
      </c>
      <c r="I3047" s="87"/>
      <c r="J3047" s="88"/>
      <c r="K3047" s="88"/>
      <c r="L3047" s="89"/>
      <c r="M3047" s="89"/>
      <c r="Q3047" s="105"/>
    </row>
    <row r="3048" spans="3:17" x14ac:dyDescent="0.3">
      <c r="C3048" s="87"/>
      <c r="H3048" s="86" t="e">
        <f>IF(I3048="fora",0%,G3048/QUÓRUM!$C$6)</f>
        <v>#DIV/0!</v>
      </c>
      <c r="I3048" s="87"/>
      <c r="J3048" s="88"/>
      <c r="K3048" s="88"/>
      <c r="L3048" s="89"/>
      <c r="M3048" s="89"/>
      <c r="Q3048" s="105"/>
    </row>
    <row r="3049" spans="3:17" x14ac:dyDescent="0.3">
      <c r="C3049" s="87"/>
      <c r="H3049" s="86" t="e">
        <f>IF(I3049="fora",0%,G3049/QUÓRUM!$C$6)</f>
        <v>#DIV/0!</v>
      </c>
      <c r="I3049" s="87"/>
      <c r="J3049" s="88"/>
      <c r="K3049" s="88"/>
      <c r="L3049" s="89"/>
      <c r="M3049" s="89"/>
      <c r="Q3049" s="105"/>
    </row>
    <row r="3050" spans="3:17" x14ac:dyDescent="0.3">
      <c r="C3050" s="87"/>
      <c r="H3050" s="86" t="e">
        <f>IF(I3050="fora",0%,G3050/QUÓRUM!$C$6)</f>
        <v>#DIV/0!</v>
      </c>
      <c r="I3050" s="87"/>
      <c r="J3050" s="88"/>
      <c r="K3050" s="88"/>
      <c r="L3050" s="89"/>
      <c r="M3050" s="89"/>
      <c r="Q3050" s="105"/>
    </row>
    <row r="3051" spans="3:17" x14ac:dyDescent="0.3">
      <c r="C3051" s="87"/>
      <c r="H3051" s="86" t="e">
        <f>IF(I3051="fora",0%,G3051/QUÓRUM!$C$6)</f>
        <v>#DIV/0!</v>
      </c>
      <c r="I3051" s="87"/>
      <c r="J3051" s="88"/>
      <c r="K3051" s="88"/>
      <c r="L3051" s="89"/>
      <c r="M3051" s="89"/>
      <c r="Q3051" s="105"/>
    </row>
    <row r="3052" spans="3:17" x14ac:dyDescent="0.3">
      <c r="C3052" s="87"/>
      <c r="H3052" s="86" t="e">
        <f>IF(I3052="fora",0%,G3052/QUÓRUM!$C$6)</f>
        <v>#DIV/0!</v>
      </c>
      <c r="I3052" s="87"/>
      <c r="J3052" s="88"/>
      <c r="K3052" s="88"/>
      <c r="L3052" s="89"/>
      <c r="M3052" s="89"/>
      <c r="Q3052" s="105"/>
    </row>
    <row r="3053" spans="3:17" x14ac:dyDescent="0.3">
      <c r="C3053" s="87"/>
      <c r="H3053" s="86" t="e">
        <f>IF(I3053="fora",0%,G3053/QUÓRUM!$C$6)</f>
        <v>#DIV/0!</v>
      </c>
      <c r="I3053" s="87"/>
      <c r="J3053" s="88"/>
      <c r="K3053" s="88"/>
      <c r="L3053" s="89"/>
      <c r="M3053" s="89"/>
      <c r="Q3053" s="105"/>
    </row>
    <row r="3054" spans="3:17" x14ac:dyDescent="0.3">
      <c r="C3054" s="87"/>
      <c r="H3054" s="86" t="e">
        <f>IF(I3054="fora",0%,G3054/QUÓRUM!$C$6)</f>
        <v>#DIV/0!</v>
      </c>
      <c r="I3054" s="87"/>
      <c r="J3054" s="88"/>
      <c r="K3054" s="88"/>
      <c r="L3054" s="89"/>
      <c r="M3054" s="89"/>
      <c r="Q3054" s="105"/>
    </row>
    <row r="3055" spans="3:17" x14ac:dyDescent="0.3">
      <c r="C3055" s="87"/>
      <c r="H3055" s="86" t="e">
        <f>IF(I3055="fora",0%,G3055/QUÓRUM!$C$6)</f>
        <v>#DIV/0!</v>
      </c>
      <c r="I3055" s="87"/>
      <c r="J3055" s="88"/>
      <c r="K3055" s="88"/>
      <c r="L3055" s="89"/>
      <c r="M3055" s="89"/>
      <c r="Q3055" s="105"/>
    </row>
    <row r="3056" spans="3:17" x14ac:dyDescent="0.3">
      <c r="C3056" s="87"/>
      <c r="H3056" s="86" t="e">
        <f>IF(I3056="fora",0%,G3056/QUÓRUM!$C$6)</f>
        <v>#DIV/0!</v>
      </c>
      <c r="I3056" s="87"/>
      <c r="J3056" s="88"/>
      <c r="K3056" s="88"/>
      <c r="L3056" s="89"/>
      <c r="M3056" s="89"/>
      <c r="Q3056" s="105"/>
    </row>
    <row r="3057" spans="3:17" x14ac:dyDescent="0.3">
      <c r="C3057" s="87"/>
      <c r="H3057" s="86" t="e">
        <f>IF(I3057="fora",0%,G3057/QUÓRUM!$C$6)</f>
        <v>#DIV/0!</v>
      </c>
      <c r="I3057" s="87"/>
      <c r="J3057" s="88"/>
      <c r="K3057" s="88"/>
      <c r="L3057" s="89"/>
      <c r="M3057" s="89"/>
      <c r="Q3057" s="105"/>
    </row>
    <row r="3058" spans="3:17" x14ac:dyDescent="0.3">
      <c r="C3058" s="87"/>
      <c r="H3058" s="86" t="e">
        <f>IF(I3058="fora",0%,G3058/QUÓRUM!$C$6)</f>
        <v>#DIV/0!</v>
      </c>
      <c r="I3058" s="87"/>
      <c r="J3058" s="88"/>
      <c r="K3058" s="88"/>
      <c r="L3058" s="89"/>
      <c r="M3058" s="89"/>
      <c r="Q3058" s="105"/>
    </row>
    <row r="3059" spans="3:17" x14ac:dyDescent="0.3">
      <c r="C3059" s="87"/>
      <c r="H3059" s="86" t="e">
        <f>IF(I3059="fora",0%,G3059/QUÓRUM!$C$6)</f>
        <v>#DIV/0!</v>
      </c>
      <c r="I3059" s="87"/>
      <c r="J3059" s="88"/>
      <c r="K3059" s="88"/>
      <c r="L3059" s="89"/>
      <c r="M3059" s="89"/>
      <c r="Q3059" s="105"/>
    </row>
    <row r="3060" spans="3:17" x14ac:dyDescent="0.3">
      <c r="C3060" s="87"/>
      <c r="H3060" s="86" t="e">
        <f>IF(I3060="fora",0%,G3060/QUÓRUM!$C$6)</f>
        <v>#DIV/0!</v>
      </c>
      <c r="I3060" s="87"/>
      <c r="J3060" s="88"/>
      <c r="K3060" s="88"/>
      <c r="L3060" s="89"/>
      <c r="M3060" s="89"/>
      <c r="Q3060" s="105"/>
    </row>
    <row r="3061" spans="3:17" x14ac:dyDescent="0.3">
      <c r="C3061" s="87"/>
      <c r="H3061" s="86" t="e">
        <f>IF(I3061="fora",0%,G3061/QUÓRUM!$C$6)</f>
        <v>#DIV/0!</v>
      </c>
      <c r="I3061" s="87"/>
      <c r="J3061" s="88"/>
      <c r="K3061" s="88"/>
      <c r="L3061" s="89"/>
      <c r="M3061" s="89"/>
      <c r="Q3061" s="105"/>
    </row>
    <row r="3062" spans="3:17" x14ac:dyDescent="0.3">
      <c r="C3062" s="87"/>
      <c r="H3062" s="86" t="e">
        <f>IF(I3062="fora",0%,G3062/QUÓRUM!$C$6)</f>
        <v>#DIV/0!</v>
      </c>
      <c r="I3062" s="87"/>
      <c r="J3062" s="88"/>
      <c r="K3062" s="88"/>
      <c r="L3062" s="89"/>
      <c r="M3062" s="89"/>
      <c r="Q3062" s="105"/>
    </row>
    <row r="3063" spans="3:17" x14ac:dyDescent="0.3">
      <c r="C3063" s="87"/>
      <c r="H3063" s="86" t="e">
        <f>IF(I3063="fora",0%,G3063/QUÓRUM!$C$6)</f>
        <v>#DIV/0!</v>
      </c>
      <c r="I3063" s="87"/>
      <c r="J3063" s="88"/>
      <c r="K3063" s="88"/>
      <c r="L3063" s="89"/>
      <c r="M3063" s="89"/>
      <c r="Q3063" s="105"/>
    </row>
    <row r="3064" spans="3:17" x14ac:dyDescent="0.3">
      <c r="C3064" s="87"/>
      <c r="H3064" s="86" t="e">
        <f>IF(I3064="fora",0%,G3064/QUÓRUM!$C$6)</f>
        <v>#DIV/0!</v>
      </c>
      <c r="I3064" s="87"/>
      <c r="J3064" s="88"/>
      <c r="K3064" s="88"/>
      <c r="L3064" s="89"/>
      <c r="M3064" s="89"/>
      <c r="Q3064" s="105"/>
    </row>
    <row r="3065" spans="3:17" x14ac:dyDescent="0.3">
      <c r="C3065" s="87"/>
      <c r="G3065" s="115"/>
      <c r="H3065" s="86" t="e">
        <f>IF(I3065="fora",0%,G3065/QUÓRUM!$C$6)</f>
        <v>#DIV/0!</v>
      </c>
      <c r="I3065" s="87"/>
      <c r="J3065" s="88"/>
      <c r="K3065" s="88"/>
      <c r="L3065" s="89"/>
      <c r="M3065" s="89"/>
      <c r="Q3065" s="105"/>
    </row>
    <row r="3066" spans="3:17" x14ac:dyDescent="0.3">
      <c r="C3066" s="87"/>
      <c r="H3066" s="86" t="e">
        <f>IF(I3066="fora",0%,G3066/QUÓRUM!$C$6)</f>
        <v>#DIV/0!</v>
      </c>
      <c r="I3066" s="87"/>
      <c r="J3066" s="88"/>
      <c r="K3066" s="88"/>
      <c r="L3066" s="89"/>
      <c r="M3066" s="89"/>
      <c r="Q3066" s="105"/>
    </row>
    <row r="3067" spans="3:17" x14ac:dyDescent="0.3">
      <c r="C3067" s="87"/>
      <c r="H3067" s="86" t="e">
        <f>IF(I3067="fora",0%,G3067/QUÓRUM!$C$6)</f>
        <v>#DIV/0!</v>
      </c>
      <c r="I3067" s="87"/>
      <c r="J3067" s="88"/>
      <c r="K3067" s="88"/>
      <c r="L3067" s="89"/>
      <c r="M3067" s="89"/>
      <c r="Q3067" s="105"/>
    </row>
    <row r="3068" spans="3:17" x14ac:dyDescent="0.3">
      <c r="C3068" s="87"/>
      <c r="H3068" s="86" t="e">
        <f>IF(I3068="fora",0%,G3068/QUÓRUM!$C$6)</f>
        <v>#DIV/0!</v>
      </c>
      <c r="I3068" s="87"/>
      <c r="J3068" s="88"/>
      <c r="K3068" s="88"/>
      <c r="L3068" s="89"/>
      <c r="M3068" s="89"/>
      <c r="Q3068" s="105"/>
    </row>
    <row r="3069" spans="3:17" x14ac:dyDescent="0.3">
      <c r="C3069" s="87"/>
      <c r="H3069" s="86" t="e">
        <f>IF(I3069="fora",0%,G3069/QUÓRUM!$C$6)</f>
        <v>#DIV/0!</v>
      </c>
      <c r="I3069" s="87"/>
      <c r="J3069" s="88"/>
      <c r="K3069" s="88"/>
      <c r="L3069" s="89"/>
      <c r="M3069" s="89"/>
      <c r="Q3069" s="105"/>
    </row>
    <row r="3070" spans="3:17" x14ac:dyDescent="0.3">
      <c r="C3070" s="87"/>
      <c r="H3070" s="86" t="e">
        <f>IF(I3070="fora",0%,G3070/QUÓRUM!$C$6)</f>
        <v>#DIV/0!</v>
      </c>
      <c r="I3070" s="87"/>
      <c r="J3070" s="88"/>
      <c r="K3070" s="88"/>
      <c r="L3070" s="89"/>
      <c r="M3070" s="89"/>
      <c r="Q3070" s="105"/>
    </row>
    <row r="3071" spans="3:17" x14ac:dyDescent="0.3">
      <c r="C3071" s="87"/>
      <c r="H3071" s="86" t="e">
        <f>IF(I3071="fora",0%,G3071/QUÓRUM!$C$6)</f>
        <v>#DIV/0!</v>
      </c>
      <c r="I3071" s="87"/>
      <c r="J3071" s="88"/>
      <c r="K3071" s="88"/>
      <c r="L3071" s="89"/>
      <c r="M3071" s="89"/>
      <c r="Q3071" s="105"/>
    </row>
    <row r="3072" spans="3:17" x14ac:dyDescent="0.3">
      <c r="C3072" s="87"/>
      <c r="H3072" s="86" t="e">
        <f>IF(I3072="fora",0%,G3072/QUÓRUM!$C$6)</f>
        <v>#DIV/0!</v>
      </c>
      <c r="I3072" s="87"/>
      <c r="J3072" s="88"/>
      <c r="K3072" s="88"/>
      <c r="L3072" s="89"/>
      <c r="M3072" s="89"/>
      <c r="Q3072" s="105"/>
    </row>
    <row r="3073" spans="3:17" x14ac:dyDescent="0.3">
      <c r="C3073" s="87"/>
      <c r="H3073" s="86" t="e">
        <f>IF(I3073="fora",0%,G3073/QUÓRUM!$C$6)</f>
        <v>#DIV/0!</v>
      </c>
      <c r="I3073" s="87"/>
      <c r="J3073" s="88"/>
      <c r="K3073" s="88"/>
      <c r="L3073" s="89"/>
      <c r="M3073" s="89"/>
      <c r="Q3073" s="105"/>
    </row>
    <row r="3074" spans="3:17" x14ac:dyDescent="0.3">
      <c r="C3074" s="87"/>
      <c r="H3074" s="86" t="e">
        <f>IF(I3074="fora",0%,G3074/QUÓRUM!$C$6)</f>
        <v>#DIV/0!</v>
      </c>
      <c r="I3074" s="87"/>
      <c r="J3074" s="88"/>
      <c r="K3074" s="88"/>
      <c r="L3074" s="89"/>
      <c r="M3074" s="89"/>
      <c r="Q3074" s="105"/>
    </row>
    <row r="3075" spans="3:17" x14ac:dyDescent="0.3">
      <c r="C3075" s="87"/>
      <c r="H3075" s="86" t="e">
        <f>IF(I3075="fora",0%,G3075/QUÓRUM!$C$6)</f>
        <v>#DIV/0!</v>
      </c>
      <c r="I3075" s="87"/>
      <c r="J3075" s="88"/>
      <c r="K3075" s="88"/>
      <c r="L3075" s="89"/>
      <c r="M3075" s="89"/>
      <c r="Q3075" s="105"/>
    </row>
    <row r="3076" spans="3:17" x14ac:dyDescent="0.3">
      <c r="C3076" s="87"/>
      <c r="H3076" s="86" t="e">
        <f>IF(I3076="fora",0%,G3076/QUÓRUM!$C$6)</f>
        <v>#DIV/0!</v>
      </c>
      <c r="I3076" s="87"/>
      <c r="J3076" s="88"/>
      <c r="K3076" s="88"/>
      <c r="L3076" s="89"/>
      <c r="M3076" s="89"/>
      <c r="Q3076" s="105"/>
    </row>
    <row r="3077" spans="3:17" x14ac:dyDescent="0.3">
      <c r="C3077" s="87"/>
      <c r="H3077" s="86" t="e">
        <f>IF(I3077="fora",0%,G3077/QUÓRUM!$C$6)</f>
        <v>#DIV/0!</v>
      </c>
      <c r="I3077" s="87"/>
      <c r="J3077" s="88"/>
      <c r="K3077" s="88"/>
      <c r="L3077" s="89"/>
      <c r="M3077" s="89"/>
      <c r="Q3077" s="105"/>
    </row>
    <row r="3078" spans="3:17" x14ac:dyDescent="0.3">
      <c r="C3078" s="87"/>
      <c r="H3078" s="86" t="e">
        <f>IF(I3078="fora",0%,G3078/QUÓRUM!$C$6)</f>
        <v>#DIV/0!</v>
      </c>
      <c r="I3078" s="87"/>
      <c r="J3078" s="88"/>
      <c r="K3078" s="88"/>
      <c r="L3078" s="89"/>
      <c r="M3078" s="89"/>
      <c r="Q3078" s="105"/>
    </row>
    <row r="3079" spans="3:17" x14ac:dyDescent="0.3">
      <c r="C3079" s="87"/>
      <c r="H3079" s="86" t="e">
        <f>IF(I3079="fora",0%,G3079/QUÓRUM!$C$6)</f>
        <v>#DIV/0!</v>
      </c>
      <c r="I3079" s="87"/>
      <c r="J3079" s="88"/>
      <c r="K3079" s="88"/>
      <c r="L3079" s="89"/>
      <c r="M3079" s="89"/>
      <c r="Q3079" s="105"/>
    </row>
    <row r="3080" spans="3:17" x14ac:dyDescent="0.3">
      <c r="C3080" s="87"/>
      <c r="H3080" s="86" t="e">
        <f>IF(I3080="fora",0%,G3080/QUÓRUM!$C$6)</f>
        <v>#DIV/0!</v>
      </c>
      <c r="I3080" s="87"/>
      <c r="J3080" s="88"/>
      <c r="K3080" s="88"/>
      <c r="L3080" s="89"/>
      <c r="M3080" s="89"/>
      <c r="Q3080" s="105"/>
    </row>
    <row r="3081" spans="3:17" x14ac:dyDescent="0.3">
      <c r="C3081" s="87"/>
      <c r="H3081" s="86" t="e">
        <f>IF(I3081="fora",0%,G3081/QUÓRUM!$C$6)</f>
        <v>#DIV/0!</v>
      </c>
      <c r="I3081" s="87"/>
      <c r="J3081" s="88"/>
      <c r="K3081" s="88"/>
      <c r="L3081" s="89"/>
      <c r="M3081" s="89"/>
      <c r="Q3081" s="105"/>
    </row>
    <row r="3082" spans="3:17" x14ac:dyDescent="0.3">
      <c r="C3082" s="87"/>
      <c r="H3082" s="86" t="e">
        <f>IF(I3082="fora",0%,G3082/QUÓRUM!$C$6)</f>
        <v>#DIV/0!</v>
      </c>
      <c r="I3082" s="87"/>
      <c r="J3082" s="88"/>
      <c r="K3082" s="88"/>
      <c r="L3082" s="89"/>
      <c r="M3082" s="89"/>
      <c r="Q3082" s="105"/>
    </row>
    <row r="3083" spans="3:17" x14ac:dyDescent="0.3">
      <c r="C3083" s="87"/>
      <c r="H3083" s="86" t="e">
        <f>IF(I3083="fora",0%,G3083/QUÓRUM!$C$6)</f>
        <v>#DIV/0!</v>
      </c>
      <c r="I3083" s="87"/>
      <c r="J3083" s="88"/>
      <c r="K3083" s="88"/>
      <c r="L3083" s="89"/>
      <c r="M3083" s="89"/>
      <c r="Q3083" s="105"/>
    </row>
    <row r="3084" spans="3:17" x14ac:dyDescent="0.3">
      <c r="C3084" s="87"/>
      <c r="H3084" s="86" t="e">
        <f>IF(I3084="fora",0%,G3084/QUÓRUM!$C$6)</f>
        <v>#DIV/0!</v>
      </c>
      <c r="I3084" s="87"/>
      <c r="J3084" s="88"/>
      <c r="K3084" s="88"/>
      <c r="L3084" s="89"/>
      <c r="M3084" s="89"/>
      <c r="Q3084" s="105"/>
    </row>
    <row r="3085" spans="3:17" x14ac:dyDescent="0.3">
      <c r="C3085" s="87"/>
      <c r="H3085" s="86" t="e">
        <f>IF(I3085="fora",0%,G3085/QUÓRUM!$C$6)</f>
        <v>#DIV/0!</v>
      </c>
      <c r="I3085" s="87"/>
      <c r="J3085" s="88"/>
      <c r="K3085" s="88"/>
      <c r="L3085" s="89"/>
      <c r="M3085" s="89"/>
      <c r="Q3085" s="105"/>
    </row>
    <row r="3086" spans="3:17" x14ac:dyDescent="0.3">
      <c r="C3086" s="87"/>
      <c r="H3086" s="86" t="e">
        <f>IF(I3086="fora",0%,G3086/QUÓRUM!$C$6)</f>
        <v>#DIV/0!</v>
      </c>
      <c r="I3086" s="87"/>
      <c r="J3086" s="88"/>
      <c r="K3086" s="88"/>
      <c r="L3086" s="89"/>
      <c r="M3086" s="89"/>
      <c r="Q3086" s="105"/>
    </row>
    <row r="3087" spans="3:17" x14ac:dyDescent="0.3">
      <c r="C3087" s="87"/>
      <c r="H3087" s="86" t="e">
        <f>IF(I3087="fora",0%,G3087/QUÓRUM!$C$6)</f>
        <v>#DIV/0!</v>
      </c>
      <c r="I3087" s="87"/>
      <c r="J3087" s="88"/>
      <c r="K3087" s="88"/>
      <c r="L3087" s="89"/>
      <c r="M3087" s="89"/>
      <c r="Q3087" s="105"/>
    </row>
    <row r="3088" spans="3:17" x14ac:dyDescent="0.3">
      <c r="C3088" s="87"/>
      <c r="H3088" s="86" t="e">
        <f>IF(I3088="fora",0%,G3088/QUÓRUM!$C$6)</f>
        <v>#DIV/0!</v>
      </c>
      <c r="I3088" s="87"/>
      <c r="J3088" s="88"/>
      <c r="K3088" s="88"/>
      <c r="L3088" s="89"/>
      <c r="M3088" s="89"/>
      <c r="Q3088" s="105"/>
    </row>
    <row r="3089" spans="3:17" x14ac:dyDescent="0.3">
      <c r="C3089" s="87"/>
      <c r="H3089" s="86" t="e">
        <f>IF(I3089="fora",0%,G3089/QUÓRUM!$C$6)</f>
        <v>#DIV/0!</v>
      </c>
      <c r="I3089" s="87"/>
      <c r="J3089" s="88"/>
      <c r="K3089" s="88"/>
      <c r="L3089" s="89"/>
      <c r="M3089" s="89"/>
      <c r="Q3089" s="105"/>
    </row>
    <row r="3090" spans="3:17" x14ac:dyDescent="0.3">
      <c r="C3090" s="87"/>
      <c r="H3090" s="86" t="e">
        <f>IF(I3090="fora",0%,G3090/QUÓRUM!$C$6)</f>
        <v>#DIV/0!</v>
      </c>
      <c r="I3090" s="87"/>
      <c r="J3090" s="88"/>
      <c r="K3090" s="88"/>
      <c r="L3090" s="89"/>
      <c r="M3090" s="89"/>
      <c r="Q3090" s="105"/>
    </row>
    <row r="3091" spans="3:17" x14ac:dyDescent="0.3">
      <c r="C3091" s="87"/>
      <c r="H3091" s="86" t="e">
        <f>IF(I3091="fora",0%,G3091/QUÓRUM!$C$6)</f>
        <v>#DIV/0!</v>
      </c>
      <c r="I3091" s="87"/>
      <c r="J3091" s="88"/>
      <c r="K3091" s="88"/>
      <c r="L3091" s="89"/>
      <c r="M3091" s="89"/>
      <c r="Q3091" s="105"/>
    </row>
    <row r="3092" spans="3:17" x14ac:dyDescent="0.3">
      <c r="C3092" s="87"/>
      <c r="H3092" s="86" t="e">
        <f>IF(I3092="fora",0%,G3092/QUÓRUM!$C$6)</f>
        <v>#DIV/0!</v>
      </c>
      <c r="I3092" s="87"/>
      <c r="J3092" s="88"/>
      <c r="K3092" s="88"/>
      <c r="L3092" s="89"/>
      <c r="M3092" s="89"/>
      <c r="Q3092" s="105"/>
    </row>
    <row r="3093" spans="3:17" x14ac:dyDescent="0.3">
      <c r="C3093" s="87"/>
      <c r="H3093" s="86" t="e">
        <f>IF(I3093="fora",0%,G3093/QUÓRUM!$C$6)</f>
        <v>#DIV/0!</v>
      </c>
      <c r="I3093" s="87"/>
      <c r="J3093" s="88"/>
      <c r="K3093" s="88"/>
      <c r="L3093" s="89"/>
      <c r="M3093" s="89"/>
      <c r="Q3093" s="105"/>
    </row>
    <row r="3094" spans="3:17" x14ac:dyDescent="0.3">
      <c r="C3094" s="87"/>
      <c r="H3094" s="86" t="e">
        <f>IF(I3094="fora",0%,G3094/QUÓRUM!$C$6)</f>
        <v>#DIV/0!</v>
      </c>
      <c r="I3094" s="87"/>
      <c r="J3094" s="88"/>
      <c r="K3094" s="88"/>
      <c r="L3094" s="89"/>
      <c r="M3094" s="89"/>
      <c r="Q3094" s="105"/>
    </row>
    <row r="3095" spans="3:17" x14ac:dyDescent="0.3">
      <c r="C3095" s="87"/>
      <c r="H3095" s="86" t="e">
        <f>IF(I3095="fora",0%,G3095/QUÓRUM!$C$6)</f>
        <v>#DIV/0!</v>
      </c>
      <c r="I3095" s="87"/>
      <c r="J3095" s="88"/>
      <c r="K3095" s="88"/>
      <c r="L3095" s="89"/>
      <c r="M3095" s="89"/>
      <c r="Q3095" s="105"/>
    </row>
    <row r="3096" spans="3:17" x14ac:dyDescent="0.3">
      <c r="C3096" s="87"/>
      <c r="H3096" s="86" t="e">
        <f>IF(I3096="fora",0%,G3096/QUÓRUM!$C$6)</f>
        <v>#DIV/0!</v>
      </c>
      <c r="I3096" s="87"/>
      <c r="J3096" s="88"/>
      <c r="K3096" s="88"/>
      <c r="L3096" s="89"/>
      <c r="M3096" s="89"/>
      <c r="Q3096" s="105"/>
    </row>
    <row r="3097" spans="3:17" x14ac:dyDescent="0.3">
      <c r="C3097" s="87"/>
      <c r="H3097" s="86" t="e">
        <f>IF(I3097="fora",0%,G3097/QUÓRUM!$C$6)</f>
        <v>#DIV/0!</v>
      </c>
      <c r="I3097" s="87"/>
      <c r="J3097" s="88"/>
      <c r="K3097" s="88"/>
      <c r="L3097" s="89"/>
      <c r="M3097" s="89"/>
      <c r="Q3097" s="105"/>
    </row>
    <row r="3098" spans="3:17" x14ac:dyDescent="0.3">
      <c r="C3098" s="87"/>
      <c r="H3098" s="86" t="e">
        <f>IF(I3098="fora",0%,G3098/QUÓRUM!$C$6)</f>
        <v>#DIV/0!</v>
      </c>
      <c r="I3098" s="87"/>
      <c r="J3098" s="88"/>
      <c r="K3098" s="88"/>
      <c r="L3098" s="89"/>
      <c r="M3098" s="89"/>
      <c r="Q3098" s="105"/>
    </row>
    <row r="3099" spans="3:17" x14ac:dyDescent="0.3">
      <c r="C3099" s="87"/>
      <c r="H3099" s="86" t="e">
        <f>IF(I3099="fora",0%,G3099/QUÓRUM!$C$6)</f>
        <v>#DIV/0!</v>
      </c>
      <c r="I3099" s="87"/>
      <c r="J3099" s="88"/>
      <c r="K3099" s="88"/>
      <c r="L3099" s="89"/>
      <c r="M3099" s="89"/>
      <c r="Q3099" s="105"/>
    </row>
    <row r="3100" spans="3:17" x14ac:dyDescent="0.3">
      <c r="C3100" s="87"/>
      <c r="H3100" s="86" t="e">
        <f>IF(I3100="fora",0%,G3100/QUÓRUM!$C$6)</f>
        <v>#DIV/0!</v>
      </c>
      <c r="I3100" s="87"/>
      <c r="J3100" s="88"/>
      <c r="K3100" s="88"/>
      <c r="L3100" s="89"/>
      <c r="M3100" s="89"/>
      <c r="Q3100" s="105"/>
    </row>
    <row r="3101" spans="3:17" x14ac:dyDescent="0.3">
      <c r="C3101" s="87"/>
      <c r="H3101" s="86" t="e">
        <f>IF(I3101="fora",0%,G3101/QUÓRUM!$C$6)</f>
        <v>#DIV/0!</v>
      </c>
      <c r="I3101" s="87"/>
      <c r="J3101" s="88"/>
      <c r="K3101" s="88"/>
      <c r="L3101" s="89"/>
      <c r="M3101" s="89"/>
      <c r="Q3101" s="105"/>
    </row>
    <row r="3102" spans="3:17" x14ac:dyDescent="0.3">
      <c r="C3102" s="87"/>
      <c r="H3102" s="86" t="e">
        <f>IF(I3102="fora",0%,G3102/QUÓRUM!$C$6)</f>
        <v>#DIV/0!</v>
      </c>
      <c r="I3102" s="87"/>
      <c r="J3102" s="88"/>
      <c r="K3102" s="88"/>
      <c r="L3102" s="89"/>
      <c r="M3102" s="89"/>
      <c r="Q3102" s="105"/>
    </row>
    <row r="3103" spans="3:17" x14ac:dyDescent="0.3">
      <c r="C3103" s="87"/>
      <c r="H3103" s="86" t="e">
        <f>IF(I3103="fora",0%,G3103/QUÓRUM!$C$6)</f>
        <v>#DIV/0!</v>
      </c>
      <c r="I3103" s="87"/>
      <c r="J3103" s="88"/>
      <c r="K3103" s="88"/>
      <c r="L3103" s="89"/>
      <c r="M3103" s="89"/>
      <c r="Q3103" s="105"/>
    </row>
    <row r="3104" spans="3:17" x14ac:dyDescent="0.3">
      <c r="C3104" s="87"/>
      <c r="H3104" s="86" t="e">
        <f>IF(I3104="fora",0%,G3104/QUÓRUM!$C$6)</f>
        <v>#DIV/0!</v>
      </c>
      <c r="I3104" s="87"/>
      <c r="J3104" s="88"/>
      <c r="K3104" s="88"/>
      <c r="L3104" s="89"/>
      <c r="M3104" s="89"/>
      <c r="Q3104" s="105"/>
    </row>
    <row r="3105" spans="3:17" x14ac:dyDescent="0.3">
      <c r="C3105" s="87"/>
      <c r="H3105" s="86" t="e">
        <f>IF(I3105="fora",0%,G3105/QUÓRUM!$C$6)</f>
        <v>#DIV/0!</v>
      </c>
      <c r="I3105" s="87"/>
      <c r="J3105" s="88"/>
      <c r="K3105" s="88"/>
      <c r="L3105" s="89"/>
      <c r="M3105" s="89"/>
      <c r="Q3105" s="105"/>
    </row>
    <row r="3106" spans="3:17" x14ac:dyDescent="0.3">
      <c r="C3106" s="87"/>
      <c r="H3106" s="86" t="e">
        <f>IF(I3106="fora",0%,G3106/QUÓRUM!$C$6)</f>
        <v>#DIV/0!</v>
      </c>
      <c r="I3106" s="87"/>
      <c r="J3106" s="88"/>
      <c r="K3106" s="88"/>
      <c r="L3106" s="89"/>
      <c r="M3106" s="89"/>
      <c r="Q3106" s="105"/>
    </row>
    <row r="3107" spans="3:17" x14ac:dyDescent="0.3">
      <c r="C3107" s="87"/>
      <c r="H3107" s="86" t="e">
        <f>IF(I3107="fora",0%,G3107/QUÓRUM!$C$6)</f>
        <v>#DIV/0!</v>
      </c>
      <c r="I3107" s="87"/>
      <c r="J3107" s="88"/>
      <c r="K3107" s="88"/>
      <c r="L3107" s="89"/>
      <c r="M3107" s="89"/>
      <c r="Q3107" s="105"/>
    </row>
    <row r="3108" spans="3:17" x14ac:dyDescent="0.3">
      <c r="C3108" s="87"/>
      <c r="H3108" s="86" t="e">
        <f>IF(I3108="fora",0%,G3108/QUÓRUM!$C$6)</f>
        <v>#DIV/0!</v>
      </c>
      <c r="I3108" s="87"/>
      <c r="J3108" s="88"/>
      <c r="K3108" s="88"/>
      <c r="L3108" s="89"/>
      <c r="M3108" s="89"/>
      <c r="Q3108" s="105"/>
    </row>
    <row r="3109" spans="3:17" x14ac:dyDescent="0.3">
      <c r="C3109" s="87"/>
      <c r="H3109" s="86" t="e">
        <f>IF(I3109="fora",0%,G3109/QUÓRUM!$C$6)</f>
        <v>#DIV/0!</v>
      </c>
      <c r="I3109" s="87"/>
      <c r="J3109" s="88"/>
      <c r="K3109" s="88"/>
      <c r="L3109" s="89"/>
      <c r="M3109" s="89"/>
      <c r="Q3109" s="105"/>
    </row>
    <row r="3110" spans="3:17" x14ac:dyDescent="0.3">
      <c r="C3110" s="87"/>
      <c r="H3110" s="86" t="e">
        <f>IF(I3110="fora",0%,G3110/QUÓRUM!$C$6)</f>
        <v>#DIV/0!</v>
      </c>
      <c r="I3110" s="87"/>
      <c r="J3110" s="88"/>
      <c r="K3110" s="88"/>
      <c r="L3110" s="89"/>
      <c r="M3110" s="89"/>
      <c r="Q3110" s="105"/>
    </row>
    <row r="3111" spans="3:17" x14ac:dyDescent="0.3">
      <c r="C3111" s="87"/>
      <c r="H3111" s="86" t="e">
        <f>IF(I3111="fora",0%,G3111/QUÓRUM!$C$6)</f>
        <v>#DIV/0!</v>
      </c>
      <c r="I3111" s="87"/>
      <c r="J3111" s="88"/>
      <c r="K3111" s="88"/>
      <c r="L3111" s="89"/>
      <c r="M3111" s="89"/>
      <c r="Q3111" s="105"/>
    </row>
    <row r="3112" spans="3:17" x14ac:dyDescent="0.3">
      <c r="C3112" s="87"/>
      <c r="H3112" s="86" t="e">
        <f>IF(I3112="fora",0%,G3112/QUÓRUM!$C$6)</f>
        <v>#DIV/0!</v>
      </c>
      <c r="I3112" s="87"/>
      <c r="J3112" s="88"/>
      <c r="K3112" s="88"/>
      <c r="L3112" s="89"/>
      <c r="M3112" s="89"/>
      <c r="Q3112" s="105"/>
    </row>
    <row r="3113" spans="3:17" x14ac:dyDescent="0.3">
      <c r="C3113" s="87"/>
      <c r="H3113" s="86" t="e">
        <f>IF(I3113="fora",0%,G3113/QUÓRUM!$C$6)</f>
        <v>#DIV/0!</v>
      </c>
      <c r="I3113" s="87"/>
      <c r="J3113" s="88"/>
      <c r="K3113" s="88"/>
      <c r="L3113" s="89"/>
      <c r="M3113" s="89"/>
      <c r="Q3113" s="105"/>
    </row>
    <row r="3114" spans="3:17" x14ac:dyDescent="0.3">
      <c r="C3114" s="87"/>
      <c r="H3114" s="86" t="e">
        <f>IF(I3114="fora",0%,G3114/QUÓRUM!$C$6)</f>
        <v>#DIV/0!</v>
      </c>
      <c r="I3114" s="87"/>
      <c r="J3114" s="88"/>
      <c r="K3114" s="88"/>
      <c r="L3114" s="89"/>
      <c r="M3114" s="89"/>
      <c r="Q3114" s="105"/>
    </row>
    <row r="3115" spans="3:17" x14ac:dyDescent="0.3">
      <c r="C3115" s="87"/>
      <c r="H3115" s="86" t="e">
        <f>IF(I3115="fora",0%,G3115/QUÓRUM!$C$6)</f>
        <v>#DIV/0!</v>
      </c>
      <c r="I3115" s="87"/>
      <c r="J3115" s="88"/>
      <c r="K3115" s="88"/>
      <c r="L3115" s="89"/>
      <c r="M3115" s="89"/>
      <c r="Q3115" s="105"/>
    </row>
    <row r="3116" spans="3:17" x14ac:dyDescent="0.3">
      <c r="C3116" s="87"/>
      <c r="H3116" s="86" t="e">
        <f>IF(I3116="fora",0%,G3116/QUÓRUM!$C$6)</f>
        <v>#DIV/0!</v>
      </c>
      <c r="I3116" s="87"/>
      <c r="J3116" s="88"/>
      <c r="K3116" s="88"/>
      <c r="L3116" s="89"/>
      <c r="M3116" s="89"/>
      <c r="Q3116" s="105"/>
    </row>
    <row r="3117" spans="3:17" x14ac:dyDescent="0.3">
      <c r="C3117" s="87"/>
      <c r="H3117" s="86" t="e">
        <f>IF(I3117="fora",0%,G3117/QUÓRUM!$C$6)</f>
        <v>#DIV/0!</v>
      </c>
      <c r="I3117" s="87"/>
      <c r="J3117" s="88"/>
      <c r="K3117" s="88"/>
      <c r="L3117" s="89"/>
      <c r="M3117" s="89"/>
      <c r="Q3117" s="105"/>
    </row>
    <row r="3118" spans="3:17" x14ac:dyDescent="0.3">
      <c r="C3118" s="87"/>
      <c r="H3118" s="86" t="e">
        <f>IF(I3118="fora",0%,G3118/QUÓRUM!$C$6)</f>
        <v>#DIV/0!</v>
      </c>
      <c r="I3118" s="87"/>
      <c r="J3118" s="88"/>
      <c r="K3118" s="88"/>
      <c r="L3118" s="89"/>
      <c r="M3118" s="89"/>
      <c r="Q3118" s="105"/>
    </row>
    <row r="3119" spans="3:17" x14ac:dyDescent="0.3">
      <c r="C3119" s="87"/>
      <c r="H3119" s="86" t="e">
        <f>IF(I3119="fora",0%,G3119/QUÓRUM!$C$6)</f>
        <v>#DIV/0!</v>
      </c>
      <c r="I3119" s="87"/>
      <c r="J3119" s="88"/>
      <c r="K3119" s="88"/>
      <c r="L3119" s="89"/>
      <c r="M3119" s="89"/>
      <c r="Q3119" s="105"/>
    </row>
    <row r="3120" spans="3:17" x14ac:dyDescent="0.3">
      <c r="C3120" s="87"/>
      <c r="H3120" s="86" t="e">
        <f>IF(I3120="fora",0%,G3120/QUÓRUM!$C$6)</f>
        <v>#DIV/0!</v>
      </c>
      <c r="I3120" s="87"/>
      <c r="J3120" s="88"/>
      <c r="K3120" s="88"/>
      <c r="L3120" s="89"/>
      <c r="M3120" s="89"/>
      <c r="Q3120" s="105"/>
    </row>
    <row r="3121" spans="3:17" x14ac:dyDescent="0.3">
      <c r="C3121" s="87"/>
      <c r="H3121" s="86" t="e">
        <f>IF(I3121="fora",0%,G3121/QUÓRUM!$C$6)</f>
        <v>#DIV/0!</v>
      </c>
      <c r="I3121" s="87"/>
      <c r="J3121" s="88"/>
      <c r="K3121" s="88"/>
      <c r="L3121" s="89"/>
      <c r="M3121" s="89"/>
      <c r="Q3121" s="105"/>
    </row>
    <row r="3122" spans="3:17" x14ac:dyDescent="0.3">
      <c r="C3122" s="87"/>
      <c r="H3122" s="86" t="e">
        <f>IF(I3122="fora",0%,G3122/QUÓRUM!$C$6)</f>
        <v>#DIV/0!</v>
      </c>
      <c r="I3122" s="87"/>
      <c r="J3122" s="88"/>
      <c r="K3122" s="88"/>
      <c r="L3122" s="89"/>
      <c r="M3122" s="89"/>
      <c r="Q3122" s="105"/>
    </row>
    <row r="3123" spans="3:17" x14ac:dyDescent="0.3">
      <c r="C3123" s="87"/>
      <c r="H3123" s="86" t="e">
        <f>IF(I3123="fora",0%,G3123/QUÓRUM!$C$6)</f>
        <v>#DIV/0!</v>
      </c>
      <c r="I3123" s="87"/>
      <c r="J3123" s="88"/>
      <c r="K3123" s="88"/>
      <c r="L3123" s="89"/>
      <c r="M3123" s="89"/>
      <c r="Q3123" s="105"/>
    </row>
    <row r="3124" spans="3:17" x14ac:dyDescent="0.3">
      <c r="C3124" s="87"/>
      <c r="H3124" s="86" t="e">
        <f>IF(I3124="fora",0%,G3124/QUÓRUM!$C$6)</f>
        <v>#DIV/0!</v>
      </c>
      <c r="I3124" s="87"/>
      <c r="J3124" s="88"/>
      <c r="K3124" s="88"/>
      <c r="L3124" s="89"/>
      <c r="M3124" s="89"/>
      <c r="Q3124" s="105"/>
    </row>
    <row r="3125" spans="3:17" x14ac:dyDescent="0.3">
      <c r="C3125" s="87"/>
      <c r="H3125" s="86" t="e">
        <f>IF(I3125="fora",0%,G3125/QUÓRUM!$C$6)</f>
        <v>#DIV/0!</v>
      </c>
      <c r="I3125" s="87"/>
      <c r="J3125" s="88"/>
      <c r="K3125" s="88"/>
      <c r="L3125" s="89"/>
      <c r="M3125" s="89"/>
      <c r="Q3125" s="105"/>
    </row>
    <row r="3126" spans="3:17" x14ac:dyDescent="0.3">
      <c r="C3126" s="87"/>
      <c r="H3126" s="86" t="e">
        <f>IF(I3126="fora",0%,G3126/QUÓRUM!$C$6)</f>
        <v>#DIV/0!</v>
      </c>
      <c r="I3126" s="87"/>
      <c r="J3126" s="88"/>
      <c r="K3126" s="88"/>
      <c r="L3126" s="89"/>
      <c r="M3126" s="89"/>
      <c r="Q3126" s="105"/>
    </row>
    <row r="3127" spans="3:17" x14ac:dyDescent="0.3">
      <c r="C3127" s="87"/>
      <c r="H3127" s="86" t="e">
        <f>IF(I3127="fora",0%,G3127/QUÓRUM!$C$6)</f>
        <v>#DIV/0!</v>
      </c>
      <c r="I3127" s="87"/>
      <c r="J3127" s="88"/>
      <c r="K3127" s="88"/>
      <c r="L3127" s="89"/>
      <c r="M3127" s="89"/>
      <c r="Q3127" s="105"/>
    </row>
    <row r="3128" spans="3:17" x14ac:dyDescent="0.3">
      <c r="C3128" s="87"/>
      <c r="H3128" s="86" t="e">
        <f>IF(I3128="fora",0%,G3128/QUÓRUM!$C$6)</f>
        <v>#DIV/0!</v>
      </c>
      <c r="I3128" s="87"/>
      <c r="J3128" s="88"/>
      <c r="K3128" s="88"/>
      <c r="L3128" s="89"/>
      <c r="M3128" s="89"/>
      <c r="Q3128" s="105"/>
    </row>
    <row r="3129" spans="3:17" x14ac:dyDescent="0.3">
      <c r="C3129" s="87"/>
      <c r="H3129" s="86" t="e">
        <f>IF(I3129="fora",0%,G3129/QUÓRUM!$C$6)</f>
        <v>#DIV/0!</v>
      </c>
      <c r="I3129" s="87"/>
      <c r="J3129" s="88"/>
      <c r="K3129" s="88"/>
      <c r="L3129" s="89"/>
      <c r="M3129" s="89"/>
      <c r="Q3129" s="105"/>
    </row>
    <row r="3130" spans="3:17" x14ac:dyDescent="0.3">
      <c r="C3130" s="87"/>
      <c r="H3130" s="86" t="e">
        <f>IF(I3130="fora",0%,G3130/QUÓRUM!$C$6)</f>
        <v>#DIV/0!</v>
      </c>
      <c r="I3130" s="87"/>
      <c r="J3130" s="88"/>
      <c r="K3130" s="88"/>
      <c r="L3130" s="89"/>
      <c r="M3130" s="89"/>
      <c r="Q3130" s="105"/>
    </row>
    <row r="3131" spans="3:17" x14ac:dyDescent="0.3">
      <c r="C3131" s="87"/>
      <c r="H3131" s="86" t="e">
        <f>IF(I3131="fora",0%,G3131/QUÓRUM!$C$6)</f>
        <v>#DIV/0!</v>
      </c>
      <c r="I3131" s="87"/>
      <c r="J3131" s="88"/>
      <c r="K3131" s="88"/>
      <c r="L3131" s="89"/>
      <c r="M3131" s="89"/>
      <c r="Q3131" s="105"/>
    </row>
    <row r="3132" spans="3:17" x14ac:dyDescent="0.3">
      <c r="C3132" s="87"/>
      <c r="H3132" s="86" t="e">
        <f>IF(I3132="fora",0%,G3132/QUÓRUM!$C$6)</f>
        <v>#DIV/0!</v>
      </c>
      <c r="I3132" s="87"/>
      <c r="J3132" s="88"/>
      <c r="K3132" s="88"/>
      <c r="L3132" s="89"/>
      <c r="M3132" s="89"/>
      <c r="Q3132" s="105"/>
    </row>
    <row r="3133" spans="3:17" x14ac:dyDescent="0.3">
      <c r="C3133" s="87"/>
      <c r="H3133" s="86" t="e">
        <f>IF(I3133="fora",0%,G3133/QUÓRUM!$C$6)</f>
        <v>#DIV/0!</v>
      </c>
      <c r="I3133" s="87"/>
      <c r="J3133" s="88"/>
      <c r="K3133" s="88"/>
      <c r="L3133" s="89"/>
      <c r="M3133" s="89"/>
      <c r="Q3133" s="105"/>
    </row>
    <row r="3134" spans="3:17" x14ac:dyDescent="0.3">
      <c r="C3134" s="87"/>
      <c r="H3134" s="86" t="e">
        <f>IF(I3134="fora",0%,G3134/QUÓRUM!$C$6)</f>
        <v>#DIV/0!</v>
      </c>
      <c r="I3134" s="87"/>
      <c r="J3134" s="88"/>
      <c r="K3134" s="88"/>
      <c r="L3134" s="89"/>
      <c r="M3134" s="89"/>
      <c r="Q3134" s="105"/>
    </row>
    <row r="3135" spans="3:17" x14ac:dyDescent="0.3">
      <c r="C3135" s="87"/>
      <c r="H3135" s="86" t="e">
        <f>IF(I3135="fora",0%,G3135/QUÓRUM!$C$6)</f>
        <v>#DIV/0!</v>
      </c>
      <c r="I3135" s="87"/>
      <c r="J3135" s="88"/>
      <c r="K3135" s="88"/>
      <c r="L3135" s="89"/>
      <c r="M3135" s="89"/>
      <c r="Q3135" s="105"/>
    </row>
    <row r="3136" spans="3:17" x14ac:dyDescent="0.3">
      <c r="C3136" s="87"/>
      <c r="H3136" s="86" t="e">
        <f>IF(I3136="fora",0%,G3136/QUÓRUM!$C$6)</f>
        <v>#DIV/0!</v>
      </c>
      <c r="I3136" s="87"/>
      <c r="J3136" s="88"/>
      <c r="K3136" s="88"/>
      <c r="L3136" s="89"/>
      <c r="M3136" s="89"/>
      <c r="Q3136" s="105"/>
    </row>
    <row r="3137" spans="3:17" x14ac:dyDescent="0.3">
      <c r="C3137" s="87"/>
      <c r="H3137" s="86" t="e">
        <f>IF(I3137="fora",0%,G3137/QUÓRUM!$C$6)</f>
        <v>#DIV/0!</v>
      </c>
      <c r="I3137" s="87"/>
      <c r="J3137" s="88"/>
      <c r="K3137" s="88"/>
      <c r="L3137" s="89"/>
      <c r="M3137" s="89"/>
      <c r="Q3137" s="105"/>
    </row>
    <row r="3138" spans="3:17" x14ac:dyDescent="0.3">
      <c r="C3138" s="87"/>
      <c r="H3138" s="86" t="e">
        <f>IF(I3138="fora",0%,G3138/QUÓRUM!$C$6)</f>
        <v>#DIV/0!</v>
      </c>
      <c r="I3138" s="87"/>
      <c r="J3138" s="88"/>
      <c r="K3138" s="88"/>
      <c r="L3138" s="89"/>
      <c r="M3138" s="89"/>
      <c r="Q3138" s="105"/>
    </row>
    <row r="3139" spans="3:17" x14ac:dyDescent="0.3">
      <c r="C3139" s="87"/>
      <c r="H3139" s="86" t="e">
        <f>IF(I3139="fora",0%,G3139/QUÓRUM!$C$6)</f>
        <v>#DIV/0!</v>
      </c>
      <c r="I3139" s="87"/>
      <c r="J3139" s="88"/>
      <c r="K3139" s="88"/>
      <c r="L3139" s="89"/>
      <c r="M3139" s="89"/>
      <c r="Q3139" s="105"/>
    </row>
    <row r="3140" spans="3:17" x14ac:dyDescent="0.3">
      <c r="C3140" s="87"/>
      <c r="H3140" s="86" t="e">
        <f>IF(I3140="fora",0%,G3140/QUÓRUM!$C$6)</f>
        <v>#DIV/0!</v>
      </c>
      <c r="I3140" s="87"/>
      <c r="J3140" s="88"/>
      <c r="K3140" s="88"/>
      <c r="L3140" s="89"/>
      <c r="M3140" s="89"/>
      <c r="Q3140" s="105"/>
    </row>
    <row r="3141" spans="3:17" x14ac:dyDescent="0.3">
      <c r="C3141" s="87"/>
      <c r="H3141" s="86" t="e">
        <f>IF(I3141="fora",0%,G3141/QUÓRUM!$C$6)</f>
        <v>#DIV/0!</v>
      </c>
      <c r="I3141" s="87"/>
      <c r="J3141" s="88"/>
      <c r="K3141" s="88"/>
      <c r="L3141" s="89"/>
      <c r="M3141" s="89"/>
      <c r="Q3141" s="105"/>
    </row>
    <row r="3142" spans="3:17" x14ac:dyDescent="0.3">
      <c r="C3142" s="87"/>
      <c r="H3142" s="86" t="e">
        <f>IF(I3142="fora",0%,G3142/QUÓRUM!$C$6)</f>
        <v>#DIV/0!</v>
      </c>
      <c r="I3142" s="87"/>
      <c r="J3142" s="88"/>
      <c r="K3142" s="88"/>
      <c r="L3142" s="89"/>
      <c r="M3142" s="89"/>
      <c r="Q3142" s="105"/>
    </row>
    <row r="3143" spans="3:17" x14ac:dyDescent="0.3">
      <c r="C3143" s="87"/>
      <c r="H3143" s="86" t="e">
        <f>IF(I3143="fora",0%,G3143/QUÓRUM!$C$6)</f>
        <v>#DIV/0!</v>
      </c>
      <c r="I3143" s="87"/>
      <c r="J3143" s="88"/>
      <c r="K3143" s="88"/>
      <c r="L3143" s="89"/>
      <c r="M3143" s="89"/>
      <c r="Q3143" s="105"/>
    </row>
    <row r="3144" spans="3:17" x14ac:dyDescent="0.3">
      <c r="C3144" s="87"/>
      <c r="H3144" s="86" t="e">
        <f>IF(I3144="fora",0%,G3144/QUÓRUM!$C$6)</f>
        <v>#DIV/0!</v>
      </c>
      <c r="I3144" s="87"/>
      <c r="J3144" s="88"/>
      <c r="K3144" s="88"/>
      <c r="L3144" s="89"/>
      <c r="M3144" s="89"/>
      <c r="Q3144" s="105"/>
    </row>
    <row r="3145" spans="3:17" x14ac:dyDescent="0.3">
      <c r="C3145" s="87"/>
      <c r="H3145" s="86" t="e">
        <f>IF(I3145="fora",0%,G3145/QUÓRUM!$C$6)</f>
        <v>#DIV/0!</v>
      </c>
      <c r="I3145" s="87"/>
      <c r="J3145" s="88"/>
      <c r="K3145" s="88"/>
      <c r="L3145" s="89"/>
      <c r="M3145" s="89"/>
      <c r="Q3145" s="105"/>
    </row>
    <row r="3146" spans="3:17" x14ac:dyDescent="0.3">
      <c r="C3146" s="87"/>
      <c r="H3146" s="86" t="e">
        <f>IF(I3146="fora",0%,G3146/QUÓRUM!$C$6)</f>
        <v>#DIV/0!</v>
      </c>
      <c r="I3146" s="87"/>
      <c r="J3146" s="88"/>
      <c r="K3146" s="88"/>
      <c r="L3146" s="89"/>
      <c r="M3146" s="89"/>
      <c r="Q3146" s="105"/>
    </row>
    <row r="3147" spans="3:17" x14ac:dyDescent="0.3">
      <c r="C3147" s="87"/>
      <c r="H3147" s="86" t="e">
        <f>IF(I3147="fora",0%,G3147/QUÓRUM!$C$6)</f>
        <v>#DIV/0!</v>
      </c>
      <c r="I3147" s="87"/>
      <c r="J3147" s="88"/>
      <c r="K3147" s="88"/>
      <c r="L3147" s="89"/>
      <c r="M3147" s="89"/>
      <c r="Q3147" s="105"/>
    </row>
    <row r="3148" spans="3:17" x14ac:dyDescent="0.3">
      <c r="C3148" s="87"/>
      <c r="H3148" s="86" t="e">
        <f>IF(I3148="fora",0%,G3148/QUÓRUM!$C$6)</f>
        <v>#DIV/0!</v>
      </c>
      <c r="I3148" s="87"/>
      <c r="J3148" s="88"/>
      <c r="K3148" s="88"/>
      <c r="L3148" s="89"/>
      <c r="M3148" s="89"/>
      <c r="Q3148" s="105"/>
    </row>
    <row r="3149" spans="3:17" x14ac:dyDescent="0.3">
      <c r="C3149" s="87"/>
      <c r="H3149" s="86" t="e">
        <f>IF(I3149="fora",0%,G3149/QUÓRUM!$C$6)</f>
        <v>#DIV/0!</v>
      </c>
      <c r="I3149" s="87"/>
      <c r="J3149" s="88"/>
      <c r="K3149" s="88"/>
      <c r="L3149" s="89"/>
      <c r="M3149" s="89"/>
      <c r="Q3149" s="105"/>
    </row>
    <row r="3150" spans="3:17" x14ac:dyDescent="0.3">
      <c r="C3150" s="87"/>
      <c r="H3150" s="86" t="e">
        <f>IF(I3150="fora",0%,G3150/QUÓRUM!$C$6)</f>
        <v>#DIV/0!</v>
      </c>
      <c r="I3150" s="87"/>
      <c r="J3150" s="88"/>
      <c r="K3150" s="88"/>
      <c r="L3150" s="89"/>
      <c r="M3150" s="89"/>
      <c r="Q3150" s="105"/>
    </row>
    <row r="3151" spans="3:17" x14ac:dyDescent="0.3">
      <c r="C3151" s="87"/>
      <c r="H3151" s="86" t="e">
        <f>IF(I3151="fora",0%,G3151/QUÓRUM!$C$6)</f>
        <v>#DIV/0!</v>
      </c>
      <c r="I3151" s="87"/>
      <c r="J3151" s="88"/>
      <c r="K3151" s="88"/>
      <c r="L3151" s="89"/>
      <c r="M3151" s="89"/>
      <c r="Q3151" s="105"/>
    </row>
    <row r="3152" spans="3:17" x14ac:dyDescent="0.3">
      <c r="C3152" s="87"/>
      <c r="H3152" s="86" t="e">
        <f>IF(I3152="fora",0%,G3152/QUÓRUM!$C$6)</f>
        <v>#DIV/0!</v>
      </c>
      <c r="I3152" s="87"/>
      <c r="J3152" s="88"/>
      <c r="K3152" s="88"/>
      <c r="L3152" s="89"/>
      <c r="M3152" s="89"/>
      <c r="Q3152" s="105"/>
    </row>
    <row r="3153" spans="3:17" x14ac:dyDescent="0.3">
      <c r="C3153" s="87"/>
      <c r="H3153" s="86" t="e">
        <f>IF(I3153="fora",0%,G3153/QUÓRUM!$C$6)</f>
        <v>#DIV/0!</v>
      </c>
      <c r="I3153" s="87"/>
      <c r="J3153" s="88"/>
      <c r="K3153" s="88"/>
      <c r="L3153" s="89"/>
      <c r="M3153" s="89"/>
      <c r="Q3153" s="105"/>
    </row>
    <row r="3154" spans="3:17" x14ac:dyDescent="0.3">
      <c r="C3154" s="87"/>
      <c r="H3154" s="86" t="e">
        <f>IF(I3154="fora",0%,G3154/QUÓRUM!$C$6)</f>
        <v>#DIV/0!</v>
      </c>
      <c r="I3154" s="87"/>
      <c r="J3154" s="88"/>
      <c r="K3154" s="88"/>
      <c r="L3154" s="89"/>
      <c r="M3154" s="89"/>
      <c r="Q3154" s="105"/>
    </row>
    <row r="3155" spans="3:17" x14ac:dyDescent="0.3">
      <c r="C3155" s="87"/>
      <c r="H3155" s="86" t="e">
        <f>IF(I3155="fora",0%,G3155/QUÓRUM!$C$6)</f>
        <v>#DIV/0!</v>
      </c>
      <c r="I3155" s="87"/>
      <c r="J3155" s="88"/>
      <c r="K3155" s="88"/>
      <c r="L3155" s="89"/>
      <c r="M3155" s="89"/>
      <c r="Q3155" s="105"/>
    </row>
    <row r="3156" spans="3:17" x14ac:dyDescent="0.3">
      <c r="C3156" s="87"/>
      <c r="H3156" s="86" t="e">
        <f>IF(I3156="fora",0%,G3156/QUÓRUM!$C$6)</f>
        <v>#DIV/0!</v>
      </c>
      <c r="I3156" s="87"/>
      <c r="J3156" s="88"/>
      <c r="K3156" s="88"/>
      <c r="L3156" s="89"/>
      <c r="M3156" s="89"/>
      <c r="Q3156" s="105"/>
    </row>
    <row r="3157" spans="3:17" x14ac:dyDescent="0.3">
      <c r="C3157" s="87"/>
      <c r="H3157" s="86" t="e">
        <f>IF(I3157="fora",0%,G3157/QUÓRUM!$C$6)</f>
        <v>#DIV/0!</v>
      </c>
      <c r="I3157" s="87"/>
      <c r="J3157" s="88"/>
      <c r="K3157" s="88"/>
      <c r="L3157" s="89"/>
      <c r="M3157" s="89"/>
      <c r="Q3157" s="105"/>
    </row>
    <row r="3158" spans="3:17" x14ac:dyDescent="0.3">
      <c r="C3158" s="87"/>
      <c r="H3158" s="86" t="e">
        <f>IF(I3158="fora",0%,G3158/QUÓRUM!$C$6)</f>
        <v>#DIV/0!</v>
      </c>
      <c r="I3158" s="87"/>
      <c r="J3158" s="88"/>
      <c r="K3158" s="88"/>
      <c r="L3158" s="89"/>
      <c r="M3158" s="89"/>
      <c r="Q3158" s="105"/>
    </row>
    <row r="3159" spans="3:17" x14ac:dyDescent="0.3">
      <c r="C3159" s="87"/>
      <c r="H3159" s="86" t="e">
        <f>IF(I3159="fora",0%,G3159/QUÓRUM!$C$6)</f>
        <v>#DIV/0!</v>
      </c>
      <c r="I3159" s="87"/>
      <c r="J3159" s="88"/>
      <c r="K3159" s="88"/>
      <c r="L3159" s="89"/>
      <c r="M3159" s="89"/>
      <c r="Q3159" s="105"/>
    </row>
    <row r="3160" spans="3:17" x14ac:dyDescent="0.3">
      <c r="C3160" s="87"/>
      <c r="H3160" s="86" t="e">
        <f>IF(I3160="fora",0%,G3160/QUÓRUM!$C$6)</f>
        <v>#DIV/0!</v>
      </c>
      <c r="I3160" s="87"/>
      <c r="J3160" s="88"/>
      <c r="K3160" s="88"/>
      <c r="L3160" s="89"/>
      <c r="M3160" s="89"/>
      <c r="Q3160" s="105"/>
    </row>
    <row r="3161" spans="3:17" x14ac:dyDescent="0.3">
      <c r="C3161" s="87"/>
      <c r="H3161" s="86" t="e">
        <f>IF(I3161="fora",0%,G3161/QUÓRUM!$C$6)</f>
        <v>#DIV/0!</v>
      </c>
      <c r="I3161" s="87"/>
      <c r="J3161" s="88"/>
      <c r="K3161" s="88"/>
      <c r="L3161" s="89"/>
      <c r="M3161" s="89"/>
      <c r="Q3161" s="105"/>
    </row>
    <row r="3162" spans="3:17" x14ac:dyDescent="0.3">
      <c r="C3162" s="87"/>
      <c r="H3162" s="86" t="e">
        <f>IF(I3162="fora",0%,G3162/QUÓRUM!$C$6)</f>
        <v>#DIV/0!</v>
      </c>
      <c r="I3162" s="87"/>
      <c r="J3162" s="88"/>
      <c r="K3162" s="88"/>
      <c r="L3162" s="89"/>
      <c r="M3162" s="89"/>
      <c r="Q3162" s="105"/>
    </row>
    <row r="3163" spans="3:17" x14ac:dyDescent="0.3">
      <c r="C3163" s="87"/>
      <c r="H3163" s="86" t="e">
        <f>IF(I3163="fora",0%,G3163/QUÓRUM!$C$6)</f>
        <v>#DIV/0!</v>
      </c>
      <c r="I3163" s="87"/>
      <c r="J3163" s="88"/>
      <c r="K3163" s="88"/>
      <c r="L3163" s="89"/>
      <c r="M3163" s="89"/>
      <c r="Q3163" s="105"/>
    </row>
    <row r="3164" spans="3:17" x14ac:dyDescent="0.3">
      <c r="C3164" s="87"/>
      <c r="H3164" s="86" t="e">
        <f>IF(I3164="fora",0%,G3164/QUÓRUM!$C$6)</f>
        <v>#DIV/0!</v>
      </c>
      <c r="I3164" s="87"/>
      <c r="J3164" s="88"/>
      <c r="K3164" s="88"/>
      <c r="L3164" s="89"/>
      <c r="M3164" s="89"/>
      <c r="Q3164" s="105"/>
    </row>
    <row r="3165" spans="3:17" x14ac:dyDescent="0.3">
      <c r="C3165" s="87"/>
      <c r="H3165" s="86" t="e">
        <f>IF(I3165="fora",0%,G3165/QUÓRUM!$C$6)</f>
        <v>#DIV/0!</v>
      </c>
      <c r="I3165" s="87"/>
      <c r="J3165" s="88"/>
      <c r="K3165" s="88"/>
      <c r="L3165" s="89"/>
      <c r="M3165" s="89"/>
      <c r="Q3165" s="105"/>
    </row>
    <row r="3166" spans="3:17" x14ac:dyDescent="0.3">
      <c r="C3166" s="87"/>
      <c r="H3166" s="86" t="e">
        <f>IF(I3166="fora",0%,G3166/QUÓRUM!$C$6)</f>
        <v>#DIV/0!</v>
      </c>
      <c r="I3166" s="87"/>
      <c r="J3166" s="88"/>
      <c r="K3166" s="88"/>
      <c r="L3166" s="89"/>
      <c r="M3166" s="89"/>
      <c r="Q3166" s="105"/>
    </row>
    <row r="3167" spans="3:17" x14ac:dyDescent="0.3">
      <c r="C3167" s="87"/>
      <c r="H3167" s="86" t="e">
        <f>IF(I3167="fora",0%,G3167/QUÓRUM!$C$6)</f>
        <v>#DIV/0!</v>
      </c>
      <c r="I3167" s="87"/>
      <c r="J3167" s="88"/>
      <c r="K3167" s="88"/>
      <c r="L3167" s="89"/>
      <c r="M3167" s="89"/>
      <c r="Q3167" s="105"/>
    </row>
    <row r="3168" spans="3:17" x14ac:dyDescent="0.3">
      <c r="C3168" s="87"/>
      <c r="H3168" s="86" t="e">
        <f>IF(I3168="fora",0%,G3168/QUÓRUM!$C$6)</f>
        <v>#DIV/0!</v>
      </c>
      <c r="I3168" s="87"/>
      <c r="J3168" s="88"/>
      <c r="K3168" s="88"/>
      <c r="L3168" s="89"/>
      <c r="M3168" s="89"/>
      <c r="Q3168" s="105"/>
    </row>
    <row r="3169" spans="3:17" x14ac:dyDescent="0.3">
      <c r="C3169" s="87"/>
      <c r="H3169" s="86" t="e">
        <f>IF(I3169="fora",0%,G3169/QUÓRUM!$C$6)</f>
        <v>#DIV/0!</v>
      </c>
      <c r="I3169" s="87"/>
      <c r="J3169" s="88"/>
      <c r="K3169" s="88"/>
      <c r="L3169" s="89"/>
      <c r="M3169" s="89"/>
      <c r="Q3169" s="105"/>
    </row>
    <row r="3170" spans="3:17" x14ac:dyDescent="0.3">
      <c r="C3170" s="87"/>
      <c r="H3170" s="86" t="e">
        <f>IF(I3170="fora",0%,G3170/QUÓRUM!$C$6)</f>
        <v>#DIV/0!</v>
      </c>
      <c r="I3170" s="87"/>
      <c r="J3170" s="88"/>
      <c r="K3170" s="88"/>
      <c r="L3170" s="89"/>
      <c r="M3170" s="89"/>
      <c r="Q3170" s="105"/>
    </row>
    <row r="3171" spans="3:17" x14ac:dyDescent="0.3">
      <c r="C3171" s="87"/>
      <c r="H3171" s="86" t="e">
        <f>IF(I3171="fora",0%,G3171/QUÓRUM!$C$6)</f>
        <v>#DIV/0!</v>
      </c>
      <c r="I3171" s="87"/>
      <c r="J3171" s="88"/>
      <c r="K3171" s="88"/>
      <c r="L3171" s="89"/>
      <c r="M3171" s="89"/>
      <c r="Q3171" s="105"/>
    </row>
    <row r="3172" spans="3:17" x14ac:dyDescent="0.3">
      <c r="C3172" s="87"/>
      <c r="H3172" s="86" t="e">
        <f>IF(I3172="fora",0%,G3172/QUÓRUM!$C$6)</f>
        <v>#DIV/0!</v>
      </c>
      <c r="I3172" s="87"/>
      <c r="J3172" s="88"/>
      <c r="K3172" s="88"/>
      <c r="L3172" s="89"/>
      <c r="M3172" s="89"/>
      <c r="Q3172" s="105"/>
    </row>
    <row r="3173" spans="3:17" x14ac:dyDescent="0.3">
      <c r="C3173" s="87"/>
      <c r="H3173" s="86" t="e">
        <f>IF(I3173="fora",0%,G3173/QUÓRUM!$C$6)</f>
        <v>#DIV/0!</v>
      </c>
      <c r="I3173" s="87"/>
      <c r="J3173" s="88"/>
      <c r="K3173" s="88"/>
      <c r="L3173" s="89"/>
      <c r="M3173" s="89"/>
      <c r="Q3173" s="105"/>
    </row>
    <row r="3174" spans="3:17" x14ac:dyDescent="0.3">
      <c r="C3174" s="87"/>
      <c r="H3174" s="86" t="e">
        <f>IF(I3174="fora",0%,G3174/QUÓRUM!$C$6)</f>
        <v>#DIV/0!</v>
      </c>
      <c r="I3174" s="87"/>
      <c r="J3174" s="88"/>
      <c r="K3174" s="88"/>
      <c r="L3174" s="89"/>
      <c r="M3174" s="89"/>
      <c r="Q3174" s="105"/>
    </row>
    <row r="3175" spans="3:17" x14ac:dyDescent="0.3">
      <c r="C3175" s="87"/>
      <c r="H3175" s="86" t="e">
        <f>IF(I3175="fora",0%,G3175/QUÓRUM!$C$6)</f>
        <v>#DIV/0!</v>
      </c>
      <c r="I3175" s="87"/>
      <c r="J3175" s="88"/>
      <c r="K3175" s="88"/>
      <c r="L3175" s="89"/>
      <c r="M3175" s="89"/>
      <c r="Q3175" s="105"/>
    </row>
    <row r="3176" spans="3:17" x14ac:dyDescent="0.3">
      <c r="C3176" s="87"/>
      <c r="H3176" s="86" t="e">
        <f>IF(I3176="fora",0%,G3176/QUÓRUM!$C$6)</f>
        <v>#DIV/0!</v>
      </c>
      <c r="I3176" s="87"/>
      <c r="J3176" s="88"/>
      <c r="K3176" s="88"/>
      <c r="L3176" s="89"/>
      <c r="M3176" s="89"/>
      <c r="Q3176" s="105"/>
    </row>
    <row r="3177" spans="3:17" x14ac:dyDescent="0.3">
      <c r="C3177" s="87"/>
      <c r="H3177" s="86" t="e">
        <f>IF(I3177="fora",0%,G3177/QUÓRUM!$C$6)</f>
        <v>#DIV/0!</v>
      </c>
      <c r="I3177" s="87"/>
      <c r="J3177" s="88"/>
      <c r="K3177" s="88"/>
      <c r="L3177" s="89"/>
      <c r="M3177" s="89"/>
      <c r="Q3177" s="105"/>
    </row>
    <row r="3178" spans="3:17" x14ac:dyDescent="0.3">
      <c r="C3178" s="87"/>
      <c r="H3178" s="86" t="e">
        <f>IF(I3178="fora",0%,G3178/QUÓRUM!$C$6)</f>
        <v>#DIV/0!</v>
      </c>
      <c r="I3178" s="87"/>
      <c r="J3178" s="88"/>
      <c r="K3178" s="88"/>
      <c r="L3178" s="89"/>
      <c r="M3178" s="89"/>
      <c r="Q3178" s="105"/>
    </row>
    <row r="3179" spans="3:17" x14ac:dyDescent="0.3">
      <c r="C3179" s="87"/>
      <c r="H3179" s="86" t="e">
        <f>IF(I3179="fora",0%,G3179/QUÓRUM!$C$6)</f>
        <v>#DIV/0!</v>
      </c>
      <c r="I3179" s="87"/>
      <c r="J3179" s="88"/>
      <c r="K3179" s="88"/>
      <c r="L3179" s="89"/>
      <c r="M3179" s="89"/>
      <c r="Q3179" s="105"/>
    </row>
    <row r="3180" spans="3:17" x14ac:dyDescent="0.3">
      <c r="C3180" s="87"/>
      <c r="H3180" s="86" t="e">
        <f>IF(I3180="fora",0%,G3180/QUÓRUM!$C$6)</f>
        <v>#DIV/0!</v>
      </c>
      <c r="I3180" s="87"/>
      <c r="J3180" s="88"/>
      <c r="K3180" s="88"/>
      <c r="L3180" s="89"/>
      <c r="M3180" s="89"/>
      <c r="Q3180" s="105"/>
    </row>
    <row r="3181" spans="3:17" x14ac:dyDescent="0.3">
      <c r="C3181" s="87"/>
      <c r="H3181" s="86" t="e">
        <f>IF(I3181="fora",0%,G3181/QUÓRUM!$C$6)</f>
        <v>#DIV/0!</v>
      </c>
      <c r="I3181" s="87"/>
      <c r="J3181" s="88"/>
      <c r="K3181" s="88"/>
      <c r="L3181" s="89"/>
      <c r="M3181" s="89"/>
      <c r="Q3181" s="105"/>
    </row>
    <row r="3182" spans="3:17" x14ac:dyDescent="0.3">
      <c r="C3182" s="87"/>
      <c r="H3182" s="86" t="e">
        <f>IF(I3182="fora",0%,G3182/QUÓRUM!$C$6)</f>
        <v>#DIV/0!</v>
      </c>
      <c r="I3182" s="87"/>
      <c r="J3182" s="88"/>
      <c r="K3182" s="88"/>
      <c r="L3182" s="89"/>
      <c r="M3182" s="89"/>
      <c r="Q3182" s="105"/>
    </row>
    <row r="3183" spans="3:17" x14ac:dyDescent="0.3">
      <c r="C3183" s="87"/>
      <c r="H3183" s="86" t="e">
        <f>IF(I3183="fora",0%,G3183/QUÓRUM!$C$6)</f>
        <v>#DIV/0!</v>
      </c>
      <c r="I3183" s="87"/>
      <c r="J3183" s="88"/>
      <c r="K3183" s="88"/>
      <c r="L3183" s="89"/>
      <c r="M3183" s="89"/>
      <c r="Q3183" s="105"/>
    </row>
    <row r="3184" spans="3:17" x14ac:dyDescent="0.3">
      <c r="C3184" s="87"/>
      <c r="H3184" s="86" t="e">
        <f>IF(I3184="fora",0%,G3184/QUÓRUM!$C$6)</f>
        <v>#DIV/0!</v>
      </c>
      <c r="I3184" s="87"/>
      <c r="J3184" s="88"/>
      <c r="K3184" s="88"/>
      <c r="L3184" s="89"/>
      <c r="M3184" s="89"/>
      <c r="Q3184" s="105"/>
    </row>
    <row r="3185" spans="3:17" x14ac:dyDescent="0.3">
      <c r="C3185" s="87"/>
      <c r="H3185" s="86" t="e">
        <f>IF(I3185="fora",0%,G3185/QUÓRUM!$C$6)</f>
        <v>#DIV/0!</v>
      </c>
      <c r="I3185" s="87"/>
      <c r="J3185" s="88"/>
      <c r="K3185" s="88"/>
      <c r="L3185" s="89"/>
      <c r="M3185" s="89"/>
      <c r="Q3185" s="105"/>
    </row>
    <row r="3186" spans="3:17" x14ac:dyDescent="0.3">
      <c r="C3186" s="87"/>
      <c r="H3186" s="86" t="e">
        <f>IF(I3186="fora",0%,G3186/QUÓRUM!$C$6)</f>
        <v>#DIV/0!</v>
      </c>
      <c r="I3186" s="87"/>
      <c r="J3186" s="88"/>
      <c r="K3186" s="88"/>
      <c r="L3186" s="89"/>
      <c r="M3186" s="89"/>
      <c r="Q3186" s="105"/>
    </row>
    <row r="3187" spans="3:17" x14ac:dyDescent="0.3">
      <c r="C3187" s="87"/>
      <c r="H3187" s="86" t="e">
        <f>IF(I3187="fora",0%,G3187/QUÓRUM!$C$6)</f>
        <v>#DIV/0!</v>
      </c>
      <c r="I3187" s="87"/>
      <c r="J3187" s="88"/>
      <c r="K3187" s="88"/>
      <c r="L3187" s="89"/>
      <c r="M3187" s="89"/>
      <c r="Q3187" s="105"/>
    </row>
    <row r="3188" spans="3:17" x14ac:dyDescent="0.3">
      <c r="C3188" s="87"/>
      <c r="H3188" s="86" t="e">
        <f>IF(I3188="fora",0%,G3188/QUÓRUM!$C$6)</f>
        <v>#DIV/0!</v>
      </c>
      <c r="I3188" s="87"/>
      <c r="J3188" s="88"/>
      <c r="K3188" s="88"/>
      <c r="L3188" s="89"/>
      <c r="M3188" s="89"/>
      <c r="Q3188" s="105"/>
    </row>
    <row r="3189" spans="3:17" x14ac:dyDescent="0.3">
      <c r="C3189" s="87"/>
      <c r="H3189" s="86" t="e">
        <f>IF(I3189="fora",0%,G3189/QUÓRUM!$C$6)</f>
        <v>#DIV/0!</v>
      </c>
      <c r="I3189" s="87"/>
      <c r="J3189" s="88"/>
      <c r="K3189" s="88"/>
      <c r="L3189" s="89"/>
      <c r="M3189" s="89"/>
      <c r="Q3189" s="105"/>
    </row>
    <row r="3190" spans="3:17" x14ac:dyDescent="0.3">
      <c r="C3190" s="87"/>
      <c r="H3190" s="86" t="e">
        <f>IF(I3190="fora",0%,G3190/QUÓRUM!$C$6)</f>
        <v>#DIV/0!</v>
      </c>
      <c r="I3190" s="87"/>
      <c r="J3190" s="88"/>
      <c r="K3190" s="88"/>
      <c r="L3190" s="89"/>
      <c r="M3190" s="89"/>
      <c r="Q3190" s="105"/>
    </row>
    <row r="3191" spans="3:17" x14ac:dyDescent="0.3">
      <c r="C3191" s="87"/>
      <c r="H3191" s="86" t="e">
        <f>IF(I3191="fora",0%,G3191/QUÓRUM!$C$6)</f>
        <v>#DIV/0!</v>
      </c>
      <c r="I3191" s="87"/>
      <c r="J3191" s="88"/>
      <c r="K3191" s="88"/>
      <c r="L3191" s="89"/>
      <c r="M3191" s="89"/>
      <c r="Q3191" s="105"/>
    </row>
    <row r="3192" spans="3:17" x14ac:dyDescent="0.3">
      <c r="C3192" s="87"/>
      <c r="H3192" s="86" t="e">
        <f>IF(I3192="fora",0%,G3192/QUÓRUM!$C$6)</f>
        <v>#DIV/0!</v>
      </c>
      <c r="I3192" s="87"/>
      <c r="J3192" s="88"/>
      <c r="K3192" s="88"/>
      <c r="L3192" s="89"/>
      <c r="M3192" s="89"/>
      <c r="Q3192" s="105"/>
    </row>
    <row r="3193" spans="3:17" x14ac:dyDescent="0.3">
      <c r="C3193" s="87"/>
      <c r="H3193" s="86" t="e">
        <f>IF(I3193="fora",0%,G3193/QUÓRUM!$C$6)</f>
        <v>#DIV/0!</v>
      </c>
      <c r="I3193" s="87"/>
      <c r="J3193" s="88"/>
      <c r="K3193" s="88"/>
      <c r="L3193" s="89"/>
      <c r="M3193" s="89"/>
      <c r="Q3193" s="105"/>
    </row>
    <row r="3194" spans="3:17" x14ac:dyDescent="0.3">
      <c r="C3194" s="87"/>
      <c r="H3194" s="86" t="e">
        <f>IF(I3194="fora",0%,G3194/QUÓRUM!$C$6)</f>
        <v>#DIV/0!</v>
      </c>
      <c r="I3194" s="87"/>
      <c r="J3194" s="88"/>
      <c r="K3194" s="88"/>
      <c r="L3194" s="89"/>
      <c r="M3194" s="89"/>
      <c r="Q3194" s="105"/>
    </row>
    <row r="3195" spans="3:17" x14ac:dyDescent="0.3">
      <c r="C3195" s="87"/>
      <c r="H3195" s="86" t="e">
        <f>IF(I3195="fora",0%,G3195/QUÓRUM!$C$6)</f>
        <v>#DIV/0!</v>
      </c>
      <c r="I3195" s="87"/>
      <c r="J3195" s="88"/>
      <c r="K3195" s="88"/>
      <c r="L3195" s="89"/>
      <c r="M3195" s="89"/>
      <c r="Q3195" s="105"/>
    </row>
    <row r="3196" spans="3:17" x14ac:dyDescent="0.3">
      <c r="C3196" s="87"/>
      <c r="H3196" s="86" t="e">
        <f>IF(I3196="fora",0%,G3196/QUÓRUM!$C$6)</f>
        <v>#DIV/0!</v>
      </c>
      <c r="I3196" s="87"/>
      <c r="J3196" s="88"/>
      <c r="K3196" s="88"/>
      <c r="L3196" s="89"/>
      <c r="M3196" s="89"/>
      <c r="Q3196" s="105"/>
    </row>
    <row r="3197" spans="3:17" x14ac:dyDescent="0.3">
      <c r="C3197" s="87"/>
      <c r="H3197" s="86" t="e">
        <f>IF(I3197="fora",0%,G3197/QUÓRUM!$C$6)</f>
        <v>#DIV/0!</v>
      </c>
      <c r="I3197" s="87"/>
      <c r="J3197" s="88"/>
      <c r="K3197" s="88"/>
      <c r="L3197" s="89"/>
      <c r="M3197" s="89"/>
      <c r="Q3197" s="105"/>
    </row>
    <row r="3198" spans="3:17" x14ac:dyDescent="0.3">
      <c r="C3198" s="87"/>
      <c r="H3198" s="86" t="e">
        <f>IF(I3198="fora",0%,G3198/QUÓRUM!$C$6)</f>
        <v>#DIV/0!</v>
      </c>
      <c r="I3198" s="87"/>
      <c r="J3198" s="88"/>
      <c r="K3198" s="88"/>
      <c r="L3198" s="89"/>
      <c r="M3198" s="89"/>
      <c r="Q3198" s="105"/>
    </row>
    <row r="3199" spans="3:17" x14ac:dyDescent="0.3">
      <c r="C3199" s="87"/>
      <c r="H3199" s="86" t="e">
        <f>IF(I3199="fora",0%,G3199/QUÓRUM!$C$6)</f>
        <v>#DIV/0!</v>
      </c>
      <c r="I3199" s="87"/>
      <c r="J3199" s="88"/>
      <c r="K3199" s="88"/>
      <c r="L3199" s="89"/>
      <c r="M3199" s="89"/>
      <c r="Q3199" s="105"/>
    </row>
    <row r="3200" spans="3:17" x14ac:dyDescent="0.3">
      <c r="C3200" s="87"/>
      <c r="H3200" s="86" t="e">
        <f>IF(I3200="fora",0%,G3200/QUÓRUM!$C$6)</f>
        <v>#DIV/0!</v>
      </c>
      <c r="I3200" s="87"/>
      <c r="J3200" s="88"/>
      <c r="K3200" s="88"/>
      <c r="L3200" s="89"/>
      <c r="M3200" s="89"/>
      <c r="Q3200" s="105"/>
    </row>
    <row r="3201" spans="3:17" x14ac:dyDescent="0.3">
      <c r="C3201" s="87"/>
      <c r="H3201" s="86" t="e">
        <f>IF(I3201="fora",0%,G3201/QUÓRUM!$C$6)</f>
        <v>#DIV/0!</v>
      </c>
      <c r="I3201" s="87"/>
      <c r="J3201" s="88"/>
      <c r="K3201" s="88"/>
      <c r="L3201" s="89"/>
      <c r="M3201" s="89"/>
      <c r="Q3201" s="105"/>
    </row>
    <row r="3202" spans="3:17" x14ac:dyDescent="0.3">
      <c r="C3202" s="87"/>
      <c r="H3202" s="86" t="e">
        <f>IF(I3202="fora",0%,G3202/QUÓRUM!$C$6)</f>
        <v>#DIV/0!</v>
      </c>
      <c r="I3202" s="87"/>
      <c r="J3202" s="88"/>
      <c r="K3202" s="88"/>
      <c r="L3202" s="89"/>
      <c r="M3202" s="89"/>
      <c r="Q3202" s="105"/>
    </row>
    <row r="3203" spans="3:17" x14ac:dyDescent="0.3">
      <c r="C3203" s="87"/>
      <c r="H3203" s="86" t="e">
        <f>IF(I3203="fora",0%,G3203/QUÓRUM!$C$6)</f>
        <v>#DIV/0!</v>
      </c>
      <c r="I3203" s="87"/>
      <c r="J3203" s="88"/>
      <c r="K3203" s="88"/>
      <c r="L3203" s="89"/>
      <c r="M3203" s="89"/>
      <c r="Q3203" s="105"/>
    </row>
    <row r="3204" spans="3:17" x14ac:dyDescent="0.3">
      <c r="C3204" s="87"/>
      <c r="H3204" s="86" t="e">
        <f>IF(I3204="fora",0%,G3204/QUÓRUM!$C$6)</f>
        <v>#DIV/0!</v>
      </c>
      <c r="I3204" s="87"/>
      <c r="J3204" s="88"/>
      <c r="K3204" s="88"/>
      <c r="L3204" s="89"/>
      <c r="M3204" s="89"/>
      <c r="Q3204" s="105"/>
    </row>
    <row r="3205" spans="3:17" x14ac:dyDescent="0.3">
      <c r="C3205" s="87"/>
      <c r="H3205" s="86" t="e">
        <f>IF(I3205="fora",0%,G3205/QUÓRUM!$C$6)</f>
        <v>#DIV/0!</v>
      </c>
      <c r="I3205" s="87"/>
      <c r="J3205" s="88"/>
      <c r="K3205" s="88"/>
      <c r="L3205" s="89"/>
      <c r="M3205" s="89"/>
      <c r="Q3205" s="105"/>
    </row>
    <row r="3206" spans="3:17" x14ac:dyDescent="0.3">
      <c r="C3206" s="87"/>
      <c r="H3206" s="86" t="e">
        <f>IF(I3206="fora",0%,G3206/QUÓRUM!$C$6)</f>
        <v>#DIV/0!</v>
      </c>
      <c r="I3206" s="87"/>
      <c r="J3206" s="88"/>
      <c r="K3206" s="88"/>
      <c r="L3206" s="89"/>
      <c r="M3206" s="89"/>
      <c r="Q3206" s="105"/>
    </row>
    <row r="3207" spans="3:17" x14ac:dyDescent="0.3">
      <c r="C3207" s="87"/>
      <c r="H3207" s="86" t="e">
        <f>IF(I3207="fora",0%,G3207/QUÓRUM!$C$6)</f>
        <v>#DIV/0!</v>
      </c>
      <c r="I3207" s="87"/>
      <c r="J3207" s="88"/>
      <c r="K3207" s="88"/>
      <c r="L3207" s="89"/>
      <c r="M3207" s="89"/>
      <c r="Q3207" s="105"/>
    </row>
    <row r="3208" spans="3:17" x14ac:dyDescent="0.3">
      <c r="C3208" s="87"/>
      <c r="H3208" s="86" t="e">
        <f>IF(I3208="fora",0%,G3208/QUÓRUM!$C$6)</f>
        <v>#DIV/0!</v>
      </c>
      <c r="I3208" s="87"/>
      <c r="J3208" s="88"/>
      <c r="K3208" s="88"/>
      <c r="L3208" s="89"/>
      <c r="M3208" s="89"/>
      <c r="Q3208" s="105"/>
    </row>
    <row r="3209" spans="3:17" x14ac:dyDescent="0.3">
      <c r="C3209" s="87"/>
      <c r="H3209" s="86" t="e">
        <f>IF(I3209="fora",0%,G3209/QUÓRUM!$C$6)</f>
        <v>#DIV/0!</v>
      </c>
      <c r="I3209" s="87"/>
      <c r="J3209" s="88"/>
      <c r="K3209" s="88"/>
      <c r="L3209" s="89"/>
      <c r="M3209" s="89"/>
      <c r="Q3209" s="105"/>
    </row>
    <row r="3210" spans="3:17" x14ac:dyDescent="0.3">
      <c r="C3210" s="87"/>
      <c r="H3210" s="86" t="e">
        <f>IF(I3210="fora",0%,G3210/QUÓRUM!$C$6)</f>
        <v>#DIV/0!</v>
      </c>
      <c r="I3210" s="87"/>
      <c r="J3210" s="88"/>
      <c r="K3210" s="88"/>
      <c r="L3210" s="89"/>
      <c r="M3210" s="89"/>
      <c r="Q3210" s="105"/>
    </row>
    <row r="3211" spans="3:17" x14ac:dyDescent="0.3">
      <c r="C3211" s="87"/>
      <c r="H3211" s="86" t="e">
        <f>IF(I3211="fora",0%,G3211/QUÓRUM!$C$6)</f>
        <v>#DIV/0!</v>
      </c>
      <c r="I3211" s="87"/>
      <c r="J3211" s="88"/>
      <c r="K3211" s="88"/>
      <c r="L3211" s="89"/>
      <c r="M3211" s="89"/>
      <c r="Q3211" s="105"/>
    </row>
    <row r="3212" spans="3:17" x14ac:dyDescent="0.3">
      <c r="C3212" s="87"/>
      <c r="H3212" s="86" t="e">
        <f>IF(I3212="fora",0%,G3212/QUÓRUM!$C$6)</f>
        <v>#DIV/0!</v>
      </c>
      <c r="I3212" s="87"/>
      <c r="J3212" s="88"/>
      <c r="K3212" s="88"/>
      <c r="L3212" s="89"/>
      <c r="M3212" s="89"/>
      <c r="Q3212" s="105"/>
    </row>
    <row r="3213" spans="3:17" x14ac:dyDescent="0.3">
      <c r="C3213" s="87"/>
      <c r="H3213" s="86" t="e">
        <f>IF(I3213="fora",0%,G3213/QUÓRUM!$C$6)</f>
        <v>#DIV/0!</v>
      </c>
      <c r="I3213" s="87"/>
      <c r="J3213" s="88"/>
      <c r="K3213" s="88"/>
      <c r="L3213" s="89"/>
      <c r="M3213" s="89"/>
      <c r="Q3213" s="105"/>
    </row>
    <row r="3214" spans="3:17" x14ac:dyDescent="0.3">
      <c r="C3214" s="87"/>
      <c r="H3214" s="86" t="e">
        <f>IF(I3214="fora",0%,G3214/QUÓRUM!$C$6)</f>
        <v>#DIV/0!</v>
      </c>
      <c r="I3214" s="87"/>
      <c r="J3214" s="88"/>
      <c r="K3214" s="88"/>
      <c r="L3214" s="89"/>
      <c r="M3214" s="89"/>
      <c r="Q3214" s="105"/>
    </row>
    <row r="3215" spans="3:17" x14ac:dyDescent="0.3">
      <c r="C3215" s="87"/>
      <c r="H3215" s="86" t="e">
        <f>IF(I3215="fora",0%,G3215/QUÓRUM!$C$6)</f>
        <v>#DIV/0!</v>
      </c>
      <c r="I3215" s="87"/>
      <c r="J3215" s="88"/>
      <c r="K3215" s="88"/>
      <c r="L3215" s="89"/>
      <c r="M3215" s="89"/>
      <c r="Q3215" s="105"/>
    </row>
    <row r="3216" spans="3:17" x14ac:dyDescent="0.3">
      <c r="C3216" s="87"/>
      <c r="H3216" s="86" t="e">
        <f>IF(I3216="fora",0%,G3216/QUÓRUM!$C$6)</f>
        <v>#DIV/0!</v>
      </c>
      <c r="I3216" s="87"/>
      <c r="J3216" s="88"/>
      <c r="K3216" s="88"/>
      <c r="L3216" s="89"/>
      <c r="M3216" s="89"/>
      <c r="Q3216" s="105"/>
    </row>
    <row r="3217" spans="3:17" x14ac:dyDescent="0.3">
      <c r="C3217" s="87"/>
      <c r="H3217" s="86" t="e">
        <f>IF(I3217="fora",0%,G3217/QUÓRUM!$C$6)</f>
        <v>#DIV/0!</v>
      </c>
      <c r="I3217" s="87"/>
      <c r="J3217" s="88"/>
      <c r="K3217" s="88"/>
      <c r="L3217" s="89"/>
      <c r="M3217" s="89"/>
      <c r="Q3217" s="105"/>
    </row>
    <row r="3218" spans="3:17" x14ac:dyDescent="0.3">
      <c r="C3218" s="87"/>
      <c r="H3218" s="86" t="e">
        <f>IF(I3218="fora",0%,G3218/QUÓRUM!$C$6)</f>
        <v>#DIV/0!</v>
      </c>
      <c r="I3218" s="87"/>
      <c r="J3218" s="88"/>
      <c r="K3218" s="88"/>
      <c r="L3218" s="89"/>
      <c r="M3218" s="89"/>
      <c r="Q3218" s="105"/>
    </row>
    <row r="3219" spans="3:17" x14ac:dyDescent="0.3">
      <c r="C3219" s="87"/>
      <c r="H3219" s="86" t="e">
        <f>IF(I3219="fora",0%,G3219/QUÓRUM!$C$6)</f>
        <v>#DIV/0!</v>
      </c>
      <c r="I3219" s="87"/>
      <c r="J3219" s="88"/>
      <c r="K3219" s="88"/>
      <c r="L3219" s="89"/>
      <c r="M3219" s="89"/>
      <c r="Q3219" s="105"/>
    </row>
    <row r="3220" spans="3:17" x14ac:dyDescent="0.3">
      <c r="C3220" s="87"/>
      <c r="H3220" s="86" t="e">
        <f>IF(I3220="fora",0%,G3220/QUÓRUM!$C$6)</f>
        <v>#DIV/0!</v>
      </c>
      <c r="I3220" s="87"/>
      <c r="J3220" s="88"/>
      <c r="K3220" s="88"/>
      <c r="L3220" s="89"/>
      <c r="M3220" s="89"/>
      <c r="Q3220" s="105"/>
    </row>
    <row r="3221" spans="3:17" x14ac:dyDescent="0.3">
      <c r="C3221" s="87"/>
      <c r="H3221" s="86" t="e">
        <f>IF(I3221="fora",0%,G3221/QUÓRUM!$C$6)</f>
        <v>#DIV/0!</v>
      </c>
      <c r="I3221" s="87"/>
      <c r="J3221" s="88"/>
      <c r="K3221" s="88"/>
      <c r="L3221" s="89"/>
      <c r="M3221" s="89"/>
      <c r="Q3221" s="105"/>
    </row>
    <row r="3222" spans="3:17" x14ac:dyDescent="0.3">
      <c r="C3222" s="87"/>
      <c r="H3222" s="86" t="e">
        <f>IF(I3222="fora",0%,G3222/QUÓRUM!$C$6)</f>
        <v>#DIV/0!</v>
      </c>
      <c r="I3222" s="87"/>
      <c r="J3222" s="88"/>
      <c r="K3222" s="88"/>
      <c r="L3222" s="89"/>
      <c r="M3222" s="89"/>
      <c r="Q3222" s="105"/>
    </row>
    <row r="3223" spans="3:17" x14ac:dyDescent="0.3">
      <c r="C3223" s="87"/>
      <c r="H3223" s="86" t="e">
        <f>IF(I3223="fora",0%,G3223/QUÓRUM!$C$6)</f>
        <v>#DIV/0!</v>
      </c>
      <c r="I3223" s="87"/>
      <c r="J3223" s="88"/>
      <c r="K3223" s="88"/>
      <c r="L3223" s="89"/>
      <c r="M3223" s="89"/>
      <c r="Q3223" s="105"/>
    </row>
    <row r="3224" spans="3:17" x14ac:dyDescent="0.3">
      <c r="C3224" s="87"/>
      <c r="H3224" s="86" t="e">
        <f>IF(I3224="fora",0%,G3224/QUÓRUM!$C$6)</f>
        <v>#DIV/0!</v>
      </c>
      <c r="I3224" s="87"/>
      <c r="J3224" s="88"/>
      <c r="K3224" s="88"/>
      <c r="L3224" s="89"/>
      <c r="M3224" s="89"/>
      <c r="Q3224" s="105"/>
    </row>
    <row r="3225" spans="3:17" x14ac:dyDescent="0.3">
      <c r="C3225" s="87"/>
      <c r="H3225" s="86" t="e">
        <f>IF(I3225="fora",0%,G3225/QUÓRUM!$C$6)</f>
        <v>#DIV/0!</v>
      </c>
      <c r="I3225" s="87"/>
      <c r="J3225" s="88"/>
      <c r="K3225" s="88"/>
      <c r="L3225" s="89"/>
      <c r="M3225" s="89"/>
      <c r="Q3225" s="105"/>
    </row>
    <row r="3226" spans="3:17" x14ac:dyDescent="0.3">
      <c r="C3226" s="87"/>
      <c r="H3226" s="86" t="e">
        <f>IF(I3226="fora",0%,G3226/QUÓRUM!$C$6)</f>
        <v>#DIV/0!</v>
      </c>
      <c r="I3226" s="87"/>
      <c r="J3226" s="88"/>
      <c r="K3226" s="88"/>
      <c r="L3226" s="89"/>
      <c r="M3226" s="89"/>
      <c r="Q3226" s="105"/>
    </row>
    <row r="3227" spans="3:17" x14ac:dyDescent="0.3">
      <c r="C3227" s="87"/>
      <c r="H3227" s="86" t="e">
        <f>IF(I3227="fora",0%,G3227/QUÓRUM!$C$6)</f>
        <v>#DIV/0!</v>
      </c>
      <c r="I3227" s="87"/>
      <c r="J3227" s="88"/>
      <c r="K3227" s="88"/>
      <c r="L3227" s="89"/>
      <c r="M3227" s="89"/>
      <c r="Q3227" s="105"/>
    </row>
    <row r="3228" spans="3:17" x14ac:dyDescent="0.3">
      <c r="C3228" s="87"/>
      <c r="H3228" s="86" t="e">
        <f>IF(I3228="fora",0%,G3228/QUÓRUM!$C$6)</f>
        <v>#DIV/0!</v>
      </c>
      <c r="I3228" s="87"/>
      <c r="J3228" s="88"/>
      <c r="K3228" s="88"/>
      <c r="L3228" s="89"/>
      <c r="M3228" s="89"/>
      <c r="Q3228" s="105"/>
    </row>
    <row r="3229" spans="3:17" x14ac:dyDescent="0.3">
      <c r="C3229" s="87"/>
      <c r="H3229" s="86" t="e">
        <f>IF(I3229="fora",0%,G3229/QUÓRUM!$C$6)</f>
        <v>#DIV/0!</v>
      </c>
      <c r="I3229" s="87"/>
      <c r="J3229" s="88"/>
      <c r="K3229" s="88"/>
      <c r="L3229" s="89"/>
      <c r="M3229" s="89"/>
      <c r="Q3229" s="105"/>
    </row>
    <row r="3230" spans="3:17" x14ac:dyDescent="0.3">
      <c r="C3230" s="87"/>
      <c r="H3230" s="86" t="e">
        <f>IF(I3230="fora",0%,G3230/QUÓRUM!$C$6)</f>
        <v>#DIV/0!</v>
      </c>
      <c r="I3230" s="87"/>
      <c r="J3230" s="88"/>
      <c r="K3230" s="88"/>
      <c r="L3230" s="89"/>
      <c r="M3230" s="89"/>
      <c r="Q3230" s="105"/>
    </row>
    <row r="3231" spans="3:17" x14ac:dyDescent="0.3">
      <c r="C3231" s="87"/>
      <c r="H3231" s="86" t="e">
        <f>IF(I3231="fora",0%,G3231/QUÓRUM!$C$6)</f>
        <v>#DIV/0!</v>
      </c>
      <c r="I3231" s="87"/>
      <c r="J3231" s="88"/>
      <c r="K3231" s="88"/>
      <c r="L3231" s="89"/>
      <c r="M3231" s="89"/>
      <c r="Q3231" s="105"/>
    </row>
    <row r="3232" spans="3:17" x14ac:dyDescent="0.3">
      <c r="C3232" s="87"/>
      <c r="H3232" s="86" t="e">
        <f>IF(I3232="fora",0%,G3232/QUÓRUM!$C$6)</f>
        <v>#DIV/0!</v>
      </c>
      <c r="I3232" s="87"/>
      <c r="J3232" s="88"/>
      <c r="K3232" s="88"/>
      <c r="L3232" s="89"/>
      <c r="M3232" s="89"/>
      <c r="Q3232" s="105"/>
    </row>
    <row r="3233" spans="3:17" x14ac:dyDescent="0.3">
      <c r="C3233" s="87"/>
      <c r="H3233" s="86" t="e">
        <f>IF(I3233="fora",0%,G3233/QUÓRUM!$C$6)</f>
        <v>#DIV/0!</v>
      </c>
      <c r="I3233" s="87"/>
      <c r="J3233" s="88"/>
      <c r="K3233" s="88"/>
      <c r="L3233" s="89"/>
      <c r="M3233" s="89"/>
      <c r="Q3233" s="105"/>
    </row>
    <row r="3234" spans="3:17" x14ac:dyDescent="0.3">
      <c r="C3234" s="87"/>
      <c r="H3234" s="86" t="e">
        <f>IF(I3234="fora",0%,G3234/QUÓRUM!$C$6)</f>
        <v>#DIV/0!</v>
      </c>
      <c r="I3234" s="87"/>
      <c r="J3234" s="88"/>
      <c r="K3234" s="88"/>
      <c r="L3234" s="89"/>
      <c r="M3234" s="89"/>
      <c r="Q3234" s="105"/>
    </row>
    <row r="3235" spans="3:17" x14ac:dyDescent="0.3">
      <c r="C3235" s="87"/>
      <c r="H3235" s="86" t="e">
        <f>IF(I3235="fora",0%,G3235/QUÓRUM!$C$6)</f>
        <v>#DIV/0!</v>
      </c>
      <c r="I3235" s="87"/>
      <c r="J3235" s="88"/>
      <c r="K3235" s="88"/>
      <c r="L3235" s="89"/>
      <c r="M3235" s="89"/>
      <c r="Q3235" s="105"/>
    </row>
    <row r="3236" spans="3:17" x14ac:dyDescent="0.3">
      <c r="C3236" s="87"/>
      <c r="H3236" s="86" t="e">
        <f>IF(I3236="fora",0%,G3236/QUÓRUM!$C$6)</f>
        <v>#DIV/0!</v>
      </c>
      <c r="I3236" s="87"/>
      <c r="J3236" s="88"/>
      <c r="K3236" s="88"/>
      <c r="L3236" s="89"/>
      <c r="M3236" s="89"/>
      <c r="Q3236" s="105"/>
    </row>
    <row r="3237" spans="3:17" x14ac:dyDescent="0.3">
      <c r="C3237" s="87"/>
      <c r="H3237" s="86" t="e">
        <f>IF(I3237="fora",0%,G3237/QUÓRUM!$C$6)</f>
        <v>#DIV/0!</v>
      </c>
      <c r="I3237" s="87"/>
      <c r="J3237" s="88"/>
      <c r="K3237" s="88"/>
      <c r="L3237" s="89"/>
      <c r="M3237" s="89"/>
      <c r="Q3237" s="105"/>
    </row>
    <row r="3238" spans="3:17" x14ac:dyDescent="0.3">
      <c r="C3238" s="87"/>
      <c r="H3238" s="86" t="e">
        <f>IF(I3238="fora",0%,G3238/QUÓRUM!$C$6)</f>
        <v>#DIV/0!</v>
      </c>
      <c r="I3238" s="87"/>
      <c r="J3238" s="88"/>
      <c r="K3238" s="88"/>
      <c r="L3238" s="89"/>
      <c r="M3238" s="89"/>
      <c r="Q3238" s="105"/>
    </row>
    <row r="3239" spans="3:17" x14ac:dyDescent="0.3">
      <c r="C3239" s="87"/>
      <c r="H3239" s="86" t="e">
        <f>IF(I3239="fora",0%,G3239/QUÓRUM!$C$6)</f>
        <v>#DIV/0!</v>
      </c>
      <c r="I3239" s="87"/>
      <c r="J3239" s="88"/>
      <c r="K3239" s="88"/>
      <c r="L3239" s="89"/>
      <c r="M3239" s="89"/>
      <c r="Q3239" s="105"/>
    </row>
    <row r="3240" spans="3:17" x14ac:dyDescent="0.3">
      <c r="C3240" s="87"/>
      <c r="H3240" s="86" t="e">
        <f>IF(I3240="fora",0%,G3240/QUÓRUM!$C$6)</f>
        <v>#DIV/0!</v>
      </c>
      <c r="I3240" s="87"/>
      <c r="J3240" s="88"/>
      <c r="K3240" s="88"/>
      <c r="L3240" s="89"/>
      <c r="M3240" s="89"/>
      <c r="Q3240" s="105"/>
    </row>
    <row r="3241" spans="3:17" x14ac:dyDescent="0.3">
      <c r="C3241" s="87"/>
      <c r="H3241" s="86" t="e">
        <f>IF(I3241="fora",0%,G3241/QUÓRUM!$C$6)</f>
        <v>#DIV/0!</v>
      </c>
      <c r="I3241" s="87"/>
      <c r="J3241" s="88"/>
      <c r="K3241" s="88"/>
      <c r="L3241" s="89"/>
      <c r="M3241" s="89"/>
      <c r="Q3241" s="105"/>
    </row>
    <row r="3242" spans="3:17" x14ac:dyDescent="0.3">
      <c r="C3242" s="87"/>
      <c r="H3242" s="86" t="e">
        <f>IF(I3242="fora",0%,G3242/QUÓRUM!$C$6)</f>
        <v>#DIV/0!</v>
      </c>
      <c r="I3242" s="87"/>
      <c r="J3242" s="88"/>
      <c r="K3242" s="88"/>
      <c r="L3242" s="89"/>
      <c r="M3242" s="89"/>
      <c r="Q3242" s="105"/>
    </row>
    <row r="3243" spans="3:17" x14ac:dyDescent="0.3">
      <c r="C3243" s="87"/>
      <c r="H3243" s="86" t="e">
        <f>IF(I3243="fora",0%,G3243/QUÓRUM!$C$6)</f>
        <v>#DIV/0!</v>
      </c>
      <c r="I3243" s="87"/>
      <c r="J3243" s="88"/>
      <c r="K3243" s="88"/>
      <c r="L3243" s="89"/>
      <c r="M3243" s="89"/>
      <c r="Q3243" s="105"/>
    </row>
    <row r="3244" spans="3:17" x14ac:dyDescent="0.3">
      <c r="C3244" s="87"/>
      <c r="H3244" s="86" t="e">
        <f>IF(I3244="fora",0%,G3244/QUÓRUM!$C$6)</f>
        <v>#DIV/0!</v>
      </c>
      <c r="I3244" s="87"/>
      <c r="J3244" s="88"/>
      <c r="K3244" s="88"/>
      <c r="L3244" s="89"/>
      <c r="M3244" s="89"/>
      <c r="Q3244" s="105"/>
    </row>
    <row r="3245" spans="3:17" x14ac:dyDescent="0.3">
      <c r="C3245" s="87"/>
      <c r="H3245" s="86" t="e">
        <f>IF(I3245="fora",0%,G3245/QUÓRUM!$C$6)</f>
        <v>#DIV/0!</v>
      </c>
      <c r="I3245" s="87"/>
      <c r="J3245" s="88"/>
      <c r="K3245" s="88"/>
      <c r="L3245" s="89"/>
      <c r="M3245" s="89"/>
      <c r="Q3245" s="105"/>
    </row>
    <row r="3246" spans="3:17" x14ac:dyDescent="0.3">
      <c r="C3246" s="87"/>
      <c r="H3246" s="86" t="e">
        <f>IF(I3246="fora",0%,G3246/QUÓRUM!$C$6)</f>
        <v>#DIV/0!</v>
      </c>
      <c r="I3246" s="87"/>
      <c r="J3246" s="88"/>
      <c r="K3246" s="88"/>
      <c r="L3246" s="89"/>
      <c r="M3246" s="89"/>
      <c r="Q3246" s="105"/>
    </row>
    <row r="3247" spans="3:17" x14ac:dyDescent="0.3">
      <c r="C3247" s="87"/>
      <c r="H3247" s="86" t="e">
        <f>IF(I3247="fora",0%,G3247/QUÓRUM!$C$6)</f>
        <v>#DIV/0!</v>
      </c>
      <c r="I3247" s="87"/>
      <c r="J3247" s="88"/>
      <c r="K3247" s="88"/>
      <c r="L3247" s="89"/>
      <c r="M3247" s="89"/>
      <c r="Q3247" s="105"/>
    </row>
    <row r="3248" spans="3:17" x14ac:dyDescent="0.3">
      <c r="C3248" s="87"/>
      <c r="H3248" s="86" t="e">
        <f>IF(I3248="fora",0%,G3248/QUÓRUM!$C$6)</f>
        <v>#DIV/0!</v>
      </c>
      <c r="I3248" s="87"/>
      <c r="J3248" s="88"/>
      <c r="K3248" s="88"/>
      <c r="L3248" s="89"/>
      <c r="M3248" s="89"/>
      <c r="Q3248" s="105"/>
    </row>
    <row r="3249" spans="3:17" x14ac:dyDescent="0.3">
      <c r="C3249" s="87"/>
      <c r="H3249" s="86" t="e">
        <f>IF(I3249="fora",0%,G3249/QUÓRUM!$C$6)</f>
        <v>#DIV/0!</v>
      </c>
      <c r="I3249" s="87"/>
      <c r="J3249" s="88"/>
      <c r="K3249" s="88"/>
      <c r="L3249" s="89"/>
      <c r="M3249" s="89"/>
      <c r="Q3249" s="105"/>
    </row>
    <row r="3250" spans="3:17" x14ac:dyDescent="0.3">
      <c r="C3250" s="87"/>
      <c r="H3250" s="86" t="e">
        <f>IF(I3250="fora",0%,G3250/QUÓRUM!$C$6)</f>
        <v>#DIV/0!</v>
      </c>
      <c r="I3250" s="87"/>
      <c r="J3250" s="88"/>
      <c r="K3250" s="88"/>
      <c r="L3250" s="89"/>
      <c r="M3250" s="89"/>
      <c r="Q3250" s="105"/>
    </row>
    <row r="3251" spans="3:17" x14ac:dyDescent="0.3">
      <c r="C3251" s="87"/>
      <c r="H3251" s="86" t="e">
        <f>IF(I3251="fora",0%,G3251/QUÓRUM!$C$6)</f>
        <v>#DIV/0!</v>
      </c>
      <c r="I3251" s="87"/>
      <c r="J3251" s="88"/>
      <c r="K3251" s="88"/>
      <c r="L3251" s="89"/>
      <c r="M3251" s="89"/>
      <c r="Q3251" s="105"/>
    </row>
    <row r="3252" spans="3:17" x14ac:dyDescent="0.3">
      <c r="C3252" s="87"/>
      <c r="H3252" s="86" t="e">
        <f>IF(I3252="fora",0%,G3252/QUÓRUM!$C$6)</f>
        <v>#DIV/0!</v>
      </c>
      <c r="I3252" s="87"/>
      <c r="J3252" s="88"/>
      <c r="K3252" s="88"/>
      <c r="L3252" s="89"/>
      <c r="M3252" s="89"/>
      <c r="Q3252" s="105"/>
    </row>
    <row r="3253" spans="3:17" x14ac:dyDescent="0.3">
      <c r="C3253" s="87"/>
      <c r="H3253" s="86" t="e">
        <f>IF(I3253="fora",0%,G3253/QUÓRUM!$C$6)</f>
        <v>#DIV/0!</v>
      </c>
      <c r="I3253" s="87"/>
      <c r="J3253" s="88"/>
      <c r="K3253" s="88"/>
      <c r="L3253" s="89"/>
      <c r="M3253" s="89"/>
      <c r="Q3253" s="105"/>
    </row>
    <row r="3254" spans="3:17" x14ac:dyDescent="0.3">
      <c r="C3254" s="87"/>
      <c r="H3254" s="86" t="e">
        <f>IF(I3254="fora",0%,G3254/QUÓRUM!$C$6)</f>
        <v>#DIV/0!</v>
      </c>
      <c r="I3254" s="87"/>
      <c r="J3254" s="88"/>
      <c r="K3254" s="88"/>
      <c r="L3254" s="89"/>
      <c r="M3254" s="89"/>
      <c r="Q3254" s="105"/>
    </row>
    <row r="3255" spans="3:17" x14ac:dyDescent="0.3">
      <c r="C3255" s="87"/>
      <c r="H3255" s="86" t="e">
        <f>IF(I3255="fora",0%,G3255/QUÓRUM!$C$6)</f>
        <v>#DIV/0!</v>
      </c>
      <c r="I3255" s="87"/>
      <c r="J3255" s="88"/>
      <c r="K3255" s="88"/>
      <c r="L3255" s="89"/>
      <c r="M3255" s="89"/>
      <c r="Q3255" s="105"/>
    </row>
    <row r="3256" spans="3:17" x14ac:dyDescent="0.3">
      <c r="C3256" s="87"/>
      <c r="H3256" s="86" t="e">
        <f>IF(I3256="fora",0%,G3256/QUÓRUM!$C$6)</f>
        <v>#DIV/0!</v>
      </c>
      <c r="I3256" s="87"/>
      <c r="J3256" s="88"/>
      <c r="K3256" s="88"/>
      <c r="L3256" s="89"/>
      <c r="M3256" s="89"/>
      <c r="Q3256" s="105"/>
    </row>
    <row r="3257" spans="3:17" x14ac:dyDescent="0.3">
      <c r="C3257" s="87"/>
      <c r="H3257" s="86" t="e">
        <f>IF(I3257="fora",0%,G3257/QUÓRUM!$C$6)</f>
        <v>#DIV/0!</v>
      </c>
      <c r="I3257" s="87"/>
      <c r="J3257" s="88"/>
      <c r="K3257" s="88"/>
      <c r="L3257" s="89"/>
      <c r="M3257" s="89"/>
      <c r="Q3257" s="105"/>
    </row>
    <row r="3258" spans="3:17" x14ac:dyDescent="0.3">
      <c r="C3258" s="87"/>
      <c r="H3258" s="86" t="e">
        <f>IF(I3258="fora",0%,G3258/QUÓRUM!$C$6)</f>
        <v>#DIV/0!</v>
      </c>
      <c r="I3258" s="87"/>
      <c r="J3258" s="88"/>
      <c r="K3258" s="88"/>
      <c r="L3258" s="89"/>
      <c r="M3258" s="89"/>
      <c r="Q3258" s="105"/>
    </row>
    <row r="3259" spans="3:17" x14ac:dyDescent="0.3">
      <c r="C3259" s="87"/>
      <c r="H3259" s="86" t="e">
        <f>IF(I3259="fora",0%,G3259/QUÓRUM!$C$6)</f>
        <v>#DIV/0!</v>
      </c>
      <c r="I3259" s="87"/>
      <c r="J3259" s="88"/>
      <c r="K3259" s="88"/>
      <c r="L3259" s="89"/>
      <c r="M3259" s="89"/>
      <c r="Q3259" s="105"/>
    </row>
    <row r="3260" spans="3:17" x14ac:dyDescent="0.3">
      <c r="C3260" s="87"/>
      <c r="H3260" s="86" t="e">
        <f>IF(I3260="fora",0%,G3260/QUÓRUM!$C$6)</f>
        <v>#DIV/0!</v>
      </c>
      <c r="I3260" s="87"/>
      <c r="J3260" s="88"/>
      <c r="K3260" s="88"/>
      <c r="L3260" s="89"/>
      <c r="M3260" s="89"/>
      <c r="Q3260" s="105"/>
    </row>
    <row r="3261" spans="3:17" x14ac:dyDescent="0.3">
      <c r="C3261" s="87"/>
      <c r="H3261" s="86" t="e">
        <f>IF(I3261="fora",0%,G3261/QUÓRUM!$C$6)</f>
        <v>#DIV/0!</v>
      </c>
      <c r="I3261" s="87"/>
      <c r="J3261" s="88"/>
      <c r="K3261" s="88"/>
      <c r="L3261" s="89"/>
      <c r="M3261" s="89"/>
      <c r="Q3261" s="105"/>
    </row>
    <row r="3262" spans="3:17" x14ac:dyDescent="0.3">
      <c r="C3262" s="87"/>
      <c r="H3262" s="86" t="e">
        <f>IF(I3262="fora",0%,G3262/QUÓRUM!$C$6)</f>
        <v>#DIV/0!</v>
      </c>
      <c r="I3262" s="87"/>
      <c r="J3262" s="88"/>
      <c r="K3262" s="88"/>
      <c r="L3262" s="89"/>
      <c r="M3262" s="89"/>
      <c r="Q3262" s="105"/>
    </row>
    <row r="3263" spans="3:17" x14ac:dyDescent="0.3">
      <c r="C3263" s="87"/>
      <c r="H3263" s="86" t="e">
        <f>IF(I3263="fora",0%,G3263/QUÓRUM!$C$6)</f>
        <v>#DIV/0!</v>
      </c>
      <c r="I3263" s="87"/>
      <c r="J3263" s="88"/>
      <c r="K3263" s="88"/>
      <c r="L3263" s="89"/>
      <c r="M3263" s="89"/>
      <c r="Q3263" s="105"/>
    </row>
    <row r="3264" spans="3:17" x14ac:dyDescent="0.3">
      <c r="C3264" s="87"/>
      <c r="H3264" s="86" t="e">
        <f>IF(I3264="fora",0%,G3264/QUÓRUM!$C$6)</f>
        <v>#DIV/0!</v>
      </c>
      <c r="I3264" s="87"/>
      <c r="J3264" s="88"/>
      <c r="K3264" s="88"/>
      <c r="L3264" s="89"/>
      <c r="M3264" s="89"/>
      <c r="Q3264" s="105"/>
    </row>
    <row r="3265" spans="3:17" x14ac:dyDescent="0.3">
      <c r="C3265" s="87"/>
      <c r="H3265" s="86" t="e">
        <f>IF(I3265="fora",0%,G3265/QUÓRUM!$C$6)</f>
        <v>#DIV/0!</v>
      </c>
      <c r="I3265" s="87"/>
      <c r="J3265" s="88"/>
      <c r="K3265" s="88"/>
      <c r="L3265" s="89"/>
      <c r="M3265" s="89"/>
      <c r="Q3265" s="105"/>
    </row>
    <row r="3266" spans="3:17" x14ac:dyDescent="0.3">
      <c r="C3266" s="87"/>
      <c r="H3266" s="86" t="e">
        <f>IF(I3266="fora",0%,G3266/QUÓRUM!$C$6)</f>
        <v>#DIV/0!</v>
      </c>
      <c r="I3266" s="87"/>
      <c r="J3266" s="88"/>
      <c r="K3266" s="88"/>
      <c r="L3266" s="89"/>
      <c r="M3266" s="89"/>
      <c r="Q3266" s="105"/>
    </row>
    <row r="3267" spans="3:17" x14ac:dyDescent="0.3">
      <c r="C3267" s="87"/>
      <c r="H3267" s="86" t="e">
        <f>IF(I3267="fora",0%,G3267/QUÓRUM!$C$6)</f>
        <v>#DIV/0!</v>
      </c>
      <c r="I3267" s="87"/>
      <c r="J3267" s="88"/>
      <c r="K3267" s="88"/>
      <c r="L3267" s="89"/>
      <c r="M3267" s="89"/>
      <c r="Q3267" s="105"/>
    </row>
    <row r="3268" spans="3:17" x14ac:dyDescent="0.3">
      <c r="C3268" s="87"/>
      <c r="H3268" s="86" t="e">
        <f>IF(I3268="fora",0%,G3268/QUÓRUM!$C$6)</f>
        <v>#DIV/0!</v>
      </c>
      <c r="I3268" s="87"/>
      <c r="J3268" s="88"/>
      <c r="K3268" s="88"/>
      <c r="L3268" s="89"/>
      <c r="M3268" s="89"/>
      <c r="Q3268" s="105"/>
    </row>
    <row r="3269" spans="3:17" x14ac:dyDescent="0.3">
      <c r="C3269" s="87"/>
      <c r="H3269" s="86" t="e">
        <f>IF(I3269="fora",0%,G3269/QUÓRUM!$C$6)</f>
        <v>#DIV/0!</v>
      </c>
      <c r="I3269" s="87"/>
      <c r="J3269" s="88"/>
      <c r="K3269" s="88"/>
      <c r="L3269" s="89"/>
      <c r="M3269" s="89"/>
      <c r="Q3269" s="105"/>
    </row>
    <row r="3270" spans="3:17" x14ac:dyDescent="0.3">
      <c r="C3270" s="87"/>
      <c r="H3270" s="86" t="e">
        <f>IF(I3270="fora",0%,G3270/QUÓRUM!$C$6)</f>
        <v>#DIV/0!</v>
      </c>
      <c r="I3270" s="87"/>
      <c r="J3270" s="88"/>
      <c r="K3270" s="88"/>
      <c r="L3270" s="89"/>
      <c r="M3270" s="89"/>
      <c r="Q3270" s="105"/>
    </row>
    <row r="3271" spans="3:17" x14ac:dyDescent="0.3">
      <c r="C3271" s="87"/>
      <c r="H3271" s="86" t="e">
        <f>IF(I3271="fora",0%,G3271/QUÓRUM!$C$6)</f>
        <v>#DIV/0!</v>
      </c>
      <c r="I3271" s="87"/>
      <c r="J3271" s="88"/>
      <c r="K3271" s="88"/>
      <c r="L3271" s="89"/>
      <c r="M3271" s="89"/>
      <c r="Q3271" s="105"/>
    </row>
    <row r="3272" spans="3:17" x14ac:dyDescent="0.3">
      <c r="C3272" s="87"/>
      <c r="H3272" s="86" t="e">
        <f>IF(I3272="fora",0%,G3272/QUÓRUM!$C$6)</f>
        <v>#DIV/0!</v>
      </c>
      <c r="I3272" s="87"/>
      <c r="J3272" s="88"/>
      <c r="K3272" s="88"/>
      <c r="L3272" s="89"/>
      <c r="M3272" s="89"/>
      <c r="Q3272" s="105"/>
    </row>
    <row r="3273" spans="3:17" x14ac:dyDescent="0.3">
      <c r="C3273" s="87"/>
      <c r="H3273" s="86" t="e">
        <f>IF(I3273="fora",0%,G3273/QUÓRUM!$C$6)</f>
        <v>#DIV/0!</v>
      </c>
      <c r="I3273" s="87"/>
      <c r="J3273" s="88"/>
      <c r="K3273" s="88"/>
      <c r="L3273" s="89"/>
      <c r="M3273" s="89"/>
      <c r="Q3273" s="105"/>
    </row>
    <row r="3274" spans="3:17" x14ac:dyDescent="0.3">
      <c r="C3274" s="87"/>
      <c r="H3274" s="86" t="e">
        <f>IF(I3274="fora",0%,G3274/QUÓRUM!$C$6)</f>
        <v>#DIV/0!</v>
      </c>
      <c r="I3274" s="87"/>
      <c r="J3274" s="88"/>
      <c r="K3274" s="88"/>
      <c r="L3274" s="89"/>
      <c r="M3274" s="89"/>
      <c r="Q3274" s="105"/>
    </row>
    <row r="3275" spans="3:17" x14ac:dyDescent="0.3">
      <c r="C3275" s="87"/>
      <c r="H3275" s="86" t="e">
        <f>IF(I3275="fora",0%,G3275/QUÓRUM!$C$6)</f>
        <v>#DIV/0!</v>
      </c>
      <c r="I3275" s="87"/>
      <c r="J3275" s="88"/>
      <c r="K3275" s="88"/>
      <c r="L3275" s="89"/>
      <c r="M3275" s="89"/>
      <c r="Q3275" s="105"/>
    </row>
    <row r="3276" spans="3:17" x14ac:dyDescent="0.3">
      <c r="C3276" s="87"/>
      <c r="H3276" s="86" t="e">
        <f>IF(I3276="fora",0%,G3276/QUÓRUM!$C$6)</f>
        <v>#DIV/0!</v>
      </c>
      <c r="I3276" s="87"/>
      <c r="J3276" s="88"/>
      <c r="K3276" s="88"/>
      <c r="L3276" s="89"/>
      <c r="M3276" s="89"/>
      <c r="Q3276" s="105"/>
    </row>
    <row r="3277" spans="3:17" x14ac:dyDescent="0.3">
      <c r="C3277" s="87"/>
      <c r="H3277" s="86" t="e">
        <f>IF(I3277="fora",0%,G3277/QUÓRUM!$C$6)</f>
        <v>#DIV/0!</v>
      </c>
      <c r="I3277" s="87"/>
      <c r="J3277" s="88"/>
      <c r="K3277" s="88"/>
      <c r="L3277" s="89"/>
      <c r="M3277" s="89"/>
      <c r="Q3277" s="105"/>
    </row>
    <row r="3278" spans="3:17" x14ac:dyDescent="0.3">
      <c r="C3278" s="87"/>
      <c r="H3278" s="86" t="e">
        <f>IF(I3278="fora",0%,G3278/QUÓRUM!$C$6)</f>
        <v>#DIV/0!</v>
      </c>
      <c r="I3278" s="87"/>
      <c r="J3278" s="88"/>
      <c r="K3278" s="88"/>
      <c r="L3278" s="89"/>
      <c r="M3278" s="89"/>
      <c r="Q3278" s="105"/>
    </row>
    <row r="3279" spans="3:17" x14ac:dyDescent="0.3">
      <c r="C3279" s="87"/>
      <c r="H3279" s="86" t="e">
        <f>IF(I3279="fora",0%,G3279/QUÓRUM!$C$6)</f>
        <v>#DIV/0!</v>
      </c>
      <c r="I3279" s="87"/>
      <c r="J3279" s="88"/>
      <c r="K3279" s="88"/>
      <c r="L3279" s="89"/>
      <c r="M3279" s="89"/>
      <c r="Q3279" s="105"/>
    </row>
    <row r="3280" spans="3:17" x14ac:dyDescent="0.3">
      <c r="C3280" s="87"/>
      <c r="H3280" s="86" t="e">
        <f>IF(I3280="fora",0%,G3280/QUÓRUM!$C$6)</f>
        <v>#DIV/0!</v>
      </c>
      <c r="I3280" s="87"/>
      <c r="J3280" s="88"/>
      <c r="K3280" s="88"/>
      <c r="L3280" s="89"/>
      <c r="M3280" s="89"/>
      <c r="Q3280" s="105"/>
    </row>
    <row r="3281" spans="3:17" x14ac:dyDescent="0.3">
      <c r="C3281" s="87"/>
      <c r="H3281" s="86" t="e">
        <f>IF(I3281="fora",0%,G3281/QUÓRUM!$C$6)</f>
        <v>#DIV/0!</v>
      </c>
      <c r="I3281" s="87"/>
      <c r="J3281" s="88"/>
      <c r="K3281" s="88"/>
      <c r="L3281" s="89"/>
      <c r="M3281" s="89"/>
      <c r="Q3281" s="105"/>
    </row>
    <row r="3282" spans="3:17" x14ac:dyDescent="0.3">
      <c r="C3282" s="87"/>
      <c r="H3282" s="86" t="e">
        <f>IF(I3282="fora",0%,G3282/QUÓRUM!$C$6)</f>
        <v>#DIV/0!</v>
      </c>
      <c r="I3282" s="87"/>
      <c r="J3282" s="88"/>
      <c r="K3282" s="88"/>
      <c r="L3282" s="89"/>
      <c r="M3282" s="89"/>
      <c r="Q3282" s="105"/>
    </row>
    <row r="3283" spans="3:17" x14ac:dyDescent="0.3">
      <c r="C3283" s="87"/>
      <c r="H3283" s="86" t="e">
        <f>IF(I3283="fora",0%,G3283/QUÓRUM!$C$6)</f>
        <v>#DIV/0!</v>
      </c>
      <c r="I3283" s="87"/>
      <c r="J3283" s="88"/>
      <c r="K3283" s="88"/>
      <c r="L3283" s="89"/>
      <c r="M3283" s="89"/>
      <c r="Q3283" s="105"/>
    </row>
    <row r="3284" spans="3:17" x14ac:dyDescent="0.3">
      <c r="C3284" s="87"/>
      <c r="H3284" s="86" t="e">
        <f>IF(I3284="fora",0%,G3284/QUÓRUM!$C$6)</f>
        <v>#DIV/0!</v>
      </c>
      <c r="I3284" s="87"/>
      <c r="J3284" s="88"/>
      <c r="K3284" s="88"/>
      <c r="L3284" s="89"/>
      <c r="M3284" s="89"/>
      <c r="Q3284" s="105"/>
    </row>
    <row r="3285" spans="3:17" x14ac:dyDescent="0.3">
      <c r="C3285" s="87"/>
      <c r="H3285" s="86" t="e">
        <f>IF(I3285="fora",0%,G3285/QUÓRUM!$C$6)</f>
        <v>#DIV/0!</v>
      </c>
      <c r="I3285" s="87"/>
      <c r="J3285" s="88"/>
      <c r="K3285" s="88"/>
      <c r="L3285" s="89"/>
      <c r="M3285" s="89"/>
      <c r="Q3285" s="105"/>
    </row>
    <row r="3286" spans="3:17" x14ac:dyDescent="0.3">
      <c r="C3286" s="87"/>
      <c r="H3286" s="86" t="e">
        <f>IF(I3286="fora",0%,G3286/QUÓRUM!$C$6)</f>
        <v>#DIV/0!</v>
      </c>
      <c r="I3286" s="87"/>
      <c r="J3286" s="88"/>
      <c r="K3286" s="88"/>
      <c r="L3286" s="89"/>
      <c r="M3286" s="89"/>
      <c r="Q3286" s="105"/>
    </row>
    <row r="3287" spans="3:17" x14ac:dyDescent="0.3">
      <c r="C3287" s="87"/>
      <c r="H3287" s="86" t="e">
        <f>IF(I3287="fora",0%,G3287/QUÓRUM!$C$6)</f>
        <v>#DIV/0!</v>
      </c>
      <c r="I3287" s="87"/>
      <c r="J3287" s="88"/>
      <c r="K3287" s="88"/>
      <c r="L3287" s="89"/>
      <c r="M3287" s="89"/>
      <c r="Q3287" s="105"/>
    </row>
    <row r="3288" spans="3:17" x14ac:dyDescent="0.3">
      <c r="C3288" s="87"/>
      <c r="H3288" s="86" t="e">
        <f>IF(I3288="fora",0%,G3288/QUÓRUM!$C$6)</f>
        <v>#DIV/0!</v>
      </c>
      <c r="I3288" s="87"/>
      <c r="J3288" s="88"/>
      <c r="K3288" s="88"/>
      <c r="L3288" s="89"/>
      <c r="M3288" s="89"/>
      <c r="Q3288" s="105"/>
    </row>
    <row r="3289" spans="3:17" x14ac:dyDescent="0.3">
      <c r="C3289" s="87"/>
      <c r="H3289" s="86" t="e">
        <f>IF(I3289="fora",0%,G3289/QUÓRUM!$C$6)</f>
        <v>#DIV/0!</v>
      </c>
      <c r="I3289" s="87"/>
      <c r="J3289" s="88"/>
      <c r="K3289" s="88"/>
      <c r="L3289" s="89"/>
      <c r="M3289" s="89"/>
      <c r="Q3289" s="105"/>
    </row>
    <row r="3290" spans="3:17" x14ac:dyDescent="0.3">
      <c r="C3290" s="87"/>
      <c r="H3290" s="86" t="e">
        <f>IF(I3290="fora",0%,G3290/QUÓRUM!$C$6)</f>
        <v>#DIV/0!</v>
      </c>
      <c r="I3290" s="87"/>
      <c r="J3290" s="88"/>
      <c r="K3290" s="88"/>
      <c r="L3290" s="89"/>
      <c r="M3290" s="89"/>
      <c r="Q3290" s="105"/>
    </row>
    <row r="3291" spans="3:17" x14ac:dyDescent="0.3">
      <c r="C3291" s="87"/>
      <c r="H3291" s="86" t="e">
        <f>IF(I3291="fora",0%,G3291/QUÓRUM!$C$6)</f>
        <v>#DIV/0!</v>
      </c>
      <c r="I3291" s="87"/>
      <c r="J3291" s="88"/>
      <c r="K3291" s="88"/>
      <c r="L3291" s="89"/>
      <c r="M3291" s="89"/>
      <c r="Q3291" s="105"/>
    </row>
    <row r="3292" spans="3:17" x14ac:dyDescent="0.3">
      <c r="C3292" s="87"/>
      <c r="H3292" s="86" t="e">
        <f>IF(I3292="fora",0%,G3292/QUÓRUM!$C$6)</f>
        <v>#DIV/0!</v>
      </c>
      <c r="I3292" s="87"/>
      <c r="J3292" s="88"/>
      <c r="K3292" s="88"/>
      <c r="L3292" s="89"/>
      <c r="M3292" s="89"/>
      <c r="Q3292" s="105"/>
    </row>
    <row r="3293" spans="3:17" x14ac:dyDescent="0.3">
      <c r="C3293" s="87"/>
      <c r="H3293" s="86" t="e">
        <f>IF(I3293="fora",0%,G3293/QUÓRUM!$C$6)</f>
        <v>#DIV/0!</v>
      </c>
      <c r="I3293" s="87"/>
      <c r="J3293" s="88"/>
      <c r="K3293" s="88"/>
      <c r="L3293" s="89"/>
      <c r="M3293" s="89"/>
      <c r="Q3293" s="105"/>
    </row>
    <row r="3294" spans="3:17" x14ac:dyDescent="0.3">
      <c r="C3294" s="87"/>
      <c r="H3294" s="86" t="e">
        <f>IF(I3294="fora",0%,G3294/QUÓRUM!$C$6)</f>
        <v>#DIV/0!</v>
      </c>
      <c r="I3294" s="87"/>
      <c r="J3294" s="88"/>
      <c r="K3294" s="88"/>
      <c r="L3294" s="89"/>
      <c r="M3294" s="89"/>
      <c r="Q3294" s="105"/>
    </row>
    <row r="3295" spans="3:17" x14ac:dyDescent="0.3">
      <c r="C3295" s="87"/>
      <c r="H3295" s="86" t="e">
        <f>IF(I3295="fora",0%,G3295/QUÓRUM!$C$6)</f>
        <v>#DIV/0!</v>
      </c>
      <c r="I3295" s="87"/>
      <c r="J3295" s="88"/>
      <c r="K3295" s="88"/>
      <c r="L3295" s="89"/>
      <c r="M3295" s="89"/>
      <c r="Q3295" s="105"/>
    </row>
    <row r="3296" spans="3:17" x14ac:dyDescent="0.3">
      <c r="C3296" s="87"/>
      <c r="H3296" s="86" t="e">
        <f>IF(I3296="fora",0%,G3296/QUÓRUM!$C$6)</f>
        <v>#DIV/0!</v>
      </c>
      <c r="I3296" s="87"/>
      <c r="J3296" s="88"/>
      <c r="K3296" s="88"/>
      <c r="L3296" s="89"/>
      <c r="M3296" s="89"/>
      <c r="Q3296" s="105"/>
    </row>
    <row r="3297" spans="3:17" x14ac:dyDescent="0.3">
      <c r="C3297" s="87"/>
      <c r="H3297" s="86" t="e">
        <f>IF(I3297="fora",0%,G3297/QUÓRUM!$C$6)</f>
        <v>#DIV/0!</v>
      </c>
      <c r="I3297" s="87"/>
      <c r="J3297" s="88"/>
      <c r="K3297" s="88"/>
      <c r="L3297" s="89"/>
      <c r="M3297" s="89"/>
      <c r="Q3297" s="105"/>
    </row>
    <row r="3298" spans="3:17" x14ac:dyDescent="0.3">
      <c r="C3298" s="87"/>
      <c r="H3298" s="86" t="e">
        <f>IF(I3298="fora",0%,G3298/QUÓRUM!$C$6)</f>
        <v>#DIV/0!</v>
      </c>
      <c r="I3298" s="87"/>
      <c r="J3298" s="88"/>
      <c r="K3298" s="88"/>
      <c r="L3298" s="89"/>
      <c r="M3298" s="89"/>
      <c r="Q3298" s="105"/>
    </row>
    <row r="3299" spans="3:17" x14ac:dyDescent="0.3">
      <c r="C3299" s="87"/>
      <c r="H3299" s="86" t="e">
        <f>IF(I3299="fora",0%,G3299/QUÓRUM!$C$6)</f>
        <v>#DIV/0!</v>
      </c>
      <c r="I3299" s="87"/>
      <c r="J3299" s="88"/>
      <c r="K3299" s="88"/>
      <c r="L3299" s="89"/>
      <c r="M3299" s="89"/>
      <c r="Q3299" s="105"/>
    </row>
    <row r="3300" spans="3:17" x14ac:dyDescent="0.3">
      <c r="C3300" s="87"/>
      <c r="H3300" s="86" t="e">
        <f>IF(I3300="fora",0%,G3300/QUÓRUM!$C$6)</f>
        <v>#DIV/0!</v>
      </c>
      <c r="I3300" s="87"/>
      <c r="J3300" s="88"/>
      <c r="K3300" s="88"/>
      <c r="L3300" s="89"/>
      <c r="M3300" s="89"/>
      <c r="Q3300" s="105"/>
    </row>
    <row r="3301" spans="3:17" x14ac:dyDescent="0.3">
      <c r="C3301" s="87"/>
      <c r="H3301" s="86" t="e">
        <f>IF(I3301="fora",0%,G3301/QUÓRUM!$C$6)</f>
        <v>#DIV/0!</v>
      </c>
      <c r="I3301" s="87"/>
      <c r="J3301" s="88"/>
      <c r="K3301" s="88"/>
      <c r="L3301" s="89"/>
      <c r="M3301" s="89"/>
      <c r="Q3301" s="105"/>
    </row>
    <row r="3302" spans="3:17" x14ac:dyDescent="0.3">
      <c r="C3302" s="87"/>
      <c r="H3302" s="86" t="e">
        <f>IF(I3302="fora",0%,G3302/QUÓRUM!$C$6)</f>
        <v>#DIV/0!</v>
      </c>
      <c r="I3302" s="87"/>
      <c r="J3302" s="88"/>
      <c r="K3302" s="88"/>
      <c r="L3302" s="89"/>
      <c r="M3302" s="89"/>
      <c r="Q3302" s="105"/>
    </row>
    <row r="3303" spans="3:17" x14ac:dyDescent="0.3">
      <c r="C3303" s="87"/>
      <c r="H3303" s="86" t="e">
        <f>IF(I3303="fora",0%,G3303/QUÓRUM!$C$6)</f>
        <v>#DIV/0!</v>
      </c>
      <c r="I3303" s="87"/>
      <c r="J3303" s="88"/>
      <c r="K3303" s="88"/>
      <c r="L3303" s="89"/>
      <c r="M3303" s="89"/>
      <c r="Q3303" s="105"/>
    </row>
    <row r="3304" spans="3:17" x14ac:dyDescent="0.3">
      <c r="C3304" s="87"/>
      <c r="H3304" s="86" t="e">
        <f>IF(I3304="fora",0%,G3304/QUÓRUM!$C$6)</f>
        <v>#DIV/0!</v>
      </c>
      <c r="I3304" s="87"/>
      <c r="J3304" s="88"/>
      <c r="K3304" s="88"/>
      <c r="L3304" s="89"/>
      <c r="M3304" s="89"/>
      <c r="Q3304" s="105"/>
    </row>
    <row r="3305" spans="3:17" x14ac:dyDescent="0.3">
      <c r="C3305" s="87"/>
      <c r="H3305" s="86" t="e">
        <f>IF(I3305="fora",0%,G3305/QUÓRUM!$C$6)</f>
        <v>#DIV/0!</v>
      </c>
      <c r="I3305" s="87"/>
      <c r="J3305" s="88"/>
      <c r="K3305" s="88"/>
      <c r="L3305" s="89"/>
      <c r="M3305" s="89"/>
      <c r="Q3305" s="105"/>
    </row>
    <row r="3306" spans="3:17" x14ac:dyDescent="0.3">
      <c r="C3306" s="87"/>
      <c r="H3306" s="86" t="e">
        <f>IF(I3306="fora",0%,G3306/QUÓRUM!$C$6)</f>
        <v>#DIV/0!</v>
      </c>
      <c r="I3306" s="87"/>
      <c r="J3306" s="88"/>
      <c r="K3306" s="88"/>
      <c r="L3306" s="89"/>
      <c r="M3306" s="89"/>
      <c r="Q3306" s="105"/>
    </row>
    <row r="3307" spans="3:17" x14ac:dyDescent="0.3">
      <c r="C3307" s="87"/>
      <c r="H3307" s="86" t="e">
        <f>IF(I3307="fora",0%,G3307/QUÓRUM!$C$6)</f>
        <v>#DIV/0!</v>
      </c>
      <c r="I3307" s="87"/>
      <c r="J3307" s="88"/>
      <c r="K3307" s="88"/>
      <c r="L3307" s="89"/>
      <c r="M3307" s="89"/>
      <c r="Q3307" s="105"/>
    </row>
    <row r="3308" spans="3:17" x14ac:dyDescent="0.3">
      <c r="C3308" s="87"/>
      <c r="H3308" s="86" t="e">
        <f>IF(I3308="fora",0%,G3308/QUÓRUM!$C$6)</f>
        <v>#DIV/0!</v>
      </c>
      <c r="I3308" s="87"/>
      <c r="J3308" s="88"/>
      <c r="K3308" s="88"/>
      <c r="L3308" s="89"/>
      <c r="M3308" s="89"/>
      <c r="Q3308" s="105"/>
    </row>
    <row r="3309" spans="3:17" x14ac:dyDescent="0.3">
      <c r="C3309" s="87"/>
      <c r="H3309" s="86" t="e">
        <f>IF(I3309="fora",0%,G3309/QUÓRUM!$C$6)</f>
        <v>#DIV/0!</v>
      </c>
      <c r="I3309" s="87"/>
      <c r="J3309" s="88"/>
      <c r="K3309" s="88"/>
      <c r="L3309" s="89"/>
      <c r="M3309" s="89"/>
      <c r="Q3309" s="105"/>
    </row>
    <row r="3310" spans="3:17" x14ac:dyDescent="0.3">
      <c r="C3310" s="87"/>
      <c r="H3310" s="86" t="e">
        <f>IF(I3310="fora",0%,G3310/QUÓRUM!$C$6)</f>
        <v>#DIV/0!</v>
      </c>
      <c r="I3310" s="87"/>
      <c r="J3310" s="88"/>
      <c r="K3310" s="88"/>
      <c r="L3310" s="89"/>
      <c r="M3310" s="89"/>
      <c r="Q3310" s="105"/>
    </row>
    <row r="3311" spans="3:17" x14ac:dyDescent="0.3">
      <c r="C3311" s="87"/>
      <c r="H3311" s="86" t="e">
        <f>IF(I3311="fora",0%,G3311/QUÓRUM!$C$6)</f>
        <v>#DIV/0!</v>
      </c>
      <c r="I3311" s="87"/>
      <c r="J3311" s="88"/>
      <c r="K3311" s="88"/>
      <c r="L3311" s="89"/>
      <c r="M3311" s="89"/>
      <c r="Q3311" s="105"/>
    </row>
    <row r="3312" spans="3:17" x14ac:dyDescent="0.3">
      <c r="C3312" s="87"/>
      <c r="H3312" s="86" t="e">
        <f>IF(I3312="fora",0%,G3312/QUÓRUM!$C$6)</f>
        <v>#DIV/0!</v>
      </c>
      <c r="I3312" s="87"/>
      <c r="J3312" s="88"/>
      <c r="K3312" s="88"/>
      <c r="L3312" s="89"/>
      <c r="M3312" s="89"/>
      <c r="Q3312" s="105"/>
    </row>
    <row r="3313" spans="3:17" x14ac:dyDescent="0.3">
      <c r="C3313" s="87"/>
      <c r="H3313" s="86" t="e">
        <f>IF(I3313="fora",0%,G3313/QUÓRUM!$C$6)</f>
        <v>#DIV/0!</v>
      </c>
      <c r="I3313" s="87"/>
      <c r="J3313" s="88"/>
      <c r="K3313" s="88"/>
      <c r="L3313" s="89"/>
      <c r="M3313" s="89"/>
      <c r="Q3313" s="105"/>
    </row>
    <row r="3314" spans="3:17" x14ac:dyDescent="0.3">
      <c r="C3314" s="87"/>
      <c r="H3314" s="86" t="e">
        <f>IF(I3314="fora",0%,G3314/QUÓRUM!$C$6)</f>
        <v>#DIV/0!</v>
      </c>
      <c r="I3314" s="87"/>
      <c r="J3314" s="88"/>
      <c r="K3314" s="88"/>
      <c r="L3314" s="89"/>
      <c r="M3314" s="89"/>
      <c r="Q3314" s="105"/>
    </row>
    <row r="3315" spans="3:17" x14ac:dyDescent="0.3">
      <c r="C3315" s="87"/>
      <c r="H3315" s="86" t="e">
        <f>IF(I3315="fora",0%,G3315/QUÓRUM!$C$6)</f>
        <v>#DIV/0!</v>
      </c>
      <c r="I3315" s="87"/>
      <c r="J3315" s="88"/>
      <c r="K3315" s="88"/>
      <c r="L3315" s="89"/>
      <c r="M3315" s="89"/>
      <c r="Q3315" s="105"/>
    </row>
    <row r="3316" spans="3:17" x14ac:dyDescent="0.3">
      <c r="C3316" s="87"/>
      <c r="H3316" s="86" t="e">
        <f>IF(I3316="fora",0%,G3316/QUÓRUM!$C$6)</f>
        <v>#DIV/0!</v>
      </c>
      <c r="I3316" s="87"/>
      <c r="J3316" s="88"/>
      <c r="K3316" s="88"/>
      <c r="L3316" s="89"/>
      <c r="M3316" s="89"/>
      <c r="Q3316" s="105"/>
    </row>
    <row r="3317" spans="3:17" x14ac:dyDescent="0.3">
      <c r="C3317" s="87"/>
      <c r="H3317" s="86" t="e">
        <f>IF(I3317="fora",0%,G3317/QUÓRUM!$C$6)</f>
        <v>#DIV/0!</v>
      </c>
      <c r="I3317" s="87"/>
      <c r="J3317" s="88"/>
      <c r="K3317" s="88"/>
      <c r="L3317" s="89"/>
      <c r="M3317" s="89"/>
      <c r="Q3317" s="105"/>
    </row>
    <row r="3318" spans="3:17" x14ac:dyDescent="0.3">
      <c r="C3318" s="87"/>
      <c r="H3318" s="86" t="e">
        <f>IF(I3318="fora",0%,G3318/QUÓRUM!$C$6)</f>
        <v>#DIV/0!</v>
      </c>
      <c r="I3318" s="87"/>
      <c r="J3318" s="88"/>
      <c r="K3318" s="88"/>
      <c r="L3318" s="89"/>
      <c r="M3318" s="89"/>
      <c r="Q3318" s="105"/>
    </row>
    <row r="3319" spans="3:17" x14ac:dyDescent="0.3">
      <c r="C3319" s="87"/>
      <c r="H3319" s="86" t="e">
        <f>IF(I3319="fora",0%,G3319/QUÓRUM!$C$6)</f>
        <v>#DIV/0!</v>
      </c>
      <c r="I3319" s="87"/>
      <c r="J3319" s="88"/>
      <c r="K3319" s="88"/>
      <c r="L3319" s="89"/>
      <c r="M3319" s="89"/>
      <c r="Q3319" s="105"/>
    </row>
    <row r="3320" spans="3:17" x14ac:dyDescent="0.3">
      <c r="C3320" s="87"/>
      <c r="H3320" s="86" t="e">
        <f>IF(I3320="fora",0%,G3320/QUÓRUM!$C$6)</f>
        <v>#DIV/0!</v>
      </c>
      <c r="I3320" s="87"/>
      <c r="J3320" s="88"/>
      <c r="K3320" s="88"/>
      <c r="L3320" s="89"/>
      <c r="M3320" s="89"/>
      <c r="Q3320" s="105"/>
    </row>
    <row r="3321" spans="3:17" x14ac:dyDescent="0.3">
      <c r="C3321" s="87"/>
      <c r="H3321" s="86" t="e">
        <f>IF(I3321="fora",0%,G3321/QUÓRUM!$C$6)</f>
        <v>#DIV/0!</v>
      </c>
      <c r="I3321" s="87"/>
      <c r="J3321" s="88"/>
      <c r="K3321" s="88"/>
      <c r="L3321" s="89"/>
      <c r="M3321" s="89"/>
      <c r="Q3321" s="105"/>
    </row>
    <row r="3322" spans="3:17" x14ac:dyDescent="0.3">
      <c r="C3322" s="87"/>
      <c r="H3322" s="86" t="e">
        <f>IF(I3322="fora",0%,G3322/QUÓRUM!$C$6)</f>
        <v>#DIV/0!</v>
      </c>
      <c r="I3322" s="87"/>
      <c r="J3322" s="88"/>
      <c r="K3322" s="88"/>
      <c r="L3322" s="89"/>
      <c r="M3322" s="89"/>
      <c r="Q3322" s="105"/>
    </row>
    <row r="3323" spans="3:17" x14ac:dyDescent="0.3">
      <c r="C3323" s="87"/>
      <c r="H3323" s="86" t="e">
        <f>IF(I3323="fora",0%,G3323/QUÓRUM!$C$6)</f>
        <v>#DIV/0!</v>
      </c>
      <c r="I3323" s="87"/>
      <c r="J3323" s="88"/>
      <c r="K3323" s="88"/>
      <c r="L3323" s="89"/>
      <c r="M3323" s="89"/>
      <c r="Q3323" s="105"/>
    </row>
    <row r="3324" spans="3:17" x14ac:dyDescent="0.3">
      <c r="C3324" s="87"/>
      <c r="H3324" s="86" t="e">
        <f>IF(I3324="fora",0%,G3324/QUÓRUM!$C$6)</f>
        <v>#DIV/0!</v>
      </c>
      <c r="I3324" s="87"/>
      <c r="J3324" s="88"/>
      <c r="K3324" s="88"/>
      <c r="L3324" s="89"/>
      <c r="M3324" s="89"/>
      <c r="Q3324" s="105"/>
    </row>
    <row r="3325" spans="3:17" x14ac:dyDescent="0.3">
      <c r="C3325" s="87"/>
      <c r="H3325" s="86" t="e">
        <f>IF(I3325="fora",0%,G3325/QUÓRUM!$C$6)</f>
        <v>#DIV/0!</v>
      </c>
      <c r="I3325" s="87"/>
      <c r="J3325" s="88"/>
      <c r="K3325" s="88"/>
      <c r="L3325" s="89"/>
      <c r="M3325" s="89"/>
      <c r="Q3325" s="105"/>
    </row>
    <row r="3326" spans="3:17" x14ac:dyDescent="0.3">
      <c r="C3326" s="87"/>
      <c r="H3326" s="86" t="e">
        <f>IF(I3326="fora",0%,G3326/QUÓRUM!$C$6)</f>
        <v>#DIV/0!</v>
      </c>
      <c r="I3326" s="87"/>
      <c r="J3326" s="88"/>
      <c r="K3326" s="88"/>
      <c r="L3326" s="89"/>
      <c r="M3326" s="89"/>
      <c r="Q3326" s="105"/>
    </row>
    <row r="3327" spans="3:17" x14ac:dyDescent="0.3">
      <c r="C3327" s="87"/>
      <c r="H3327" s="86" t="e">
        <f>IF(I3327="fora",0%,G3327/QUÓRUM!$C$6)</f>
        <v>#DIV/0!</v>
      </c>
      <c r="I3327" s="87"/>
      <c r="J3327" s="88"/>
      <c r="K3327" s="88"/>
      <c r="L3327" s="89"/>
      <c r="M3327" s="89"/>
      <c r="Q3327" s="105"/>
    </row>
    <row r="3328" spans="3:17" x14ac:dyDescent="0.3">
      <c r="C3328" s="87"/>
      <c r="H3328" s="86" t="e">
        <f>IF(I3328="fora",0%,G3328/QUÓRUM!$C$6)</f>
        <v>#DIV/0!</v>
      </c>
      <c r="I3328" s="87"/>
      <c r="J3328" s="88"/>
      <c r="K3328" s="88"/>
      <c r="L3328" s="89"/>
      <c r="M3328" s="89"/>
      <c r="Q3328" s="105"/>
    </row>
    <row r="3329" spans="3:17" x14ac:dyDescent="0.3">
      <c r="C3329" s="87"/>
      <c r="H3329" s="86" t="e">
        <f>IF(I3329="fora",0%,G3329/QUÓRUM!$C$6)</f>
        <v>#DIV/0!</v>
      </c>
      <c r="I3329" s="87"/>
      <c r="J3329" s="88"/>
      <c r="K3329" s="88"/>
      <c r="L3329" s="89"/>
      <c r="M3329" s="89"/>
      <c r="Q3329" s="105"/>
    </row>
    <row r="3330" spans="3:17" x14ac:dyDescent="0.3">
      <c r="C3330" s="87"/>
      <c r="H3330" s="86" t="e">
        <f>IF(I3330="fora",0%,G3330/QUÓRUM!$C$6)</f>
        <v>#DIV/0!</v>
      </c>
      <c r="I3330" s="87"/>
      <c r="J3330" s="88"/>
      <c r="K3330" s="88"/>
      <c r="L3330" s="89"/>
      <c r="M3330" s="89"/>
      <c r="Q3330" s="105"/>
    </row>
    <row r="3331" spans="3:17" x14ac:dyDescent="0.3">
      <c r="C3331" s="87"/>
      <c r="H3331" s="86" t="e">
        <f>IF(I3331="fora",0%,G3331/QUÓRUM!$C$6)</f>
        <v>#DIV/0!</v>
      </c>
      <c r="I3331" s="87"/>
      <c r="J3331" s="88"/>
      <c r="K3331" s="88"/>
      <c r="L3331" s="89"/>
      <c r="M3331" s="89"/>
      <c r="Q3331" s="105"/>
    </row>
    <row r="3332" spans="3:17" x14ac:dyDescent="0.3">
      <c r="C3332" s="87"/>
      <c r="H3332" s="86" t="e">
        <f>IF(I3332="fora",0%,G3332/QUÓRUM!$C$6)</f>
        <v>#DIV/0!</v>
      </c>
      <c r="I3332" s="87"/>
      <c r="J3332" s="88"/>
      <c r="K3332" s="88"/>
      <c r="L3332" s="89"/>
      <c r="M3332" s="89"/>
      <c r="Q3332" s="105"/>
    </row>
    <row r="3333" spans="3:17" x14ac:dyDescent="0.3">
      <c r="C3333" s="87"/>
      <c r="H3333" s="86" t="e">
        <f>IF(I3333="fora",0%,G3333/QUÓRUM!$C$6)</f>
        <v>#DIV/0!</v>
      </c>
      <c r="I3333" s="87"/>
      <c r="J3333" s="88"/>
      <c r="K3333" s="88"/>
      <c r="L3333" s="89"/>
      <c r="M3333" s="89"/>
      <c r="Q3333" s="105"/>
    </row>
    <row r="3334" spans="3:17" x14ac:dyDescent="0.3">
      <c r="C3334" s="87"/>
      <c r="H3334" s="86" t="e">
        <f>IF(I3334="fora",0%,G3334/QUÓRUM!$C$6)</f>
        <v>#DIV/0!</v>
      </c>
      <c r="I3334" s="87"/>
      <c r="J3334" s="88"/>
      <c r="K3334" s="88"/>
      <c r="L3334" s="89"/>
      <c r="M3334" s="89"/>
      <c r="Q3334" s="105"/>
    </row>
    <row r="3335" spans="3:17" x14ac:dyDescent="0.3">
      <c r="C3335" s="87"/>
      <c r="H3335" s="86" t="e">
        <f>IF(I3335="fora",0%,G3335/QUÓRUM!$C$6)</f>
        <v>#DIV/0!</v>
      </c>
      <c r="I3335" s="87"/>
      <c r="J3335" s="88"/>
      <c r="K3335" s="88"/>
      <c r="L3335" s="89"/>
      <c r="M3335" s="89"/>
      <c r="Q3335" s="105"/>
    </row>
    <row r="3336" spans="3:17" x14ac:dyDescent="0.3">
      <c r="C3336" s="87"/>
      <c r="H3336" s="86" t="e">
        <f>IF(I3336="fora",0%,G3336/QUÓRUM!$C$6)</f>
        <v>#DIV/0!</v>
      </c>
      <c r="I3336" s="87"/>
      <c r="J3336" s="88"/>
      <c r="K3336" s="88"/>
      <c r="L3336" s="89"/>
      <c r="M3336" s="89"/>
      <c r="Q3336" s="105"/>
    </row>
    <row r="3337" spans="3:17" x14ac:dyDescent="0.3">
      <c r="C3337" s="87"/>
      <c r="H3337" s="86" t="e">
        <f>IF(I3337="fora",0%,G3337/QUÓRUM!$C$6)</f>
        <v>#DIV/0!</v>
      </c>
      <c r="I3337" s="87"/>
      <c r="J3337" s="88"/>
      <c r="K3337" s="88"/>
      <c r="L3337" s="89"/>
      <c r="M3337" s="89"/>
      <c r="Q3337" s="105"/>
    </row>
    <row r="3338" spans="3:17" x14ac:dyDescent="0.3">
      <c r="C3338" s="87"/>
      <c r="H3338" s="86" t="e">
        <f>IF(I3338="fora",0%,G3338/QUÓRUM!$C$6)</f>
        <v>#DIV/0!</v>
      </c>
      <c r="I3338" s="87"/>
      <c r="J3338" s="88"/>
      <c r="K3338" s="88"/>
      <c r="L3338" s="89"/>
      <c r="M3338" s="89"/>
      <c r="Q3338" s="105"/>
    </row>
    <row r="3339" spans="3:17" x14ac:dyDescent="0.3">
      <c r="C3339" s="87"/>
      <c r="H3339" s="86" t="e">
        <f>IF(I3339="fora",0%,G3339/QUÓRUM!$C$6)</f>
        <v>#DIV/0!</v>
      </c>
      <c r="I3339" s="87"/>
      <c r="J3339" s="88"/>
      <c r="K3339" s="88"/>
      <c r="L3339" s="89"/>
      <c r="M3339" s="89"/>
      <c r="Q3339" s="105"/>
    </row>
    <row r="3340" spans="3:17" x14ac:dyDescent="0.3">
      <c r="C3340" s="87"/>
      <c r="H3340" s="86" t="e">
        <f>IF(I3340="fora",0%,G3340/QUÓRUM!$C$6)</f>
        <v>#DIV/0!</v>
      </c>
      <c r="I3340" s="87"/>
      <c r="J3340" s="88"/>
      <c r="K3340" s="88"/>
      <c r="L3340" s="89"/>
      <c r="M3340" s="89"/>
      <c r="Q3340" s="105"/>
    </row>
    <row r="3341" spans="3:17" x14ac:dyDescent="0.3">
      <c r="C3341" s="87"/>
      <c r="H3341" s="86" t="e">
        <f>IF(I3341="fora",0%,G3341/QUÓRUM!$C$6)</f>
        <v>#DIV/0!</v>
      </c>
      <c r="I3341" s="87"/>
      <c r="J3341" s="88"/>
      <c r="K3341" s="88"/>
      <c r="L3341" s="89"/>
      <c r="M3341" s="89"/>
      <c r="Q3341" s="105"/>
    </row>
    <row r="3342" spans="3:17" x14ac:dyDescent="0.3">
      <c r="C3342" s="87"/>
      <c r="H3342" s="86" t="e">
        <f>IF(I3342="fora",0%,G3342/QUÓRUM!$C$6)</f>
        <v>#DIV/0!</v>
      </c>
      <c r="I3342" s="87"/>
      <c r="J3342" s="88"/>
      <c r="K3342" s="88"/>
      <c r="L3342" s="89"/>
      <c r="M3342" s="89"/>
      <c r="Q3342" s="105"/>
    </row>
    <row r="3343" spans="3:17" x14ac:dyDescent="0.3">
      <c r="C3343" s="87"/>
      <c r="H3343" s="86" t="e">
        <f>IF(I3343="fora",0%,G3343/QUÓRUM!$C$6)</f>
        <v>#DIV/0!</v>
      </c>
      <c r="I3343" s="87"/>
      <c r="J3343" s="88"/>
      <c r="K3343" s="88"/>
      <c r="L3343" s="89"/>
      <c r="M3343" s="89"/>
      <c r="Q3343" s="105"/>
    </row>
    <row r="3344" spans="3:17" x14ac:dyDescent="0.3">
      <c r="C3344" s="87"/>
      <c r="H3344" s="86" t="e">
        <f>IF(I3344="fora",0%,G3344/QUÓRUM!$C$6)</f>
        <v>#DIV/0!</v>
      </c>
      <c r="I3344" s="87"/>
      <c r="J3344" s="88"/>
      <c r="K3344" s="88"/>
      <c r="L3344" s="89"/>
      <c r="M3344" s="89"/>
      <c r="Q3344" s="105"/>
    </row>
    <row r="3345" spans="3:17" x14ac:dyDescent="0.3">
      <c r="C3345" s="87"/>
      <c r="H3345" s="86" t="e">
        <f>IF(I3345="fora",0%,G3345/QUÓRUM!$C$6)</f>
        <v>#DIV/0!</v>
      </c>
      <c r="I3345" s="87"/>
      <c r="J3345" s="88"/>
      <c r="K3345" s="88"/>
      <c r="L3345" s="89"/>
      <c r="M3345" s="89"/>
      <c r="Q3345" s="105"/>
    </row>
    <row r="3346" spans="3:17" x14ac:dyDescent="0.3">
      <c r="C3346" s="87"/>
      <c r="H3346" s="86" t="e">
        <f>IF(I3346="fora",0%,G3346/QUÓRUM!$C$6)</f>
        <v>#DIV/0!</v>
      </c>
      <c r="I3346" s="87"/>
      <c r="J3346" s="88"/>
      <c r="K3346" s="88"/>
      <c r="L3346" s="89"/>
      <c r="M3346" s="89"/>
      <c r="Q3346" s="105"/>
    </row>
    <row r="3347" spans="3:17" x14ac:dyDescent="0.3">
      <c r="C3347" s="87"/>
      <c r="H3347" s="86" t="e">
        <f>IF(I3347="fora",0%,G3347/QUÓRUM!$C$6)</f>
        <v>#DIV/0!</v>
      </c>
      <c r="I3347" s="87"/>
      <c r="J3347" s="88"/>
      <c r="K3347" s="88"/>
      <c r="L3347" s="89"/>
      <c r="M3347" s="89"/>
      <c r="Q3347" s="105"/>
    </row>
    <row r="3348" spans="3:17" x14ac:dyDescent="0.3">
      <c r="C3348" s="87"/>
      <c r="H3348" s="86" t="e">
        <f>IF(I3348="fora",0%,G3348/QUÓRUM!$C$6)</f>
        <v>#DIV/0!</v>
      </c>
      <c r="I3348" s="87"/>
      <c r="J3348" s="88"/>
      <c r="K3348" s="88"/>
      <c r="L3348" s="89"/>
      <c r="M3348" s="89"/>
      <c r="Q3348" s="105"/>
    </row>
    <row r="3349" spans="3:17" x14ac:dyDescent="0.3">
      <c r="C3349" s="87"/>
      <c r="H3349" s="86" t="e">
        <f>IF(I3349="fora",0%,G3349/QUÓRUM!$C$6)</f>
        <v>#DIV/0!</v>
      </c>
      <c r="I3349" s="87"/>
      <c r="J3349" s="88"/>
      <c r="K3349" s="88"/>
      <c r="L3349" s="89"/>
      <c r="M3349" s="89"/>
      <c r="Q3349" s="105"/>
    </row>
    <row r="3350" spans="3:17" x14ac:dyDescent="0.3">
      <c r="C3350" s="87"/>
      <c r="H3350" s="86" t="e">
        <f>IF(I3350="fora",0%,G3350/QUÓRUM!$C$6)</f>
        <v>#DIV/0!</v>
      </c>
      <c r="I3350" s="87"/>
      <c r="J3350" s="88"/>
      <c r="K3350" s="88"/>
      <c r="L3350" s="89"/>
      <c r="M3350" s="89"/>
      <c r="Q3350" s="105"/>
    </row>
    <row r="3351" spans="3:17" x14ac:dyDescent="0.3">
      <c r="C3351" s="87"/>
      <c r="H3351" s="86" t="e">
        <f>IF(I3351="fora",0%,G3351/QUÓRUM!$C$6)</f>
        <v>#DIV/0!</v>
      </c>
      <c r="I3351" s="87"/>
      <c r="J3351" s="88"/>
      <c r="K3351" s="88"/>
      <c r="L3351" s="89"/>
      <c r="M3351" s="89"/>
      <c r="Q3351" s="105"/>
    </row>
    <row r="3352" spans="3:17" x14ac:dyDescent="0.3">
      <c r="C3352" s="87"/>
      <c r="H3352" s="86" t="e">
        <f>IF(I3352="fora",0%,G3352/QUÓRUM!$C$6)</f>
        <v>#DIV/0!</v>
      </c>
      <c r="I3352" s="87"/>
      <c r="J3352" s="88"/>
      <c r="K3352" s="88"/>
      <c r="L3352" s="89"/>
      <c r="M3352" s="89"/>
      <c r="Q3352" s="105"/>
    </row>
    <row r="3353" spans="3:17" x14ac:dyDescent="0.3">
      <c r="C3353" s="87"/>
      <c r="H3353" s="86" t="e">
        <f>IF(I3353="fora",0%,G3353/QUÓRUM!$C$6)</f>
        <v>#DIV/0!</v>
      </c>
      <c r="I3353" s="87"/>
      <c r="J3353" s="88"/>
      <c r="K3353" s="88"/>
      <c r="L3353" s="89"/>
      <c r="M3353" s="89"/>
      <c r="Q3353" s="105"/>
    </row>
    <row r="3354" spans="3:17" x14ac:dyDescent="0.3">
      <c r="C3354" s="87"/>
      <c r="H3354" s="86" t="e">
        <f>IF(I3354="fora",0%,G3354/QUÓRUM!$C$6)</f>
        <v>#DIV/0!</v>
      </c>
      <c r="I3354" s="87"/>
      <c r="J3354" s="88"/>
      <c r="K3354" s="88"/>
      <c r="L3354" s="89"/>
      <c r="M3354" s="89"/>
      <c r="Q3354" s="105"/>
    </row>
    <row r="3355" spans="3:17" x14ac:dyDescent="0.3">
      <c r="C3355" s="87"/>
      <c r="H3355" s="86" t="e">
        <f>IF(I3355="fora",0%,G3355/QUÓRUM!$C$6)</f>
        <v>#DIV/0!</v>
      </c>
      <c r="I3355" s="87"/>
      <c r="J3355" s="88"/>
      <c r="K3355" s="88"/>
      <c r="L3355" s="89"/>
      <c r="M3355" s="89"/>
      <c r="Q3355" s="105"/>
    </row>
    <row r="3356" spans="3:17" x14ac:dyDescent="0.3">
      <c r="C3356" s="87"/>
      <c r="H3356" s="86" t="e">
        <f>IF(I3356="fora",0%,G3356/QUÓRUM!$C$6)</f>
        <v>#DIV/0!</v>
      </c>
      <c r="I3356" s="87"/>
      <c r="J3356" s="88"/>
      <c r="K3356" s="88"/>
      <c r="L3356" s="89"/>
      <c r="M3356" s="89"/>
      <c r="Q3356" s="105"/>
    </row>
    <row r="3357" spans="3:17" x14ac:dyDescent="0.3">
      <c r="C3357" s="87"/>
      <c r="H3357" s="86" t="e">
        <f>IF(I3357="fora",0%,G3357/QUÓRUM!$C$6)</f>
        <v>#DIV/0!</v>
      </c>
      <c r="I3357" s="87"/>
      <c r="J3357" s="88"/>
      <c r="K3357" s="88"/>
      <c r="L3357" s="89"/>
      <c r="M3357" s="89"/>
      <c r="Q3357" s="105"/>
    </row>
    <row r="3358" spans="3:17" x14ac:dyDescent="0.3">
      <c r="C3358" s="87"/>
      <c r="H3358" s="86" t="e">
        <f>IF(I3358="fora",0%,G3358/QUÓRUM!$C$6)</f>
        <v>#DIV/0!</v>
      </c>
      <c r="I3358" s="87"/>
      <c r="J3358" s="88"/>
      <c r="K3358" s="88"/>
      <c r="L3358" s="89"/>
      <c r="M3358" s="89"/>
      <c r="Q3358" s="105"/>
    </row>
    <row r="3359" spans="3:17" x14ac:dyDescent="0.3">
      <c r="C3359" s="87"/>
      <c r="H3359" s="86" t="e">
        <f>IF(I3359="fora",0%,G3359/QUÓRUM!$C$6)</f>
        <v>#DIV/0!</v>
      </c>
      <c r="I3359" s="87"/>
      <c r="J3359" s="88"/>
      <c r="K3359" s="88"/>
      <c r="L3359" s="89"/>
      <c r="M3359" s="89"/>
      <c r="Q3359" s="105"/>
    </row>
    <row r="3360" spans="3:17" x14ac:dyDescent="0.3">
      <c r="C3360" s="87"/>
      <c r="H3360" s="86" t="e">
        <f>IF(I3360="fora",0%,G3360/QUÓRUM!$C$6)</f>
        <v>#DIV/0!</v>
      </c>
      <c r="I3360" s="87"/>
      <c r="J3360" s="88"/>
      <c r="K3360" s="88"/>
      <c r="L3360" s="89"/>
      <c r="M3360" s="89"/>
      <c r="Q3360" s="105"/>
    </row>
    <row r="3361" spans="3:17" x14ac:dyDescent="0.3">
      <c r="C3361" s="87"/>
      <c r="H3361" s="86" t="e">
        <f>IF(I3361="fora",0%,G3361/QUÓRUM!$C$6)</f>
        <v>#DIV/0!</v>
      </c>
      <c r="I3361" s="87"/>
      <c r="J3361" s="88"/>
      <c r="K3361" s="88"/>
      <c r="L3361" s="89"/>
      <c r="M3361" s="89"/>
      <c r="Q3361" s="105"/>
    </row>
    <row r="3362" spans="3:17" x14ac:dyDescent="0.3">
      <c r="C3362" s="87"/>
      <c r="H3362" s="86" t="e">
        <f>IF(I3362="fora",0%,G3362/QUÓRUM!$C$6)</f>
        <v>#DIV/0!</v>
      </c>
      <c r="I3362" s="87"/>
      <c r="J3362" s="88"/>
      <c r="K3362" s="88"/>
      <c r="L3362" s="89"/>
      <c r="M3362" s="89"/>
      <c r="Q3362" s="105"/>
    </row>
    <row r="3363" spans="3:17" x14ac:dyDescent="0.3">
      <c r="C3363" s="87"/>
      <c r="H3363" s="86" t="e">
        <f>IF(I3363="fora",0%,G3363/QUÓRUM!$C$6)</f>
        <v>#DIV/0!</v>
      </c>
      <c r="I3363" s="87"/>
      <c r="J3363" s="88"/>
      <c r="K3363" s="88"/>
      <c r="L3363" s="89"/>
      <c r="M3363" s="89"/>
      <c r="Q3363" s="105"/>
    </row>
    <row r="3364" spans="3:17" x14ac:dyDescent="0.3">
      <c r="C3364" s="87"/>
      <c r="H3364" s="86" t="e">
        <f>IF(I3364="fora",0%,G3364/QUÓRUM!$C$6)</f>
        <v>#DIV/0!</v>
      </c>
      <c r="I3364" s="87"/>
      <c r="J3364" s="88"/>
      <c r="K3364" s="88"/>
      <c r="L3364" s="89"/>
      <c r="M3364" s="89"/>
      <c r="Q3364" s="105"/>
    </row>
    <row r="3365" spans="3:17" x14ac:dyDescent="0.3">
      <c r="C3365" s="87"/>
      <c r="H3365" s="86" t="e">
        <f>IF(I3365="fora",0%,G3365/QUÓRUM!$C$6)</f>
        <v>#DIV/0!</v>
      </c>
      <c r="I3365" s="87"/>
      <c r="J3365" s="88"/>
      <c r="K3365" s="88"/>
      <c r="L3365" s="89"/>
      <c r="M3365" s="89"/>
      <c r="Q3365" s="105"/>
    </row>
    <row r="3366" spans="3:17" x14ac:dyDescent="0.3">
      <c r="C3366" s="87"/>
      <c r="H3366" s="86" t="e">
        <f>IF(I3366="fora",0%,G3366/QUÓRUM!$C$6)</f>
        <v>#DIV/0!</v>
      </c>
      <c r="I3366" s="87"/>
      <c r="J3366" s="88"/>
      <c r="K3366" s="88"/>
      <c r="L3366" s="89"/>
      <c r="M3366" s="89"/>
      <c r="Q3366" s="105"/>
    </row>
    <row r="3367" spans="3:17" x14ac:dyDescent="0.3">
      <c r="C3367" s="87"/>
      <c r="H3367" s="86" t="e">
        <f>IF(I3367="fora",0%,G3367/QUÓRUM!$C$6)</f>
        <v>#DIV/0!</v>
      </c>
      <c r="I3367" s="87"/>
      <c r="J3367" s="88"/>
      <c r="K3367" s="88"/>
      <c r="L3367" s="89"/>
      <c r="M3367" s="89"/>
      <c r="Q3367" s="105"/>
    </row>
    <row r="3368" spans="3:17" x14ac:dyDescent="0.3">
      <c r="C3368" s="87"/>
      <c r="H3368" s="86" t="e">
        <f>IF(I3368="fora",0%,G3368/QUÓRUM!$C$6)</f>
        <v>#DIV/0!</v>
      </c>
      <c r="I3368" s="87"/>
      <c r="J3368" s="88"/>
      <c r="K3368" s="88"/>
      <c r="L3368" s="89"/>
      <c r="M3368" s="89"/>
      <c r="Q3368" s="105"/>
    </row>
    <row r="3369" spans="3:17" x14ac:dyDescent="0.3">
      <c r="C3369" s="87"/>
      <c r="H3369" s="86" t="e">
        <f>IF(I3369="fora",0%,G3369/QUÓRUM!$C$6)</f>
        <v>#DIV/0!</v>
      </c>
      <c r="I3369" s="87"/>
      <c r="J3369" s="88"/>
      <c r="K3369" s="88"/>
      <c r="L3369" s="89"/>
      <c r="M3369" s="89"/>
      <c r="Q3369" s="105"/>
    </row>
    <row r="3370" spans="3:17" x14ac:dyDescent="0.3">
      <c r="C3370" s="87"/>
      <c r="H3370" s="86" t="e">
        <f>IF(I3370="fora",0%,G3370/QUÓRUM!$C$6)</f>
        <v>#DIV/0!</v>
      </c>
      <c r="I3370" s="87"/>
      <c r="J3370" s="88"/>
      <c r="K3370" s="88"/>
      <c r="L3370" s="89"/>
      <c r="M3370" s="89"/>
      <c r="Q3370" s="105"/>
    </row>
    <row r="3371" spans="3:17" x14ac:dyDescent="0.3">
      <c r="C3371" s="87"/>
      <c r="H3371" s="86" t="e">
        <f>IF(I3371="fora",0%,G3371/QUÓRUM!$C$6)</f>
        <v>#DIV/0!</v>
      </c>
      <c r="I3371" s="87"/>
      <c r="J3371" s="88"/>
      <c r="K3371" s="88"/>
      <c r="L3371" s="89"/>
      <c r="M3371" s="89"/>
      <c r="Q3371" s="105"/>
    </row>
    <row r="3372" spans="3:17" x14ac:dyDescent="0.3">
      <c r="C3372" s="87"/>
      <c r="H3372" s="86" t="e">
        <f>IF(I3372="fora",0%,G3372/QUÓRUM!$C$6)</f>
        <v>#DIV/0!</v>
      </c>
      <c r="I3372" s="87"/>
      <c r="J3372" s="88"/>
      <c r="K3372" s="88"/>
      <c r="L3372" s="89"/>
      <c r="M3372" s="89"/>
      <c r="Q3372" s="105"/>
    </row>
    <row r="3373" spans="3:17" x14ac:dyDescent="0.3">
      <c r="C3373" s="87"/>
      <c r="H3373" s="86" t="e">
        <f>IF(I3373="fora",0%,G3373/QUÓRUM!$C$6)</f>
        <v>#DIV/0!</v>
      </c>
      <c r="I3373" s="87"/>
      <c r="J3373" s="88"/>
      <c r="K3373" s="88"/>
      <c r="L3373" s="89"/>
      <c r="M3373" s="89"/>
      <c r="Q3373" s="105"/>
    </row>
    <row r="3374" spans="3:17" x14ac:dyDescent="0.3">
      <c r="C3374" s="87"/>
      <c r="H3374" s="86" t="e">
        <f>IF(I3374="fora",0%,G3374/QUÓRUM!$C$6)</f>
        <v>#DIV/0!</v>
      </c>
      <c r="I3374" s="87"/>
      <c r="J3374" s="88"/>
      <c r="K3374" s="88"/>
      <c r="L3374" s="89"/>
      <c r="M3374" s="89"/>
      <c r="Q3374" s="105"/>
    </row>
    <row r="3375" spans="3:17" x14ac:dyDescent="0.3">
      <c r="C3375" s="87"/>
      <c r="H3375" s="86" t="e">
        <f>IF(I3375="fora",0%,G3375/QUÓRUM!$C$6)</f>
        <v>#DIV/0!</v>
      </c>
      <c r="I3375" s="87"/>
      <c r="J3375" s="88"/>
      <c r="K3375" s="88"/>
      <c r="L3375" s="89"/>
      <c r="M3375" s="89"/>
      <c r="Q3375" s="105"/>
    </row>
    <row r="3376" spans="3:17" x14ac:dyDescent="0.3">
      <c r="C3376" s="87"/>
      <c r="H3376" s="86" t="e">
        <f>IF(I3376="fora",0%,G3376/QUÓRUM!$C$6)</f>
        <v>#DIV/0!</v>
      </c>
      <c r="I3376" s="87"/>
      <c r="J3376" s="88"/>
      <c r="K3376" s="88"/>
      <c r="L3376" s="89"/>
      <c r="M3376" s="89"/>
      <c r="Q3376" s="105"/>
    </row>
    <row r="3377" spans="3:17" x14ac:dyDescent="0.3">
      <c r="C3377" s="87"/>
      <c r="H3377" s="86" t="e">
        <f>IF(I3377="fora",0%,G3377/QUÓRUM!$C$6)</f>
        <v>#DIV/0!</v>
      </c>
      <c r="I3377" s="87"/>
      <c r="J3377" s="88"/>
      <c r="K3377" s="88"/>
      <c r="L3377" s="89"/>
      <c r="M3377" s="89"/>
      <c r="Q3377" s="105"/>
    </row>
    <row r="3378" spans="3:17" x14ac:dyDescent="0.3">
      <c r="C3378" s="87"/>
      <c r="H3378" s="86" t="e">
        <f>IF(I3378="fora",0%,G3378/QUÓRUM!$C$6)</f>
        <v>#DIV/0!</v>
      </c>
      <c r="I3378" s="87"/>
      <c r="J3378" s="88"/>
      <c r="K3378" s="88"/>
      <c r="L3378" s="89"/>
      <c r="M3378" s="89"/>
      <c r="Q3378" s="105"/>
    </row>
    <row r="3379" spans="3:17" x14ac:dyDescent="0.3">
      <c r="C3379" s="87"/>
      <c r="H3379" s="86" t="e">
        <f>IF(I3379="fora",0%,G3379/QUÓRUM!$C$6)</f>
        <v>#DIV/0!</v>
      </c>
      <c r="I3379" s="87"/>
      <c r="J3379" s="88"/>
      <c r="K3379" s="88"/>
      <c r="L3379" s="89"/>
      <c r="M3379" s="89"/>
      <c r="Q3379" s="105"/>
    </row>
    <row r="3380" spans="3:17" x14ac:dyDescent="0.3">
      <c r="C3380" s="87"/>
      <c r="H3380" s="86" t="e">
        <f>IF(I3380="fora",0%,G3380/QUÓRUM!$C$6)</f>
        <v>#DIV/0!</v>
      </c>
      <c r="I3380" s="87"/>
      <c r="J3380" s="88"/>
      <c r="K3380" s="88"/>
      <c r="L3380" s="89"/>
      <c r="M3380" s="89"/>
      <c r="Q3380" s="105"/>
    </row>
    <row r="3381" spans="3:17" x14ac:dyDescent="0.3">
      <c r="C3381" s="87"/>
      <c r="H3381" s="86" t="e">
        <f>IF(I3381="fora",0%,G3381/QUÓRUM!$C$6)</f>
        <v>#DIV/0!</v>
      </c>
      <c r="I3381" s="87"/>
      <c r="J3381" s="88"/>
      <c r="K3381" s="88"/>
      <c r="L3381" s="89"/>
      <c r="M3381" s="89"/>
      <c r="Q3381" s="105"/>
    </row>
    <row r="3382" spans="3:17" x14ac:dyDescent="0.3">
      <c r="C3382" s="87"/>
      <c r="H3382" s="86" t="e">
        <f>IF(I3382="fora",0%,G3382/QUÓRUM!$C$6)</f>
        <v>#DIV/0!</v>
      </c>
      <c r="I3382" s="87"/>
      <c r="J3382" s="88"/>
      <c r="K3382" s="88"/>
      <c r="L3382" s="89"/>
      <c r="M3382" s="89"/>
      <c r="Q3382" s="105"/>
    </row>
    <row r="3383" spans="3:17" x14ac:dyDescent="0.3">
      <c r="C3383" s="87"/>
      <c r="H3383" s="86" t="e">
        <f>IF(I3383="fora",0%,G3383/QUÓRUM!$C$6)</f>
        <v>#DIV/0!</v>
      </c>
      <c r="I3383" s="87"/>
      <c r="J3383" s="88"/>
      <c r="K3383" s="88"/>
      <c r="L3383" s="89"/>
      <c r="M3383" s="89"/>
      <c r="Q3383" s="105"/>
    </row>
    <row r="3384" spans="3:17" x14ac:dyDescent="0.3">
      <c r="C3384" s="87"/>
      <c r="H3384" s="86" t="e">
        <f>IF(I3384="fora",0%,G3384/QUÓRUM!$C$6)</f>
        <v>#DIV/0!</v>
      </c>
      <c r="I3384" s="87"/>
      <c r="J3384" s="88"/>
      <c r="K3384" s="88"/>
      <c r="L3384" s="89"/>
      <c r="M3384" s="89"/>
      <c r="Q3384" s="105"/>
    </row>
    <row r="3385" spans="3:17" x14ac:dyDescent="0.3">
      <c r="C3385" s="87"/>
      <c r="H3385" s="86" t="e">
        <f>IF(I3385="fora",0%,G3385/QUÓRUM!$C$6)</f>
        <v>#DIV/0!</v>
      </c>
      <c r="I3385" s="87"/>
      <c r="J3385" s="88"/>
      <c r="K3385" s="88"/>
      <c r="L3385" s="89"/>
      <c r="M3385" s="89"/>
      <c r="Q3385" s="105"/>
    </row>
    <row r="3386" spans="3:17" x14ac:dyDescent="0.3">
      <c r="C3386" s="87"/>
      <c r="H3386" s="86" t="e">
        <f>IF(I3386="fora",0%,G3386/QUÓRUM!$C$6)</f>
        <v>#DIV/0!</v>
      </c>
      <c r="I3386" s="87"/>
      <c r="J3386" s="88"/>
      <c r="K3386" s="88"/>
      <c r="L3386" s="89"/>
      <c r="M3386" s="89"/>
      <c r="Q3386" s="105"/>
    </row>
    <row r="3387" spans="3:17" x14ac:dyDescent="0.3">
      <c r="C3387" s="87"/>
      <c r="H3387" s="86" t="e">
        <f>IF(I3387="fora",0%,G3387/QUÓRUM!$C$6)</f>
        <v>#DIV/0!</v>
      </c>
      <c r="I3387" s="87"/>
      <c r="J3387" s="88"/>
      <c r="K3387" s="88"/>
      <c r="L3387" s="89"/>
      <c r="M3387" s="89"/>
      <c r="Q3387" s="105"/>
    </row>
    <row r="3388" spans="3:17" x14ac:dyDescent="0.3">
      <c r="C3388" s="87"/>
      <c r="H3388" s="86" t="e">
        <f>IF(I3388="fora",0%,G3388/QUÓRUM!$C$6)</f>
        <v>#DIV/0!</v>
      </c>
      <c r="I3388" s="87"/>
      <c r="J3388" s="88"/>
      <c r="K3388" s="88"/>
      <c r="L3388" s="89"/>
      <c r="M3388" s="89"/>
      <c r="Q3388" s="105"/>
    </row>
    <row r="3389" spans="3:17" x14ac:dyDescent="0.3">
      <c r="C3389" s="87"/>
      <c r="H3389" s="86" t="e">
        <f>IF(I3389="fora",0%,G3389/QUÓRUM!$C$6)</f>
        <v>#DIV/0!</v>
      </c>
      <c r="I3389" s="87"/>
      <c r="J3389" s="88"/>
      <c r="K3389" s="88"/>
      <c r="L3389" s="89"/>
      <c r="M3389" s="89"/>
      <c r="Q3389" s="105"/>
    </row>
    <row r="3390" spans="3:17" x14ac:dyDescent="0.3">
      <c r="C3390" s="87"/>
      <c r="H3390" s="86" t="e">
        <f>IF(I3390="fora",0%,G3390/QUÓRUM!$C$6)</f>
        <v>#DIV/0!</v>
      </c>
      <c r="I3390" s="87"/>
      <c r="J3390" s="88"/>
      <c r="K3390" s="88"/>
      <c r="L3390" s="89"/>
      <c r="M3390" s="89"/>
      <c r="Q3390" s="105"/>
    </row>
    <row r="3391" spans="3:17" x14ac:dyDescent="0.3">
      <c r="C3391" s="87"/>
      <c r="H3391" s="86" t="e">
        <f>IF(I3391="fora",0%,G3391/QUÓRUM!$C$6)</f>
        <v>#DIV/0!</v>
      </c>
      <c r="I3391" s="87"/>
      <c r="J3391" s="88"/>
      <c r="K3391" s="88"/>
      <c r="L3391" s="89"/>
      <c r="M3391" s="89"/>
      <c r="Q3391" s="105"/>
    </row>
    <row r="3392" spans="3:17" x14ac:dyDescent="0.3">
      <c r="C3392" s="87"/>
      <c r="H3392" s="86" t="e">
        <f>IF(I3392="fora",0%,G3392/QUÓRUM!$C$6)</f>
        <v>#DIV/0!</v>
      </c>
      <c r="I3392" s="87"/>
      <c r="J3392" s="88"/>
      <c r="K3392" s="88"/>
      <c r="L3392" s="89"/>
      <c r="M3392" s="89"/>
      <c r="Q3392" s="105"/>
    </row>
    <row r="3393" spans="3:17" x14ac:dyDescent="0.3">
      <c r="C3393" s="87"/>
      <c r="H3393" s="86" t="e">
        <f>IF(I3393="fora",0%,G3393/QUÓRUM!$C$6)</f>
        <v>#DIV/0!</v>
      </c>
      <c r="I3393" s="87"/>
      <c r="J3393" s="88"/>
      <c r="K3393" s="88"/>
      <c r="L3393" s="89"/>
      <c r="M3393" s="89"/>
      <c r="Q3393" s="105"/>
    </row>
    <row r="3394" spans="3:17" x14ac:dyDescent="0.3">
      <c r="C3394" s="87"/>
      <c r="H3394" s="86" t="e">
        <f>IF(I3394="fora",0%,G3394/QUÓRUM!$C$6)</f>
        <v>#DIV/0!</v>
      </c>
      <c r="I3394" s="87"/>
      <c r="J3394" s="88"/>
      <c r="K3394" s="88"/>
      <c r="L3394" s="89"/>
      <c r="M3394" s="89"/>
      <c r="Q3394" s="105"/>
    </row>
    <row r="3395" spans="3:17" x14ac:dyDescent="0.3">
      <c r="C3395" s="87"/>
      <c r="H3395" s="86" t="e">
        <f>IF(I3395="fora",0%,G3395/QUÓRUM!$C$6)</f>
        <v>#DIV/0!</v>
      </c>
      <c r="I3395" s="87"/>
      <c r="J3395" s="88"/>
      <c r="K3395" s="88"/>
      <c r="L3395" s="89"/>
      <c r="M3395" s="89"/>
      <c r="Q3395" s="105"/>
    </row>
    <row r="3396" spans="3:17" x14ac:dyDescent="0.3">
      <c r="C3396" s="87"/>
      <c r="H3396" s="86" t="e">
        <f>IF(I3396="fora",0%,G3396/QUÓRUM!$C$6)</f>
        <v>#DIV/0!</v>
      </c>
      <c r="I3396" s="87"/>
      <c r="J3396" s="88"/>
      <c r="K3396" s="88"/>
      <c r="L3396" s="89"/>
      <c r="M3396" s="89"/>
      <c r="Q3396" s="105"/>
    </row>
    <row r="3397" spans="3:17" x14ac:dyDescent="0.3">
      <c r="C3397" s="87"/>
      <c r="H3397" s="86" t="e">
        <f>IF(I3397="fora",0%,G3397/QUÓRUM!$C$6)</f>
        <v>#DIV/0!</v>
      </c>
      <c r="I3397" s="87"/>
      <c r="J3397" s="88"/>
      <c r="K3397" s="88"/>
      <c r="L3397" s="89"/>
      <c r="M3397" s="89"/>
      <c r="Q3397" s="105"/>
    </row>
    <row r="3398" spans="3:17" x14ac:dyDescent="0.3">
      <c r="C3398" s="87"/>
      <c r="H3398" s="86" t="e">
        <f>IF(I3398="fora",0%,G3398/QUÓRUM!$C$6)</f>
        <v>#DIV/0!</v>
      </c>
      <c r="I3398" s="87"/>
      <c r="J3398" s="88"/>
      <c r="K3398" s="88"/>
      <c r="L3398" s="89"/>
      <c r="M3398" s="89"/>
      <c r="Q3398" s="105"/>
    </row>
    <row r="3399" spans="3:17" x14ac:dyDescent="0.3">
      <c r="C3399" s="87"/>
      <c r="H3399" s="86" t="e">
        <f>IF(I3399="fora",0%,G3399/QUÓRUM!$C$6)</f>
        <v>#DIV/0!</v>
      </c>
      <c r="I3399" s="87"/>
      <c r="J3399" s="88"/>
      <c r="K3399" s="88"/>
      <c r="L3399" s="89"/>
      <c r="M3399" s="89"/>
      <c r="Q3399" s="105"/>
    </row>
    <row r="3400" spans="3:17" x14ac:dyDescent="0.3">
      <c r="C3400" s="87"/>
      <c r="H3400" s="86" t="e">
        <f>IF(I3400="fora",0%,G3400/QUÓRUM!$C$6)</f>
        <v>#DIV/0!</v>
      </c>
      <c r="I3400" s="87"/>
      <c r="J3400" s="88"/>
      <c r="K3400" s="88"/>
      <c r="L3400" s="89"/>
      <c r="M3400" s="89"/>
      <c r="Q3400" s="105"/>
    </row>
    <row r="3401" spans="3:17" x14ac:dyDescent="0.3">
      <c r="C3401" s="87"/>
      <c r="H3401" s="86" t="e">
        <f>IF(I3401="fora",0%,G3401/QUÓRUM!$C$6)</f>
        <v>#DIV/0!</v>
      </c>
      <c r="I3401" s="87"/>
      <c r="J3401" s="88"/>
      <c r="K3401" s="88"/>
      <c r="L3401" s="89"/>
      <c r="M3401" s="89"/>
      <c r="Q3401" s="105"/>
    </row>
    <row r="3402" spans="3:17" x14ac:dyDescent="0.3">
      <c r="C3402" s="87"/>
      <c r="H3402" s="86" t="e">
        <f>IF(I3402="fora",0%,G3402/QUÓRUM!$C$6)</f>
        <v>#DIV/0!</v>
      </c>
      <c r="I3402" s="87"/>
      <c r="J3402" s="88"/>
      <c r="K3402" s="88"/>
      <c r="L3402" s="89"/>
      <c r="M3402" s="89"/>
      <c r="Q3402" s="105"/>
    </row>
    <row r="3403" spans="3:17" x14ac:dyDescent="0.3">
      <c r="C3403" s="87"/>
      <c r="H3403" s="86" t="e">
        <f>IF(I3403="fora",0%,G3403/QUÓRUM!$C$6)</f>
        <v>#DIV/0!</v>
      </c>
      <c r="I3403" s="87"/>
      <c r="J3403" s="88"/>
      <c r="K3403" s="88"/>
      <c r="L3403" s="89"/>
      <c r="M3403" s="89"/>
      <c r="Q3403" s="105"/>
    </row>
    <row r="3404" spans="3:17" x14ac:dyDescent="0.3">
      <c r="C3404" s="87"/>
      <c r="H3404" s="86" t="e">
        <f>IF(I3404="fora",0%,G3404/QUÓRUM!$C$6)</f>
        <v>#DIV/0!</v>
      </c>
      <c r="I3404" s="87"/>
      <c r="J3404" s="88"/>
      <c r="K3404" s="88"/>
      <c r="L3404" s="89"/>
      <c r="M3404" s="89"/>
      <c r="Q3404" s="105"/>
    </row>
    <row r="3405" spans="3:17" x14ac:dyDescent="0.3">
      <c r="C3405" s="87"/>
      <c r="H3405" s="86" t="e">
        <f>IF(I3405="fora",0%,G3405/QUÓRUM!$C$6)</f>
        <v>#DIV/0!</v>
      </c>
      <c r="I3405" s="87"/>
      <c r="J3405" s="88"/>
      <c r="K3405" s="88"/>
      <c r="L3405" s="89"/>
      <c r="M3405" s="89"/>
      <c r="Q3405" s="105"/>
    </row>
    <row r="3406" spans="3:17" x14ac:dyDescent="0.3">
      <c r="C3406" s="87"/>
      <c r="H3406" s="86" t="e">
        <f>IF(I3406="fora",0%,G3406/QUÓRUM!$C$6)</f>
        <v>#DIV/0!</v>
      </c>
      <c r="I3406" s="87"/>
      <c r="J3406" s="88"/>
      <c r="K3406" s="88"/>
      <c r="L3406" s="89"/>
      <c r="M3406" s="89"/>
      <c r="Q3406" s="105"/>
    </row>
    <row r="3407" spans="3:17" x14ac:dyDescent="0.3">
      <c r="C3407" s="87"/>
      <c r="H3407" s="86" t="e">
        <f>IF(I3407="fora",0%,G3407/QUÓRUM!$C$6)</f>
        <v>#DIV/0!</v>
      </c>
      <c r="I3407" s="87"/>
      <c r="J3407" s="88"/>
      <c r="K3407" s="88"/>
      <c r="L3407" s="89"/>
      <c r="M3407" s="89"/>
      <c r="Q3407" s="105"/>
    </row>
    <row r="3408" spans="3:17" x14ac:dyDescent="0.3">
      <c r="C3408" s="87"/>
      <c r="H3408" s="86" t="e">
        <f>IF(I3408="fora",0%,G3408/QUÓRUM!$C$6)</f>
        <v>#DIV/0!</v>
      </c>
      <c r="I3408" s="87"/>
      <c r="J3408" s="88"/>
      <c r="K3408" s="88"/>
      <c r="L3408" s="89"/>
      <c r="M3408" s="89"/>
      <c r="Q3408" s="105"/>
    </row>
    <row r="3409" spans="3:17" x14ac:dyDescent="0.3">
      <c r="C3409" s="87"/>
      <c r="H3409" s="86" t="e">
        <f>IF(I3409="fora",0%,G3409/QUÓRUM!$C$6)</f>
        <v>#DIV/0!</v>
      </c>
      <c r="I3409" s="87"/>
      <c r="J3409" s="88"/>
      <c r="K3409" s="88"/>
      <c r="L3409" s="89"/>
      <c r="M3409" s="89"/>
      <c r="Q3409" s="105"/>
    </row>
    <row r="3410" spans="3:17" x14ac:dyDescent="0.3">
      <c r="C3410" s="87"/>
      <c r="H3410" s="86" t="e">
        <f>IF(I3410="fora",0%,G3410/QUÓRUM!$C$6)</f>
        <v>#DIV/0!</v>
      </c>
      <c r="I3410" s="87"/>
      <c r="J3410" s="88"/>
      <c r="K3410" s="88"/>
      <c r="L3410" s="89"/>
      <c r="M3410" s="89"/>
      <c r="Q3410" s="105"/>
    </row>
    <row r="3411" spans="3:17" x14ac:dyDescent="0.3">
      <c r="C3411" s="87"/>
      <c r="H3411" s="86" t="e">
        <f>IF(I3411="fora",0%,G3411/QUÓRUM!$C$6)</f>
        <v>#DIV/0!</v>
      </c>
      <c r="I3411" s="87"/>
      <c r="J3411" s="88"/>
      <c r="K3411" s="88"/>
      <c r="L3411" s="89"/>
      <c r="M3411" s="89"/>
      <c r="Q3411" s="105"/>
    </row>
    <row r="3412" spans="3:17" x14ac:dyDescent="0.3">
      <c r="C3412" s="87"/>
      <c r="H3412" s="86" t="e">
        <f>IF(I3412="fora",0%,G3412/QUÓRUM!$C$6)</f>
        <v>#DIV/0!</v>
      </c>
      <c r="I3412" s="87"/>
      <c r="J3412" s="88"/>
      <c r="K3412" s="88"/>
      <c r="L3412" s="89"/>
      <c r="M3412" s="89"/>
      <c r="Q3412" s="105"/>
    </row>
    <row r="3413" spans="3:17" x14ac:dyDescent="0.3">
      <c r="C3413" s="87"/>
      <c r="H3413" s="86" t="e">
        <f>IF(I3413="fora",0%,G3413/QUÓRUM!$C$6)</f>
        <v>#DIV/0!</v>
      </c>
      <c r="I3413" s="87"/>
      <c r="J3413" s="88"/>
      <c r="K3413" s="88"/>
      <c r="L3413" s="89"/>
      <c r="M3413" s="89"/>
      <c r="Q3413" s="105"/>
    </row>
    <row r="3414" spans="3:17" x14ac:dyDescent="0.3">
      <c r="C3414" s="87"/>
      <c r="H3414" s="86" t="e">
        <f>IF(I3414="fora",0%,G3414/QUÓRUM!$C$6)</f>
        <v>#DIV/0!</v>
      </c>
      <c r="I3414" s="87"/>
      <c r="J3414" s="88"/>
      <c r="K3414" s="88"/>
      <c r="L3414" s="89"/>
      <c r="M3414" s="89"/>
      <c r="Q3414" s="105"/>
    </row>
    <row r="3415" spans="3:17" x14ac:dyDescent="0.3">
      <c r="C3415" s="87"/>
      <c r="H3415" s="86" t="e">
        <f>IF(I3415="fora",0%,G3415/QUÓRUM!$C$6)</f>
        <v>#DIV/0!</v>
      </c>
      <c r="I3415" s="87"/>
      <c r="J3415" s="88"/>
      <c r="K3415" s="88"/>
      <c r="L3415" s="89"/>
      <c r="M3415" s="89"/>
      <c r="Q3415" s="105"/>
    </row>
    <row r="3416" spans="3:17" x14ac:dyDescent="0.3">
      <c r="C3416" s="87"/>
      <c r="H3416" s="86" t="e">
        <f>IF(I3416="fora",0%,G3416/QUÓRUM!$C$6)</f>
        <v>#DIV/0!</v>
      </c>
      <c r="I3416" s="87"/>
      <c r="J3416" s="88"/>
      <c r="K3416" s="88"/>
      <c r="L3416" s="89"/>
      <c r="M3416" s="89"/>
      <c r="Q3416" s="105"/>
    </row>
    <row r="3417" spans="3:17" x14ac:dyDescent="0.3">
      <c r="C3417" s="87"/>
      <c r="H3417" s="86" t="e">
        <f>IF(I3417="fora",0%,G3417/QUÓRUM!$C$6)</f>
        <v>#DIV/0!</v>
      </c>
      <c r="I3417" s="87"/>
      <c r="J3417" s="88"/>
      <c r="K3417" s="88"/>
      <c r="L3417" s="89"/>
      <c r="M3417" s="89"/>
      <c r="Q3417" s="105"/>
    </row>
    <row r="3418" spans="3:17" x14ac:dyDescent="0.3">
      <c r="C3418" s="87"/>
      <c r="H3418" s="86" t="e">
        <f>IF(I3418="fora",0%,G3418/QUÓRUM!$C$6)</f>
        <v>#DIV/0!</v>
      </c>
      <c r="I3418" s="87"/>
      <c r="J3418" s="88"/>
      <c r="K3418" s="88"/>
      <c r="L3418" s="89"/>
      <c r="M3418" s="89"/>
      <c r="Q3418" s="105"/>
    </row>
    <row r="3419" spans="3:17" x14ac:dyDescent="0.3">
      <c r="C3419" s="87"/>
      <c r="H3419" s="86" t="e">
        <f>IF(I3419="fora",0%,G3419/QUÓRUM!$C$6)</f>
        <v>#DIV/0!</v>
      </c>
      <c r="I3419" s="87"/>
      <c r="J3419" s="88"/>
      <c r="K3419" s="88"/>
      <c r="L3419" s="89"/>
      <c r="M3419" s="89"/>
      <c r="Q3419" s="105"/>
    </row>
    <row r="3420" spans="3:17" x14ac:dyDescent="0.3">
      <c r="C3420" s="87"/>
      <c r="H3420" s="86" t="e">
        <f>IF(I3420="fora",0%,G3420/QUÓRUM!$C$6)</f>
        <v>#DIV/0!</v>
      </c>
      <c r="I3420" s="87"/>
      <c r="J3420" s="88"/>
      <c r="K3420" s="88"/>
      <c r="L3420" s="89"/>
      <c r="M3420" s="89"/>
      <c r="Q3420" s="105"/>
    </row>
    <row r="3421" spans="3:17" x14ac:dyDescent="0.3">
      <c r="C3421" s="87"/>
      <c r="H3421" s="86" t="e">
        <f>IF(I3421="fora",0%,G3421/QUÓRUM!$C$6)</f>
        <v>#DIV/0!</v>
      </c>
      <c r="I3421" s="87"/>
      <c r="J3421" s="88"/>
      <c r="K3421" s="88"/>
      <c r="L3421" s="89"/>
      <c r="M3421" s="89"/>
      <c r="Q3421" s="105"/>
    </row>
    <row r="3422" spans="3:17" x14ac:dyDescent="0.3">
      <c r="C3422" s="87"/>
      <c r="H3422" s="86" t="e">
        <f>IF(I3422="fora",0%,G3422/QUÓRUM!$C$6)</f>
        <v>#DIV/0!</v>
      </c>
      <c r="I3422" s="87"/>
      <c r="J3422" s="88"/>
      <c r="K3422" s="88"/>
      <c r="L3422" s="89"/>
      <c r="M3422" s="89"/>
      <c r="Q3422" s="105"/>
    </row>
    <row r="3423" spans="3:17" x14ac:dyDescent="0.3">
      <c r="C3423" s="87"/>
      <c r="H3423" s="86" t="e">
        <f>IF(I3423="fora",0%,G3423/QUÓRUM!$C$6)</f>
        <v>#DIV/0!</v>
      </c>
      <c r="I3423" s="87"/>
      <c r="J3423" s="88"/>
      <c r="K3423" s="88"/>
      <c r="L3423" s="89"/>
      <c r="M3423" s="89"/>
      <c r="Q3423" s="105"/>
    </row>
    <row r="3424" spans="3:17" x14ac:dyDescent="0.3">
      <c r="C3424" s="87"/>
      <c r="H3424" s="86" t="e">
        <f>IF(I3424="fora",0%,G3424/QUÓRUM!$C$6)</f>
        <v>#DIV/0!</v>
      </c>
      <c r="I3424" s="87"/>
      <c r="J3424" s="88"/>
      <c r="K3424" s="88"/>
      <c r="L3424" s="89"/>
      <c r="M3424" s="89"/>
      <c r="Q3424" s="105"/>
    </row>
    <row r="3425" spans="3:17" x14ac:dyDescent="0.3">
      <c r="C3425" s="87"/>
      <c r="H3425" s="86" t="e">
        <f>IF(I3425="fora",0%,G3425/QUÓRUM!$C$6)</f>
        <v>#DIV/0!</v>
      </c>
      <c r="I3425" s="87"/>
      <c r="J3425" s="88"/>
      <c r="K3425" s="88"/>
      <c r="L3425" s="89"/>
      <c r="M3425" s="89"/>
      <c r="Q3425" s="105"/>
    </row>
    <row r="3426" spans="3:17" x14ac:dyDescent="0.3">
      <c r="C3426" s="87"/>
      <c r="H3426" s="86" t="e">
        <f>IF(I3426="fora",0%,G3426/QUÓRUM!$C$6)</f>
        <v>#DIV/0!</v>
      </c>
      <c r="I3426" s="87"/>
      <c r="J3426" s="88"/>
      <c r="K3426" s="88"/>
      <c r="L3426" s="89"/>
      <c r="M3426" s="89"/>
      <c r="Q3426" s="105"/>
    </row>
    <row r="3427" spans="3:17" x14ac:dyDescent="0.3">
      <c r="C3427" s="87"/>
      <c r="H3427" s="86" t="e">
        <f>IF(I3427="fora",0%,G3427/QUÓRUM!$C$6)</f>
        <v>#DIV/0!</v>
      </c>
      <c r="I3427" s="87"/>
      <c r="J3427" s="88"/>
      <c r="K3427" s="88"/>
      <c r="L3427" s="89"/>
      <c r="M3427" s="89"/>
      <c r="Q3427" s="105"/>
    </row>
    <row r="3428" spans="3:17" x14ac:dyDescent="0.3">
      <c r="C3428" s="87"/>
      <c r="H3428" s="86" t="e">
        <f>IF(I3428="fora",0%,G3428/QUÓRUM!$C$6)</f>
        <v>#DIV/0!</v>
      </c>
      <c r="I3428" s="87"/>
      <c r="J3428" s="88"/>
      <c r="K3428" s="88"/>
      <c r="L3428" s="89"/>
      <c r="M3428" s="89"/>
      <c r="Q3428" s="105"/>
    </row>
    <row r="3429" spans="3:17" x14ac:dyDescent="0.3">
      <c r="C3429" s="87"/>
      <c r="H3429" s="86" t="e">
        <f>IF(I3429="fora",0%,G3429/QUÓRUM!$C$6)</f>
        <v>#DIV/0!</v>
      </c>
      <c r="I3429" s="87"/>
      <c r="J3429" s="88"/>
      <c r="K3429" s="88"/>
      <c r="L3429" s="89"/>
      <c r="M3429" s="89"/>
      <c r="Q3429" s="105"/>
    </row>
    <row r="3430" spans="3:17" x14ac:dyDescent="0.3">
      <c r="C3430" s="87"/>
      <c r="H3430" s="86" t="e">
        <f>IF(I3430="fora",0%,G3430/QUÓRUM!$C$6)</f>
        <v>#DIV/0!</v>
      </c>
      <c r="I3430" s="87"/>
      <c r="J3430" s="88"/>
      <c r="K3430" s="88"/>
      <c r="L3430" s="89"/>
      <c r="M3430" s="89"/>
      <c r="Q3430" s="105"/>
    </row>
    <row r="3431" spans="3:17" x14ac:dyDescent="0.3">
      <c r="C3431" s="87"/>
      <c r="H3431" s="86" t="e">
        <f>IF(I3431="fora",0%,G3431/QUÓRUM!$C$6)</f>
        <v>#DIV/0!</v>
      </c>
      <c r="I3431" s="87"/>
      <c r="J3431" s="88"/>
      <c r="K3431" s="88"/>
      <c r="L3431" s="89"/>
      <c r="M3431" s="89"/>
      <c r="Q3431" s="105"/>
    </row>
    <row r="3432" spans="3:17" x14ac:dyDescent="0.3">
      <c r="C3432" s="87"/>
      <c r="H3432" s="86" t="e">
        <f>IF(I3432="fora",0%,G3432/QUÓRUM!$C$6)</f>
        <v>#DIV/0!</v>
      </c>
      <c r="I3432" s="87"/>
      <c r="J3432" s="88"/>
      <c r="K3432" s="88"/>
      <c r="L3432" s="89"/>
      <c r="M3432" s="89"/>
      <c r="Q3432" s="105"/>
    </row>
    <row r="3433" spans="3:17" x14ac:dyDescent="0.3">
      <c r="C3433" s="87"/>
      <c r="H3433" s="86" t="e">
        <f>IF(I3433="fora",0%,G3433/QUÓRUM!$C$6)</f>
        <v>#DIV/0!</v>
      </c>
      <c r="I3433" s="87"/>
      <c r="J3433" s="88"/>
      <c r="K3433" s="88"/>
      <c r="L3433" s="89"/>
      <c r="M3433" s="89"/>
      <c r="Q3433" s="105"/>
    </row>
    <row r="3434" spans="3:17" x14ac:dyDescent="0.3">
      <c r="C3434" s="87"/>
      <c r="H3434" s="86" t="e">
        <f>IF(I3434="fora",0%,G3434/QUÓRUM!$C$6)</f>
        <v>#DIV/0!</v>
      </c>
      <c r="I3434" s="87"/>
      <c r="J3434" s="88"/>
      <c r="K3434" s="88"/>
      <c r="L3434" s="89"/>
      <c r="M3434" s="89"/>
      <c r="Q3434" s="105"/>
    </row>
    <row r="3435" spans="3:17" x14ac:dyDescent="0.3">
      <c r="C3435" s="87"/>
      <c r="H3435" s="86" t="e">
        <f>IF(I3435="fora",0%,G3435/QUÓRUM!$C$6)</f>
        <v>#DIV/0!</v>
      </c>
      <c r="I3435" s="87"/>
      <c r="J3435" s="88"/>
      <c r="K3435" s="88"/>
      <c r="L3435" s="89"/>
      <c r="M3435" s="89"/>
      <c r="Q3435" s="105"/>
    </row>
    <row r="3436" spans="3:17" x14ac:dyDescent="0.3">
      <c r="C3436" s="87"/>
      <c r="H3436" s="86" t="e">
        <f>IF(I3436="fora",0%,G3436/QUÓRUM!$C$6)</f>
        <v>#DIV/0!</v>
      </c>
      <c r="I3436" s="87"/>
      <c r="J3436" s="88"/>
      <c r="K3436" s="88"/>
      <c r="L3436" s="89"/>
      <c r="M3436" s="89"/>
      <c r="Q3436" s="105"/>
    </row>
    <row r="3437" spans="3:17" x14ac:dyDescent="0.3">
      <c r="C3437" s="87"/>
      <c r="H3437" s="86" t="e">
        <f>IF(I3437="fora",0%,G3437/QUÓRUM!$C$6)</f>
        <v>#DIV/0!</v>
      </c>
      <c r="I3437" s="87"/>
      <c r="J3437" s="88"/>
      <c r="K3437" s="88"/>
      <c r="L3437" s="89"/>
      <c r="M3437" s="89"/>
      <c r="Q3437" s="105"/>
    </row>
    <row r="3438" spans="3:17" x14ac:dyDescent="0.3">
      <c r="C3438" s="87"/>
      <c r="H3438" s="86" t="e">
        <f>IF(I3438="fora",0%,G3438/QUÓRUM!$C$6)</f>
        <v>#DIV/0!</v>
      </c>
      <c r="I3438" s="87"/>
      <c r="J3438" s="88"/>
      <c r="K3438" s="88"/>
      <c r="L3438" s="89"/>
      <c r="M3438" s="89"/>
      <c r="Q3438" s="105"/>
    </row>
    <row r="3439" spans="3:17" x14ac:dyDescent="0.3">
      <c r="C3439" s="87"/>
      <c r="H3439" s="86" t="e">
        <f>IF(I3439="fora",0%,G3439/QUÓRUM!$C$6)</f>
        <v>#DIV/0!</v>
      </c>
      <c r="I3439" s="87"/>
      <c r="J3439" s="88"/>
      <c r="K3439" s="88"/>
      <c r="L3439" s="89"/>
      <c r="M3439" s="89"/>
      <c r="Q3439" s="105"/>
    </row>
    <row r="3440" spans="3:17" x14ac:dyDescent="0.3">
      <c r="C3440" s="87"/>
      <c r="H3440" s="86" t="e">
        <f>IF(I3440="fora",0%,G3440/QUÓRUM!$C$6)</f>
        <v>#DIV/0!</v>
      </c>
      <c r="I3440" s="87"/>
      <c r="J3440" s="88"/>
      <c r="K3440" s="88"/>
      <c r="L3440" s="89"/>
      <c r="M3440" s="89"/>
      <c r="Q3440" s="105"/>
    </row>
    <row r="3441" spans="3:17" x14ac:dyDescent="0.3">
      <c r="C3441" s="87"/>
      <c r="H3441" s="86" t="e">
        <f>IF(I3441="fora",0%,G3441/QUÓRUM!$C$6)</f>
        <v>#DIV/0!</v>
      </c>
      <c r="I3441" s="87"/>
      <c r="J3441" s="88"/>
      <c r="K3441" s="88"/>
      <c r="L3441" s="89"/>
      <c r="M3441" s="89"/>
      <c r="Q3441" s="105"/>
    </row>
    <row r="3442" spans="3:17" x14ac:dyDescent="0.3">
      <c r="C3442" s="87"/>
      <c r="G3442" s="115"/>
      <c r="H3442" s="86" t="e">
        <f>IF(I3442="fora",0%,G3442/QUÓRUM!$C$6)</f>
        <v>#DIV/0!</v>
      </c>
      <c r="I3442" s="87"/>
      <c r="J3442" s="88"/>
      <c r="K3442" s="88"/>
      <c r="L3442" s="89"/>
      <c r="M3442" s="89"/>
      <c r="Q3442" s="105"/>
    </row>
    <row r="3443" spans="3:17" x14ac:dyDescent="0.3">
      <c r="C3443" s="87"/>
      <c r="H3443" s="86" t="e">
        <f>IF(I3443="fora",0%,G3443/QUÓRUM!$C$6)</f>
        <v>#DIV/0!</v>
      </c>
      <c r="I3443" s="87"/>
      <c r="J3443" s="88"/>
      <c r="K3443" s="88"/>
      <c r="L3443" s="89"/>
      <c r="M3443" s="89"/>
      <c r="Q3443" s="105"/>
    </row>
    <row r="3444" spans="3:17" x14ac:dyDescent="0.3">
      <c r="C3444" s="87"/>
      <c r="H3444" s="86" t="e">
        <f>IF(I3444="fora",0%,G3444/QUÓRUM!$C$6)</f>
        <v>#DIV/0!</v>
      </c>
      <c r="I3444" s="87"/>
      <c r="J3444" s="88"/>
      <c r="K3444" s="88"/>
      <c r="L3444" s="89"/>
      <c r="M3444" s="89"/>
      <c r="Q3444" s="105"/>
    </row>
    <row r="3445" spans="3:17" x14ac:dyDescent="0.3">
      <c r="C3445" s="87"/>
      <c r="H3445" s="86" t="e">
        <f>IF(I3445="fora",0%,G3445/QUÓRUM!$C$6)</f>
        <v>#DIV/0!</v>
      </c>
      <c r="I3445" s="87"/>
      <c r="J3445" s="88"/>
      <c r="K3445" s="88"/>
      <c r="L3445" s="89"/>
      <c r="M3445" s="89"/>
      <c r="Q3445" s="105"/>
    </row>
    <row r="3446" spans="3:17" x14ac:dyDescent="0.3">
      <c r="C3446" s="87"/>
      <c r="H3446" s="86" t="e">
        <f>IF(I3446="fora",0%,G3446/QUÓRUM!$C$6)</f>
        <v>#DIV/0!</v>
      </c>
      <c r="I3446" s="87"/>
      <c r="J3446" s="88"/>
      <c r="K3446" s="88"/>
      <c r="L3446" s="89"/>
      <c r="M3446" s="89"/>
      <c r="Q3446" s="105"/>
    </row>
    <row r="3447" spans="3:17" x14ac:dyDescent="0.3">
      <c r="C3447" s="87"/>
      <c r="H3447" s="86" t="e">
        <f>IF(I3447="fora",0%,G3447/QUÓRUM!$C$6)</f>
        <v>#DIV/0!</v>
      </c>
      <c r="I3447" s="87"/>
      <c r="J3447" s="88"/>
      <c r="K3447" s="88"/>
      <c r="L3447" s="89"/>
      <c r="M3447" s="89"/>
      <c r="Q3447" s="105"/>
    </row>
    <row r="3448" spans="3:17" x14ac:dyDescent="0.3">
      <c r="C3448" s="87"/>
      <c r="H3448" s="86" t="e">
        <f>IF(I3448="fora",0%,G3448/QUÓRUM!$C$6)</f>
        <v>#DIV/0!</v>
      </c>
      <c r="I3448" s="87"/>
      <c r="J3448" s="88"/>
      <c r="K3448" s="88"/>
      <c r="L3448" s="89"/>
      <c r="M3448" s="89"/>
      <c r="Q3448" s="105"/>
    </row>
    <row r="3449" spans="3:17" x14ac:dyDescent="0.3">
      <c r="C3449" s="87"/>
      <c r="H3449" s="86" t="e">
        <f>IF(I3449="fora",0%,G3449/QUÓRUM!$C$6)</f>
        <v>#DIV/0!</v>
      </c>
      <c r="I3449" s="87"/>
      <c r="J3449" s="88"/>
      <c r="K3449" s="88"/>
      <c r="L3449" s="89"/>
      <c r="M3449" s="89"/>
      <c r="Q3449" s="105"/>
    </row>
    <row r="3450" spans="3:17" x14ac:dyDescent="0.3">
      <c r="C3450" s="87"/>
      <c r="H3450" s="86" t="e">
        <f>IF(I3450="fora",0%,G3450/QUÓRUM!$C$6)</f>
        <v>#DIV/0!</v>
      </c>
      <c r="I3450" s="87"/>
      <c r="J3450" s="88"/>
      <c r="K3450" s="88"/>
      <c r="L3450" s="89"/>
      <c r="M3450" s="89"/>
      <c r="Q3450" s="105"/>
    </row>
    <row r="3451" spans="3:17" x14ac:dyDescent="0.3">
      <c r="C3451" s="87"/>
      <c r="H3451" s="86" t="e">
        <f>IF(I3451="fora",0%,G3451/QUÓRUM!$C$6)</f>
        <v>#DIV/0!</v>
      </c>
      <c r="I3451" s="87"/>
      <c r="J3451" s="88"/>
      <c r="K3451" s="88"/>
      <c r="L3451" s="89"/>
      <c r="M3451" s="89"/>
      <c r="Q3451" s="105"/>
    </row>
    <row r="3452" spans="3:17" x14ac:dyDescent="0.3">
      <c r="C3452" s="87"/>
      <c r="H3452" s="86" t="e">
        <f>IF(I3452="fora",0%,G3452/QUÓRUM!$C$6)</f>
        <v>#DIV/0!</v>
      </c>
      <c r="I3452" s="87"/>
      <c r="J3452" s="88"/>
      <c r="K3452" s="88"/>
      <c r="L3452" s="89"/>
      <c r="M3452" s="89"/>
      <c r="Q3452" s="105"/>
    </row>
    <row r="3453" spans="3:17" x14ac:dyDescent="0.3">
      <c r="C3453" s="87"/>
      <c r="H3453" s="86" t="e">
        <f>IF(I3453="fora",0%,G3453/QUÓRUM!$C$6)</f>
        <v>#DIV/0!</v>
      </c>
      <c r="I3453" s="87"/>
      <c r="J3453" s="88"/>
      <c r="K3453" s="88"/>
      <c r="L3453" s="89"/>
      <c r="M3453" s="89"/>
      <c r="Q3453" s="105"/>
    </row>
    <row r="3454" spans="3:17" x14ac:dyDescent="0.3">
      <c r="C3454" s="87"/>
      <c r="H3454" s="86" t="e">
        <f>IF(I3454="fora",0%,G3454/QUÓRUM!$C$6)</f>
        <v>#DIV/0!</v>
      </c>
      <c r="I3454" s="87"/>
      <c r="J3454" s="88"/>
      <c r="K3454" s="88"/>
      <c r="L3454" s="89"/>
      <c r="M3454" s="89"/>
      <c r="Q3454" s="105"/>
    </row>
    <row r="3455" spans="3:17" x14ac:dyDescent="0.3">
      <c r="C3455" s="87"/>
      <c r="H3455" s="86" t="e">
        <f>IF(I3455="fora",0%,G3455/QUÓRUM!$C$6)</f>
        <v>#DIV/0!</v>
      </c>
      <c r="I3455" s="87"/>
      <c r="J3455" s="88"/>
      <c r="K3455" s="88"/>
      <c r="L3455" s="89"/>
      <c r="M3455" s="89"/>
      <c r="Q3455" s="105"/>
    </row>
    <row r="3456" spans="3:17" x14ac:dyDescent="0.3">
      <c r="C3456" s="87"/>
      <c r="H3456" s="86" t="e">
        <f>IF(I3456="fora",0%,G3456/QUÓRUM!$C$6)</f>
        <v>#DIV/0!</v>
      </c>
      <c r="I3456" s="87"/>
      <c r="J3456" s="88"/>
      <c r="K3456" s="88"/>
      <c r="L3456" s="89"/>
      <c r="M3456" s="89"/>
      <c r="Q3456" s="105"/>
    </row>
    <row r="3457" spans="3:17" x14ac:dyDescent="0.3">
      <c r="C3457" s="87"/>
      <c r="H3457" s="86" t="e">
        <f>IF(I3457="fora",0%,G3457/QUÓRUM!$C$6)</f>
        <v>#DIV/0!</v>
      </c>
      <c r="I3457" s="87"/>
      <c r="J3457" s="88"/>
      <c r="K3457" s="88"/>
      <c r="L3457" s="89"/>
      <c r="M3457" s="89"/>
      <c r="Q3457" s="105"/>
    </row>
    <row r="3458" spans="3:17" x14ac:dyDescent="0.3">
      <c r="C3458" s="87"/>
      <c r="H3458" s="86" t="e">
        <f>IF(I3458="fora",0%,G3458/QUÓRUM!$C$6)</f>
        <v>#DIV/0!</v>
      </c>
      <c r="I3458" s="87"/>
      <c r="J3458" s="88"/>
      <c r="K3458" s="88"/>
      <c r="L3458" s="89"/>
      <c r="M3458" s="89"/>
      <c r="Q3458" s="105"/>
    </row>
    <row r="3459" spans="3:17" x14ac:dyDescent="0.3">
      <c r="C3459" s="87"/>
      <c r="H3459" s="86" t="e">
        <f>IF(I3459="fora",0%,G3459/QUÓRUM!$C$6)</f>
        <v>#DIV/0!</v>
      </c>
      <c r="I3459" s="87"/>
      <c r="J3459" s="88"/>
      <c r="K3459" s="88"/>
      <c r="L3459" s="89"/>
      <c r="M3459" s="89"/>
      <c r="Q3459" s="105"/>
    </row>
    <row r="3460" spans="3:17" x14ac:dyDescent="0.3">
      <c r="C3460" s="87"/>
      <c r="H3460" s="86" t="e">
        <f>IF(I3460="fora",0%,G3460/QUÓRUM!$C$6)</f>
        <v>#DIV/0!</v>
      </c>
      <c r="I3460" s="87"/>
      <c r="J3460" s="88"/>
      <c r="K3460" s="88"/>
      <c r="L3460" s="89"/>
      <c r="M3460" s="89"/>
      <c r="Q3460" s="105"/>
    </row>
    <row r="3461" spans="3:17" x14ac:dyDescent="0.3">
      <c r="C3461" s="87"/>
      <c r="H3461" s="86" t="e">
        <f>IF(I3461="fora",0%,G3461/QUÓRUM!$C$6)</f>
        <v>#DIV/0!</v>
      </c>
      <c r="I3461" s="87"/>
      <c r="J3461" s="88"/>
      <c r="K3461" s="88"/>
      <c r="L3461" s="89"/>
      <c r="M3461" s="89"/>
      <c r="Q3461" s="105"/>
    </row>
    <row r="3462" spans="3:17" x14ac:dyDescent="0.3">
      <c r="C3462" s="87"/>
      <c r="H3462" s="86" t="e">
        <f>IF(I3462="fora",0%,G3462/QUÓRUM!$C$6)</f>
        <v>#DIV/0!</v>
      </c>
      <c r="I3462" s="87"/>
      <c r="J3462" s="88"/>
      <c r="K3462" s="88"/>
      <c r="L3462" s="89"/>
      <c r="M3462" s="89"/>
      <c r="Q3462" s="105"/>
    </row>
    <row r="3463" spans="3:17" x14ac:dyDescent="0.3">
      <c r="C3463" s="87"/>
      <c r="H3463" s="86" t="e">
        <f>IF(I3463="fora",0%,G3463/QUÓRUM!$C$6)</f>
        <v>#DIV/0!</v>
      </c>
      <c r="I3463" s="87"/>
      <c r="J3463" s="88"/>
      <c r="K3463" s="88"/>
      <c r="L3463" s="89"/>
      <c r="M3463" s="89"/>
      <c r="Q3463" s="105"/>
    </row>
    <row r="3464" spans="3:17" x14ac:dyDescent="0.3">
      <c r="C3464" s="87"/>
      <c r="H3464" s="86" t="e">
        <f>IF(I3464="fora",0%,G3464/QUÓRUM!$C$6)</f>
        <v>#DIV/0!</v>
      </c>
      <c r="I3464" s="87"/>
      <c r="J3464" s="88"/>
      <c r="K3464" s="88"/>
      <c r="L3464" s="89"/>
      <c r="M3464" s="89"/>
      <c r="Q3464" s="105"/>
    </row>
    <row r="3465" spans="3:17" x14ac:dyDescent="0.3">
      <c r="C3465" s="87"/>
      <c r="H3465" s="86" t="e">
        <f>IF(I3465="fora",0%,G3465/QUÓRUM!$C$6)</f>
        <v>#DIV/0!</v>
      </c>
      <c r="I3465" s="87"/>
      <c r="J3465" s="88"/>
      <c r="K3465" s="88"/>
      <c r="L3465" s="89"/>
      <c r="M3465" s="89"/>
      <c r="Q3465" s="105"/>
    </row>
    <row r="3466" spans="3:17" x14ac:dyDescent="0.3">
      <c r="C3466" s="87"/>
      <c r="H3466" s="86" t="e">
        <f>IF(I3466="fora",0%,G3466/QUÓRUM!$C$6)</f>
        <v>#DIV/0!</v>
      </c>
      <c r="I3466" s="87"/>
      <c r="J3466" s="88"/>
      <c r="K3466" s="88"/>
      <c r="L3466" s="89"/>
      <c r="M3466" s="89"/>
      <c r="Q3466" s="105"/>
    </row>
    <row r="3467" spans="3:17" x14ac:dyDescent="0.3">
      <c r="C3467" s="87"/>
      <c r="H3467" s="86" t="e">
        <f>IF(I3467="fora",0%,G3467/QUÓRUM!$C$6)</f>
        <v>#DIV/0!</v>
      </c>
      <c r="I3467" s="87"/>
      <c r="J3467" s="88"/>
      <c r="K3467" s="88"/>
      <c r="L3467" s="89"/>
      <c r="M3467" s="89"/>
      <c r="Q3467" s="105"/>
    </row>
    <row r="3468" spans="3:17" x14ac:dyDescent="0.3">
      <c r="C3468" s="87"/>
      <c r="H3468" s="86" t="e">
        <f>IF(I3468="fora",0%,G3468/QUÓRUM!$C$6)</f>
        <v>#DIV/0!</v>
      </c>
      <c r="I3468" s="87"/>
      <c r="J3468" s="88"/>
      <c r="K3468" s="88"/>
      <c r="L3468" s="89"/>
      <c r="M3468" s="89"/>
      <c r="Q3468" s="105"/>
    </row>
    <row r="3469" spans="3:17" x14ac:dyDescent="0.3">
      <c r="C3469" s="87"/>
      <c r="H3469" s="86" t="e">
        <f>IF(I3469="fora",0%,G3469/QUÓRUM!$C$6)</f>
        <v>#DIV/0!</v>
      </c>
      <c r="I3469" s="87"/>
      <c r="J3469" s="88"/>
      <c r="K3469" s="88"/>
      <c r="L3469" s="89"/>
      <c r="M3469" s="89"/>
      <c r="Q3469" s="105"/>
    </row>
    <row r="3470" spans="3:17" x14ac:dyDescent="0.3">
      <c r="C3470" s="87"/>
      <c r="H3470" s="86" t="e">
        <f>IF(I3470="fora",0%,G3470/QUÓRUM!$C$6)</f>
        <v>#DIV/0!</v>
      </c>
      <c r="I3470" s="87"/>
      <c r="J3470" s="88"/>
      <c r="K3470" s="88"/>
      <c r="L3470" s="89"/>
      <c r="M3470" s="89"/>
      <c r="Q3470" s="105"/>
    </row>
    <row r="3471" spans="3:17" x14ac:dyDescent="0.3">
      <c r="C3471" s="87"/>
      <c r="H3471" s="86" t="e">
        <f>IF(I3471="fora",0%,G3471/QUÓRUM!$C$6)</f>
        <v>#DIV/0!</v>
      </c>
      <c r="I3471" s="87"/>
      <c r="J3471" s="88"/>
      <c r="K3471" s="88"/>
      <c r="L3471" s="89"/>
      <c r="M3471" s="89"/>
      <c r="Q3471" s="105"/>
    </row>
    <row r="3472" spans="3:17" x14ac:dyDescent="0.3">
      <c r="C3472" s="87"/>
      <c r="H3472" s="86" t="e">
        <f>IF(I3472="fora",0%,G3472/QUÓRUM!$C$6)</f>
        <v>#DIV/0!</v>
      </c>
      <c r="I3472" s="87"/>
      <c r="J3472" s="88"/>
      <c r="K3472" s="88"/>
      <c r="L3472" s="89"/>
      <c r="M3472" s="89"/>
      <c r="Q3472" s="105"/>
    </row>
    <row r="3473" spans="3:17" x14ac:dyDescent="0.3">
      <c r="C3473" s="87"/>
      <c r="H3473" s="86" t="e">
        <f>IF(I3473="fora",0%,G3473/QUÓRUM!$C$6)</f>
        <v>#DIV/0!</v>
      </c>
      <c r="I3473" s="87"/>
      <c r="J3473" s="88"/>
      <c r="K3473" s="88"/>
      <c r="L3473" s="89"/>
      <c r="M3473" s="89"/>
      <c r="Q3473" s="105"/>
    </row>
    <row r="3474" spans="3:17" x14ac:dyDescent="0.3">
      <c r="C3474" s="87"/>
      <c r="G3474" s="115"/>
      <c r="H3474" s="86" t="e">
        <f>IF(I3474="fora",0%,G3474/QUÓRUM!$C$6)</f>
        <v>#DIV/0!</v>
      </c>
      <c r="I3474" s="87"/>
      <c r="J3474" s="88"/>
      <c r="K3474" s="88"/>
      <c r="L3474" s="89"/>
      <c r="M3474" s="89"/>
      <c r="Q3474" s="105"/>
    </row>
    <row r="3475" spans="3:17" x14ac:dyDescent="0.3">
      <c r="C3475" s="87"/>
      <c r="G3475" s="115"/>
      <c r="H3475" s="86" t="e">
        <f>IF(I3475="fora",0%,G3475/QUÓRUM!$C$6)</f>
        <v>#DIV/0!</v>
      </c>
      <c r="I3475" s="87"/>
      <c r="J3475" s="88"/>
      <c r="K3475" s="88"/>
      <c r="L3475" s="89"/>
      <c r="M3475" s="89"/>
      <c r="Q3475" s="105"/>
    </row>
    <row r="3476" spans="3:17" x14ac:dyDescent="0.3">
      <c r="C3476" s="87"/>
      <c r="H3476" s="86" t="e">
        <f>IF(I3476="fora",0%,G3476/QUÓRUM!$C$6)</f>
        <v>#DIV/0!</v>
      </c>
      <c r="I3476" s="87"/>
      <c r="J3476" s="88"/>
      <c r="K3476" s="88"/>
      <c r="L3476" s="89"/>
      <c r="M3476" s="89"/>
      <c r="Q3476" s="105"/>
    </row>
    <row r="3477" spans="3:17" x14ac:dyDescent="0.3">
      <c r="C3477" s="87"/>
      <c r="G3477" s="115"/>
      <c r="H3477" s="86" t="e">
        <f>IF(I3477="fora",0%,G3477/QUÓRUM!$C$6)</f>
        <v>#DIV/0!</v>
      </c>
      <c r="I3477" s="87"/>
      <c r="J3477" s="88"/>
      <c r="K3477" s="88"/>
      <c r="L3477" s="89"/>
      <c r="M3477" s="89"/>
      <c r="Q3477" s="105"/>
    </row>
    <row r="3478" spans="3:17" x14ac:dyDescent="0.3">
      <c r="C3478" s="87"/>
      <c r="H3478" s="86" t="e">
        <f>IF(I3478="fora",0%,G3478/QUÓRUM!$C$6)</f>
        <v>#DIV/0!</v>
      </c>
      <c r="I3478" s="87"/>
      <c r="J3478" s="88"/>
      <c r="K3478" s="88"/>
      <c r="L3478" s="89"/>
      <c r="M3478" s="89"/>
      <c r="Q3478" s="105"/>
    </row>
    <row r="3479" spans="3:17" x14ac:dyDescent="0.3">
      <c r="C3479" s="87"/>
      <c r="H3479" s="86" t="e">
        <f>IF(I3479="fora",0%,G3479/QUÓRUM!$C$6)</f>
        <v>#DIV/0!</v>
      </c>
      <c r="I3479" s="87"/>
      <c r="J3479" s="88"/>
      <c r="K3479" s="88"/>
      <c r="L3479" s="89"/>
      <c r="M3479" s="89"/>
      <c r="Q3479" s="105"/>
    </row>
    <row r="3480" spans="3:17" x14ac:dyDescent="0.3">
      <c r="C3480" s="87"/>
      <c r="H3480" s="86" t="e">
        <f>IF(I3480="fora",0%,G3480/QUÓRUM!$C$6)</f>
        <v>#DIV/0!</v>
      </c>
      <c r="I3480" s="87"/>
      <c r="J3480" s="88"/>
      <c r="K3480" s="88"/>
      <c r="L3480" s="89"/>
      <c r="M3480" s="89"/>
      <c r="Q3480" s="105"/>
    </row>
    <row r="3481" spans="3:17" x14ac:dyDescent="0.3">
      <c r="C3481" s="87"/>
      <c r="H3481" s="86" t="e">
        <f>IF(I3481="fora",0%,G3481/QUÓRUM!$C$6)</f>
        <v>#DIV/0!</v>
      </c>
      <c r="I3481" s="87"/>
      <c r="J3481" s="88"/>
      <c r="K3481" s="88"/>
      <c r="L3481" s="89"/>
      <c r="M3481" s="89"/>
      <c r="Q3481" s="105"/>
    </row>
    <row r="3482" spans="3:17" x14ac:dyDescent="0.3">
      <c r="C3482" s="87"/>
      <c r="H3482" s="86" t="e">
        <f>IF(I3482="fora",0%,G3482/QUÓRUM!$C$6)</f>
        <v>#DIV/0!</v>
      </c>
      <c r="I3482" s="87"/>
      <c r="J3482" s="88"/>
      <c r="K3482" s="88"/>
      <c r="L3482" s="89"/>
      <c r="M3482" s="89"/>
      <c r="Q3482" s="105"/>
    </row>
    <row r="3483" spans="3:17" x14ac:dyDescent="0.3">
      <c r="C3483" s="87"/>
      <c r="G3483" s="115"/>
      <c r="H3483" s="86" t="e">
        <f>IF(I3483="fora",0%,G3483/QUÓRUM!$C$6)</f>
        <v>#DIV/0!</v>
      </c>
      <c r="I3483" s="87"/>
      <c r="J3483" s="88"/>
      <c r="K3483" s="88"/>
      <c r="L3483" s="89"/>
      <c r="M3483" s="89"/>
      <c r="Q3483" s="105"/>
    </row>
    <row r="3484" spans="3:17" x14ac:dyDescent="0.3">
      <c r="C3484" s="87"/>
      <c r="G3484" s="115"/>
      <c r="H3484" s="86" t="e">
        <f>IF(I3484="fora",0%,G3484/QUÓRUM!$C$6)</f>
        <v>#DIV/0!</v>
      </c>
      <c r="I3484" s="87"/>
      <c r="J3484" s="88"/>
      <c r="K3484" s="88"/>
      <c r="L3484" s="89"/>
      <c r="M3484" s="89"/>
      <c r="Q3484" s="105"/>
    </row>
    <row r="3485" spans="3:17" x14ac:dyDescent="0.3">
      <c r="C3485" s="87"/>
      <c r="H3485" s="86" t="e">
        <f>IF(I3485="fora",0%,G3485/QUÓRUM!$C$6)</f>
        <v>#DIV/0!</v>
      </c>
      <c r="I3485" s="87"/>
      <c r="J3485" s="88"/>
      <c r="K3485" s="88"/>
      <c r="L3485" s="89"/>
      <c r="M3485" s="89"/>
      <c r="Q3485" s="105"/>
    </row>
    <row r="3486" spans="3:17" x14ac:dyDescent="0.3">
      <c r="C3486" s="87"/>
      <c r="H3486" s="86" t="e">
        <f>IF(I3486="fora",0%,G3486/QUÓRUM!$C$6)</f>
        <v>#DIV/0!</v>
      </c>
      <c r="I3486" s="87"/>
      <c r="J3486" s="88"/>
      <c r="K3486" s="88"/>
      <c r="L3486" s="89"/>
      <c r="M3486" s="89"/>
      <c r="Q3486" s="105"/>
    </row>
    <row r="3487" spans="3:17" x14ac:dyDescent="0.3">
      <c r="C3487" s="87"/>
      <c r="H3487" s="86" t="e">
        <f>IF(I3487="fora",0%,G3487/QUÓRUM!$C$6)</f>
        <v>#DIV/0!</v>
      </c>
      <c r="I3487" s="87"/>
      <c r="J3487" s="88"/>
      <c r="K3487" s="88"/>
      <c r="L3487" s="89"/>
      <c r="M3487" s="89"/>
      <c r="Q3487" s="105"/>
    </row>
    <row r="3488" spans="3:17" x14ac:dyDescent="0.3">
      <c r="C3488" s="87"/>
      <c r="H3488" s="86" t="e">
        <f>IF(I3488="fora",0%,G3488/QUÓRUM!$C$6)</f>
        <v>#DIV/0!</v>
      </c>
      <c r="I3488" s="87"/>
      <c r="J3488" s="88"/>
      <c r="K3488" s="88"/>
      <c r="L3488" s="89"/>
      <c r="M3488" s="89"/>
      <c r="Q3488" s="105"/>
    </row>
    <row r="3489" spans="3:17" x14ac:dyDescent="0.3">
      <c r="C3489" s="87"/>
      <c r="H3489" s="86" t="e">
        <f>IF(I3489="fora",0%,G3489/QUÓRUM!$C$6)</f>
        <v>#DIV/0!</v>
      </c>
      <c r="I3489" s="87"/>
      <c r="J3489" s="88"/>
      <c r="K3489" s="88"/>
      <c r="L3489" s="89"/>
      <c r="M3489" s="89"/>
      <c r="Q3489" s="105"/>
    </row>
    <row r="3490" spans="3:17" x14ac:dyDescent="0.3">
      <c r="C3490" s="87"/>
      <c r="H3490" s="86" t="e">
        <f>IF(I3490="fora",0%,G3490/QUÓRUM!$C$6)</f>
        <v>#DIV/0!</v>
      </c>
      <c r="I3490" s="87"/>
      <c r="J3490" s="88"/>
      <c r="K3490" s="88"/>
      <c r="L3490" s="89"/>
      <c r="M3490" s="89"/>
      <c r="Q3490" s="105"/>
    </row>
    <row r="3491" spans="3:17" x14ac:dyDescent="0.3">
      <c r="C3491" s="87"/>
      <c r="H3491" s="86" t="e">
        <f>IF(I3491="fora",0%,G3491/QUÓRUM!$C$6)</f>
        <v>#DIV/0!</v>
      </c>
      <c r="I3491" s="87"/>
      <c r="J3491" s="88"/>
      <c r="K3491" s="88"/>
      <c r="L3491" s="89"/>
      <c r="M3491" s="89"/>
      <c r="Q3491" s="105"/>
    </row>
    <row r="3492" spans="3:17" x14ac:dyDescent="0.3">
      <c r="C3492" s="87"/>
      <c r="H3492" s="86" t="e">
        <f>IF(I3492="fora",0%,G3492/QUÓRUM!$C$6)</f>
        <v>#DIV/0!</v>
      </c>
      <c r="I3492" s="87"/>
      <c r="J3492" s="88"/>
      <c r="K3492" s="88"/>
      <c r="L3492" s="89"/>
      <c r="M3492" s="89"/>
      <c r="Q3492" s="105"/>
    </row>
    <row r="3493" spans="3:17" x14ac:dyDescent="0.3">
      <c r="C3493" s="87"/>
      <c r="G3493" s="115"/>
      <c r="H3493" s="86" t="e">
        <f>IF(I3493="fora",0%,G3493/QUÓRUM!$C$6)</f>
        <v>#DIV/0!</v>
      </c>
      <c r="I3493" s="87"/>
      <c r="J3493" s="88"/>
      <c r="K3493" s="88"/>
      <c r="L3493" s="89"/>
      <c r="M3493" s="89"/>
      <c r="Q3493" s="105"/>
    </row>
    <row r="3494" spans="3:17" x14ac:dyDescent="0.3">
      <c r="C3494" s="87"/>
      <c r="H3494" s="86" t="e">
        <f>IF(I3494="fora",0%,G3494/QUÓRUM!$C$6)</f>
        <v>#DIV/0!</v>
      </c>
      <c r="I3494" s="87"/>
      <c r="J3494" s="88"/>
      <c r="K3494" s="88"/>
      <c r="L3494" s="89"/>
      <c r="M3494" s="89"/>
      <c r="Q3494" s="105"/>
    </row>
    <row r="3495" spans="3:17" x14ac:dyDescent="0.3">
      <c r="C3495" s="87"/>
      <c r="H3495" s="86" t="e">
        <f>IF(I3495="fora",0%,G3495/QUÓRUM!$C$6)</f>
        <v>#DIV/0!</v>
      </c>
      <c r="I3495" s="87"/>
      <c r="J3495" s="88"/>
      <c r="K3495" s="88"/>
      <c r="L3495" s="89"/>
      <c r="M3495" s="89"/>
      <c r="Q3495" s="105"/>
    </row>
    <row r="3496" spans="3:17" x14ac:dyDescent="0.3">
      <c r="C3496" s="87"/>
      <c r="H3496" s="86" t="e">
        <f>IF(I3496="fora",0%,G3496/QUÓRUM!$C$6)</f>
        <v>#DIV/0!</v>
      </c>
      <c r="I3496" s="87"/>
      <c r="J3496" s="88"/>
      <c r="K3496" s="88"/>
      <c r="L3496" s="89"/>
      <c r="M3496" s="89"/>
      <c r="Q3496" s="105"/>
    </row>
    <row r="3497" spans="3:17" x14ac:dyDescent="0.3">
      <c r="C3497" s="87"/>
      <c r="H3497" s="86" t="e">
        <f>IF(I3497="fora",0%,G3497/QUÓRUM!$C$6)</f>
        <v>#DIV/0!</v>
      </c>
      <c r="I3497" s="87"/>
      <c r="J3497" s="88"/>
      <c r="K3497" s="88"/>
      <c r="L3497" s="89"/>
      <c r="M3497" s="89"/>
      <c r="Q3497" s="105"/>
    </row>
    <row r="3498" spans="3:17" x14ac:dyDescent="0.3">
      <c r="C3498" s="87"/>
      <c r="H3498" s="86" t="e">
        <f>IF(I3498="fora",0%,G3498/QUÓRUM!$C$6)</f>
        <v>#DIV/0!</v>
      </c>
      <c r="I3498" s="87"/>
      <c r="J3498" s="88"/>
      <c r="K3498" s="88"/>
      <c r="L3498" s="89"/>
      <c r="M3498" s="89"/>
      <c r="Q3498" s="105"/>
    </row>
    <row r="3499" spans="3:17" x14ac:dyDescent="0.3">
      <c r="C3499" s="87"/>
      <c r="H3499" s="86" t="e">
        <f>IF(I3499="fora",0%,G3499/QUÓRUM!$C$6)</f>
        <v>#DIV/0!</v>
      </c>
      <c r="I3499" s="87"/>
      <c r="J3499" s="88"/>
      <c r="K3499" s="88"/>
      <c r="L3499" s="89"/>
      <c r="M3499" s="89"/>
      <c r="Q3499" s="105"/>
    </row>
    <row r="3500" spans="3:17" x14ac:dyDescent="0.3">
      <c r="C3500" s="87"/>
      <c r="H3500" s="86" t="e">
        <f>IF(I3500="fora",0%,G3500/QUÓRUM!$C$6)</f>
        <v>#DIV/0!</v>
      </c>
      <c r="I3500" s="87"/>
      <c r="J3500" s="88"/>
      <c r="K3500" s="88"/>
      <c r="L3500" s="89"/>
      <c r="M3500" s="89"/>
      <c r="Q3500" s="105"/>
    </row>
    <row r="3501" spans="3:17" x14ac:dyDescent="0.3">
      <c r="C3501" s="87"/>
      <c r="H3501" s="86" t="e">
        <f>IF(I3501="fora",0%,G3501/QUÓRUM!$C$6)</f>
        <v>#DIV/0!</v>
      </c>
      <c r="I3501" s="87"/>
      <c r="J3501" s="88"/>
      <c r="K3501" s="88"/>
      <c r="L3501" s="89"/>
      <c r="M3501" s="89"/>
      <c r="Q3501" s="105"/>
    </row>
    <row r="3502" spans="3:17" x14ac:dyDescent="0.3">
      <c r="C3502" s="87"/>
      <c r="H3502" s="86" t="e">
        <f>IF(I3502="fora",0%,G3502/QUÓRUM!$C$6)</f>
        <v>#DIV/0!</v>
      </c>
      <c r="I3502" s="87"/>
      <c r="J3502" s="88"/>
      <c r="K3502" s="88"/>
      <c r="L3502" s="89"/>
      <c r="M3502" s="89"/>
      <c r="Q3502" s="105"/>
    </row>
    <row r="3503" spans="3:17" x14ac:dyDescent="0.3">
      <c r="C3503" s="87"/>
      <c r="H3503" s="86" t="e">
        <f>IF(I3503="fora",0%,G3503/QUÓRUM!$C$6)</f>
        <v>#DIV/0!</v>
      </c>
      <c r="I3503" s="87"/>
      <c r="J3503" s="88"/>
      <c r="K3503" s="88"/>
      <c r="L3503" s="89"/>
      <c r="M3503" s="89"/>
      <c r="Q3503" s="105"/>
    </row>
    <row r="3504" spans="3:17" x14ac:dyDescent="0.3">
      <c r="C3504" s="87"/>
      <c r="H3504" s="86" t="e">
        <f>IF(I3504="fora",0%,G3504/QUÓRUM!$C$6)</f>
        <v>#DIV/0!</v>
      </c>
      <c r="I3504" s="87"/>
      <c r="J3504" s="88"/>
      <c r="K3504" s="88"/>
      <c r="L3504" s="89"/>
      <c r="M3504" s="89"/>
      <c r="Q3504" s="105"/>
    </row>
    <row r="3505" spans="3:17" x14ac:dyDescent="0.3">
      <c r="C3505" s="87"/>
      <c r="H3505" s="86" t="e">
        <f>IF(I3505="fora",0%,G3505/QUÓRUM!$C$6)</f>
        <v>#DIV/0!</v>
      </c>
      <c r="I3505" s="87"/>
      <c r="J3505" s="88"/>
      <c r="K3505" s="88"/>
      <c r="L3505" s="89"/>
      <c r="M3505" s="89"/>
      <c r="Q3505" s="105"/>
    </row>
    <row r="3506" spans="3:17" x14ac:dyDescent="0.3">
      <c r="C3506" s="87"/>
      <c r="H3506" s="86" t="e">
        <f>IF(I3506="fora",0%,G3506/QUÓRUM!$C$6)</f>
        <v>#DIV/0!</v>
      </c>
      <c r="I3506" s="87"/>
      <c r="J3506" s="88"/>
      <c r="K3506" s="88"/>
      <c r="L3506" s="89"/>
      <c r="M3506" s="89"/>
      <c r="Q3506" s="105"/>
    </row>
    <row r="3507" spans="3:17" x14ac:dyDescent="0.3">
      <c r="C3507" s="87"/>
      <c r="H3507" s="86" t="e">
        <f>IF(I3507="fora",0%,G3507/QUÓRUM!$C$6)</f>
        <v>#DIV/0!</v>
      </c>
      <c r="I3507" s="87"/>
      <c r="J3507" s="88"/>
      <c r="K3507" s="88"/>
      <c r="L3507" s="89"/>
      <c r="M3507" s="89"/>
      <c r="Q3507" s="105"/>
    </row>
    <row r="3508" spans="3:17" x14ac:dyDescent="0.3">
      <c r="C3508" s="87"/>
      <c r="H3508" s="86" t="e">
        <f>IF(I3508="fora",0%,G3508/QUÓRUM!$C$6)</f>
        <v>#DIV/0!</v>
      </c>
      <c r="I3508" s="87"/>
      <c r="J3508" s="88"/>
      <c r="K3508" s="88"/>
      <c r="L3508" s="89"/>
      <c r="M3508" s="89"/>
      <c r="Q3508" s="105"/>
    </row>
    <row r="3509" spans="3:17" x14ac:dyDescent="0.3">
      <c r="C3509" s="87"/>
      <c r="H3509" s="86" t="e">
        <f>IF(I3509="fora",0%,G3509/QUÓRUM!$C$6)</f>
        <v>#DIV/0!</v>
      </c>
      <c r="I3509" s="87"/>
      <c r="J3509" s="88"/>
      <c r="K3509" s="88"/>
      <c r="L3509" s="89"/>
      <c r="M3509" s="89"/>
      <c r="Q3509" s="105"/>
    </row>
    <row r="3510" spans="3:17" x14ac:dyDescent="0.3">
      <c r="C3510" s="87"/>
      <c r="H3510" s="86" t="e">
        <f>IF(I3510="fora",0%,G3510/QUÓRUM!$C$6)</f>
        <v>#DIV/0!</v>
      </c>
      <c r="I3510" s="87"/>
      <c r="J3510" s="88"/>
      <c r="K3510" s="88"/>
      <c r="L3510" s="89"/>
      <c r="M3510" s="89"/>
      <c r="Q3510" s="105"/>
    </row>
    <row r="3511" spans="3:17" x14ac:dyDescent="0.3">
      <c r="C3511" s="87"/>
      <c r="H3511" s="86" t="e">
        <f>IF(I3511="fora",0%,G3511/QUÓRUM!$C$6)</f>
        <v>#DIV/0!</v>
      </c>
      <c r="I3511" s="87"/>
      <c r="J3511" s="88"/>
      <c r="K3511" s="88"/>
      <c r="L3511" s="89"/>
      <c r="M3511" s="89"/>
      <c r="Q3511" s="105"/>
    </row>
    <row r="3512" spans="3:17" x14ac:dyDescent="0.3">
      <c r="C3512" s="87"/>
      <c r="H3512" s="86" t="e">
        <f>IF(I3512="fora",0%,G3512/QUÓRUM!$C$6)</f>
        <v>#DIV/0!</v>
      </c>
      <c r="I3512" s="87"/>
      <c r="J3512" s="88"/>
      <c r="K3512" s="88"/>
      <c r="L3512" s="89"/>
      <c r="M3512" s="89"/>
      <c r="Q3512" s="105"/>
    </row>
    <row r="3513" spans="3:17" x14ac:dyDescent="0.3">
      <c r="C3513" s="87"/>
      <c r="H3513" s="86" t="e">
        <f>IF(I3513="fora",0%,G3513/QUÓRUM!$C$6)</f>
        <v>#DIV/0!</v>
      </c>
      <c r="I3513" s="87"/>
      <c r="J3513" s="88"/>
      <c r="K3513" s="88"/>
      <c r="L3513" s="89"/>
      <c r="M3513" s="89"/>
      <c r="Q3513" s="105"/>
    </row>
    <row r="3514" spans="3:17" x14ac:dyDescent="0.3">
      <c r="C3514" s="87"/>
      <c r="H3514" s="86" t="e">
        <f>IF(I3514="fora",0%,G3514/QUÓRUM!$C$6)</f>
        <v>#DIV/0!</v>
      </c>
      <c r="I3514" s="87"/>
      <c r="J3514" s="88"/>
      <c r="K3514" s="88"/>
      <c r="L3514" s="89"/>
      <c r="M3514" s="89"/>
      <c r="Q3514" s="105"/>
    </row>
    <row r="3515" spans="3:17" x14ac:dyDescent="0.3">
      <c r="C3515" s="87"/>
      <c r="H3515" s="86" t="e">
        <f>IF(I3515="fora",0%,G3515/QUÓRUM!$C$6)</f>
        <v>#DIV/0!</v>
      </c>
      <c r="I3515" s="87"/>
      <c r="J3515" s="88"/>
      <c r="K3515" s="88"/>
      <c r="L3515" s="89"/>
      <c r="M3515" s="89"/>
      <c r="Q3515" s="105"/>
    </row>
    <row r="3516" spans="3:17" x14ac:dyDescent="0.3">
      <c r="C3516" s="87"/>
      <c r="H3516" s="86" t="e">
        <f>IF(I3516="fora",0%,G3516/QUÓRUM!$C$6)</f>
        <v>#DIV/0!</v>
      </c>
      <c r="I3516" s="87"/>
      <c r="J3516" s="88"/>
      <c r="K3516" s="88"/>
      <c r="L3516" s="89"/>
      <c r="M3516" s="89"/>
      <c r="Q3516" s="105"/>
    </row>
    <row r="3517" spans="3:17" x14ac:dyDescent="0.3">
      <c r="C3517" s="87"/>
      <c r="H3517" s="86" t="e">
        <f>IF(I3517="fora",0%,G3517/QUÓRUM!$C$6)</f>
        <v>#DIV/0!</v>
      </c>
      <c r="I3517" s="87"/>
      <c r="J3517" s="88"/>
      <c r="K3517" s="88"/>
      <c r="L3517" s="89"/>
      <c r="M3517" s="89"/>
      <c r="Q3517" s="105"/>
    </row>
    <row r="3518" spans="3:17" x14ac:dyDescent="0.3">
      <c r="C3518" s="87"/>
      <c r="H3518" s="86" t="e">
        <f>IF(I3518="fora",0%,G3518/QUÓRUM!$C$6)</f>
        <v>#DIV/0!</v>
      </c>
      <c r="I3518" s="87"/>
      <c r="J3518" s="88"/>
      <c r="K3518" s="88"/>
      <c r="L3518" s="89"/>
      <c r="M3518" s="89"/>
      <c r="Q3518" s="105"/>
    </row>
    <row r="3519" spans="3:17" x14ac:dyDescent="0.3">
      <c r="C3519" s="87"/>
      <c r="H3519" s="86" t="e">
        <f>IF(I3519="fora",0%,G3519/QUÓRUM!$C$6)</f>
        <v>#DIV/0!</v>
      </c>
      <c r="I3519" s="87"/>
      <c r="J3519" s="88"/>
      <c r="K3519" s="88"/>
      <c r="L3519" s="89"/>
      <c r="M3519" s="89"/>
      <c r="Q3519" s="105"/>
    </row>
    <row r="3520" spans="3:17" x14ac:dyDescent="0.3">
      <c r="C3520" s="87"/>
      <c r="H3520" s="86" t="e">
        <f>IF(I3520="fora",0%,G3520/QUÓRUM!$C$6)</f>
        <v>#DIV/0!</v>
      </c>
      <c r="I3520" s="87"/>
      <c r="J3520" s="88"/>
      <c r="K3520" s="88"/>
      <c r="L3520" s="89"/>
      <c r="M3520" s="89"/>
      <c r="Q3520" s="105"/>
    </row>
    <row r="3521" spans="3:17" x14ac:dyDescent="0.3">
      <c r="C3521" s="87"/>
      <c r="H3521" s="86" t="e">
        <f>IF(I3521="fora",0%,G3521/QUÓRUM!$C$6)</f>
        <v>#DIV/0!</v>
      </c>
      <c r="I3521" s="87"/>
      <c r="J3521" s="88"/>
      <c r="K3521" s="88"/>
      <c r="L3521" s="89"/>
      <c r="M3521" s="89"/>
      <c r="Q3521" s="105"/>
    </row>
    <row r="3522" spans="3:17" x14ac:dyDescent="0.3">
      <c r="C3522" s="87"/>
      <c r="H3522" s="86" t="e">
        <f>IF(I3522="fora",0%,G3522/QUÓRUM!$C$6)</f>
        <v>#DIV/0!</v>
      </c>
      <c r="I3522" s="87"/>
      <c r="J3522" s="88"/>
      <c r="K3522" s="88"/>
      <c r="L3522" s="89"/>
      <c r="M3522" s="89"/>
      <c r="Q3522" s="105"/>
    </row>
    <row r="3523" spans="3:17" x14ac:dyDescent="0.3">
      <c r="C3523" s="87"/>
      <c r="H3523" s="86" t="e">
        <f>IF(I3523="fora",0%,G3523/QUÓRUM!$C$6)</f>
        <v>#DIV/0!</v>
      </c>
      <c r="I3523" s="87"/>
      <c r="J3523" s="88"/>
      <c r="K3523" s="88"/>
      <c r="L3523" s="89"/>
      <c r="M3523" s="89"/>
      <c r="Q3523" s="105"/>
    </row>
    <row r="3524" spans="3:17" x14ac:dyDescent="0.3">
      <c r="C3524" s="87"/>
      <c r="H3524" s="86" t="e">
        <f>IF(I3524="fora",0%,G3524/QUÓRUM!$C$6)</f>
        <v>#DIV/0!</v>
      </c>
      <c r="I3524" s="87"/>
      <c r="J3524" s="88"/>
      <c r="K3524" s="88"/>
      <c r="L3524" s="89"/>
      <c r="M3524" s="89"/>
      <c r="Q3524" s="105"/>
    </row>
    <row r="3525" spans="3:17" x14ac:dyDescent="0.3">
      <c r="C3525" s="87"/>
      <c r="H3525" s="86" t="e">
        <f>IF(I3525="fora",0%,G3525/QUÓRUM!$C$6)</f>
        <v>#DIV/0!</v>
      </c>
      <c r="I3525" s="87"/>
      <c r="J3525" s="88"/>
      <c r="K3525" s="88"/>
      <c r="L3525" s="89"/>
      <c r="M3525" s="89"/>
      <c r="Q3525" s="105"/>
    </row>
    <row r="3526" spans="3:17" x14ac:dyDescent="0.3">
      <c r="C3526" s="87"/>
      <c r="H3526" s="86" t="e">
        <f>IF(I3526="fora",0%,G3526/QUÓRUM!$C$6)</f>
        <v>#DIV/0!</v>
      </c>
      <c r="I3526" s="87"/>
      <c r="J3526" s="88"/>
      <c r="K3526" s="88"/>
      <c r="L3526" s="89"/>
      <c r="M3526" s="89"/>
      <c r="Q3526" s="105"/>
    </row>
    <row r="3527" spans="3:17" x14ac:dyDescent="0.3">
      <c r="C3527" s="87"/>
      <c r="H3527" s="86" t="e">
        <f>IF(I3527="fora",0%,G3527/QUÓRUM!$C$6)</f>
        <v>#DIV/0!</v>
      </c>
      <c r="I3527" s="87"/>
      <c r="J3527" s="88"/>
      <c r="K3527" s="88"/>
      <c r="L3527" s="89"/>
      <c r="M3527" s="89"/>
      <c r="Q3527" s="105"/>
    </row>
    <row r="3528" spans="3:17" x14ac:dyDescent="0.3">
      <c r="C3528" s="87"/>
      <c r="H3528" s="86" t="e">
        <f>IF(I3528="fora",0%,G3528/QUÓRUM!$C$6)</f>
        <v>#DIV/0!</v>
      </c>
      <c r="I3528" s="87"/>
      <c r="J3528" s="88"/>
      <c r="K3528" s="88"/>
      <c r="L3528" s="89"/>
      <c r="M3528" s="89"/>
      <c r="Q3528" s="105"/>
    </row>
    <row r="3529" spans="3:17" x14ac:dyDescent="0.3">
      <c r="C3529" s="87"/>
      <c r="H3529" s="86" t="e">
        <f>IF(I3529="fora",0%,G3529/QUÓRUM!$C$6)</f>
        <v>#DIV/0!</v>
      </c>
      <c r="I3529" s="87"/>
      <c r="J3529" s="88"/>
      <c r="K3529" s="88"/>
      <c r="L3529" s="89"/>
      <c r="M3529" s="89"/>
      <c r="Q3529" s="105"/>
    </row>
    <row r="3530" spans="3:17" x14ac:dyDescent="0.3">
      <c r="C3530" s="87"/>
      <c r="H3530" s="86" t="e">
        <f>IF(I3530="fora",0%,G3530/QUÓRUM!$C$6)</f>
        <v>#DIV/0!</v>
      </c>
      <c r="I3530" s="87"/>
      <c r="J3530" s="88"/>
      <c r="K3530" s="88"/>
      <c r="L3530" s="89"/>
      <c r="M3530" s="89"/>
      <c r="Q3530" s="105"/>
    </row>
    <row r="3531" spans="3:17" x14ac:dyDescent="0.3">
      <c r="C3531" s="87"/>
      <c r="H3531" s="86" t="e">
        <f>IF(I3531="fora",0%,G3531/QUÓRUM!$C$6)</f>
        <v>#DIV/0!</v>
      </c>
      <c r="I3531" s="87"/>
      <c r="J3531" s="88"/>
      <c r="K3531" s="88"/>
      <c r="L3531" s="89"/>
      <c r="M3531" s="89"/>
      <c r="Q3531" s="105"/>
    </row>
    <row r="3532" spans="3:17" x14ac:dyDescent="0.3">
      <c r="C3532" s="87"/>
      <c r="H3532" s="86" t="e">
        <f>IF(I3532="fora",0%,G3532/QUÓRUM!$C$6)</f>
        <v>#DIV/0!</v>
      </c>
      <c r="I3532" s="87"/>
      <c r="J3532" s="88"/>
      <c r="K3532" s="88"/>
      <c r="L3532" s="89"/>
      <c r="M3532" s="89"/>
      <c r="Q3532" s="105"/>
    </row>
    <row r="3533" spans="3:17" x14ac:dyDescent="0.3">
      <c r="C3533" s="87"/>
      <c r="H3533" s="86" t="e">
        <f>IF(I3533="fora",0%,G3533/QUÓRUM!$C$6)</f>
        <v>#DIV/0!</v>
      </c>
      <c r="I3533" s="87"/>
      <c r="J3533" s="88"/>
      <c r="K3533" s="88"/>
      <c r="L3533" s="89"/>
      <c r="M3533" s="89"/>
      <c r="Q3533" s="105"/>
    </row>
    <row r="3534" spans="3:17" x14ac:dyDescent="0.3">
      <c r="C3534" s="87"/>
      <c r="H3534" s="86" t="e">
        <f>IF(I3534="fora",0%,G3534/QUÓRUM!$C$6)</f>
        <v>#DIV/0!</v>
      </c>
      <c r="I3534" s="87"/>
      <c r="J3534" s="88"/>
      <c r="K3534" s="88"/>
      <c r="L3534" s="89"/>
      <c r="M3534" s="89"/>
      <c r="Q3534" s="105"/>
    </row>
    <row r="3535" spans="3:17" x14ac:dyDescent="0.3">
      <c r="C3535" s="87"/>
      <c r="H3535" s="86" t="e">
        <f>IF(I3535="fora",0%,G3535/QUÓRUM!$C$6)</f>
        <v>#DIV/0!</v>
      </c>
      <c r="I3535" s="87"/>
      <c r="J3535" s="88"/>
      <c r="K3535" s="88"/>
      <c r="L3535" s="89"/>
      <c r="M3535" s="89"/>
      <c r="Q3535" s="105"/>
    </row>
    <row r="3536" spans="3:17" x14ac:dyDescent="0.3">
      <c r="C3536" s="87"/>
      <c r="H3536" s="86" t="e">
        <f>IF(I3536="fora",0%,G3536/QUÓRUM!$C$6)</f>
        <v>#DIV/0!</v>
      </c>
      <c r="I3536" s="87"/>
      <c r="J3536" s="88"/>
      <c r="K3536" s="88"/>
      <c r="L3536" s="89"/>
      <c r="M3536" s="89"/>
      <c r="Q3536" s="105"/>
    </row>
    <row r="3537" spans="3:17" x14ac:dyDescent="0.3">
      <c r="C3537" s="87"/>
      <c r="H3537" s="86" t="e">
        <f>IF(I3537="fora",0%,G3537/QUÓRUM!$C$6)</f>
        <v>#DIV/0!</v>
      </c>
      <c r="I3537" s="87"/>
      <c r="J3537" s="88"/>
      <c r="K3537" s="88"/>
      <c r="L3537" s="89"/>
      <c r="M3537" s="89"/>
      <c r="Q3537" s="105"/>
    </row>
    <row r="3538" spans="3:17" x14ac:dyDescent="0.3">
      <c r="C3538" s="87"/>
      <c r="H3538" s="86" t="e">
        <f>IF(I3538="fora",0%,G3538/QUÓRUM!$C$6)</f>
        <v>#DIV/0!</v>
      </c>
      <c r="I3538" s="87"/>
      <c r="J3538" s="88"/>
      <c r="K3538" s="88"/>
      <c r="L3538" s="89"/>
      <c r="M3538" s="89"/>
      <c r="Q3538" s="105"/>
    </row>
    <row r="3539" spans="3:17" x14ac:dyDescent="0.3">
      <c r="C3539" s="87"/>
      <c r="H3539" s="86" t="e">
        <f>IF(I3539="fora",0%,G3539/QUÓRUM!$C$6)</f>
        <v>#DIV/0!</v>
      </c>
      <c r="I3539" s="87"/>
      <c r="J3539" s="88"/>
      <c r="K3539" s="88"/>
      <c r="L3539" s="89"/>
      <c r="M3539" s="89"/>
      <c r="Q3539" s="105"/>
    </row>
    <row r="3540" spans="3:17" x14ac:dyDescent="0.3">
      <c r="C3540" s="87"/>
      <c r="H3540" s="86" t="e">
        <f>IF(I3540="fora",0%,G3540/QUÓRUM!$C$6)</f>
        <v>#DIV/0!</v>
      </c>
      <c r="I3540" s="87"/>
      <c r="J3540" s="88"/>
      <c r="K3540" s="88"/>
      <c r="L3540" s="89"/>
      <c r="M3540" s="89"/>
      <c r="Q3540" s="105"/>
    </row>
    <row r="3541" spans="3:17" x14ac:dyDescent="0.3">
      <c r="C3541" s="87"/>
      <c r="H3541" s="86" t="e">
        <f>IF(I3541="fora",0%,G3541/QUÓRUM!$C$6)</f>
        <v>#DIV/0!</v>
      </c>
      <c r="I3541" s="87"/>
      <c r="J3541" s="88"/>
      <c r="K3541" s="88"/>
      <c r="L3541" s="89"/>
      <c r="M3541" s="89"/>
      <c r="Q3541" s="105"/>
    </row>
    <row r="3542" spans="3:17" x14ac:dyDescent="0.3">
      <c r="C3542" s="87"/>
      <c r="H3542" s="86" t="e">
        <f>IF(I3542="fora",0%,G3542/QUÓRUM!$C$6)</f>
        <v>#DIV/0!</v>
      </c>
      <c r="I3542" s="87"/>
      <c r="J3542" s="88"/>
      <c r="K3542" s="88"/>
      <c r="L3542" s="89"/>
      <c r="M3542" s="89"/>
      <c r="Q3542" s="105"/>
    </row>
    <row r="3543" spans="3:17" x14ac:dyDescent="0.3">
      <c r="C3543" s="87"/>
      <c r="H3543" s="86" t="e">
        <f>IF(I3543="fora",0%,G3543/QUÓRUM!$C$6)</f>
        <v>#DIV/0!</v>
      </c>
      <c r="I3543" s="87"/>
      <c r="J3543" s="88"/>
      <c r="K3543" s="88"/>
      <c r="L3543" s="89"/>
      <c r="M3543" s="89"/>
      <c r="Q3543" s="105"/>
    </row>
    <row r="3544" spans="3:17" x14ac:dyDescent="0.3">
      <c r="C3544" s="87"/>
      <c r="H3544" s="86" t="e">
        <f>IF(I3544="fora",0%,G3544/QUÓRUM!$C$6)</f>
        <v>#DIV/0!</v>
      </c>
      <c r="I3544" s="87"/>
      <c r="J3544" s="88"/>
      <c r="K3544" s="88"/>
      <c r="L3544" s="89"/>
      <c r="M3544" s="89"/>
      <c r="Q3544" s="105"/>
    </row>
    <row r="3545" spans="3:17" x14ac:dyDescent="0.3">
      <c r="C3545" s="87"/>
      <c r="H3545" s="86" t="e">
        <f>IF(I3545="fora",0%,G3545/QUÓRUM!$C$6)</f>
        <v>#DIV/0!</v>
      </c>
      <c r="I3545" s="87"/>
      <c r="J3545" s="88"/>
      <c r="K3545" s="88"/>
      <c r="L3545" s="89"/>
      <c r="M3545" s="89"/>
      <c r="Q3545" s="105"/>
    </row>
    <row r="3546" spans="3:17" x14ac:dyDescent="0.3">
      <c r="C3546" s="87"/>
      <c r="H3546" s="86" t="e">
        <f>IF(I3546="fora",0%,G3546/QUÓRUM!$C$6)</f>
        <v>#DIV/0!</v>
      </c>
      <c r="I3546" s="87"/>
      <c r="J3546" s="88"/>
      <c r="K3546" s="88"/>
      <c r="L3546" s="89"/>
      <c r="M3546" s="89"/>
      <c r="Q3546" s="105"/>
    </row>
    <row r="3547" spans="3:17" x14ac:dyDescent="0.3">
      <c r="C3547" s="87"/>
      <c r="H3547" s="86" t="e">
        <f>IF(I3547="fora",0%,G3547/QUÓRUM!$C$6)</f>
        <v>#DIV/0!</v>
      </c>
      <c r="I3547" s="87"/>
      <c r="J3547" s="88"/>
      <c r="K3547" s="88"/>
      <c r="L3547" s="89"/>
      <c r="M3547" s="89"/>
      <c r="Q3547" s="105"/>
    </row>
    <row r="3548" spans="3:17" x14ac:dyDescent="0.3">
      <c r="C3548" s="87"/>
      <c r="H3548" s="86" t="e">
        <f>IF(I3548="fora",0%,G3548/QUÓRUM!$C$6)</f>
        <v>#DIV/0!</v>
      </c>
      <c r="I3548" s="87"/>
      <c r="J3548" s="88"/>
      <c r="K3548" s="88"/>
      <c r="L3548" s="89"/>
      <c r="M3548" s="89"/>
      <c r="Q3548" s="105"/>
    </row>
    <row r="3549" spans="3:17" x14ac:dyDescent="0.3">
      <c r="C3549" s="87"/>
      <c r="H3549" s="86" t="e">
        <f>IF(I3549="fora",0%,G3549/QUÓRUM!$C$6)</f>
        <v>#DIV/0!</v>
      </c>
      <c r="I3549" s="87"/>
      <c r="J3549" s="88"/>
      <c r="K3549" s="88"/>
      <c r="L3549" s="89"/>
      <c r="M3549" s="89"/>
      <c r="Q3549" s="105"/>
    </row>
    <row r="3550" spans="3:17" x14ac:dyDescent="0.3">
      <c r="C3550" s="87"/>
      <c r="H3550" s="86" t="e">
        <f>IF(I3550="fora",0%,G3550/QUÓRUM!$C$6)</f>
        <v>#DIV/0!</v>
      </c>
      <c r="I3550" s="87"/>
      <c r="J3550" s="88"/>
      <c r="K3550" s="88"/>
      <c r="L3550" s="89"/>
      <c r="M3550" s="89"/>
      <c r="Q3550" s="105"/>
    </row>
    <row r="3551" spans="3:17" x14ac:dyDescent="0.3">
      <c r="C3551" s="87"/>
      <c r="H3551" s="86" t="e">
        <f>IF(I3551="fora",0%,G3551/QUÓRUM!$C$6)</f>
        <v>#DIV/0!</v>
      </c>
      <c r="I3551" s="87"/>
      <c r="J3551" s="88"/>
      <c r="K3551" s="88"/>
      <c r="L3551" s="89"/>
      <c r="M3551" s="89"/>
      <c r="Q3551" s="105"/>
    </row>
    <row r="3552" spans="3:17" x14ac:dyDescent="0.3">
      <c r="C3552" s="87"/>
      <c r="H3552" s="86" t="e">
        <f>IF(I3552="fora",0%,G3552/QUÓRUM!$C$6)</f>
        <v>#DIV/0!</v>
      </c>
      <c r="I3552" s="87"/>
      <c r="J3552" s="88"/>
      <c r="K3552" s="88"/>
      <c r="L3552" s="89"/>
      <c r="M3552" s="89"/>
      <c r="Q3552" s="105"/>
    </row>
    <row r="3553" spans="3:17" x14ac:dyDescent="0.3">
      <c r="C3553" s="87"/>
      <c r="H3553" s="86" t="e">
        <f>IF(I3553="fora",0%,G3553/QUÓRUM!$C$6)</f>
        <v>#DIV/0!</v>
      </c>
      <c r="I3553" s="87"/>
      <c r="J3553" s="88"/>
      <c r="K3553" s="88"/>
      <c r="L3553" s="89"/>
      <c r="M3553" s="89"/>
      <c r="Q3553" s="105"/>
    </row>
    <row r="3554" spans="3:17" x14ac:dyDescent="0.3">
      <c r="C3554" s="87"/>
      <c r="H3554" s="86" t="e">
        <f>IF(I3554="fora",0%,G3554/QUÓRUM!$C$6)</f>
        <v>#DIV/0!</v>
      </c>
      <c r="I3554" s="87"/>
      <c r="J3554" s="88"/>
      <c r="K3554" s="88"/>
      <c r="L3554" s="89"/>
      <c r="M3554" s="89"/>
      <c r="Q3554" s="105"/>
    </row>
    <row r="3555" spans="3:17" x14ac:dyDescent="0.3">
      <c r="C3555" s="87"/>
      <c r="H3555" s="86" t="e">
        <f>IF(I3555="fora",0%,G3555/QUÓRUM!$C$6)</f>
        <v>#DIV/0!</v>
      </c>
      <c r="I3555" s="87"/>
      <c r="J3555" s="88"/>
      <c r="K3555" s="88"/>
      <c r="L3555" s="89"/>
      <c r="M3555" s="89"/>
      <c r="Q3555" s="105"/>
    </row>
    <row r="3556" spans="3:17" x14ac:dyDescent="0.3">
      <c r="C3556" s="87"/>
      <c r="H3556" s="86" t="e">
        <f>IF(I3556="fora",0%,G3556/QUÓRUM!$C$6)</f>
        <v>#DIV/0!</v>
      </c>
      <c r="I3556" s="87"/>
      <c r="J3556" s="88"/>
      <c r="K3556" s="88"/>
      <c r="L3556" s="89"/>
      <c r="M3556" s="89"/>
      <c r="Q3556" s="105"/>
    </row>
    <row r="3557" spans="3:17" x14ac:dyDescent="0.3">
      <c r="C3557" s="87"/>
      <c r="H3557" s="86" t="e">
        <f>IF(I3557="fora",0%,G3557/QUÓRUM!$C$6)</f>
        <v>#DIV/0!</v>
      </c>
      <c r="I3557" s="87"/>
      <c r="J3557" s="88"/>
      <c r="K3557" s="88"/>
      <c r="L3557" s="89"/>
      <c r="M3557" s="89"/>
      <c r="Q3557" s="105"/>
    </row>
    <row r="3558" spans="3:17" x14ac:dyDescent="0.3">
      <c r="C3558" s="87"/>
      <c r="H3558" s="86" t="e">
        <f>IF(I3558="fora",0%,G3558/QUÓRUM!$C$6)</f>
        <v>#DIV/0!</v>
      </c>
      <c r="I3558" s="87"/>
      <c r="J3558" s="88"/>
      <c r="K3558" s="88"/>
      <c r="L3558" s="89"/>
      <c r="M3558" s="89"/>
      <c r="Q3558" s="105"/>
    </row>
    <row r="3559" spans="3:17" x14ac:dyDescent="0.3">
      <c r="C3559" s="87"/>
      <c r="H3559" s="86" t="e">
        <f>IF(I3559="fora",0%,G3559/QUÓRUM!$C$6)</f>
        <v>#DIV/0!</v>
      </c>
      <c r="I3559" s="87"/>
      <c r="J3559" s="88"/>
      <c r="K3559" s="88"/>
      <c r="L3559" s="89"/>
      <c r="M3559" s="89"/>
      <c r="Q3559" s="105"/>
    </row>
    <row r="3560" spans="3:17" x14ac:dyDescent="0.3">
      <c r="C3560" s="87"/>
      <c r="H3560" s="86" t="e">
        <f>IF(I3560="fora",0%,G3560/QUÓRUM!$C$6)</f>
        <v>#DIV/0!</v>
      </c>
      <c r="I3560" s="87"/>
      <c r="J3560" s="88"/>
      <c r="K3560" s="88"/>
      <c r="L3560" s="89"/>
      <c r="M3560" s="89"/>
      <c r="Q3560" s="105"/>
    </row>
    <row r="3561" spans="3:17" x14ac:dyDescent="0.3">
      <c r="C3561" s="87"/>
      <c r="H3561" s="86" t="e">
        <f>IF(I3561="fora",0%,G3561/QUÓRUM!$C$6)</f>
        <v>#DIV/0!</v>
      </c>
      <c r="I3561" s="87"/>
      <c r="J3561" s="88"/>
      <c r="K3561" s="88"/>
      <c r="L3561" s="89"/>
      <c r="M3561" s="89"/>
      <c r="Q3561" s="105"/>
    </row>
    <row r="3562" spans="3:17" x14ac:dyDescent="0.3">
      <c r="C3562" s="87"/>
      <c r="H3562" s="86" t="e">
        <f>IF(I3562="fora",0%,G3562/QUÓRUM!$C$6)</f>
        <v>#DIV/0!</v>
      </c>
      <c r="I3562" s="87"/>
      <c r="J3562" s="88"/>
      <c r="K3562" s="88"/>
      <c r="L3562" s="89"/>
      <c r="M3562" s="89"/>
      <c r="Q3562" s="105"/>
    </row>
    <row r="3563" spans="3:17" x14ac:dyDescent="0.3">
      <c r="C3563" s="87"/>
      <c r="H3563" s="86" t="e">
        <f>IF(I3563="fora",0%,G3563/QUÓRUM!$C$6)</f>
        <v>#DIV/0!</v>
      </c>
      <c r="I3563" s="87"/>
      <c r="J3563" s="88"/>
      <c r="K3563" s="88"/>
      <c r="L3563" s="89"/>
      <c r="M3563" s="89"/>
      <c r="Q3563" s="105"/>
    </row>
    <row r="3564" spans="3:17" x14ac:dyDescent="0.3">
      <c r="C3564" s="87"/>
      <c r="H3564" s="86" t="e">
        <f>IF(I3564="fora",0%,G3564/QUÓRUM!$C$6)</f>
        <v>#DIV/0!</v>
      </c>
      <c r="I3564" s="87"/>
      <c r="J3564" s="88"/>
      <c r="K3564" s="88"/>
      <c r="L3564" s="89"/>
      <c r="M3564" s="89"/>
      <c r="Q3564" s="105"/>
    </row>
    <row r="3565" spans="3:17" x14ac:dyDescent="0.3">
      <c r="C3565" s="87"/>
      <c r="H3565" s="86" t="e">
        <f>IF(I3565="fora",0%,G3565/QUÓRUM!$C$6)</f>
        <v>#DIV/0!</v>
      </c>
      <c r="I3565" s="87"/>
      <c r="J3565" s="88"/>
      <c r="K3565" s="88"/>
      <c r="L3565" s="89"/>
      <c r="M3565" s="89"/>
      <c r="Q3565" s="105"/>
    </row>
    <row r="3566" spans="3:17" x14ac:dyDescent="0.3">
      <c r="C3566" s="87"/>
      <c r="H3566" s="86" t="e">
        <f>IF(I3566="fora",0%,G3566/QUÓRUM!$C$6)</f>
        <v>#DIV/0!</v>
      </c>
      <c r="I3566" s="87"/>
      <c r="J3566" s="88"/>
      <c r="K3566" s="88"/>
      <c r="L3566" s="89"/>
      <c r="M3566" s="89"/>
      <c r="Q3566" s="105"/>
    </row>
    <row r="3567" spans="3:17" x14ac:dyDescent="0.3">
      <c r="C3567" s="87"/>
      <c r="H3567" s="86" t="e">
        <f>IF(I3567="fora",0%,G3567/QUÓRUM!$C$6)</f>
        <v>#DIV/0!</v>
      </c>
      <c r="I3567" s="87"/>
      <c r="J3567" s="88"/>
      <c r="K3567" s="88"/>
      <c r="L3567" s="89"/>
      <c r="M3567" s="89"/>
      <c r="Q3567" s="105"/>
    </row>
    <row r="3568" spans="3:17" x14ac:dyDescent="0.3">
      <c r="C3568" s="87"/>
      <c r="H3568" s="86" t="e">
        <f>IF(I3568="fora",0%,G3568/QUÓRUM!$C$6)</f>
        <v>#DIV/0!</v>
      </c>
      <c r="I3568" s="87"/>
      <c r="J3568" s="88"/>
      <c r="K3568" s="88"/>
      <c r="L3568" s="89"/>
      <c r="M3568" s="89"/>
      <c r="Q3568" s="105"/>
    </row>
    <row r="3569" spans="3:17" x14ac:dyDescent="0.3">
      <c r="C3569" s="87"/>
      <c r="H3569" s="86" t="e">
        <f>IF(I3569="fora",0%,G3569/QUÓRUM!$C$6)</f>
        <v>#DIV/0!</v>
      </c>
      <c r="I3569" s="87"/>
      <c r="J3569" s="88"/>
      <c r="K3569" s="88"/>
      <c r="L3569" s="89"/>
      <c r="M3569" s="89"/>
      <c r="Q3569" s="105"/>
    </row>
    <row r="3570" spans="3:17" x14ac:dyDescent="0.3">
      <c r="C3570" s="87"/>
      <c r="H3570" s="86" t="e">
        <f>IF(I3570="fora",0%,G3570/QUÓRUM!$C$6)</f>
        <v>#DIV/0!</v>
      </c>
      <c r="I3570" s="87"/>
      <c r="J3570" s="88"/>
      <c r="K3570" s="88"/>
      <c r="L3570" s="89"/>
      <c r="M3570" s="89"/>
      <c r="Q3570" s="105"/>
    </row>
    <row r="3571" spans="3:17" x14ac:dyDescent="0.3">
      <c r="C3571" s="87"/>
      <c r="H3571" s="86" t="e">
        <f>IF(I3571="fora",0%,G3571/QUÓRUM!$C$6)</f>
        <v>#DIV/0!</v>
      </c>
      <c r="I3571" s="87"/>
      <c r="J3571" s="88"/>
      <c r="K3571" s="88"/>
      <c r="L3571" s="89"/>
      <c r="M3571" s="89"/>
      <c r="Q3571" s="105"/>
    </row>
    <row r="3572" spans="3:17" x14ac:dyDescent="0.3">
      <c r="C3572" s="87"/>
      <c r="H3572" s="86" t="e">
        <f>IF(I3572="fora",0%,G3572/QUÓRUM!$C$6)</f>
        <v>#DIV/0!</v>
      </c>
      <c r="I3572" s="87"/>
      <c r="J3572" s="88"/>
      <c r="K3572" s="88"/>
      <c r="L3572" s="89"/>
      <c r="M3572" s="89"/>
      <c r="Q3572" s="105"/>
    </row>
    <row r="3573" spans="3:17" x14ac:dyDescent="0.3">
      <c r="C3573" s="87"/>
      <c r="H3573" s="86" t="e">
        <f>IF(I3573="fora",0%,G3573/QUÓRUM!$C$6)</f>
        <v>#DIV/0!</v>
      </c>
      <c r="I3573" s="87"/>
      <c r="J3573" s="88"/>
      <c r="K3573" s="88"/>
      <c r="L3573" s="89"/>
      <c r="M3573" s="89"/>
      <c r="Q3573" s="105"/>
    </row>
    <row r="3574" spans="3:17" x14ac:dyDescent="0.3">
      <c r="C3574" s="87"/>
      <c r="H3574" s="86" t="e">
        <f>IF(I3574="fora",0%,G3574/QUÓRUM!$C$6)</f>
        <v>#DIV/0!</v>
      </c>
      <c r="I3574" s="87"/>
      <c r="J3574" s="88"/>
      <c r="K3574" s="88"/>
      <c r="L3574" s="89"/>
      <c r="M3574" s="89"/>
      <c r="Q3574" s="105"/>
    </row>
    <row r="3575" spans="3:17" x14ac:dyDescent="0.3">
      <c r="C3575" s="87"/>
      <c r="H3575" s="86" t="e">
        <f>IF(I3575="fora",0%,G3575/QUÓRUM!$C$6)</f>
        <v>#DIV/0!</v>
      </c>
      <c r="I3575" s="87"/>
      <c r="J3575" s="88"/>
      <c r="K3575" s="88"/>
      <c r="L3575" s="89"/>
      <c r="M3575" s="89"/>
      <c r="Q3575" s="105"/>
    </row>
    <row r="3576" spans="3:17" x14ac:dyDescent="0.3">
      <c r="C3576" s="87"/>
      <c r="H3576" s="86" t="e">
        <f>IF(I3576="fora",0%,G3576/QUÓRUM!$C$6)</f>
        <v>#DIV/0!</v>
      </c>
      <c r="I3576" s="87"/>
      <c r="J3576" s="88"/>
      <c r="K3576" s="88"/>
      <c r="L3576" s="89"/>
      <c r="M3576" s="89"/>
      <c r="Q3576" s="105"/>
    </row>
    <row r="3577" spans="3:17" x14ac:dyDescent="0.3">
      <c r="C3577" s="87"/>
      <c r="H3577" s="86" t="e">
        <f>IF(I3577="fora",0%,G3577/QUÓRUM!$C$6)</f>
        <v>#DIV/0!</v>
      </c>
      <c r="I3577" s="87"/>
      <c r="J3577" s="88"/>
      <c r="K3577" s="88"/>
      <c r="L3577" s="89"/>
      <c r="M3577" s="89"/>
      <c r="Q3577" s="105"/>
    </row>
    <row r="3578" spans="3:17" x14ac:dyDescent="0.3">
      <c r="C3578" s="87"/>
      <c r="H3578" s="86" t="e">
        <f>IF(I3578="fora",0%,G3578/QUÓRUM!$C$6)</f>
        <v>#DIV/0!</v>
      </c>
      <c r="I3578" s="87"/>
      <c r="J3578" s="88"/>
      <c r="K3578" s="88"/>
      <c r="L3578" s="89"/>
      <c r="M3578" s="89"/>
      <c r="Q3578" s="105"/>
    </row>
    <row r="3579" spans="3:17" x14ac:dyDescent="0.3">
      <c r="C3579" s="87"/>
      <c r="H3579" s="86" t="e">
        <f>IF(I3579="fora",0%,G3579/QUÓRUM!$C$6)</f>
        <v>#DIV/0!</v>
      </c>
      <c r="I3579" s="87"/>
      <c r="J3579" s="88"/>
      <c r="K3579" s="88"/>
      <c r="L3579" s="89"/>
      <c r="M3579" s="89"/>
      <c r="Q3579" s="105"/>
    </row>
    <row r="3580" spans="3:17" x14ac:dyDescent="0.3">
      <c r="C3580" s="87"/>
      <c r="H3580" s="86" t="e">
        <f>IF(I3580="fora",0%,G3580/QUÓRUM!$C$6)</f>
        <v>#DIV/0!</v>
      </c>
      <c r="I3580" s="87"/>
      <c r="J3580" s="88"/>
      <c r="K3580" s="88"/>
      <c r="L3580" s="89"/>
      <c r="M3580" s="89"/>
      <c r="Q3580" s="105"/>
    </row>
    <row r="3581" spans="3:17" x14ac:dyDescent="0.3">
      <c r="C3581" s="87"/>
      <c r="H3581" s="86" t="e">
        <f>IF(I3581="fora",0%,G3581/QUÓRUM!$C$6)</f>
        <v>#DIV/0!</v>
      </c>
      <c r="I3581" s="87"/>
      <c r="J3581" s="88"/>
      <c r="K3581" s="88"/>
      <c r="L3581" s="89"/>
      <c r="M3581" s="89"/>
      <c r="Q3581" s="105"/>
    </row>
    <row r="3582" spans="3:17" x14ac:dyDescent="0.3">
      <c r="C3582" s="87"/>
      <c r="H3582" s="86" t="e">
        <f>IF(I3582="fora",0%,G3582/QUÓRUM!$C$6)</f>
        <v>#DIV/0!</v>
      </c>
      <c r="I3582" s="87"/>
      <c r="J3582" s="88"/>
      <c r="K3582" s="88"/>
      <c r="L3582" s="89"/>
      <c r="M3582" s="89"/>
      <c r="Q3582" s="105"/>
    </row>
    <row r="3583" spans="3:17" x14ac:dyDescent="0.3">
      <c r="C3583" s="87"/>
      <c r="H3583" s="86" t="e">
        <f>IF(I3583="fora",0%,G3583/QUÓRUM!$C$6)</f>
        <v>#DIV/0!</v>
      </c>
      <c r="I3583" s="87"/>
      <c r="J3583" s="88"/>
      <c r="K3583" s="88"/>
      <c r="L3583" s="89"/>
      <c r="M3583" s="89"/>
      <c r="Q3583" s="105"/>
    </row>
    <row r="3584" spans="3:17" x14ac:dyDescent="0.3">
      <c r="C3584" s="87"/>
      <c r="H3584" s="86" t="e">
        <f>IF(I3584="fora",0%,G3584/QUÓRUM!$C$6)</f>
        <v>#DIV/0!</v>
      </c>
      <c r="I3584" s="87"/>
      <c r="J3584" s="88"/>
      <c r="K3584" s="88"/>
      <c r="L3584" s="89"/>
      <c r="M3584" s="89"/>
      <c r="Q3584" s="105"/>
    </row>
    <row r="3585" spans="3:17" x14ac:dyDescent="0.3">
      <c r="C3585" s="87"/>
      <c r="H3585" s="86" t="e">
        <f>IF(I3585="fora",0%,G3585/QUÓRUM!$C$6)</f>
        <v>#DIV/0!</v>
      </c>
      <c r="I3585" s="87"/>
      <c r="J3585" s="88"/>
      <c r="K3585" s="88"/>
      <c r="L3585" s="89"/>
      <c r="M3585" s="89"/>
      <c r="Q3585" s="105"/>
    </row>
    <row r="3586" spans="3:17" x14ac:dyDescent="0.3">
      <c r="C3586" s="87"/>
      <c r="H3586" s="86" t="e">
        <f>IF(I3586="fora",0%,G3586/QUÓRUM!$C$6)</f>
        <v>#DIV/0!</v>
      </c>
      <c r="I3586" s="87"/>
      <c r="J3586" s="88"/>
      <c r="K3586" s="88"/>
      <c r="L3586" s="89"/>
      <c r="M3586" s="89"/>
      <c r="Q3586" s="105"/>
    </row>
    <row r="3587" spans="3:17" x14ac:dyDescent="0.3">
      <c r="C3587" s="87"/>
      <c r="H3587" s="86" t="e">
        <f>IF(I3587="fora",0%,G3587/QUÓRUM!$C$6)</f>
        <v>#DIV/0!</v>
      </c>
      <c r="I3587" s="87"/>
      <c r="J3587" s="88"/>
      <c r="K3587" s="88"/>
      <c r="L3587" s="89"/>
      <c r="M3587" s="89"/>
      <c r="Q3587" s="105"/>
    </row>
    <row r="3588" spans="3:17" x14ac:dyDescent="0.3">
      <c r="C3588" s="87"/>
      <c r="H3588" s="86" t="e">
        <f>IF(I3588="fora",0%,G3588/QUÓRUM!$C$6)</f>
        <v>#DIV/0!</v>
      </c>
      <c r="I3588" s="87"/>
      <c r="J3588" s="88"/>
      <c r="K3588" s="88"/>
      <c r="L3588" s="89"/>
      <c r="M3588" s="89"/>
      <c r="Q3588" s="105"/>
    </row>
    <row r="3589" spans="3:17" x14ac:dyDescent="0.3">
      <c r="C3589" s="87"/>
      <c r="H3589" s="86" t="e">
        <f>IF(I3589="fora",0%,G3589/QUÓRUM!$C$6)</f>
        <v>#DIV/0!</v>
      </c>
      <c r="I3589" s="87"/>
      <c r="J3589" s="88"/>
      <c r="K3589" s="88"/>
      <c r="L3589" s="89"/>
      <c r="M3589" s="89"/>
      <c r="Q3589" s="105"/>
    </row>
    <row r="3590" spans="3:17" x14ac:dyDescent="0.3">
      <c r="C3590" s="87"/>
      <c r="H3590" s="86" t="e">
        <f>IF(I3590="fora",0%,G3590/QUÓRUM!$C$6)</f>
        <v>#DIV/0!</v>
      </c>
      <c r="I3590" s="87"/>
      <c r="J3590" s="88"/>
      <c r="K3590" s="88"/>
      <c r="L3590" s="89"/>
      <c r="M3590" s="89"/>
      <c r="Q3590" s="105"/>
    </row>
    <row r="3591" spans="3:17" x14ac:dyDescent="0.3">
      <c r="C3591" s="87"/>
      <c r="H3591" s="86" t="e">
        <f>IF(I3591="fora",0%,G3591/QUÓRUM!$C$6)</f>
        <v>#DIV/0!</v>
      </c>
      <c r="I3591" s="87"/>
      <c r="J3591" s="88"/>
      <c r="K3591" s="88"/>
      <c r="L3591" s="89"/>
      <c r="M3591" s="89"/>
      <c r="Q3591" s="105"/>
    </row>
    <row r="3592" spans="3:17" x14ac:dyDescent="0.3">
      <c r="C3592" s="87"/>
      <c r="H3592" s="86" t="e">
        <f>IF(I3592="fora",0%,G3592/QUÓRUM!$C$6)</f>
        <v>#DIV/0!</v>
      </c>
      <c r="I3592" s="87"/>
      <c r="J3592" s="88"/>
      <c r="K3592" s="88"/>
      <c r="L3592" s="89"/>
      <c r="M3592" s="89"/>
      <c r="Q3592" s="105"/>
    </row>
    <row r="3593" spans="3:17" x14ac:dyDescent="0.3">
      <c r="C3593" s="87"/>
      <c r="H3593" s="86" t="e">
        <f>IF(I3593="fora",0%,G3593/QUÓRUM!$C$6)</f>
        <v>#DIV/0!</v>
      </c>
      <c r="I3593" s="87"/>
      <c r="J3593" s="88"/>
      <c r="K3593" s="88"/>
      <c r="L3593" s="89"/>
      <c r="M3593" s="89"/>
      <c r="Q3593" s="105"/>
    </row>
    <row r="3594" spans="3:17" x14ac:dyDescent="0.3">
      <c r="C3594" s="87"/>
      <c r="H3594" s="86" t="e">
        <f>IF(I3594="fora",0%,G3594/QUÓRUM!$C$6)</f>
        <v>#DIV/0!</v>
      </c>
      <c r="I3594" s="87"/>
      <c r="J3594" s="88"/>
      <c r="K3594" s="88"/>
      <c r="L3594" s="89"/>
      <c r="M3594" s="89"/>
      <c r="Q3594" s="105"/>
    </row>
    <row r="3595" spans="3:17" x14ac:dyDescent="0.3">
      <c r="C3595" s="87"/>
      <c r="H3595" s="86" t="e">
        <f>IF(I3595="fora",0%,G3595/QUÓRUM!$C$6)</f>
        <v>#DIV/0!</v>
      </c>
      <c r="I3595" s="87"/>
      <c r="J3595" s="88"/>
      <c r="K3595" s="88"/>
      <c r="L3595" s="89"/>
      <c r="M3595" s="89"/>
      <c r="Q3595" s="105"/>
    </row>
    <row r="3596" spans="3:17" x14ac:dyDescent="0.3">
      <c r="C3596" s="87"/>
      <c r="H3596" s="86" t="e">
        <f>IF(I3596="fora",0%,G3596/QUÓRUM!$C$6)</f>
        <v>#DIV/0!</v>
      </c>
      <c r="I3596" s="87"/>
      <c r="J3596" s="88"/>
      <c r="K3596" s="88"/>
      <c r="L3596" s="89"/>
      <c r="M3596" s="89"/>
      <c r="Q3596" s="105"/>
    </row>
    <row r="3597" spans="3:17" x14ac:dyDescent="0.3">
      <c r="C3597" s="87"/>
      <c r="H3597" s="86" t="e">
        <f>IF(I3597="fora",0%,G3597/QUÓRUM!$C$6)</f>
        <v>#DIV/0!</v>
      </c>
      <c r="I3597" s="87"/>
      <c r="J3597" s="88"/>
      <c r="K3597" s="88"/>
      <c r="L3597" s="89"/>
      <c r="M3597" s="89"/>
      <c r="Q3597" s="105"/>
    </row>
    <row r="3598" spans="3:17" x14ac:dyDescent="0.3">
      <c r="C3598" s="87"/>
      <c r="H3598" s="86" t="e">
        <f>IF(I3598="fora",0%,G3598/QUÓRUM!$C$6)</f>
        <v>#DIV/0!</v>
      </c>
      <c r="I3598" s="87"/>
      <c r="J3598" s="88"/>
      <c r="K3598" s="88"/>
      <c r="L3598" s="89"/>
      <c r="M3598" s="89"/>
      <c r="Q3598" s="105"/>
    </row>
    <row r="3599" spans="3:17" x14ac:dyDescent="0.3">
      <c r="C3599" s="87"/>
      <c r="H3599" s="86" t="e">
        <f>IF(I3599="fora",0%,G3599/QUÓRUM!$C$6)</f>
        <v>#DIV/0!</v>
      </c>
      <c r="I3599" s="87"/>
      <c r="J3599" s="88"/>
      <c r="K3599" s="88"/>
      <c r="L3599" s="89"/>
      <c r="M3599" s="89"/>
      <c r="Q3599" s="105"/>
    </row>
    <row r="3600" spans="3:17" x14ac:dyDescent="0.3">
      <c r="C3600" s="87"/>
      <c r="H3600" s="86" t="e">
        <f>IF(I3600="fora",0%,G3600/QUÓRUM!$C$6)</f>
        <v>#DIV/0!</v>
      </c>
      <c r="I3600" s="87"/>
      <c r="J3600" s="88"/>
      <c r="K3600" s="88"/>
      <c r="L3600" s="89"/>
      <c r="M3600" s="89"/>
      <c r="Q3600" s="105"/>
    </row>
    <row r="3601" spans="3:17" x14ac:dyDescent="0.3">
      <c r="C3601" s="87"/>
      <c r="H3601" s="86" t="e">
        <f>IF(I3601="fora",0%,G3601/QUÓRUM!$C$6)</f>
        <v>#DIV/0!</v>
      </c>
      <c r="I3601" s="87"/>
      <c r="J3601" s="88"/>
      <c r="K3601" s="88"/>
      <c r="L3601" s="89"/>
      <c r="M3601" s="89"/>
      <c r="Q3601" s="105"/>
    </row>
    <row r="3602" spans="3:17" x14ac:dyDescent="0.3">
      <c r="C3602" s="87"/>
      <c r="H3602" s="86" t="e">
        <f>IF(I3602="fora",0%,G3602/QUÓRUM!$C$6)</f>
        <v>#DIV/0!</v>
      </c>
      <c r="I3602" s="87"/>
      <c r="J3602" s="88"/>
      <c r="K3602" s="88"/>
      <c r="L3602" s="89"/>
      <c r="M3602" s="89"/>
      <c r="Q3602" s="105"/>
    </row>
    <row r="3603" spans="3:17" x14ac:dyDescent="0.3">
      <c r="C3603" s="87"/>
      <c r="H3603" s="86" t="e">
        <f>IF(I3603="fora",0%,G3603/QUÓRUM!$C$6)</f>
        <v>#DIV/0!</v>
      </c>
      <c r="I3603" s="87"/>
      <c r="J3603" s="88"/>
      <c r="K3603" s="88"/>
      <c r="L3603" s="89"/>
      <c r="M3603" s="89"/>
      <c r="Q3603" s="105"/>
    </row>
    <row r="3604" spans="3:17" x14ac:dyDescent="0.3">
      <c r="C3604" s="87"/>
      <c r="H3604" s="86" t="e">
        <f>IF(I3604="fora",0%,G3604/QUÓRUM!$C$6)</f>
        <v>#DIV/0!</v>
      </c>
      <c r="I3604" s="87"/>
      <c r="J3604" s="88"/>
      <c r="K3604" s="88"/>
      <c r="L3604" s="89"/>
      <c r="M3604" s="89"/>
      <c r="Q3604" s="105"/>
    </row>
    <row r="3605" spans="3:17" x14ac:dyDescent="0.3">
      <c r="C3605" s="87"/>
      <c r="H3605" s="86" t="e">
        <f>IF(I3605="fora",0%,G3605/QUÓRUM!$C$6)</f>
        <v>#DIV/0!</v>
      </c>
      <c r="I3605" s="87"/>
      <c r="J3605" s="88"/>
      <c r="K3605" s="88"/>
      <c r="L3605" s="89"/>
      <c r="M3605" s="89"/>
      <c r="Q3605" s="105"/>
    </row>
    <row r="3606" spans="3:17" x14ac:dyDescent="0.3">
      <c r="C3606" s="87"/>
      <c r="H3606" s="86" t="e">
        <f>IF(I3606="fora",0%,G3606/QUÓRUM!$C$6)</f>
        <v>#DIV/0!</v>
      </c>
      <c r="I3606" s="87"/>
      <c r="J3606" s="88"/>
      <c r="K3606" s="88"/>
      <c r="L3606" s="89"/>
      <c r="M3606" s="89"/>
      <c r="Q3606" s="105"/>
    </row>
    <row r="3607" spans="3:17" x14ac:dyDescent="0.3">
      <c r="C3607" s="87"/>
      <c r="H3607" s="86" t="e">
        <f>IF(I3607="fora",0%,G3607/QUÓRUM!$C$6)</f>
        <v>#DIV/0!</v>
      </c>
      <c r="I3607" s="87"/>
      <c r="J3607" s="88"/>
      <c r="K3607" s="88"/>
      <c r="L3607" s="89"/>
      <c r="M3607" s="89"/>
      <c r="Q3607" s="105"/>
    </row>
    <row r="3608" spans="3:17" x14ac:dyDescent="0.3">
      <c r="C3608" s="87"/>
      <c r="H3608" s="86" t="e">
        <f>IF(I3608="fora",0%,G3608/QUÓRUM!$C$6)</f>
        <v>#DIV/0!</v>
      </c>
      <c r="I3608" s="87"/>
      <c r="J3608" s="88"/>
      <c r="K3608" s="88"/>
      <c r="L3608" s="89"/>
      <c r="M3608" s="89"/>
      <c r="Q3608" s="105"/>
    </row>
    <row r="3609" spans="3:17" x14ac:dyDescent="0.3">
      <c r="C3609" s="87"/>
      <c r="H3609" s="86" t="e">
        <f>IF(I3609="fora",0%,G3609/QUÓRUM!$C$6)</f>
        <v>#DIV/0!</v>
      </c>
      <c r="I3609" s="87"/>
      <c r="J3609" s="88"/>
      <c r="K3609" s="88"/>
      <c r="L3609" s="89"/>
      <c r="M3609" s="89"/>
      <c r="Q3609" s="105"/>
    </row>
    <row r="3610" spans="3:17" x14ac:dyDescent="0.3">
      <c r="C3610" s="87"/>
      <c r="H3610" s="86" t="e">
        <f>IF(I3610="fora",0%,G3610/QUÓRUM!$C$6)</f>
        <v>#DIV/0!</v>
      </c>
      <c r="I3610" s="87"/>
      <c r="J3610" s="88"/>
      <c r="K3610" s="88"/>
      <c r="L3610" s="89"/>
      <c r="M3610" s="89"/>
      <c r="Q3610" s="105"/>
    </row>
    <row r="3611" spans="3:17" x14ac:dyDescent="0.3">
      <c r="C3611" s="87"/>
      <c r="H3611" s="86" t="e">
        <f>IF(I3611="fora",0%,G3611/QUÓRUM!$C$6)</f>
        <v>#DIV/0!</v>
      </c>
      <c r="I3611" s="87"/>
      <c r="J3611" s="88"/>
      <c r="K3611" s="88"/>
      <c r="L3611" s="89"/>
      <c r="M3611" s="89"/>
      <c r="Q3611" s="105"/>
    </row>
    <row r="3612" spans="3:17" x14ac:dyDescent="0.3">
      <c r="C3612" s="87"/>
      <c r="H3612" s="86" t="e">
        <f>IF(I3612="fora",0%,G3612/QUÓRUM!$C$6)</f>
        <v>#DIV/0!</v>
      </c>
      <c r="I3612" s="87"/>
      <c r="J3612" s="88"/>
      <c r="K3612" s="88"/>
      <c r="L3612" s="89"/>
      <c r="M3612" s="89"/>
      <c r="Q3612" s="105"/>
    </row>
    <row r="3613" spans="3:17" x14ac:dyDescent="0.3">
      <c r="C3613" s="87"/>
      <c r="H3613" s="86" t="e">
        <f>IF(I3613="fora",0%,G3613/QUÓRUM!$C$6)</f>
        <v>#DIV/0!</v>
      </c>
      <c r="I3613" s="87"/>
      <c r="J3613" s="88"/>
      <c r="K3613" s="88"/>
      <c r="L3613" s="89"/>
      <c r="M3613" s="89"/>
      <c r="Q3613" s="105"/>
    </row>
    <row r="3614" spans="3:17" x14ac:dyDescent="0.3">
      <c r="C3614" s="87"/>
      <c r="H3614" s="86" t="e">
        <f>IF(I3614="fora",0%,G3614/QUÓRUM!$C$6)</f>
        <v>#DIV/0!</v>
      </c>
      <c r="I3614" s="87"/>
      <c r="J3614" s="88"/>
      <c r="K3614" s="88"/>
      <c r="L3614" s="89"/>
      <c r="M3614" s="89"/>
      <c r="Q3614" s="105"/>
    </row>
    <row r="3615" spans="3:17" x14ac:dyDescent="0.3">
      <c r="C3615" s="87"/>
      <c r="H3615" s="86" t="e">
        <f>IF(I3615="fora",0%,G3615/QUÓRUM!$C$6)</f>
        <v>#DIV/0!</v>
      </c>
      <c r="I3615" s="87"/>
      <c r="J3615" s="88"/>
      <c r="K3615" s="88"/>
      <c r="L3615" s="89"/>
      <c r="M3615" s="89"/>
      <c r="Q3615" s="105"/>
    </row>
    <row r="3616" spans="3:17" x14ac:dyDescent="0.3">
      <c r="C3616" s="87"/>
      <c r="H3616" s="86" t="e">
        <f>IF(I3616="fora",0%,G3616/QUÓRUM!$C$6)</f>
        <v>#DIV/0!</v>
      </c>
      <c r="I3616" s="87"/>
      <c r="J3616" s="88"/>
      <c r="K3616" s="88"/>
      <c r="L3616" s="89"/>
      <c r="M3616" s="89"/>
      <c r="Q3616" s="105"/>
    </row>
    <row r="3617" spans="3:17" x14ac:dyDescent="0.3">
      <c r="C3617" s="87"/>
      <c r="H3617" s="86" t="e">
        <f>IF(I3617="fora",0%,G3617/QUÓRUM!$C$6)</f>
        <v>#DIV/0!</v>
      </c>
      <c r="I3617" s="87"/>
      <c r="J3617" s="88"/>
      <c r="K3617" s="88"/>
      <c r="L3617" s="89"/>
      <c r="M3617" s="89"/>
      <c r="Q3617" s="105"/>
    </row>
    <row r="3618" spans="3:17" x14ac:dyDescent="0.3">
      <c r="C3618" s="87"/>
      <c r="H3618" s="86" t="e">
        <f>IF(I3618="fora",0%,G3618/QUÓRUM!$C$6)</f>
        <v>#DIV/0!</v>
      </c>
      <c r="I3618" s="87"/>
      <c r="J3618" s="88"/>
      <c r="K3618" s="88"/>
      <c r="L3618" s="89"/>
      <c r="M3618" s="89"/>
      <c r="Q3618" s="105"/>
    </row>
    <row r="3619" spans="3:17" x14ac:dyDescent="0.3">
      <c r="C3619" s="87"/>
      <c r="H3619" s="86" t="e">
        <f>IF(I3619="fora",0%,G3619/QUÓRUM!$C$6)</f>
        <v>#DIV/0!</v>
      </c>
      <c r="I3619" s="87"/>
      <c r="J3619" s="88"/>
      <c r="K3619" s="88"/>
      <c r="L3619" s="89"/>
      <c r="M3619" s="89"/>
      <c r="Q3619" s="105"/>
    </row>
    <row r="3620" spans="3:17" x14ac:dyDescent="0.3">
      <c r="C3620" s="87"/>
      <c r="H3620" s="86" t="e">
        <f>IF(I3620="fora",0%,G3620/QUÓRUM!$C$6)</f>
        <v>#DIV/0!</v>
      </c>
      <c r="I3620" s="87"/>
      <c r="J3620" s="88"/>
      <c r="K3620" s="88"/>
      <c r="L3620" s="89"/>
      <c r="M3620" s="89"/>
      <c r="Q3620" s="105"/>
    </row>
    <row r="3621" spans="3:17" x14ac:dyDescent="0.3">
      <c r="C3621" s="87"/>
      <c r="H3621" s="86" t="e">
        <f>IF(I3621="fora",0%,G3621/QUÓRUM!$C$6)</f>
        <v>#DIV/0!</v>
      </c>
      <c r="I3621" s="87"/>
      <c r="J3621" s="88"/>
      <c r="K3621" s="88"/>
      <c r="L3621" s="89"/>
      <c r="M3621" s="89"/>
      <c r="Q3621" s="105"/>
    </row>
    <row r="3622" spans="3:17" x14ac:dyDescent="0.3">
      <c r="C3622" s="87"/>
      <c r="H3622" s="86" t="e">
        <f>IF(I3622="fora",0%,G3622/QUÓRUM!$C$6)</f>
        <v>#DIV/0!</v>
      </c>
      <c r="I3622" s="87"/>
      <c r="J3622" s="88"/>
      <c r="K3622" s="88"/>
      <c r="L3622" s="89"/>
      <c r="M3622" s="89"/>
      <c r="Q3622" s="105"/>
    </row>
    <row r="3623" spans="3:17" x14ac:dyDescent="0.3">
      <c r="C3623" s="87"/>
      <c r="H3623" s="86" t="e">
        <f>IF(I3623="fora",0%,G3623/QUÓRUM!$C$6)</f>
        <v>#DIV/0!</v>
      </c>
      <c r="I3623" s="87"/>
      <c r="J3623" s="88"/>
      <c r="K3623" s="88"/>
      <c r="L3623" s="89"/>
      <c r="M3623" s="89"/>
      <c r="Q3623" s="105"/>
    </row>
    <row r="3624" spans="3:17" x14ac:dyDescent="0.3">
      <c r="C3624" s="87"/>
      <c r="H3624" s="86" t="e">
        <f>IF(I3624="fora",0%,G3624/QUÓRUM!$C$6)</f>
        <v>#DIV/0!</v>
      </c>
      <c r="I3624" s="87"/>
      <c r="J3624" s="88"/>
      <c r="K3624" s="88"/>
      <c r="L3624" s="89"/>
      <c r="M3624" s="89"/>
      <c r="Q3624" s="105"/>
    </row>
    <row r="3625" spans="3:17" x14ac:dyDescent="0.3">
      <c r="C3625" s="87"/>
      <c r="H3625" s="86" t="e">
        <f>IF(I3625="fora",0%,G3625/QUÓRUM!$C$6)</f>
        <v>#DIV/0!</v>
      </c>
      <c r="I3625" s="87"/>
      <c r="J3625" s="88"/>
      <c r="K3625" s="88"/>
      <c r="L3625" s="89"/>
      <c r="M3625" s="89"/>
      <c r="Q3625" s="105"/>
    </row>
    <row r="3626" spans="3:17" x14ac:dyDescent="0.3">
      <c r="C3626" s="87"/>
      <c r="H3626" s="86" t="e">
        <f>IF(I3626="fora",0%,G3626/QUÓRUM!$C$6)</f>
        <v>#DIV/0!</v>
      </c>
      <c r="I3626" s="87"/>
      <c r="J3626" s="88"/>
      <c r="K3626" s="88"/>
      <c r="L3626" s="89"/>
      <c r="M3626" s="89"/>
      <c r="Q3626" s="105"/>
    </row>
    <row r="3627" spans="3:17" x14ac:dyDescent="0.3">
      <c r="C3627" s="87"/>
      <c r="H3627" s="86" t="e">
        <f>IF(I3627="fora",0%,G3627/QUÓRUM!$C$6)</f>
        <v>#DIV/0!</v>
      </c>
      <c r="I3627" s="87"/>
      <c r="J3627" s="88"/>
      <c r="K3627" s="88"/>
      <c r="L3627" s="89"/>
      <c r="M3627" s="89"/>
      <c r="Q3627" s="105"/>
    </row>
    <row r="3628" spans="3:17" x14ac:dyDescent="0.3">
      <c r="C3628" s="87"/>
      <c r="H3628" s="86" t="e">
        <f>IF(I3628="fora",0%,G3628/QUÓRUM!$C$6)</f>
        <v>#DIV/0!</v>
      </c>
      <c r="I3628" s="87"/>
      <c r="J3628" s="88"/>
      <c r="K3628" s="88"/>
      <c r="L3628" s="89"/>
      <c r="M3628" s="89"/>
      <c r="Q3628" s="105"/>
    </row>
    <row r="3629" spans="3:17" x14ac:dyDescent="0.3">
      <c r="C3629" s="87"/>
      <c r="H3629" s="86" t="e">
        <f>IF(I3629="fora",0%,G3629/QUÓRUM!$C$6)</f>
        <v>#DIV/0!</v>
      </c>
      <c r="I3629" s="87"/>
      <c r="J3629" s="88"/>
      <c r="K3629" s="88"/>
      <c r="L3629" s="89"/>
      <c r="M3629" s="89"/>
      <c r="Q3629" s="105"/>
    </row>
    <row r="3630" spans="3:17" x14ac:dyDescent="0.3">
      <c r="C3630" s="87"/>
      <c r="H3630" s="86" t="e">
        <f>IF(I3630="fora",0%,G3630/QUÓRUM!$C$6)</f>
        <v>#DIV/0!</v>
      </c>
      <c r="I3630" s="87"/>
      <c r="J3630" s="88"/>
      <c r="K3630" s="88"/>
      <c r="L3630" s="89"/>
      <c r="M3630" s="89"/>
      <c r="Q3630" s="105"/>
    </row>
    <row r="3631" spans="3:17" x14ac:dyDescent="0.3">
      <c r="C3631" s="87"/>
      <c r="H3631" s="86" t="e">
        <f>IF(I3631="fora",0%,G3631/QUÓRUM!$C$6)</f>
        <v>#DIV/0!</v>
      </c>
      <c r="I3631" s="87"/>
      <c r="J3631" s="88"/>
      <c r="K3631" s="88"/>
      <c r="L3631" s="89"/>
      <c r="M3631" s="89"/>
      <c r="Q3631" s="105"/>
    </row>
    <row r="3632" spans="3:17" x14ac:dyDescent="0.3">
      <c r="C3632" s="87"/>
      <c r="H3632" s="86" t="e">
        <f>IF(I3632="fora",0%,G3632/QUÓRUM!$C$6)</f>
        <v>#DIV/0!</v>
      </c>
      <c r="I3632" s="87"/>
      <c r="J3632" s="88"/>
      <c r="K3632" s="88"/>
      <c r="L3632" s="89"/>
      <c r="M3632" s="89"/>
      <c r="Q3632" s="105"/>
    </row>
    <row r="3633" spans="3:17" x14ac:dyDescent="0.3">
      <c r="C3633" s="87"/>
      <c r="H3633" s="86" t="e">
        <f>IF(I3633="fora",0%,G3633/QUÓRUM!$C$6)</f>
        <v>#DIV/0!</v>
      </c>
      <c r="I3633" s="87"/>
      <c r="J3633" s="88"/>
      <c r="K3633" s="88"/>
      <c r="L3633" s="89"/>
      <c r="M3633" s="89"/>
      <c r="Q3633" s="105"/>
    </row>
    <row r="3634" spans="3:17" x14ac:dyDescent="0.3">
      <c r="C3634" s="87"/>
      <c r="H3634" s="86" t="e">
        <f>IF(I3634="fora",0%,G3634/QUÓRUM!$C$6)</f>
        <v>#DIV/0!</v>
      </c>
      <c r="I3634" s="87"/>
      <c r="J3634" s="88"/>
      <c r="K3634" s="88"/>
      <c r="L3634" s="89"/>
      <c r="M3634" s="89"/>
      <c r="Q3634" s="105"/>
    </row>
    <row r="3635" spans="3:17" x14ac:dyDescent="0.3">
      <c r="C3635" s="87"/>
      <c r="H3635" s="86" t="e">
        <f>IF(I3635="fora",0%,G3635/QUÓRUM!$C$6)</f>
        <v>#DIV/0!</v>
      </c>
      <c r="I3635" s="87"/>
      <c r="J3635" s="88"/>
      <c r="K3635" s="88"/>
      <c r="L3635" s="89"/>
      <c r="M3635" s="89"/>
      <c r="Q3635" s="105"/>
    </row>
    <row r="3636" spans="3:17" x14ac:dyDescent="0.3">
      <c r="C3636" s="87"/>
      <c r="H3636" s="86" t="e">
        <f>IF(I3636="fora",0%,G3636/QUÓRUM!$C$6)</f>
        <v>#DIV/0!</v>
      </c>
      <c r="I3636" s="87"/>
      <c r="J3636" s="88"/>
      <c r="K3636" s="88"/>
      <c r="L3636" s="89"/>
      <c r="M3636" s="89"/>
      <c r="Q3636" s="105"/>
    </row>
    <row r="3637" spans="3:17" x14ac:dyDescent="0.3">
      <c r="C3637" s="87"/>
      <c r="H3637" s="86" t="e">
        <f>IF(I3637="fora",0%,G3637/QUÓRUM!$C$6)</f>
        <v>#DIV/0!</v>
      </c>
      <c r="I3637" s="87"/>
      <c r="J3637" s="88"/>
      <c r="K3637" s="88"/>
      <c r="L3637" s="89"/>
      <c r="M3637" s="89"/>
      <c r="Q3637" s="105"/>
    </row>
    <row r="3638" spans="3:17" x14ac:dyDescent="0.3">
      <c r="C3638" s="87"/>
      <c r="H3638" s="86" t="e">
        <f>IF(I3638="fora",0%,G3638/QUÓRUM!$C$6)</f>
        <v>#DIV/0!</v>
      </c>
      <c r="I3638" s="87"/>
      <c r="J3638" s="88"/>
      <c r="K3638" s="88"/>
      <c r="L3638" s="89"/>
      <c r="M3638" s="89"/>
      <c r="Q3638" s="105"/>
    </row>
    <row r="3639" spans="3:17" x14ac:dyDescent="0.3">
      <c r="C3639" s="87"/>
      <c r="H3639" s="86" t="e">
        <f>IF(I3639="fora",0%,G3639/QUÓRUM!$C$6)</f>
        <v>#DIV/0!</v>
      </c>
      <c r="I3639" s="87"/>
      <c r="J3639" s="88"/>
      <c r="K3639" s="88"/>
      <c r="L3639" s="89"/>
      <c r="M3639" s="89"/>
      <c r="Q3639" s="105"/>
    </row>
    <row r="3640" spans="3:17" x14ac:dyDescent="0.3">
      <c r="C3640" s="87"/>
      <c r="H3640" s="86" t="e">
        <f>IF(I3640="fora",0%,G3640/QUÓRUM!$C$6)</f>
        <v>#DIV/0!</v>
      </c>
      <c r="I3640" s="87"/>
      <c r="J3640" s="88"/>
      <c r="K3640" s="88"/>
      <c r="L3640" s="89"/>
      <c r="M3640" s="89"/>
      <c r="Q3640" s="105"/>
    </row>
    <row r="3641" spans="3:17" x14ac:dyDescent="0.3">
      <c r="C3641" s="87"/>
      <c r="H3641" s="86" t="e">
        <f>IF(I3641="fora",0%,G3641/QUÓRUM!$C$6)</f>
        <v>#DIV/0!</v>
      </c>
      <c r="I3641" s="87"/>
      <c r="J3641" s="88"/>
      <c r="K3641" s="88"/>
      <c r="L3641" s="89"/>
      <c r="M3641" s="89"/>
      <c r="Q3641" s="105"/>
    </row>
    <row r="3642" spans="3:17" x14ac:dyDescent="0.3">
      <c r="C3642" s="87"/>
      <c r="H3642" s="86" t="e">
        <f>IF(I3642="fora",0%,G3642/QUÓRUM!$C$6)</f>
        <v>#DIV/0!</v>
      </c>
      <c r="I3642" s="87"/>
      <c r="J3642" s="88"/>
      <c r="K3642" s="88"/>
      <c r="L3642" s="89"/>
      <c r="M3642" s="89"/>
      <c r="Q3642" s="105"/>
    </row>
    <row r="3643" spans="3:17" x14ac:dyDescent="0.3">
      <c r="C3643" s="87"/>
      <c r="H3643" s="86" t="e">
        <f>IF(I3643="fora",0%,G3643/QUÓRUM!$C$6)</f>
        <v>#DIV/0!</v>
      </c>
      <c r="I3643" s="87"/>
      <c r="J3643" s="88"/>
      <c r="K3643" s="88"/>
      <c r="L3643" s="89"/>
      <c r="M3643" s="89"/>
      <c r="Q3643" s="105"/>
    </row>
    <row r="3644" spans="3:17" x14ac:dyDescent="0.3">
      <c r="C3644" s="87"/>
      <c r="H3644" s="86" t="e">
        <f>IF(I3644="fora",0%,G3644/QUÓRUM!$C$6)</f>
        <v>#DIV/0!</v>
      </c>
      <c r="I3644" s="87"/>
      <c r="J3644" s="88"/>
      <c r="K3644" s="88"/>
      <c r="L3644" s="89"/>
      <c r="M3644" s="89"/>
      <c r="Q3644" s="105"/>
    </row>
    <row r="3645" spans="3:17" x14ac:dyDescent="0.3">
      <c r="C3645" s="87"/>
      <c r="H3645" s="86" t="e">
        <f>IF(I3645="fora",0%,G3645/QUÓRUM!$C$6)</f>
        <v>#DIV/0!</v>
      </c>
      <c r="I3645" s="87"/>
      <c r="J3645" s="88"/>
      <c r="K3645" s="88"/>
      <c r="L3645" s="89"/>
      <c r="M3645" s="89"/>
      <c r="Q3645" s="105"/>
    </row>
    <row r="3646" spans="3:17" x14ac:dyDescent="0.3">
      <c r="C3646" s="87"/>
      <c r="H3646" s="86" t="e">
        <f>IF(I3646="fora",0%,G3646/QUÓRUM!$C$6)</f>
        <v>#DIV/0!</v>
      </c>
      <c r="I3646" s="87"/>
      <c r="J3646" s="88"/>
      <c r="K3646" s="88"/>
      <c r="L3646" s="89"/>
      <c r="M3646" s="89"/>
      <c r="Q3646" s="105"/>
    </row>
    <row r="3647" spans="3:17" x14ac:dyDescent="0.3">
      <c r="C3647" s="87"/>
      <c r="H3647" s="86" t="e">
        <f>IF(I3647="fora",0%,G3647/QUÓRUM!$C$6)</f>
        <v>#DIV/0!</v>
      </c>
      <c r="I3647" s="87"/>
      <c r="J3647" s="88"/>
      <c r="K3647" s="88"/>
      <c r="L3647" s="89"/>
      <c r="M3647" s="89"/>
      <c r="Q3647" s="105"/>
    </row>
    <row r="3648" spans="3:17" x14ac:dyDescent="0.3">
      <c r="C3648" s="87"/>
      <c r="H3648" s="86" t="e">
        <f>IF(I3648="fora",0%,G3648/QUÓRUM!$C$6)</f>
        <v>#DIV/0!</v>
      </c>
      <c r="I3648" s="87"/>
      <c r="J3648" s="88"/>
      <c r="K3648" s="88"/>
      <c r="L3648" s="89"/>
      <c r="M3648" s="89"/>
      <c r="Q3648" s="105"/>
    </row>
    <row r="3649" spans="3:17" x14ac:dyDescent="0.3">
      <c r="C3649" s="87"/>
      <c r="H3649" s="86" t="e">
        <f>IF(I3649="fora",0%,G3649/QUÓRUM!$C$6)</f>
        <v>#DIV/0!</v>
      </c>
      <c r="I3649" s="87"/>
      <c r="J3649" s="88"/>
      <c r="K3649" s="88"/>
      <c r="L3649" s="89"/>
      <c r="M3649" s="89"/>
      <c r="Q3649" s="105"/>
    </row>
    <row r="3650" spans="3:17" x14ac:dyDescent="0.3">
      <c r="C3650" s="87"/>
      <c r="H3650" s="86" t="e">
        <f>IF(I3650="fora",0%,G3650/QUÓRUM!$C$6)</f>
        <v>#DIV/0!</v>
      </c>
      <c r="I3650" s="87"/>
      <c r="J3650" s="88"/>
      <c r="K3650" s="88"/>
      <c r="L3650" s="89"/>
      <c r="M3650" s="89"/>
      <c r="Q3650" s="105"/>
    </row>
    <row r="3651" spans="3:17" x14ac:dyDescent="0.3">
      <c r="C3651" s="87"/>
      <c r="H3651" s="86" t="e">
        <f>IF(I3651="fora",0%,G3651/QUÓRUM!$C$6)</f>
        <v>#DIV/0!</v>
      </c>
      <c r="I3651" s="87"/>
      <c r="J3651" s="88"/>
      <c r="K3651" s="88"/>
      <c r="L3651" s="89"/>
      <c r="M3651" s="89"/>
      <c r="Q3651" s="105"/>
    </row>
    <row r="3652" spans="3:17" x14ac:dyDescent="0.3">
      <c r="C3652" s="87"/>
      <c r="H3652" s="86" t="e">
        <f>IF(I3652="fora",0%,G3652/QUÓRUM!$C$6)</f>
        <v>#DIV/0!</v>
      </c>
      <c r="I3652" s="87"/>
      <c r="J3652" s="88"/>
      <c r="K3652" s="88"/>
      <c r="L3652" s="89"/>
      <c r="M3652" s="89"/>
      <c r="Q3652" s="105"/>
    </row>
    <row r="3653" spans="3:17" x14ac:dyDescent="0.3">
      <c r="C3653" s="87"/>
      <c r="H3653" s="86" t="e">
        <f>IF(I3653="fora",0%,G3653/QUÓRUM!$C$6)</f>
        <v>#DIV/0!</v>
      </c>
      <c r="I3653" s="87"/>
      <c r="J3653" s="88"/>
      <c r="K3653" s="88"/>
      <c r="L3653" s="89"/>
      <c r="M3653" s="89"/>
      <c r="Q3653" s="105"/>
    </row>
    <row r="3654" spans="3:17" x14ac:dyDescent="0.3">
      <c r="C3654" s="87"/>
      <c r="H3654" s="86" t="e">
        <f>IF(I3654="fora",0%,G3654/QUÓRUM!$C$6)</f>
        <v>#DIV/0!</v>
      </c>
      <c r="I3654" s="87"/>
      <c r="J3654" s="88"/>
      <c r="K3654" s="88"/>
      <c r="L3654" s="89"/>
      <c r="M3654" s="89"/>
      <c r="Q3654" s="105"/>
    </row>
    <row r="3655" spans="3:17" x14ac:dyDescent="0.3">
      <c r="C3655" s="87"/>
      <c r="H3655" s="86" t="e">
        <f>IF(I3655="fora",0%,G3655/QUÓRUM!$C$6)</f>
        <v>#DIV/0!</v>
      </c>
      <c r="I3655" s="87"/>
      <c r="J3655" s="88"/>
      <c r="K3655" s="88"/>
      <c r="L3655" s="89"/>
      <c r="M3655" s="89"/>
      <c r="Q3655" s="105"/>
    </row>
    <row r="3656" spans="3:17" x14ac:dyDescent="0.3">
      <c r="C3656" s="87"/>
      <c r="H3656" s="86" t="e">
        <f>IF(I3656="fora",0%,G3656/QUÓRUM!$C$6)</f>
        <v>#DIV/0!</v>
      </c>
      <c r="I3656" s="87"/>
      <c r="J3656" s="88"/>
      <c r="K3656" s="88"/>
      <c r="L3656" s="89"/>
      <c r="M3656" s="89"/>
      <c r="Q3656" s="105"/>
    </row>
    <row r="3657" spans="3:17" x14ac:dyDescent="0.3">
      <c r="C3657" s="87"/>
      <c r="H3657" s="86" t="e">
        <f>IF(I3657="fora",0%,G3657/QUÓRUM!$C$6)</f>
        <v>#DIV/0!</v>
      </c>
      <c r="I3657" s="87"/>
      <c r="J3657" s="88"/>
      <c r="K3657" s="88"/>
      <c r="L3657" s="89"/>
      <c r="M3657" s="89"/>
      <c r="Q3657" s="105"/>
    </row>
    <row r="3658" spans="3:17" x14ac:dyDescent="0.3">
      <c r="C3658" s="87"/>
      <c r="H3658" s="86" t="e">
        <f>IF(I3658="fora",0%,G3658/QUÓRUM!$C$6)</f>
        <v>#DIV/0!</v>
      </c>
      <c r="I3658" s="87"/>
      <c r="J3658" s="88"/>
      <c r="K3658" s="88"/>
      <c r="L3658" s="89"/>
      <c r="M3658" s="89"/>
      <c r="Q3658" s="105"/>
    </row>
    <row r="3659" spans="3:17" x14ac:dyDescent="0.3">
      <c r="C3659" s="87"/>
      <c r="H3659" s="86" t="e">
        <f>IF(I3659="fora",0%,G3659/QUÓRUM!$C$6)</f>
        <v>#DIV/0!</v>
      </c>
      <c r="I3659" s="87"/>
      <c r="J3659" s="88"/>
      <c r="K3659" s="88"/>
      <c r="L3659" s="89"/>
      <c r="M3659" s="89"/>
      <c r="Q3659" s="105"/>
    </row>
    <row r="3660" spans="3:17" x14ac:dyDescent="0.3">
      <c r="C3660" s="87"/>
      <c r="H3660" s="86" t="e">
        <f>IF(I3660="fora",0%,G3660/QUÓRUM!$C$6)</f>
        <v>#DIV/0!</v>
      </c>
      <c r="I3660" s="87"/>
      <c r="J3660" s="88"/>
      <c r="K3660" s="88"/>
      <c r="L3660" s="89"/>
      <c r="M3660" s="89"/>
      <c r="Q3660" s="105"/>
    </row>
    <row r="3661" spans="3:17" x14ac:dyDescent="0.3">
      <c r="C3661" s="87"/>
      <c r="H3661" s="86" t="e">
        <f>IF(I3661="fora",0%,G3661/QUÓRUM!$C$6)</f>
        <v>#DIV/0!</v>
      </c>
      <c r="I3661" s="87"/>
      <c r="J3661" s="88"/>
      <c r="K3661" s="88"/>
      <c r="L3661" s="89"/>
      <c r="M3661" s="89"/>
      <c r="Q3661" s="105"/>
    </row>
    <row r="3662" spans="3:17" x14ac:dyDescent="0.3">
      <c r="C3662" s="87"/>
      <c r="H3662" s="86" t="e">
        <f>IF(I3662="fora",0%,G3662/QUÓRUM!$C$6)</f>
        <v>#DIV/0!</v>
      </c>
      <c r="I3662" s="87"/>
      <c r="J3662" s="88"/>
      <c r="K3662" s="88"/>
      <c r="L3662" s="89"/>
      <c r="M3662" s="89"/>
      <c r="Q3662" s="105"/>
    </row>
    <row r="3663" spans="3:17" x14ac:dyDescent="0.3">
      <c r="C3663" s="87"/>
      <c r="H3663" s="86" t="e">
        <f>IF(I3663="fora",0%,G3663/QUÓRUM!$C$6)</f>
        <v>#DIV/0!</v>
      </c>
      <c r="I3663" s="87"/>
      <c r="J3663" s="88"/>
      <c r="K3663" s="88"/>
      <c r="L3663" s="89"/>
      <c r="M3663" s="89"/>
      <c r="Q3663" s="105"/>
    </row>
    <row r="3664" spans="3:17" x14ac:dyDescent="0.3">
      <c r="C3664" s="87"/>
      <c r="H3664" s="86" t="e">
        <f>IF(I3664="fora",0%,G3664/QUÓRUM!$C$6)</f>
        <v>#DIV/0!</v>
      </c>
      <c r="I3664" s="87"/>
      <c r="J3664" s="88"/>
      <c r="K3664" s="88"/>
      <c r="L3664" s="89"/>
      <c r="M3664" s="89"/>
      <c r="Q3664" s="105"/>
    </row>
    <row r="3665" spans="3:17" x14ac:dyDescent="0.3">
      <c r="C3665" s="87"/>
      <c r="H3665" s="86" t="e">
        <f>IF(I3665="fora",0%,G3665/QUÓRUM!$C$6)</f>
        <v>#DIV/0!</v>
      </c>
      <c r="I3665" s="87"/>
      <c r="J3665" s="88"/>
      <c r="K3665" s="88"/>
      <c r="L3665" s="89"/>
      <c r="M3665" s="89"/>
      <c r="Q3665" s="105"/>
    </row>
    <row r="3666" spans="3:17" x14ac:dyDescent="0.3">
      <c r="C3666" s="87"/>
      <c r="H3666" s="86" t="e">
        <f>IF(I3666="fora",0%,G3666/QUÓRUM!$C$6)</f>
        <v>#DIV/0!</v>
      </c>
      <c r="I3666" s="87"/>
      <c r="J3666" s="88"/>
      <c r="K3666" s="88"/>
      <c r="L3666" s="89"/>
      <c r="M3666" s="89"/>
      <c r="Q3666" s="105"/>
    </row>
    <row r="3667" spans="3:17" x14ac:dyDescent="0.3">
      <c r="C3667" s="87"/>
      <c r="H3667" s="86" t="e">
        <f>IF(I3667="fora",0%,G3667/QUÓRUM!$C$6)</f>
        <v>#DIV/0!</v>
      </c>
      <c r="I3667" s="87"/>
      <c r="J3667" s="88"/>
      <c r="K3667" s="88"/>
      <c r="L3667" s="89"/>
      <c r="M3667" s="89"/>
      <c r="Q3667" s="105"/>
    </row>
    <row r="3668" spans="3:17" x14ac:dyDescent="0.3">
      <c r="C3668" s="87"/>
      <c r="H3668" s="86" t="e">
        <f>IF(I3668="fora",0%,G3668/QUÓRUM!$C$6)</f>
        <v>#DIV/0!</v>
      </c>
      <c r="I3668" s="87"/>
      <c r="J3668" s="88"/>
      <c r="K3668" s="88"/>
      <c r="L3668" s="89"/>
      <c r="M3668" s="89"/>
      <c r="Q3668" s="105"/>
    </row>
    <row r="3669" spans="3:17" x14ac:dyDescent="0.3">
      <c r="C3669" s="87"/>
      <c r="H3669" s="86" t="e">
        <f>IF(I3669="fora",0%,G3669/QUÓRUM!$C$6)</f>
        <v>#DIV/0!</v>
      </c>
      <c r="I3669" s="87"/>
      <c r="J3669" s="88"/>
      <c r="K3669" s="88"/>
      <c r="L3669" s="89"/>
      <c r="M3669" s="89"/>
      <c r="Q3669" s="105"/>
    </row>
    <row r="3670" spans="3:17" x14ac:dyDescent="0.3">
      <c r="C3670" s="87"/>
      <c r="H3670" s="86" t="e">
        <f>IF(I3670="fora",0%,G3670/QUÓRUM!$C$6)</f>
        <v>#DIV/0!</v>
      </c>
      <c r="I3670" s="87"/>
      <c r="J3670" s="88"/>
      <c r="K3670" s="88"/>
      <c r="L3670" s="89"/>
      <c r="M3670" s="89"/>
      <c r="Q3670" s="105"/>
    </row>
    <row r="3671" spans="3:17" x14ac:dyDescent="0.3">
      <c r="C3671" s="87"/>
      <c r="H3671" s="86" t="e">
        <f>IF(I3671="fora",0%,G3671/QUÓRUM!$C$6)</f>
        <v>#DIV/0!</v>
      </c>
      <c r="I3671" s="87"/>
      <c r="J3671" s="88"/>
      <c r="K3671" s="88"/>
      <c r="L3671" s="89"/>
      <c r="M3671" s="89"/>
      <c r="Q3671" s="105"/>
    </row>
    <row r="3672" spans="3:17" x14ac:dyDescent="0.3">
      <c r="C3672" s="87"/>
      <c r="H3672" s="86" t="e">
        <f>IF(I3672="fora",0%,G3672/QUÓRUM!$C$6)</f>
        <v>#DIV/0!</v>
      </c>
      <c r="I3672" s="87"/>
      <c r="J3672" s="88"/>
      <c r="K3672" s="88"/>
      <c r="L3672" s="89"/>
      <c r="M3672" s="89"/>
      <c r="Q3672" s="105"/>
    </row>
    <row r="3673" spans="3:17" x14ac:dyDescent="0.3">
      <c r="C3673" s="87"/>
      <c r="H3673" s="86" t="e">
        <f>IF(I3673="fora",0%,G3673/QUÓRUM!$C$6)</f>
        <v>#DIV/0!</v>
      </c>
      <c r="I3673" s="87"/>
      <c r="J3673" s="88"/>
      <c r="K3673" s="88"/>
      <c r="L3673" s="89"/>
      <c r="M3673" s="89"/>
      <c r="Q3673" s="105"/>
    </row>
    <row r="3674" spans="3:17" x14ac:dyDescent="0.3">
      <c r="C3674" s="87"/>
      <c r="H3674" s="86" t="e">
        <f>IF(I3674="fora",0%,G3674/QUÓRUM!$C$6)</f>
        <v>#DIV/0!</v>
      </c>
      <c r="I3674" s="87"/>
      <c r="J3674" s="88"/>
      <c r="K3674" s="88"/>
      <c r="L3674" s="89"/>
      <c r="M3674" s="89"/>
      <c r="Q3674" s="105"/>
    </row>
    <row r="3675" spans="3:17" x14ac:dyDescent="0.3">
      <c r="C3675" s="87"/>
      <c r="H3675" s="86" t="e">
        <f>IF(I3675="fora",0%,G3675/QUÓRUM!$C$6)</f>
        <v>#DIV/0!</v>
      </c>
      <c r="I3675" s="87"/>
      <c r="J3675" s="88"/>
      <c r="K3675" s="88"/>
      <c r="L3675" s="89"/>
      <c r="M3675" s="89"/>
      <c r="Q3675" s="105"/>
    </row>
    <row r="3676" spans="3:17" x14ac:dyDescent="0.3">
      <c r="C3676" s="87"/>
      <c r="H3676" s="86" t="e">
        <f>IF(I3676="fora",0%,G3676/QUÓRUM!$C$6)</f>
        <v>#DIV/0!</v>
      </c>
      <c r="I3676" s="87"/>
      <c r="J3676" s="88"/>
      <c r="K3676" s="88"/>
      <c r="L3676" s="89"/>
      <c r="M3676" s="89"/>
      <c r="Q3676" s="105"/>
    </row>
    <row r="3677" spans="3:17" x14ac:dyDescent="0.3">
      <c r="C3677" s="87"/>
      <c r="H3677" s="86" t="e">
        <f>IF(I3677="fora",0%,G3677/QUÓRUM!$C$6)</f>
        <v>#DIV/0!</v>
      </c>
      <c r="I3677" s="87"/>
      <c r="J3677" s="88"/>
      <c r="K3677" s="88"/>
      <c r="L3677" s="89"/>
      <c r="M3677" s="89"/>
      <c r="Q3677" s="105"/>
    </row>
    <row r="3678" spans="3:17" x14ac:dyDescent="0.3">
      <c r="C3678" s="87"/>
      <c r="H3678" s="86" t="e">
        <f>IF(I3678="fora",0%,G3678/QUÓRUM!$C$6)</f>
        <v>#DIV/0!</v>
      </c>
      <c r="I3678" s="87"/>
      <c r="J3678" s="88"/>
      <c r="K3678" s="88"/>
      <c r="L3678" s="89"/>
      <c r="M3678" s="89"/>
      <c r="Q3678" s="105"/>
    </row>
    <row r="3679" spans="3:17" x14ac:dyDescent="0.3">
      <c r="C3679" s="87"/>
      <c r="H3679" s="86" t="e">
        <f>IF(I3679="fora",0%,G3679/QUÓRUM!$C$6)</f>
        <v>#DIV/0!</v>
      </c>
      <c r="I3679" s="87"/>
      <c r="J3679" s="88"/>
      <c r="K3679" s="88"/>
      <c r="L3679" s="89"/>
      <c r="M3679" s="89"/>
      <c r="Q3679" s="105"/>
    </row>
    <row r="3680" spans="3:17" x14ac:dyDescent="0.3">
      <c r="C3680" s="87"/>
      <c r="H3680" s="86" t="e">
        <f>IF(I3680="fora",0%,G3680/QUÓRUM!$C$6)</f>
        <v>#DIV/0!</v>
      </c>
      <c r="I3680" s="87"/>
      <c r="J3680" s="88"/>
      <c r="K3680" s="88"/>
      <c r="L3680" s="89"/>
      <c r="M3680" s="89"/>
      <c r="Q3680" s="105"/>
    </row>
    <row r="3681" spans="3:17" x14ac:dyDescent="0.3">
      <c r="C3681" s="87"/>
      <c r="H3681" s="86" t="e">
        <f>IF(I3681="fora",0%,G3681/QUÓRUM!$C$6)</f>
        <v>#DIV/0!</v>
      </c>
      <c r="I3681" s="87"/>
      <c r="J3681" s="88"/>
      <c r="K3681" s="88"/>
      <c r="L3681" s="89"/>
      <c r="M3681" s="89"/>
      <c r="Q3681" s="105"/>
    </row>
    <row r="3682" spans="3:17" x14ac:dyDescent="0.3">
      <c r="C3682" s="87"/>
      <c r="H3682" s="86" t="e">
        <f>IF(I3682="fora",0%,G3682/QUÓRUM!$C$6)</f>
        <v>#DIV/0!</v>
      </c>
      <c r="I3682" s="87"/>
      <c r="J3682" s="88"/>
      <c r="K3682" s="88"/>
      <c r="L3682" s="89"/>
      <c r="M3682" s="89"/>
      <c r="Q3682" s="105"/>
    </row>
    <row r="3683" spans="3:17" x14ac:dyDescent="0.3">
      <c r="C3683" s="87"/>
      <c r="H3683" s="86" t="e">
        <f>IF(I3683="fora",0%,G3683/QUÓRUM!$C$6)</f>
        <v>#DIV/0!</v>
      </c>
      <c r="I3683" s="87"/>
      <c r="J3683" s="88"/>
      <c r="K3683" s="88"/>
      <c r="L3683" s="89"/>
      <c r="M3683" s="89"/>
      <c r="Q3683" s="105"/>
    </row>
    <row r="3684" spans="3:17" x14ac:dyDescent="0.3">
      <c r="C3684" s="87"/>
      <c r="H3684" s="86" t="e">
        <f>IF(I3684="fora",0%,G3684/QUÓRUM!$C$6)</f>
        <v>#DIV/0!</v>
      </c>
      <c r="I3684" s="87"/>
      <c r="J3684" s="88"/>
      <c r="K3684" s="88"/>
      <c r="L3684" s="89"/>
      <c r="M3684" s="89"/>
      <c r="Q3684" s="105"/>
    </row>
    <row r="3685" spans="3:17" x14ac:dyDescent="0.3">
      <c r="C3685" s="87"/>
      <c r="H3685" s="86" t="e">
        <f>IF(I3685="fora",0%,G3685/QUÓRUM!$C$6)</f>
        <v>#DIV/0!</v>
      </c>
      <c r="I3685" s="87"/>
      <c r="J3685" s="88"/>
      <c r="K3685" s="88"/>
      <c r="L3685" s="89"/>
      <c r="M3685" s="89"/>
      <c r="Q3685" s="105"/>
    </row>
    <row r="3686" spans="3:17" x14ac:dyDescent="0.3">
      <c r="C3686" s="87"/>
      <c r="H3686" s="86" t="e">
        <f>IF(I3686="fora",0%,G3686/QUÓRUM!$C$6)</f>
        <v>#DIV/0!</v>
      </c>
      <c r="I3686" s="87"/>
      <c r="J3686" s="88"/>
      <c r="K3686" s="88"/>
      <c r="L3686" s="89"/>
      <c r="M3686" s="89"/>
      <c r="Q3686" s="105"/>
    </row>
    <row r="3687" spans="3:17" x14ac:dyDescent="0.3">
      <c r="C3687" s="87"/>
      <c r="H3687" s="86" t="e">
        <f>IF(I3687="fora",0%,G3687/QUÓRUM!$C$6)</f>
        <v>#DIV/0!</v>
      </c>
      <c r="I3687" s="87"/>
      <c r="J3687" s="88"/>
      <c r="K3687" s="88"/>
      <c r="L3687" s="89"/>
      <c r="M3687" s="89"/>
      <c r="Q3687" s="105"/>
    </row>
    <row r="3688" spans="3:17" x14ac:dyDescent="0.3">
      <c r="C3688" s="87"/>
      <c r="H3688" s="86" t="e">
        <f>IF(I3688="fora",0%,G3688/QUÓRUM!$C$6)</f>
        <v>#DIV/0!</v>
      </c>
      <c r="I3688" s="87"/>
      <c r="J3688" s="88"/>
      <c r="K3688" s="88"/>
      <c r="L3688" s="89"/>
      <c r="M3688" s="89"/>
      <c r="Q3688" s="105"/>
    </row>
    <row r="3689" spans="3:17" x14ac:dyDescent="0.3">
      <c r="C3689" s="87"/>
      <c r="H3689" s="86" t="e">
        <f>IF(I3689="fora",0%,G3689/QUÓRUM!$C$6)</f>
        <v>#DIV/0!</v>
      </c>
      <c r="I3689" s="87"/>
      <c r="J3689" s="88"/>
      <c r="K3689" s="88"/>
      <c r="L3689" s="89"/>
      <c r="M3689" s="89"/>
      <c r="Q3689" s="105"/>
    </row>
    <row r="3690" spans="3:17" x14ac:dyDescent="0.3">
      <c r="C3690" s="87"/>
      <c r="H3690" s="86" t="e">
        <f>IF(I3690="fora",0%,G3690/QUÓRUM!$C$6)</f>
        <v>#DIV/0!</v>
      </c>
      <c r="I3690" s="87"/>
      <c r="J3690" s="88"/>
      <c r="K3690" s="88"/>
      <c r="L3690" s="89"/>
      <c r="M3690" s="89"/>
      <c r="Q3690" s="105"/>
    </row>
    <row r="3691" spans="3:17" x14ac:dyDescent="0.3">
      <c r="C3691" s="87"/>
      <c r="H3691" s="86" t="e">
        <f>IF(I3691="fora",0%,G3691/QUÓRUM!$C$6)</f>
        <v>#DIV/0!</v>
      </c>
      <c r="I3691" s="87"/>
      <c r="J3691" s="88"/>
      <c r="K3691" s="88"/>
      <c r="L3691" s="89"/>
      <c r="M3691" s="89"/>
      <c r="Q3691" s="105"/>
    </row>
    <row r="3692" spans="3:17" x14ac:dyDescent="0.3">
      <c r="C3692" s="87"/>
      <c r="H3692" s="86" t="e">
        <f>IF(I3692="fora",0%,G3692/QUÓRUM!$C$6)</f>
        <v>#DIV/0!</v>
      </c>
      <c r="I3692" s="87"/>
      <c r="J3692" s="88"/>
      <c r="K3692" s="88"/>
      <c r="L3692" s="89"/>
      <c r="M3692" s="89"/>
      <c r="Q3692" s="105"/>
    </row>
    <row r="3693" spans="3:17" x14ac:dyDescent="0.3">
      <c r="C3693" s="87"/>
      <c r="H3693" s="86" t="e">
        <f>IF(I3693="fora",0%,G3693/QUÓRUM!$C$6)</f>
        <v>#DIV/0!</v>
      </c>
      <c r="I3693" s="87"/>
      <c r="J3693" s="88"/>
      <c r="K3693" s="88"/>
      <c r="L3693" s="89"/>
      <c r="M3693" s="89"/>
      <c r="Q3693" s="105"/>
    </row>
    <row r="3694" spans="3:17" x14ac:dyDescent="0.3">
      <c r="C3694" s="87"/>
      <c r="H3694" s="86" t="e">
        <f>IF(I3694="fora",0%,G3694/QUÓRUM!$C$6)</f>
        <v>#DIV/0!</v>
      </c>
      <c r="I3694" s="87"/>
      <c r="J3694" s="88"/>
      <c r="K3694" s="88"/>
      <c r="L3694" s="89"/>
      <c r="M3694" s="89"/>
      <c r="Q3694" s="105"/>
    </row>
    <row r="3695" spans="3:17" x14ac:dyDescent="0.3">
      <c r="C3695" s="87"/>
      <c r="H3695" s="86" t="e">
        <f>IF(I3695="fora",0%,G3695/QUÓRUM!$C$6)</f>
        <v>#DIV/0!</v>
      </c>
      <c r="I3695" s="87"/>
      <c r="J3695" s="88"/>
      <c r="K3695" s="88"/>
      <c r="L3695" s="89"/>
      <c r="M3695" s="89"/>
      <c r="Q3695" s="105"/>
    </row>
    <row r="3696" spans="3:17" x14ac:dyDescent="0.3">
      <c r="C3696" s="87"/>
      <c r="H3696" s="86" t="e">
        <f>IF(I3696="fora",0%,G3696/QUÓRUM!$C$6)</f>
        <v>#DIV/0!</v>
      </c>
      <c r="I3696" s="87"/>
      <c r="J3696" s="88"/>
      <c r="K3696" s="88"/>
      <c r="L3696" s="89"/>
      <c r="M3696" s="89"/>
      <c r="Q3696" s="105"/>
    </row>
    <row r="3697" spans="3:17" x14ac:dyDescent="0.3">
      <c r="C3697" s="87"/>
      <c r="H3697" s="86" t="e">
        <f>IF(I3697="fora",0%,G3697/QUÓRUM!$C$6)</f>
        <v>#DIV/0!</v>
      </c>
      <c r="I3697" s="87"/>
      <c r="J3697" s="88"/>
      <c r="K3697" s="88"/>
      <c r="L3697" s="89"/>
      <c r="M3697" s="89"/>
      <c r="Q3697" s="105"/>
    </row>
    <row r="3698" spans="3:17" x14ac:dyDescent="0.3">
      <c r="C3698" s="87"/>
      <c r="H3698" s="86" t="e">
        <f>IF(I3698="fora",0%,G3698/QUÓRUM!$C$6)</f>
        <v>#DIV/0!</v>
      </c>
      <c r="I3698" s="87"/>
      <c r="J3698" s="88"/>
      <c r="K3698" s="88"/>
      <c r="L3698" s="89"/>
      <c r="M3698" s="89"/>
      <c r="Q3698" s="105"/>
    </row>
    <row r="3699" spans="3:17" x14ac:dyDescent="0.3">
      <c r="C3699" s="87"/>
      <c r="H3699" s="86" t="e">
        <f>IF(I3699="fora",0%,G3699/QUÓRUM!$C$6)</f>
        <v>#DIV/0!</v>
      </c>
      <c r="I3699" s="87"/>
      <c r="J3699" s="88"/>
      <c r="K3699" s="88"/>
      <c r="L3699" s="89"/>
      <c r="M3699" s="89"/>
      <c r="Q3699" s="105"/>
    </row>
    <row r="3700" spans="3:17" x14ac:dyDescent="0.3">
      <c r="C3700" s="87"/>
      <c r="H3700" s="86" t="e">
        <f>IF(I3700="fora",0%,G3700/QUÓRUM!$C$6)</f>
        <v>#DIV/0!</v>
      </c>
      <c r="I3700" s="87"/>
      <c r="J3700" s="88"/>
      <c r="K3700" s="88"/>
      <c r="L3700" s="89"/>
      <c r="M3700" s="89"/>
      <c r="Q3700" s="105"/>
    </row>
    <row r="3701" spans="3:17" x14ac:dyDescent="0.3">
      <c r="C3701" s="87"/>
      <c r="H3701" s="86" t="e">
        <f>IF(I3701="fora",0%,G3701/QUÓRUM!$C$6)</f>
        <v>#DIV/0!</v>
      </c>
      <c r="I3701" s="87"/>
      <c r="J3701" s="88"/>
      <c r="K3701" s="88"/>
      <c r="L3701" s="89"/>
      <c r="M3701" s="89"/>
      <c r="Q3701" s="105"/>
    </row>
    <row r="3702" spans="3:17" x14ac:dyDescent="0.3">
      <c r="C3702" s="87"/>
      <c r="H3702" s="86" t="e">
        <f>IF(I3702="fora",0%,G3702/QUÓRUM!$C$6)</f>
        <v>#DIV/0!</v>
      </c>
      <c r="I3702" s="87"/>
      <c r="J3702" s="88"/>
      <c r="K3702" s="88"/>
      <c r="L3702" s="89"/>
      <c r="M3702" s="89"/>
      <c r="Q3702" s="105"/>
    </row>
    <row r="3703" spans="3:17" x14ac:dyDescent="0.3">
      <c r="C3703" s="87"/>
      <c r="H3703" s="86" t="e">
        <f>IF(I3703="fora",0%,G3703/QUÓRUM!$C$6)</f>
        <v>#DIV/0!</v>
      </c>
      <c r="I3703" s="87"/>
      <c r="J3703" s="88"/>
      <c r="K3703" s="88"/>
      <c r="L3703" s="89"/>
      <c r="M3703" s="89"/>
      <c r="Q3703" s="105"/>
    </row>
    <row r="3704" spans="3:17" x14ac:dyDescent="0.3">
      <c r="C3704" s="87"/>
      <c r="H3704" s="86" t="e">
        <f>IF(I3704="fora",0%,G3704/QUÓRUM!$C$6)</f>
        <v>#DIV/0!</v>
      </c>
      <c r="I3704" s="87"/>
      <c r="J3704" s="88"/>
      <c r="K3704" s="88"/>
      <c r="L3704" s="89"/>
      <c r="M3704" s="89"/>
      <c r="Q3704" s="105"/>
    </row>
    <row r="3705" spans="3:17" x14ac:dyDescent="0.3">
      <c r="C3705" s="87"/>
      <c r="H3705" s="86" t="e">
        <f>IF(I3705="fora",0%,G3705/QUÓRUM!$C$6)</f>
        <v>#DIV/0!</v>
      </c>
      <c r="I3705" s="87"/>
      <c r="J3705" s="88"/>
      <c r="K3705" s="88"/>
      <c r="L3705" s="89"/>
      <c r="M3705" s="89"/>
      <c r="Q3705" s="105"/>
    </row>
    <row r="3706" spans="3:17" x14ac:dyDescent="0.3">
      <c r="C3706" s="87"/>
      <c r="H3706" s="86" t="e">
        <f>IF(I3706="fora",0%,G3706/QUÓRUM!$C$6)</f>
        <v>#DIV/0!</v>
      </c>
      <c r="I3706" s="87"/>
      <c r="J3706" s="88"/>
      <c r="K3706" s="88"/>
      <c r="L3706" s="89"/>
      <c r="M3706" s="89"/>
      <c r="Q3706" s="105"/>
    </row>
    <row r="3707" spans="3:17" x14ac:dyDescent="0.3">
      <c r="C3707" s="87"/>
      <c r="H3707" s="86" t="e">
        <f>IF(I3707="fora",0%,G3707/QUÓRUM!$C$6)</f>
        <v>#DIV/0!</v>
      </c>
      <c r="I3707" s="87"/>
      <c r="J3707" s="88"/>
      <c r="K3707" s="88"/>
      <c r="L3707" s="89"/>
      <c r="M3707" s="89"/>
      <c r="Q3707" s="105"/>
    </row>
    <row r="3708" spans="3:17" x14ac:dyDescent="0.3">
      <c r="C3708" s="87"/>
      <c r="H3708" s="86" t="e">
        <f>IF(I3708="fora",0%,G3708/QUÓRUM!$C$6)</f>
        <v>#DIV/0!</v>
      </c>
      <c r="I3708" s="87"/>
      <c r="J3708" s="88"/>
      <c r="K3708" s="88"/>
      <c r="L3708" s="89"/>
      <c r="M3708" s="89"/>
      <c r="Q3708" s="105"/>
    </row>
    <row r="3709" spans="3:17" x14ac:dyDescent="0.3">
      <c r="C3709" s="87"/>
      <c r="H3709" s="86" t="e">
        <f>IF(I3709="fora",0%,G3709/QUÓRUM!$C$6)</f>
        <v>#DIV/0!</v>
      </c>
      <c r="I3709" s="87"/>
      <c r="J3709" s="88"/>
      <c r="K3709" s="88"/>
      <c r="L3709" s="89"/>
      <c r="M3709" s="89"/>
      <c r="Q3709" s="105"/>
    </row>
    <row r="3710" spans="3:17" x14ac:dyDescent="0.3">
      <c r="C3710" s="87"/>
      <c r="H3710" s="86" t="e">
        <f>IF(I3710="fora",0%,G3710/QUÓRUM!$C$6)</f>
        <v>#DIV/0!</v>
      </c>
      <c r="I3710" s="87"/>
      <c r="J3710" s="88"/>
      <c r="K3710" s="88"/>
      <c r="L3710" s="89"/>
      <c r="M3710" s="89"/>
      <c r="Q3710" s="105"/>
    </row>
    <row r="3711" spans="3:17" x14ac:dyDescent="0.3">
      <c r="C3711" s="87"/>
      <c r="H3711" s="86" t="e">
        <f>IF(I3711="fora",0%,G3711/QUÓRUM!$C$6)</f>
        <v>#DIV/0!</v>
      </c>
      <c r="I3711" s="87"/>
      <c r="J3711" s="88"/>
      <c r="K3711" s="88"/>
      <c r="L3711" s="89"/>
      <c r="M3711" s="89"/>
      <c r="Q3711" s="105"/>
    </row>
    <row r="3712" spans="3:17" x14ac:dyDescent="0.3">
      <c r="C3712" s="87"/>
      <c r="H3712" s="86" t="e">
        <f>IF(I3712="fora",0%,G3712/QUÓRUM!$C$6)</f>
        <v>#DIV/0!</v>
      </c>
      <c r="I3712" s="87"/>
      <c r="J3712" s="88"/>
      <c r="K3712" s="88"/>
      <c r="L3712" s="89"/>
      <c r="M3712" s="89"/>
      <c r="Q3712" s="105"/>
    </row>
    <row r="3713" spans="3:17" x14ac:dyDescent="0.3">
      <c r="C3713" s="87"/>
      <c r="H3713" s="86" t="e">
        <f>IF(I3713="fora",0%,G3713/QUÓRUM!$C$6)</f>
        <v>#DIV/0!</v>
      </c>
      <c r="I3713" s="87"/>
      <c r="J3713" s="88"/>
      <c r="K3713" s="88"/>
      <c r="L3713" s="89"/>
      <c r="M3713" s="89"/>
      <c r="Q3713" s="105"/>
    </row>
    <row r="3714" spans="3:17" x14ac:dyDescent="0.3">
      <c r="C3714" s="87"/>
      <c r="H3714" s="86" t="e">
        <f>IF(I3714="fora",0%,G3714/QUÓRUM!$C$6)</f>
        <v>#DIV/0!</v>
      </c>
      <c r="I3714" s="87"/>
      <c r="J3714" s="88"/>
      <c r="K3714" s="88"/>
      <c r="L3714" s="89"/>
      <c r="M3714" s="89"/>
      <c r="Q3714" s="105"/>
    </row>
    <row r="3715" spans="3:17" x14ac:dyDescent="0.3">
      <c r="C3715" s="87"/>
      <c r="H3715" s="86" t="e">
        <f>IF(I3715="fora",0%,G3715/QUÓRUM!$C$6)</f>
        <v>#DIV/0!</v>
      </c>
      <c r="I3715" s="87"/>
      <c r="J3715" s="88"/>
      <c r="K3715" s="88"/>
      <c r="L3715" s="89"/>
      <c r="M3715" s="89"/>
      <c r="Q3715" s="105"/>
    </row>
    <row r="3716" spans="3:17" x14ac:dyDescent="0.3">
      <c r="C3716" s="87"/>
      <c r="H3716" s="86" t="e">
        <f>IF(I3716="fora",0%,G3716/QUÓRUM!$C$6)</f>
        <v>#DIV/0!</v>
      </c>
      <c r="I3716" s="87"/>
      <c r="J3716" s="88"/>
      <c r="K3716" s="88"/>
      <c r="L3716" s="89"/>
      <c r="M3716" s="89"/>
      <c r="Q3716" s="105"/>
    </row>
    <row r="3717" spans="3:17" x14ac:dyDescent="0.3">
      <c r="C3717" s="87"/>
      <c r="H3717" s="86" t="e">
        <f>IF(I3717="fora",0%,G3717/QUÓRUM!$C$6)</f>
        <v>#DIV/0!</v>
      </c>
      <c r="I3717" s="87"/>
      <c r="J3717" s="88"/>
      <c r="K3717" s="88"/>
      <c r="L3717" s="89"/>
      <c r="M3717" s="89"/>
      <c r="Q3717" s="105"/>
    </row>
    <row r="3718" spans="3:17" x14ac:dyDescent="0.3">
      <c r="C3718" s="87"/>
      <c r="H3718" s="86" t="e">
        <f>IF(I3718="fora",0%,G3718/QUÓRUM!$C$6)</f>
        <v>#DIV/0!</v>
      </c>
      <c r="I3718" s="87"/>
      <c r="J3718" s="88"/>
      <c r="K3718" s="88"/>
      <c r="L3718" s="89"/>
      <c r="M3718" s="89"/>
      <c r="Q3718" s="105"/>
    </row>
    <row r="3719" spans="3:17" x14ac:dyDescent="0.3">
      <c r="C3719" s="87"/>
      <c r="H3719" s="86" t="e">
        <f>IF(I3719="fora",0%,G3719/QUÓRUM!$C$6)</f>
        <v>#DIV/0!</v>
      </c>
      <c r="I3719" s="87"/>
      <c r="J3719" s="88"/>
      <c r="K3719" s="88"/>
      <c r="L3719" s="89"/>
      <c r="M3719" s="89"/>
      <c r="Q3719" s="105"/>
    </row>
    <row r="3720" spans="3:17" x14ac:dyDescent="0.3">
      <c r="C3720" s="87"/>
      <c r="H3720" s="86" t="e">
        <f>IF(I3720="fora",0%,G3720/QUÓRUM!$C$6)</f>
        <v>#DIV/0!</v>
      </c>
      <c r="I3720" s="87"/>
      <c r="J3720" s="88"/>
      <c r="K3720" s="88"/>
      <c r="L3720" s="89"/>
      <c r="M3720" s="89"/>
      <c r="Q3720" s="105"/>
    </row>
    <row r="3721" spans="3:17" x14ac:dyDescent="0.3">
      <c r="C3721" s="87"/>
      <c r="H3721" s="86" t="e">
        <f>IF(I3721="fora",0%,G3721/QUÓRUM!$C$6)</f>
        <v>#DIV/0!</v>
      </c>
      <c r="I3721" s="87"/>
      <c r="J3721" s="88"/>
      <c r="K3721" s="88"/>
      <c r="L3721" s="89"/>
      <c r="M3721" s="89"/>
      <c r="Q3721" s="105"/>
    </row>
    <row r="3722" spans="3:17" x14ac:dyDescent="0.3">
      <c r="C3722" s="87"/>
      <c r="H3722" s="86" t="e">
        <f>IF(I3722="fora",0%,G3722/QUÓRUM!$C$6)</f>
        <v>#DIV/0!</v>
      </c>
      <c r="I3722" s="87"/>
      <c r="J3722" s="88"/>
      <c r="K3722" s="88"/>
      <c r="L3722" s="89"/>
      <c r="M3722" s="89"/>
      <c r="Q3722" s="105"/>
    </row>
    <row r="3723" spans="3:17" x14ac:dyDescent="0.3">
      <c r="C3723" s="87"/>
      <c r="H3723" s="86" t="e">
        <f>IF(I3723="fora",0%,G3723/QUÓRUM!$C$6)</f>
        <v>#DIV/0!</v>
      </c>
      <c r="I3723" s="87"/>
      <c r="J3723" s="88"/>
      <c r="K3723" s="88"/>
      <c r="L3723" s="89"/>
      <c r="M3723" s="89"/>
      <c r="Q3723" s="105"/>
    </row>
    <row r="3724" spans="3:17" x14ac:dyDescent="0.3">
      <c r="C3724" s="87"/>
      <c r="H3724" s="86" t="e">
        <f>IF(I3724="fora",0%,G3724/QUÓRUM!$C$6)</f>
        <v>#DIV/0!</v>
      </c>
      <c r="I3724" s="87"/>
      <c r="J3724" s="88"/>
      <c r="K3724" s="88"/>
      <c r="L3724" s="89"/>
      <c r="M3724" s="89"/>
      <c r="Q3724" s="105"/>
    </row>
    <row r="3725" spans="3:17" x14ac:dyDescent="0.3">
      <c r="C3725" s="87"/>
      <c r="H3725" s="86" t="e">
        <f>IF(I3725="fora",0%,G3725/QUÓRUM!$C$6)</f>
        <v>#DIV/0!</v>
      </c>
      <c r="I3725" s="87"/>
      <c r="J3725" s="88"/>
      <c r="K3725" s="88"/>
      <c r="L3725" s="89"/>
      <c r="M3725" s="89"/>
      <c r="Q3725" s="105"/>
    </row>
    <row r="3726" spans="3:17" x14ac:dyDescent="0.3">
      <c r="C3726" s="87"/>
      <c r="H3726" s="86" t="e">
        <f>IF(I3726="fora",0%,G3726/QUÓRUM!$C$6)</f>
        <v>#DIV/0!</v>
      </c>
      <c r="I3726" s="87"/>
      <c r="J3726" s="88"/>
      <c r="K3726" s="88"/>
      <c r="L3726" s="89"/>
      <c r="M3726" s="89"/>
      <c r="Q3726" s="105"/>
    </row>
    <row r="3727" spans="3:17" x14ac:dyDescent="0.3">
      <c r="C3727" s="87"/>
      <c r="H3727" s="86" t="e">
        <f>IF(I3727="fora",0%,G3727/QUÓRUM!$C$6)</f>
        <v>#DIV/0!</v>
      </c>
      <c r="I3727" s="87"/>
      <c r="J3727" s="88"/>
      <c r="K3727" s="88"/>
      <c r="L3727" s="89"/>
      <c r="M3727" s="89"/>
      <c r="Q3727" s="105"/>
    </row>
    <row r="3728" spans="3:17" x14ac:dyDescent="0.3">
      <c r="C3728" s="87"/>
      <c r="H3728" s="86" t="e">
        <f>IF(I3728="fora",0%,G3728/QUÓRUM!$C$6)</f>
        <v>#DIV/0!</v>
      </c>
      <c r="I3728" s="87"/>
      <c r="J3728" s="88"/>
      <c r="K3728" s="88"/>
      <c r="L3728" s="89"/>
      <c r="M3728" s="89"/>
      <c r="Q3728" s="105"/>
    </row>
    <row r="3729" spans="3:17" x14ac:dyDescent="0.3">
      <c r="C3729" s="87"/>
      <c r="H3729" s="86" t="e">
        <f>IF(I3729="fora",0%,G3729/QUÓRUM!$C$6)</f>
        <v>#DIV/0!</v>
      </c>
      <c r="I3729" s="87"/>
      <c r="J3729" s="88"/>
      <c r="K3729" s="88"/>
      <c r="L3729" s="89"/>
      <c r="M3729" s="89"/>
      <c r="Q3729" s="105"/>
    </row>
    <row r="3730" spans="3:17" x14ac:dyDescent="0.3">
      <c r="C3730" s="87"/>
      <c r="H3730" s="86" t="e">
        <f>IF(I3730="fora",0%,G3730/QUÓRUM!$C$6)</f>
        <v>#DIV/0!</v>
      </c>
      <c r="I3730" s="87"/>
      <c r="J3730" s="88"/>
      <c r="K3730" s="88"/>
      <c r="L3730" s="89"/>
      <c r="M3730" s="89"/>
      <c r="Q3730" s="105"/>
    </row>
    <row r="3731" spans="3:17" x14ac:dyDescent="0.3">
      <c r="C3731" s="87"/>
      <c r="H3731" s="86" t="e">
        <f>IF(I3731="fora",0%,G3731/QUÓRUM!$C$6)</f>
        <v>#DIV/0!</v>
      </c>
      <c r="I3731" s="87"/>
      <c r="J3731" s="88"/>
      <c r="K3731" s="88"/>
      <c r="L3731" s="89"/>
      <c r="M3731" s="89"/>
      <c r="Q3731" s="105"/>
    </row>
    <row r="3732" spans="3:17" x14ac:dyDescent="0.3">
      <c r="C3732" s="87"/>
      <c r="H3732" s="86" t="e">
        <f>IF(I3732="fora",0%,G3732/QUÓRUM!$C$6)</f>
        <v>#DIV/0!</v>
      </c>
      <c r="I3732" s="87"/>
      <c r="J3732" s="88"/>
      <c r="K3732" s="88"/>
      <c r="L3732" s="89"/>
      <c r="M3732" s="89"/>
      <c r="Q3732" s="105"/>
    </row>
    <row r="3733" spans="3:17" x14ac:dyDescent="0.3">
      <c r="C3733" s="87"/>
      <c r="H3733" s="86" t="e">
        <f>IF(I3733="fora",0%,G3733/QUÓRUM!$C$6)</f>
        <v>#DIV/0!</v>
      </c>
      <c r="I3733" s="87"/>
      <c r="J3733" s="88"/>
      <c r="K3733" s="88"/>
      <c r="L3733" s="89"/>
      <c r="M3733" s="89"/>
      <c r="Q3733" s="105"/>
    </row>
    <row r="3734" spans="3:17" x14ac:dyDescent="0.3">
      <c r="C3734" s="87"/>
      <c r="H3734" s="86" t="e">
        <f>IF(I3734="fora",0%,G3734/QUÓRUM!$C$6)</f>
        <v>#DIV/0!</v>
      </c>
      <c r="I3734" s="87"/>
      <c r="J3734" s="88"/>
      <c r="K3734" s="88"/>
      <c r="L3734" s="89"/>
      <c r="M3734" s="89"/>
      <c r="Q3734" s="105"/>
    </row>
    <row r="3735" spans="3:17" x14ac:dyDescent="0.3">
      <c r="C3735" s="87"/>
      <c r="H3735" s="86" t="e">
        <f>IF(I3735="fora",0%,G3735/QUÓRUM!$C$6)</f>
        <v>#DIV/0!</v>
      </c>
      <c r="I3735" s="87"/>
      <c r="J3735" s="88"/>
      <c r="K3735" s="88"/>
      <c r="L3735" s="89"/>
      <c r="M3735" s="89"/>
      <c r="Q3735" s="105"/>
    </row>
    <row r="3736" spans="3:17" x14ac:dyDescent="0.3">
      <c r="C3736" s="87"/>
      <c r="H3736" s="86" t="e">
        <f>IF(I3736="fora",0%,G3736/QUÓRUM!$C$6)</f>
        <v>#DIV/0!</v>
      </c>
      <c r="I3736" s="87"/>
      <c r="J3736" s="88"/>
      <c r="K3736" s="88"/>
      <c r="L3736" s="89"/>
      <c r="M3736" s="89"/>
      <c r="Q3736" s="105"/>
    </row>
    <row r="3737" spans="3:17" x14ac:dyDescent="0.3">
      <c r="C3737" s="87"/>
      <c r="H3737" s="86" t="e">
        <f>IF(I3737="fora",0%,G3737/QUÓRUM!$C$6)</f>
        <v>#DIV/0!</v>
      </c>
      <c r="I3737" s="87"/>
      <c r="J3737" s="88"/>
      <c r="K3737" s="88"/>
      <c r="L3737" s="89"/>
      <c r="M3737" s="89"/>
      <c r="Q3737" s="105"/>
    </row>
    <row r="3738" spans="3:17" x14ac:dyDescent="0.3">
      <c r="C3738" s="87"/>
      <c r="H3738" s="86" t="e">
        <f>IF(I3738="fora",0%,G3738/QUÓRUM!$C$6)</f>
        <v>#DIV/0!</v>
      </c>
      <c r="I3738" s="87"/>
      <c r="J3738" s="88"/>
      <c r="K3738" s="88"/>
      <c r="L3738" s="89"/>
      <c r="M3738" s="89"/>
      <c r="Q3738" s="105"/>
    </row>
    <row r="3739" spans="3:17" x14ac:dyDescent="0.3">
      <c r="C3739" s="87"/>
      <c r="H3739" s="86" t="e">
        <f>IF(I3739="fora",0%,G3739/QUÓRUM!$C$6)</f>
        <v>#DIV/0!</v>
      </c>
      <c r="I3739" s="87"/>
      <c r="J3739" s="88"/>
      <c r="K3739" s="88"/>
      <c r="L3739" s="89"/>
      <c r="M3739" s="89"/>
      <c r="Q3739" s="105"/>
    </row>
    <row r="3740" spans="3:17" x14ac:dyDescent="0.3">
      <c r="C3740" s="87"/>
      <c r="H3740" s="86" t="e">
        <f>IF(I3740="fora",0%,G3740/QUÓRUM!$C$6)</f>
        <v>#DIV/0!</v>
      </c>
      <c r="I3740" s="87"/>
      <c r="J3740" s="88"/>
      <c r="K3740" s="88"/>
      <c r="L3740" s="89"/>
      <c r="M3740" s="89"/>
      <c r="Q3740" s="105"/>
    </row>
    <row r="3741" spans="3:17" x14ac:dyDescent="0.3">
      <c r="C3741" s="87"/>
      <c r="H3741" s="86" t="e">
        <f>IF(I3741="fora",0%,G3741/QUÓRUM!$C$6)</f>
        <v>#DIV/0!</v>
      </c>
      <c r="I3741" s="87"/>
      <c r="J3741" s="88"/>
      <c r="K3741" s="88"/>
      <c r="L3741" s="89"/>
      <c r="M3741" s="89"/>
      <c r="Q3741" s="105"/>
    </row>
    <row r="3742" spans="3:17" x14ac:dyDescent="0.3">
      <c r="C3742" s="87"/>
      <c r="H3742" s="86" t="e">
        <f>IF(I3742="fora",0%,G3742/QUÓRUM!$C$6)</f>
        <v>#DIV/0!</v>
      </c>
      <c r="I3742" s="87"/>
      <c r="J3742" s="88"/>
      <c r="K3742" s="88"/>
      <c r="L3742" s="89"/>
      <c r="M3742" s="89"/>
      <c r="Q3742" s="105"/>
    </row>
    <row r="3743" spans="3:17" x14ac:dyDescent="0.3">
      <c r="C3743" s="87"/>
      <c r="H3743" s="86" t="e">
        <f>IF(I3743="fora",0%,G3743/QUÓRUM!$C$6)</f>
        <v>#DIV/0!</v>
      </c>
      <c r="I3743" s="87"/>
      <c r="J3743" s="88"/>
      <c r="K3743" s="88"/>
      <c r="L3743" s="89"/>
      <c r="M3743" s="89"/>
      <c r="Q3743" s="105"/>
    </row>
    <row r="3744" spans="3:17" x14ac:dyDescent="0.3">
      <c r="C3744" s="87"/>
      <c r="H3744" s="86" t="e">
        <f>IF(I3744="fora",0%,G3744/QUÓRUM!$C$6)</f>
        <v>#DIV/0!</v>
      </c>
      <c r="I3744" s="87"/>
      <c r="J3744" s="88"/>
      <c r="K3744" s="88"/>
      <c r="L3744" s="89"/>
      <c r="M3744" s="89"/>
      <c r="Q3744" s="105"/>
    </row>
    <row r="3745" spans="3:17" x14ac:dyDescent="0.3">
      <c r="C3745" s="87"/>
      <c r="H3745" s="86" t="e">
        <f>IF(I3745="fora",0%,G3745/QUÓRUM!$C$6)</f>
        <v>#DIV/0!</v>
      </c>
      <c r="I3745" s="87"/>
      <c r="J3745" s="88"/>
      <c r="K3745" s="88"/>
      <c r="L3745" s="89"/>
      <c r="M3745" s="89"/>
      <c r="Q3745" s="105"/>
    </row>
    <row r="3746" spans="3:17" x14ac:dyDescent="0.3">
      <c r="C3746" s="87"/>
      <c r="H3746" s="86" t="e">
        <f>IF(I3746="fora",0%,G3746/QUÓRUM!$C$6)</f>
        <v>#DIV/0!</v>
      </c>
      <c r="I3746" s="87"/>
      <c r="J3746" s="88"/>
      <c r="K3746" s="88"/>
      <c r="L3746" s="89"/>
      <c r="M3746" s="89"/>
      <c r="Q3746" s="105"/>
    </row>
    <row r="3747" spans="3:17" x14ac:dyDescent="0.3">
      <c r="C3747" s="87"/>
      <c r="G3747" s="115"/>
      <c r="H3747" s="86" t="e">
        <f>IF(I3747="fora",0%,G3747/QUÓRUM!$C$6)</f>
        <v>#DIV/0!</v>
      </c>
      <c r="I3747" s="87"/>
      <c r="J3747" s="88"/>
      <c r="K3747" s="88"/>
      <c r="L3747" s="89"/>
      <c r="M3747" s="89"/>
      <c r="Q3747" s="105"/>
    </row>
    <row r="3748" spans="3:17" x14ac:dyDescent="0.3">
      <c r="C3748" s="87"/>
      <c r="H3748" s="86" t="e">
        <f>IF(I3748="fora",0%,G3748/QUÓRUM!$C$6)</f>
        <v>#DIV/0!</v>
      </c>
      <c r="I3748" s="87"/>
      <c r="J3748" s="88"/>
      <c r="K3748" s="88"/>
      <c r="L3748" s="89"/>
      <c r="M3748" s="89"/>
      <c r="Q3748" s="105"/>
    </row>
    <row r="3749" spans="3:17" x14ac:dyDescent="0.3">
      <c r="C3749" s="87"/>
      <c r="H3749" s="86" t="e">
        <f>IF(I3749="fora",0%,G3749/QUÓRUM!$C$6)</f>
        <v>#DIV/0!</v>
      </c>
      <c r="I3749" s="87"/>
      <c r="J3749" s="88"/>
      <c r="K3749" s="88"/>
      <c r="L3749" s="89"/>
      <c r="M3749" s="89"/>
      <c r="Q3749" s="105"/>
    </row>
    <row r="3750" spans="3:17" x14ac:dyDescent="0.3">
      <c r="C3750" s="87"/>
      <c r="H3750" s="86" t="e">
        <f>IF(I3750="fora",0%,G3750/QUÓRUM!$C$6)</f>
        <v>#DIV/0!</v>
      </c>
      <c r="I3750" s="87"/>
      <c r="J3750" s="88"/>
      <c r="K3750" s="88"/>
      <c r="L3750" s="89"/>
      <c r="M3750" s="89"/>
      <c r="Q3750" s="105"/>
    </row>
    <row r="3751" spans="3:17" x14ac:dyDescent="0.3">
      <c r="C3751" s="87"/>
      <c r="H3751" s="86" t="e">
        <f>IF(I3751="fora",0%,G3751/QUÓRUM!$C$6)</f>
        <v>#DIV/0!</v>
      </c>
      <c r="I3751" s="87"/>
      <c r="J3751" s="88"/>
      <c r="K3751" s="88"/>
      <c r="L3751" s="89"/>
      <c r="M3751" s="89"/>
      <c r="Q3751" s="105"/>
    </row>
    <row r="3752" spans="3:17" x14ac:dyDescent="0.3">
      <c r="C3752" s="87"/>
      <c r="H3752" s="86" t="e">
        <f>IF(I3752="fora",0%,G3752/QUÓRUM!$C$6)</f>
        <v>#DIV/0!</v>
      </c>
      <c r="I3752" s="87"/>
      <c r="J3752" s="88"/>
      <c r="K3752" s="88"/>
      <c r="L3752" s="89"/>
      <c r="M3752" s="89"/>
      <c r="Q3752" s="105"/>
    </row>
    <row r="3753" spans="3:17" x14ac:dyDescent="0.3">
      <c r="C3753" s="87"/>
      <c r="H3753" s="86" t="e">
        <f>IF(I3753="fora",0%,G3753/QUÓRUM!$C$6)</f>
        <v>#DIV/0!</v>
      </c>
      <c r="I3753" s="87"/>
      <c r="J3753" s="88"/>
      <c r="K3753" s="88"/>
      <c r="L3753" s="89"/>
      <c r="M3753" s="89"/>
      <c r="Q3753" s="105"/>
    </row>
    <row r="3754" spans="3:17" x14ac:dyDescent="0.3">
      <c r="C3754" s="87"/>
      <c r="H3754" s="86" t="e">
        <f>IF(I3754="fora",0%,G3754/QUÓRUM!$C$6)</f>
        <v>#DIV/0!</v>
      </c>
      <c r="I3754" s="87"/>
      <c r="J3754" s="88"/>
      <c r="K3754" s="88"/>
      <c r="L3754" s="89"/>
      <c r="M3754" s="89"/>
      <c r="Q3754" s="105"/>
    </row>
    <row r="3755" spans="3:17" x14ac:dyDescent="0.3">
      <c r="C3755" s="87"/>
      <c r="H3755" s="86" t="e">
        <f>IF(I3755="fora",0%,G3755/QUÓRUM!$C$6)</f>
        <v>#DIV/0!</v>
      </c>
      <c r="I3755" s="87"/>
      <c r="J3755" s="88"/>
      <c r="K3755" s="88"/>
      <c r="L3755" s="89"/>
      <c r="M3755" s="89"/>
      <c r="Q3755" s="105"/>
    </row>
    <row r="3756" spans="3:17" x14ac:dyDescent="0.3">
      <c r="C3756" s="87"/>
      <c r="H3756" s="86" t="e">
        <f>IF(I3756="fora",0%,G3756/QUÓRUM!$C$6)</f>
        <v>#DIV/0!</v>
      </c>
      <c r="I3756" s="87"/>
      <c r="J3756" s="88"/>
      <c r="K3756" s="88"/>
      <c r="L3756" s="89"/>
      <c r="M3756" s="89"/>
      <c r="Q3756" s="105"/>
    </row>
    <row r="3757" spans="3:17" x14ac:dyDescent="0.3">
      <c r="C3757" s="87"/>
      <c r="H3757" s="86" t="e">
        <f>IF(I3757="fora",0%,G3757/QUÓRUM!$C$6)</f>
        <v>#DIV/0!</v>
      </c>
      <c r="I3757" s="87"/>
      <c r="J3757" s="88"/>
      <c r="K3757" s="88"/>
      <c r="L3757" s="89"/>
      <c r="M3757" s="89"/>
      <c r="Q3757" s="105"/>
    </row>
    <row r="3758" spans="3:17" x14ac:dyDescent="0.3">
      <c r="C3758" s="87"/>
      <c r="H3758" s="86" t="e">
        <f>IF(I3758="fora",0%,G3758/QUÓRUM!$C$6)</f>
        <v>#DIV/0!</v>
      </c>
      <c r="I3758" s="87"/>
      <c r="J3758" s="88"/>
      <c r="K3758" s="88"/>
      <c r="L3758" s="89"/>
      <c r="M3758" s="89"/>
      <c r="Q3758" s="105"/>
    </row>
    <row r="3759" spans="3:17" x14ac:dyDescent="0.3">
      <c r="C3759" s="87"/>
      <c r="H3759" s="86" t="e">
        <f>IF(I3759="fora",0%,G3759/QUÓRUM!$C$6)</f>
        <v>#DIV/0!</v>
      </c>
      <c r="I3759" s="87"/>
      <c r="J3759" s="88"/>
      <c r="K3759" s="88"/>
      <c r="L3759" s="89"/>
      <c r="M3759" s="89"/>
      <c r="Q3759" s="105"/>
    </row>
    <row r="3760" spans="3:17" x14ac:dyDescent="0.3">
      <c r="C3760" s="87"/>
      <c r="H3760" s="86" t="e">
        <f>IF(I3760="fora",0%,G3760/QUÓRUM!$C$6)</f>
        <v>#DIV/0!</v>
      </c>
      <c r="I3760" s="87"/>
      <c r="J3760" s="88"/>
      <c r="K3760" s="88"/>
      <c r="L3760" s="89"/>
      <c r="M3760" s="89"/>
      <c r="Q3760" s="105"/>
    </row>
    <row r="3761" spans="3:17" x14ac:dyDescent="0.3">
      <c r="C3761" s="87"/>
      <c r="H3761" s="86" t="e">
        <f>IF(I3761="fora",0%,G3761/QUÓRUM!$C$6)</f>
        <v>#DIV/0!</v>
      </c>
      <c r="I3761" s="87"/>
      <c r="J3761" s="88"/>
      <c r="K3761" s="88"/>
      <c r="L3761" s="89"/>
      <c r="M3761" s="89"/>
      <c r="Q3761" s="105"/>
    </row>
    <row r="3762" spans="3:17" x14ac:dyDescent="0.3">
      <c r="C3762" s="87"/>
      <c r="H3762" s="86" t="e">
        <f>IF(I3762="fora",0%,G3762/QUÓRUM!$C$6)</f>
        <v>#DIV/0!</v>
      </c>
      <c r="I3762" s="87"/>
      <c r="J3762" s="88"/>
      <c r="K3762" s="88"/>
      <c r="L3762" s="89"/>
      <c r="M3762" s="89"/>
      <c r="Q3762" s="105"/>
    </row>
    <row r="3763" spans="3:17" x14ac:dyDescent="0.3">
      <c r="C3763" s="87"/>
      <c r="H3763" s="86" t="e">
        <f>IF(I3763="fora",0%,G3763/QUÓRUM!$C$6)</f>
        <v>#DIV/0!</v>
      </c>
      <c r="I3763" s="87"/>
      <c r="J3763" s="88"/>
      <c r="K3763" s="88"/>
      <c r="L3763" s="89"/>
      <c r="M3763" s="89"/>
      <c r="Q3763" s="105"/>
    </row>
    <row r="3764" spans="3:17" x14ac:dyDescent="0.3">
      <c r="C3764" s="87"/>
      <c r="H3764" s="86" t="e">
        <f>IF(I3764="fora",0%,G3764/QUÓRUM!$C$6)</f>
        <v>#DIV/0!</v>
      </c>
      <c r="I3764" s="87"/>
      <c r="J3764" s="88"/>
      <c r="K3764" s="88"/>
      <c r="L3764" s="89"/>
      <c r="M3764" s="89"/>
      <c r="Q3764" s="105"/>
    </row>
    <row r="3765" spans="3:17" x14ac:dyDescent="0.3">
      <c r="C3765" s="87"/>
      <c r="H3765" s="86" t="e">
        <f>IF(I3765="fora",0%,G3765/QUÓRUM!$C$6)</f>
        <v>#DIV/0!</v>
      </c>
      <c r="I3765" s="87"/>
      <c r="J3765" s="88"/>
      <c r="K3765" s="88"/>
      <c r="L3765" s="89"/>
      <c r="M3765" s="89"/>
      <c r="Q3765" s="105"/>
    </row>
    <row r="3766" spans="3:17" x14ac:dyDescent="0.3">
      <c r="C3766" s="87"/>
      <c r="H3766" s="86" t="e">
        <f>IF(I3766="fora",0%,G3766/QUÓRUM!$C$6)</f>
        <v>#DIV/0!</v>
      </c>
      <c r="I3766" s="87"/>
      <c r="J3766" s="88"/>
      <c r="K3766" s="88"/>
      <c r="L3766" s="89"/>
      <c r="M3766" s="89"/>
      <c r="Q3766" s="105"/>
    </row>
    <row r="3767" spans="3:17" x14ac:dyDescent="0.3">
      <c r="C3767" s="87"/>
      <c r="H3767" s="86" t="e">
        <f>IF(I3767="fora",0%,G3767/QUÓRUM!$C$6)</f>
        <v>#DIV/0!</v>
      </c>
      <c r="I3767" s="87"/>
      <c r="J3767" s="88"/>
      <c r="K3767" s="88"/>
      <c r="L3767" s="89"/>
      <c r="M3767" s="89"/>
      <c r="Q3767" s="105"/>
    </row>
    <row r="3768" spans="3:17" x14ac:dyDescent="0.3">
      <c r="C3768" s="87"/>
      <c r="H3768" s="86" t="e">
        <f>IF(I3768="fora",0%,G3768/QUÓRUM!$C$6)</f>
        <v>#DIV/0!</v>
      </c>
      <c r="I3768" s="87"/>
      <c r="J3768" s="88"/>
      <c r="K3768" s="88"/>
      <c r="L3768" s="89"/>
      <c r="M3768" s="89"/>
      <c r="Q3768" s="105"/>
    </row>
    <row r="3769" spans="3:17" x14ac:dyDescent="0.3">
      <c r="C3769" s="87"/>
      <c r="H3769" s="86" t="e">
        <f>IF(I3769="fora",0%,G3769/QUÓRUM!$C$6)</f>
        <v>#DIV/0!</v>
      </c>
      <c r="I3769" s="87"/>
      <c r="J3769" s="88"/>
      <c r="K3769" s="88"/>
      <c r="L3769" s="89"/>
      <c r="M3769" s="89"/>
      <c r="Q3769" s="105"/>
    </row>
    <row r="3770" spans="3:17" x14ac:dyDescent="0.3">
      <c r="C3770" s="87"/>
      <c r="H3770" s="86" t="e">
        <f>IF(I3770="fora",0%,G3770/QUÓRUM!$C$6)</f>
        <v>#DIV/0!</v>
      </c>
      <c r="I3770" s="87"/>
      <c r="J3770" s="88"/>
      <c r="K3770" s="88"/>
      <c r="L3770" s="89"/>
      <c r="M3770" s="89"/>
      <c r="Q3770" s="105"/>
    </row>
    <row r="3771" spans="3:17" x14ac:dyDescent="0.3">
      <c r="C3771" s="87"/>
      <c r="H3771" s="86" t="e">
        <f>IF(I3771="fora",0%,G3771/QUÓRUM!$C$6)</f>
        <v>#DIV/0!</v>
      </c>
      <c r="I3771" s="87"/>
      <c r="J3771" s="88"/>
      <c r="K3771" s="88"/>
      <c r="L3771" s="89"/>
      <c r="M3771" s="89"/>
      <c r="Q3771" s="105"/>
    </row>
    <row r="3772" spans="3:17" x14ac:dyDescent="0.3">
      <c r="C3772" s="87"/>
      <c r="H3772" s="86" t="e">
        <f>IF(I3772="fora",0%,G3772/QUÓRUM!$C$6)</f>
        <v>#DIV/0!</v>
      </c>
      <c r="I3772" s="87"/>
      <c r="J3772" s="88"/>
      <c r="K3772" s="88"/>
      <c r="L3772" s="89"/>
      <c r="M3772" s="89"/>
      <c r="Q3772" s="105"/>
    </row>
    <row r="3773" spans="3:17" x14ac:dyDescent="0.3">
      <c r="C3773" s="87"/>
      <c r="H3773" s="86" t="e">
        <f>IF(I3773="fora",0%,G3773/QUÓRUM!$C$6)</f>
        <v>#DIV/0!</v>
      </c>
      <c r="I3773" s="87"/>
      <c r="J3773" s="88"/>
      <c r="K3773" s="88"/>
      <c r="L3773" s="89"/>
      <c r="M3773" s="89"/>
      <c r="Q3773" s="105"/>
    </row>
    <row r="3774" spans="3:17" x14ac:dyDescent="0.3">
      <c r="C3774" s="87"/>
      <c r="H3774" s="86" t="e">
        <f>IF(I3774="fora",0%,G3774/QUÓRUM!$C$6)</f>
        <v>#DIV/0!</v>
      </c>
      <c r="I3774" s="87"/>
      <c r="J3774" s="88"/>
      <c r="K3774" s="88"/>
      <c r="L3774" s="89"/>
      <c r="M3774" s="89"/>
      <c r="Q3774" s="105"/>
    </row>
    <row r="3775" spans="3:17" x14ac:dyDescent="0.3">
      <c r="C3775" s="87"/>
      <c r="H3775" s="86" t="e">
        <f>IF(I3775="fora",0%,G3775/QUÓRUM!$C$6)</f>
        <v>#DIV/0!</v>
      </c>
      <c r="I3775" s="87"/>
      <c r="J3775" s="88"/>
      <c r="K3775" s="88"/>
      <c r="L3775" s="89"/>
      <c r="M3775" s="89"/>
      <c r="Q3775" s="105"/>
    </row>
    <row r="3776" spans="3:17" x14ac:dyDescent="0.3">
      <c r="C3776" s="87"/>
      <c r="H3776" s="86" t="e">
        <f>IF(I3776="fora",0%,G3776/QUÓRUM!$C$6)</f>
        <v>#DIV/0!</v>
      </c>
      <c r="I3776" s="87"/>
      <c r="J3776" s="88"/>
      <c r="K3776" s="88"/>
      <c r="L3776" s="89"/>
      <c r="M3776" s="89"/>
      <c r="Q3776" s="105"/>
    </row>
    <row r="3777" spans="3:17" x14ac:dyDescent="0.3">
      <c r="C3777" s="87"/>
      <c r="H3777" s="86" t="e">
        <f>IF(I3777="fora",0%,G3777/QUÓRUM!$C$6)</f>
        <v>#DIV/0!</v>
      </c>
      <c r="I3777" s="87"/>
      <c r="J3777" s="88"/>
      <c r="K3777" s="88"/>
      <c r="L3777" s="89"/>
      <c r="M3777" s="89"/>
      <c r="Q3777" s="105"/>
    </row>
    <row r="3778" spans="3:17" x14ac:dyDescent="0.3">
      <c r="C3778" s="87"/>
      <c r="H3778" s="86" t="e">
        <f>IF(I3778="fora",0%,G3778/QUÓRUM!$C$6)</f>
        <v>#DIV/0!</v>
      </c>
      <c r="I3778" s="87"/>
      <c r="J3778" s="88"/>
      <c r="K3778" s="88"/>
      <c r="L3778" s="89"/>
      <c r="M3778" s="89"/>
      <c r="Q3778" s="105"/>
    </row>
    <row r="3779" spans="3:17" x14ac:dyDescent="0.3">
      <c r="C3779" s="87"/>
      <c r="H3779" s="86" t="e">
        <f>IF(I3779="fora",0%,G3779/QUÓRUM!$C$6)</f>
        <v>#DIV/0!</v>
      </c>
      <c r="I3779" s="87"/>
      <c r="J3779" s="88"/>
      <c r="K3779" s="88"/>
      <c r="L3779" s="89"/>
      <c r="M3779" s="89"/>
      <c r="Q3779" s="105"/>
    </row>
    <row r="3780" spans="3:17" x14ac:dyDescent="0.3">
      <c r="C3780" s="87"/>
      <c r="H3780" s="86" t="e">
        <f>IF(I3780="fora",0%,G3780/QUÓRUM!$C$6)</f>
        <v>#DIV/0!</v>
      </c>
      <c r="I3780" s="87"/>
      <c r="J3780" s="88"/>
      <c r="K3780" s="88"/>
      <c r="L3780" s="89"/>
      <c r="M3780" s="89"/>
      <c r="Q3780" s="105"/>
    </row>
    <row r="3781" spans="3:17" x14ac:dyDescent="0.3">
      <c r="C3781" s="87"/>
      <c r="H3781" s="86" t="e">
        <f>IF(I3781="fora",0%,G3781/QUÓRUM!$C$6)</f>
        <v>#DIV/0!</v>
      </c>
      <c r="I3781" s="87"/>
      <c r="J3781" s="88"/>
      <c r="K3781" s="88"/>
      <c r="L3781" s="89"/>
      <c r="M3781" s="89"/>
      <c r="Q3781" s="105"/>
    </row>
    <row r="3782" spans="3:17" x14ac:dyDescent="0.3">
      <c r="C3782" s="87"/>
      <c r="H3782" s="86" t="e">
        <f>IF(I3782="fora",0%,G3782/QUÓRUM!$C$6)</f>
        <v>#DIV/0!</v>
      </c>
      <c r="I3782" s="87"/>
      <c r="J3782" s="88"/>
      <c r="K3782" s="88"/>
      <c r="L3782" s="89"/>
      <c r="M3782" s="89"/>
      <c r="Q3782" s="105"/>
    </row>
    <row r="3783" spans="3:17" x14ac:dyDescent="0.3">
      <c r="C3783" s="87"/>
      <c r="H3783" s="86" t="e">
        <f>IF(I3783="fora",0%,G3783/QUÓRUM!$C$6)</f>
        <v>#DIV/0!</v>
      </c>
      <c r="I3783" s="87"/>
      <c r="J3783" s="88"/>
      <c r="K3783" s="88"/>
      <c r="L3783" s="89"/>
      <c r="M3783" s="89"/>
      <c r="Q3783" s="105"/>
    </row>
    <row r="3784" spans="3:17" x14ac:dyDescent="0.3">
      <c r="C3784" s="87"/>
      <c r="H3784" s="86" t="e">
        <f>IF(I3784="fora",0%,G3784/QUÓRUM!$C$6)</f>
        <v>#DIV/0!</v>
      </c>
      <c r="I3784" s="87"/>
      <c r="J3784" s="88"/>
      <c r="K3784" s="88"/>
      <c r="L3784" s="89"/>
      <c r="M3784" s="89"/>
      <c r="Q3784" s="105"/>
    </row>
    <row r="3785" spans="3:17" x14ac:dyDescent="0.3">
      <c r="C3785" s="87"/>
      <c r="H3785" s="86" t="e">
        <f>IF(I3785="fora",0%,G3785/QUÓRUM!$C$6)</f>
        <v>#DIV/0!</v>
      </c>
      <c r="I3785" s="87"/>
      <c r="J3785" s="88"/>
      <c r="K3785" s="88"/>
      <c r="L3785" s="89"/>
      <c r="M3785" s="89"/>
      <c r="Q3785" s="105"/>
    </row>
    <row r="3786" spans="3:17" x14ac:dyDescent="0.3">
      <c r="C3786" s="87"/>
      <c r="H3786" s="86" t="e">
        <f>IF(I3786="fora",0%,G3786/QUÓRUM!$C$6)</f>
        <v>#DIV/0!</v>
      </c>
      <c r="I3786" s="87"/>
      <c r="J3786" s="88"/>
      <c r="K3786" s="88"/>
      <c r="L3786" s="89"/>
      <c r="M3786" s="89"/>
      <c r="Q3786" s="105"/>
    </row>
    <row r="3787" spans="3:17" x14ac:dyDescent="0.3">
      <c r="C3787" s="87"/>
      <c r="H3787" s="86" t="e">
        <f>IF(I3787="fora",0%,G3787/QUÓRUM!$C$6)</f>
        <v>#DIV/0!</v>
      </c>
      <c r="I3787" s="87"/>
      <c r="J3787" s="88"/>
      <c r="K3787" s="88"/>
      <c r="L3787" s="89"/>
      <c r="M3787" s="89"/>
      <c r="Q3787" s="105"/>
    </row>
    <row r="3788" spans="3:17" x14ac:dyDescent="0.3">
      <c r="C3788" s="87"/>
      <c r="H3788" s="86" t="e">
        <f>IF(I3788="fora",0%,G3788/QUÓRUM!$C$6)</f>
        <v>#DIV/0!</v>
      </c>
      <c r="I3788" s="87"/>
      <c r="J3788" s="88"/>
      <c r="K3788" s="88"/>
      <c r="L3788" s="89"/>
      <c r="M3788" s="89"/>
      <c r="Q3788" s="105"/>
    </row>
    <row r="3789" spans="3:17" x14ac:dyDescent="0.3">
      <c r="C3789" s="87"/>
      <c r="H3789" s="86" t="e">
        <f>IF(I3789="fora",0%,G3789/QUÓRUM!$C$6)</f>
        <v>#DIV/0!</v>
      </c>
      <c r="I3789" s="87"/>
      <c r="J3789" s="88"/>
      <c r="K3789" s="88"/>
      <c r="L3789" s="89"/>
      <c r="M3789" s="89"/>
      <c r="Q3789" s="105"/>
    </row>
    <row r="3790" spans="3:17" x14ac:dyDescent="0.3">
      <c r="C3790" s="87"/>
      <c r="H3790" s="86" t="e">
        <f>IF(I3790="fora",0%,G3790/QUÓRUM!$C$6)</f>
        <v>#DIV/0!</v>
      </c>
      <c r="I3790" s="87"/>
      <c r="J3790" s="88"/>
      <c r="K3790" s="88"/>
      <c r="L3790" s="89"/>
      <c r="M3790" s="89"/>
      <c r="Q3790" s="105"/>
    </row>
    <row r="3791" spans="3:17" x14ac:dyDescent="0.3">
      <c r="C3791" s="87"/>
      <c r="H3791" s="86" t="e">
        <f>IF(I3791="fora",0%,G3791/QUÓRUM!$C$6)</f>
        <v>#DIV/0!</v>
      </c>
      <c r="I3791" s="87"/>
      <c r="J3791" s="88"/>
      <c r="K3791" s="88"/>
      <c r="L3791" s="89"/>
      <c r="M3791" s="89"/>
      <c r="Q3791" s="105"/>
    </row>
    <row r="3792" spans="3:17" x14ac:dyDescent="0.3">
      <c r="C3792" s="87"/>
      <c r="H3792" s="86" t="e">
        <f>IF(I3792="fora",0%,G3792/QUÓRUM!$C$6)</f>
        <v>#DIV/0!</v>
      </c>
      <c r="I3792" s="87"/>
      <c r="J3792" s="88"/>
      <c r="K3792" s="88"/>
      <c r="L3792" s="89"/>
      <c r="M3792" s="89"/>
      <c r="Q3792" s="105"/>
    </row>
    <row r="3793" spans="3:17" x14ac:dyDescent="0.3">
      <c r="C3793" s="87"/>
      <c r="H3793" s="86" t="e">
        <f>IF(I3793="fora",0%,G3793/QUÓRUM!$C$6)</f>
        <v>#DIV/0!</v>
      </c>
      <c r="I3793" s="87"/>
      <c r="J3793" s="88"/>
      <c r="K3793" s="88"/>
      <c r="L3793" s="89"/>
      <c r="M3793" s="89"/>
      <c r="Q3793" s="105"/>
    </row>
    <row r="3794" spans="3:17" x14ac:dyDescent="0.3">
      <c r="C3794" s="87"/>
      <c r="H3794" s="86" t="e">
        <f>IF(I3794="fora",0%,G3794/QUÓRUM!$C$6)</f>
        <v>#DIV/0!</v>
      </c>
      <c r="I3794" s="87"/>
      <c r="J3794" s="88"/>
      <c r="K3794" s="88"/>
      <c r="L3794" s="89"/>
      <c r="M3794" s="89"/>
      <c r="Q3794" s="105"/>
    </row>
    <row r="3795" spans="3:17" x14ac:dyDescent="0.3">
      <c r="C3795" s="87"/>
      <c r="H3795" s="86" t="e">
        <f>IF(I3795="fora",0%,G3795/QUÓRUM!$C$6)</f>
        <v>#DIV/0!</v>
      </c>
      <c r="I3795" s="87"/>
      <c r="J3795" s="88"/>
      <c r="K3795" s="88"/>
      <c r="L3795" s="89"/>
      <c r="M3795" s="89"/>
      <c r="Q3795" s="105"/>
    </row>
    <row r="3796" spans="3:17" x14ac:dyDescent="0.3">
      <c r="C3796" s="87"/>
      <c r="H3796" s="86" t="e">
        <f>IF(I3796="fora",0%,G3796/QUÓRUM!$C$6)</f>
        <v>#DIV/0!</v>
      </c>
      <c r="I3796" s="87"/>
      <c r="J3796" s="88"/>
      <c r="K3796" s="88"/>
      <c r="L3796" s="89"/>
      <c r="M3796" s="89"/>
      <c r="Q3796" s="105"/>
    </row>
    <row r="3797" spans="3:17" x14ac:dyDescent="0.3">
      <c r="C3797" s="87"/>
      <c r="H3797" s="86" t="e">
        <f>IF(I3797="fora",0%,G3797/QUÓRUM!$C$6)</f>
        <v>#DIV/0!</v>
      </c>
      <c r="I3797" s="87"/>
      <c r="J3797" s="88"/>
      <c r="K3797" s="88"/>
      <c r="L3797" s="89"/>
      <c r="M3797" s="89"/>
      <c r="Q3797" s="105"/>
    </row>
    <row r="3798" spans="3:17" x14ac:dyDescent="0.3">
      <c r="C3798" s="87"/>
      <c r="H3798" s="86" t="e">
        <f>IF(I3798="fora",0%,G3798/QUÓRUM!$C$6)</f>
        <v>#DIV/0!</v>
      </c>
      <c r="I3798" s="87"/>
      <c r="J3798" s="88"/>
      <c r="K3798" s="88"/>
      <c r="L3798" s="89"/>
      <c r="M3798" s="89"/>
      <c r="Q3798" s="105"/>
    </row>
    <row r="3799" spans="3:17" x14ac:dyDescent="0.3">
      <c r="C3799" s="87"/>
      <c r="H3799" s="86" t="e">
        <f>IF(I3799="fora",0%,G3799/QUÓRUM!$C$6)</f>
        <v>#DIV/0!</v>
      </c>
      <c r="I3799" s="87"/>
      <c r="J3799" s="88"/>
      <c r="K3799" s="88"/>
      <c r="L3799" s="89"/>
      <c r="M3799" s="89"/>
      <c r="Q3799" s="105"/>
    </row>
    <row r="3800" spans="3:17" x14ac:dyDescent="0.3">
      <c r="C3800" s="87"/>
      <c r="H3800" s="86" t="e">
        <f>IF(I3800="fora",0%,G3800/QUÓRUM!$C$6)</f>
        <v>#DIV/0!</v>
      </c>
      <c r="I3800" s="87"/>
      <c r="J3800" s="88"/>
      <c r="K3800" s="88"/>
      <c r="L3800" s="89"/>
      <c r="M3800" s="89"/>
      <c r="Q3800" s="105"/>
    </row>
    <row r="3801" spans="3:17" x14ac:dyDescent="0.3">
      <c r="C3801" s="87"/>
      <c r="H3801" s="86" t="e">
        <f>IF(I3801="fora",0%,G3801/QUÓRUM!$C$6)</f>
        <v>#DIV/0!</v>
      </c>
      <c r="I3801" s="87"/>
      <c r="J3801" s="88"/>
      <c r="K3801" s="88"/>
      <c r="L3801" s="89"/>
      <c r="M3801" s="89"/>
      <c r="Q3801" s="105"/>
    </row>
    <row r="3802" spans="3:17" x14ac:dyDescent="0.3">
      <c r="C3802" s="87"/>
      <c r="H3802" s="86" t="e">
        <f>IF(I3802="fora",0%,G3802/QUÓRUM!$C$6)</f>
        <v>#DIV/0!</v>
      </c>
      <c r="I3802" s="87"/>
      <c r="J3802" s="88"/>
      <c r="K3802" s="88"/>
      <c r="L3802" s="89"/>
      <c r="M3802" s="89"/>
      <c r="Q3802" s="105"/>
    </row>
    <row r="3803" spans="3:17" x14ac:dyDescent="0.3">
      <c r="C3803" s="87"/>
      <c r="H3803" s="86" t="e">
        <f>IF(I3803="fora",0%,G3803/QUÓRUM!$C$6)</f>
        <v>#DIV/0!</v>
      </c>
      <c r="I3803" s="87"/>
      <c r="J3803" s="88"/>
      <c r="K3803" s="88"/>
      <c r="L3803" s="89"/>
      <c r="M3803" s="89"/>
      <c r="Q3803" s="105"/>
    </row>
    <row r="3804" spans="3:17" x14ac:dyDescent="0.3">
      <c r="C3804" s="87"/>
      <c r="H3804" s="86" t="e">
        <f>IF(I3804="fora",0%,G3804/QUÓRUM!$C$6)</f>
        <v>#DIV/0!</v>
      </c>
      <c r="I3804" s="87"/>
      <c r="J3804" s="88"/>
      <c r="K3804" s="88"/>
      <c r="L3804" s="89"/>
      <c r="M3804" s="89"/>
      <c r="Q3804" s="105"/>
    </row>
    <row r="3805" spans="3:17" x14ac:dyDescent="0.3">
      <c r="C3805" s="87"/>
      <c r="H3805" s="86" t="e">
        <f>IF(I3805="fora",0%,G3805/QUÓRUM!$C$6)</f>
        <v>#DIV/0!</v>
      </c>
      <c r="I3805" s="87"/>
      <c r="J3805" s="88"/>
      <c r="K3805" s="88"/>
      <c r="L3805" s="89"/>
      <c r="M3805" s="89"/>
      <c r="Q3805" s="105"/>
    </row>
    <row r="3806" spans="3:17" x14ac:dyDescent="0.3">
      <c r="C3806" s="87"/>
      <c r="H3806" s="86" t="e">
        <f>IF(I3806="fora",0%,G3806/QUÓRUM!$C$6)</f>
        <v>#DIV/0!</v>
      </c>
      <c r="I3806" s="87"/>
      <c r="J3806" s="88"/>
      <c r="K3806" s="88"/>
      <c r="L3806" s="89"/>
      <c r="M3806" s="89"/>
      <c r="Q3806" s="105"/>
    </row>
    <row r="3807" spans="3:17" x14ac:dyDescent="0.3">
      <c r="C3807" s="87"/>
      <c r="H3807" s="86" t="e">
        <f>IF(I3807="fora",0%,G3807/QUÓRUM!$C$6)</f>
        <v>#DIV/0!</v>
      </c>
      <c r="I3807" s="87"/>
      <c r="J3807" s="88"/>
      <c r="K3807" s="88"/>
      <c r="L3807" s="89"/>
      <c r="M3807" s="89"/>
      <c r="Q3807" s="105"/>
    </row>
    <row r="3808" spans="3:17" x14ac:dyDescent="0.3">
      <c r="C3808" s="87"/>
      <c r="H3808" s="86" t="e">
        <f>IF(I3808="fora",0%,G3808/QUÓRUM!$C$6)</f>
        <v>#DIV/0!</v>
      </c>
      <c r="I3808" s="87"/>
      <c r="J3808" s="88"/>
      <c r="K3808" s="88"/>
      <c r="L3808" s="89"/>
      <c r="M3808" s="89"/>
      <c r="Q3808" s="105"/>
    </row>
    <row r="3809" spans="3:17" x14ac:dyDescent="0.3">
      <c r="C3809" s="87"/>
      <c r="H3809" s="86" t="e">
        <f>IF(I3809="fora",0%,G3809/QUÓRUM!$C$6)</f>
        <v>#DIV/0!</v>
      </c>
      <c r="I3809" s="87"/>
      <c r="J3809" s="88"/>
      <c r="K3809" s="88"/>
      <c r="L3809" s="89"/>
      <c r="M3809" s="89"/>
      <c r="Q3809" s="105"/>
    </row>
    <row r="3810" spans="3:17" x14ac:dyDescent="0.3">
      <c r="C3810" s="87"/>
      <c r="H3810" s="86" t="e">
        <f>IF(I3810="fora",0%,G3810/QUÓRUM!$C$6)</f>
        <v>#DIV/0!</v>
      </c>
      <c r="I3810" s="87"/>
      <c r="J3810" s="88"/>
      <c r="K3810" s="88"/>
      <c r="L3810" s="89"/>
      <c r="M3810" s="89"/>
      <c r="Q3810" s="105"/>
    </row>
    <row r="3811" spans="3:17" x14ac:dyDescent="0.3">
      <c r="C3811" s="87"/>
      <c r="H3811" s="86" t="e">
        <f>IF(I3811="fora",0%,G3811/QUÓRUM!$C$6)</f>
        <v>#DIV/0!</v>
      </c>
      <c r="I3811" s="87"/>
      <c r="J3811" s="88"/>
      <c r="K3811" s="88"/>
      <c r="L3811" s="89"/>
      <c r="M3811" s="89"/>
      <c r="Q3811" s="105"/>
    </row>
    <row r="3812" spans="3:17" x14ac:dyDescent="0.3">
      <c r="C3812" s="87"/>
      <c r="H3812" s="86" t="e">
        <f>IF(I3812="fora",0%,G3812/QUÓRUM!$C$6)</f>
        <v>#DIV/0!</v>
      </c>
      <c r="I3812" s="87"/>
      <c r="J3812" s="88"/>
      <c r="K3812" s="88"/>
      <c r="L3812" s="89"/>
      <c r="M3812" s="89"/>
      <c r="Q3812" s="105"/>
    </row>
    <row r="3813" spans="3:17" x14ac:dyDescent="0.3">
      <c r="C3813" s="87"/>
      <c r="H3813" s="86" t="e">
        <f>IF(I3813="fora",0%,G3813/QUÓRUM!$C$6)</f>
        <v>#DIV/0!</v>
      </c>
      <c r="I3813" s="87"/>
      <c r="J3813" s="88"/>
      <c r="K3813" s="88"/>
      <c r="L3813" s="89"/>
      <c r="M3813" s="89"/>
      <c r="Q3813" s="105"/>
    </row>
    <row r="3814" spans="3:17" x14ac:dyDescent="0.3">
      <c r="C3814" s="87"/>
      <c r="H3814" s="86" t="e">
        <f>IF(I3814="fora",0%,G3814/QUÓRUM!$C$6)</f>
        <v>#DIV/0!</v>
      </c>
      <c r="I3814" s="87"/>
      <c r="J3814" s="88"/>
      <c r="K3814" s="88"/>
      <c r="L3814" s="89"/>
      <c r="M3814" s="89"/>
      <c r="Q3814" s="105"/>
    </row>
    <row r="3815" spans="3:17" x14ac:dyDescent="0.3">
      <c r="C3815" s="87"/>
      <c r="H3815" s="86" t="e">
        <f>IF(I3815="fora",0%,G3815/QUÓRUM!$C$6)</f>
        <v>#DIV/0!</v>
      </c>
      <c r="I3815" s="87"/>
      <c r="J3815" s="88"/>
      <c r="K3815" s="88"/>
      <c r="L3815" s="89"/>
      <c r="M3815" s="89"/>
      <c r="Q3815" s="105"/>
    </row>
    <row r="3816" spans="3:17" x14ac:dyDescent="0.3">
      <c r="C3816" s="87"/>
      <c r="H3816" s="86" t="e">
        <f>IF(I3816="fora",0%,G3816/QUÓRUM!$C$6)</f>
        <v>#DIV/0!</v>
      </c>
      <c r="I3816" s="87"/>
      <c r="J3816" s="88"/>
      <c r="K3816" s="88"/>
      <c r="L3816" s="89"/>
      <c r="M3816" s="89"/>
      <c r="Q3816" s="105"/>
    </row>
    <row r="3817" spans="3:17" x14ac:dyDescent="0.3">
      <c r="C3817" s="87"/>
      <c r="H3817" s="86" t="e">
        <f>IF(I3817="fora",0%,G3817/QUÓRUM!$C$6)</f>
        <v>#DIV/0!</v>
      </c>
      <c r="I3817" s="87"/>
      <c r="J3817" s="88"/>
      <c r="K3817" s="88"/>
      <c r="L3817" s="89"/>
      <c r="M3817" s="89"/>
      <c r="Q3817" s="105"/>
    </row>
    <row r="3818" spans="3:17" x14ac:dyDescent="0.3">
      <c r="C3818" s="87"/>
      <c r="H3818" s="86" t="e">
        <f>IF(I3818="fora",0%,G3818/QUÓRUM!$C$6)</f>
        <v>#DIV/0!</v>
      </c>
      <c r="I3818" s="87"/>
      <c r="J3818" s="88"/>
      <c r="K3818" s="88"/>
      <c r="L3818" s="89"/>
      <c r="M3818" s="89"/>
      <c r="Q3818" s="105"/>
    </row>
    <row r="3819" spans="3:17" x14ac:dyDescent="0.3">
      <c r="C3819" s="87"/>
      <c r="H3819" s="86" t="e">
        <f>IF(I3819="fora",0%,G3819/QUÓRUM!$C$6)</f>
        <v>#DIV/0!</v>
      </c>
      <c r="I3819" s="87"/>
      <c r="J3819" s="88"/>
      <c r="K3819" s="88"/>
      <c r="L3819" s="89"/>
      <c r="M3819" s="89"/>
      <c r="Q3819" s="105"/>
    </row>
    <row r="3820" spans="3:17" x14ac:dyDescent="0.3">
      <c r="C3820" s="87"/>
      <c r="H3820" s="86" t="e">
        <f>IF(I3820="fora",0%,G3820/QUÓRUM!$C$6)</f>
        <v>#DIV/0!</v>
      </c>
      <c r="I3820" s="87"/>
      <c r="J3820" s="88"/>
      <c r="K3820" s="88"/>
      <c r="L3820" s="89"/>
      <c r="M3820" s="89"/>
      <c r="Q3820" s="105"/>
    </row>
    <row r="3821" spans="3:17" x14ac:dyDescent="0.3">
      <c r="C3821" s="87"/>
      <c r="H3821" s="86" t="e">
        <f>IF(I3821="fora",0%,G3821/QUÓRUM!$C$6)</f>
        <v>#DIV/0!</v>
      </c>
      <c r="I3821" s="87"/>
      <c r="J3821" s="88"/>
      <c r="K3821" s="88"/>
      <c r="L3821" s="89"/>
      <c r="M3821" s="89"/>
      <c r="Q3821" s="105"/>
    </row>
    <row r="3822" spans="3:17" x14ac:dyDescent="0.3">
      <c r="C3822" s="87"/>
      <c r="H3822" s="86" t="e">
        <f>IF(I3822="fora",0%,G3822/QUÓRUM!$C$6)</f>
        <v>#DIV/0!</v>
      </c>
      <c r="I3822" s="87"/>
      <c r="J3822" s="88"/>
      <c r="K3822" s="88"/>
      <c r="L3822" s="89"/>
      <c r="M3822" s="89"/>
      <c r="Q3822" s="105"/>
    </row>
    <row r="3823" spans="3:17" x14ac:dyDescent="0.3">
      <c r="C3823" s="87"/>
      <c r="H3823" s="86" t="e">
        <f>IF(I3823="fora",0%,G3823/QUÓRUM!$C$6)</f>
        <v>#DIV/0!</v>
      </c>
      <c r="I3823" s="87"/>
      <c r="J3823" s="88"/>
      <c r="K3823" s="88"/>
      <c r="L3823" s="89"/>
      <c r="M3823" s="89"/>
      <c r="Q3823" s="105"/>
    </row>
    <row r="3824" spans="3:17" x14ac:dyDescent="0.3">
      <c r="C3824" s="87"/>
      <c r="H3824" s="86" t="e">
        <f>IF(I3824="fora",0%,G3824/QUÓRUM!$C$6)</f>
        <v>#DIV/0!</v>
      </c>
      <c r="I3824" s="87"/>
      <c r="J3824" s="88"/>
      <c r="K3824" s="88"/>
      <c r="L3824" s="89"/>
      <c r="M3824" s="89"/>
      <c r="Q3824" s="105"/>
    </row>
    <row r="3825" spans="3:17" x14ac:dyDescent="0.3">
      <c r="C3825" s="87"/>
      <c r="H3825" s="86" t="e">
        <f>IF(I3825="fora",0%,G3825/QUÓRUM!$C$6)</f>
        <v>#DIV/0!</v>
      </c>
      <c r="I3825" s="87"/>
      <c r="J3825" s="88"/>
      <c r="K3825" s="88"/>
      <c r="L3825" s="89"/>
      <c r="M3825" s="89"/>
      <c r="Q3825" s="105"/>
    </row>
    <row r="3826" spans="3:17" x14ac:dyDescent="0.3">
      <c r="C3826" s="87"/>
      <c r="H3826" s="86" t="e">
        <f>IF(I3826="fora",0%,G3826/QUÓRUM!$C$6)</f>
        <v>#DIV/0!</v>
      </c>
      <c r="I3826" s="87"/>
      <c r="J3826" s="88"/>
      <c r="K3826" s="88"/>
      <c r="L3826" s="89"/>
      <c r="M3826" s="89"/>
      <c r="Q3826" s="105"/>
    </row>
    <row r="3827" spans="3:17" x14ac:dyDescent="0.3">
      <c r="C3827" s="87"/>
      <c r="H3827" s="86" t="e">
        <f>IF(I3827="fora",0%,G3827/QUÓRUM!$C$6)</f>
        <v>#DIV/0!</v>
      </c>
      <c r="I3827" s="87"/>
      <c r="J3827" s="88"/>
      <c r="K3827" s="88"/>
      <c r="L3827" s="89"/>
      <c r="M3827" s="89"/>
      <c r="Q3827" s="105"/>
    </row>
    <row r="3828" spans="3:17" x14ac:dyDescent="0.3">
      <c r="C3828" s="87"/>
      <c r="H3828" s="86" t="e">
        <f>IF(I3828="fora",0%,G3828/QUÓRUM!$C$6)</f>
        <v>#DIV/0!</v>
      </c>
      <c r="I3828" s="87"/>
      <c r="J3828" s="88"/>
      <c r="K3828" s="88"/>
      <c r="L3828" s="89"/>
      <c r="M3828" s="89"/>
      <c r="Q3828" s="105"/>
    </row>
    <row r="3829" spans="3:17" x14ac:dyDescent="0.3">
      <c r="C3829" s="87"/>
      <c r="H3829" s="86" t="e">
        <f>IF(I3829="fora",0%,G3829/QUÓRUM!$C$6)</f>
        <v>#DIV/0!</v>
      </c>
      <c r="I3829" s="87"/>
      <c r="J3829" s="88"/>
      <c r="K3829" s="88"/>
      <c r="L3829" s="89"/>
      <c r="M3829" s="89"/>
      <c r="Q3829" s="105"/>
    </row>
    <row r="3830" spans="3:17" x14ac:dyDescent="0.3">
      <c r="C3830" s="87"/>
      <c r="G3830" s="115"/>
      <c r="H3830" s="86" t="e">
        <f>IF(I3830="fora",0%,G3830/QUÓRUM!$C$6)</f>
        <v>#DIV/0!</v>
      </c>
      <c r="I3830" s="87"/>
      <c r="J3830" s="88"/>
      <c r="K3830" s="88"/>
      <c r="L3830" s="89"/>
      <c r="M3830" s="89"/>
      <c r="Q3830" s="105"/>
    </row>
    <row r="3831" spans="3:17" x14ac:dyDescent="0.3">
      <c r="C3831" s="87"/>
      <c r="H3831" s="86" t="e">
        <f>IF(I3831="fora",0%,G3831/QUÓRUM!$C$6)</f>
        <v>#DIV/0!</v>
      </c>
      <c r="I3831" s="87"/>
      <c r="J3831" s="88"/>
      <c r="K3831" s="88"/>
      <c r="L3831" s="89"/>
      <c r="M3831" s="89"/>
      <c r="Q3831" s="105"/>
    </row>
    <row r="3832" spans="3:17" x14ac:dyDescent="0.3">
      <c r="C3832" s="87"/>
      <c r="H3832" s="86" t="e">
        <f>IF(I3832="fora",0%,G3832/QUÓRUM!$C$6)</f>
        <v>#DIV/0!</v>
      </c>
      <c r="I3832" s="87"/>
      <c r="J3832" s="88"/>
      <c r="K3832" s="88"/>
      <c r="L3832" s="89"/>
      <c r="M3832" s="89"/>
      <c r="Q3832" s="105"/>
    </row>
    <row r="3833" spans="3:17" x14ac:dyDescent="0.3">
      <c r="C3833" s="87"/>
      <c r="H3833" s="86" t="e">
        <f>IF(I3833="fora",0%,G3833/QUÓRUM!$C$6)</f>
        <v>#DIV/0!</v>
      </c>
      <c r="I3833" s="87"/>
      <c r="J3833" s="88"/>
      <c r="K3833" s="88"/>
      <c r="L3833" s="89"/>
      <c r="M3833" s="89"/>
      <c r="Q3833" s="105"/>
    </row>
    <row r="3834" spans="3:17" x14ac:dyDescent="0.3">
      <c r="C3834" s="87"/>
      <c r="H3834" s="86" t="e">
        <f>IF(I3834="fora",0%,G3834/QUÓRUM!$C$6)</f>
        <v>#DIV/0!</v>
      </c>
      <c r="I3834" s="87"/>
      <c r="J3834" s="88"/>
      <c r="K3834" s="88"/>
      <c r="L3834" s="89"/>
      <c r="M3834" s="89"/>
      <c r="Q3834" s="105"/>
    </row>
    <row r="3835" spans="3:17" x14ac:dyDescent="0.3">
      <c r="C3835" s="87"/>
      <c r="H3835" s="86" t="e">
        <f>IF(I3835="fora",0%,G3835/QUÓRUM!$C$6)</f>
        <v>#DIV/0!</v>
      </c>
      <c r="I3835" s="87"/>
      <c r="J3835" s="88"/>
      <c r="K3835" s="88"/>
      <c r="L3835" s="89"/>
      <c r="M3835" s="89"/>
      <c r="Q3835" s="105"/>
    </row>
    <row r="3836" spans="3:17" x14ac:dyDescent="0.3">
      <c r="C3836" s="87"/>
      <c r="H3836" s="86" t="e">
        <f>IF(I3836="fora",0%,G3836/QUÓRUM!$C$6)</f>
        <v>#DIV/0!</v>
      </c>
      <c r="I3836" s="87"/>
      <c r="J3836" s="88"/>
      <c r="K3836" s="88"/>
      <c r="L3836" s="89"/>
      <c r="M3836" s="89"/>
      <c r="Q3836" s="105"/>
    </row>
    <row r="3837" spans="3:17" x14ac:dyDescent="0.3">
      <c r="C3837" s="87"/>
      <c r="H3837" s="86" t="e">
        <f>IF(I3837="fora",0%,G3837/QUÓRUM!$C$6)</f>
        <v>#DIV/0!</v>
      </c>
      <c r="I3837" s="87"/>
      <c r="J3837" s="88"/>
      <c r="K3837" s="88"/>
      <c r="L3837" s="89"/>
      <c r="M3837" s="89"/>
      <c r="Q3837" s="105"/>
    </row>
    <row r="3838" spans="3:17" x14ac:dyDescent="0.3">
      <c r="C3838" s="87"/>
      <c r="H3838" s="86" t="e">
        <f>IF(I3838="fora",0%,G3838/QUÓRUM!$C$6)</f>
        <v>#DIV/0!</v>
      </c>
      <c r="I3838" s="87"/>
      <c r="J3838" s="88"/>
      <c r="K3838" s="88"/>
      <c r="L3838" s="89"/>
      <c r="M3838" s="89"/>
      <c r="Q3838" s="105"/>
    </row>
    <row r="3839" spans="3:17" x14ac:dyDescent="0.3">
      <c r="C3839" s="87"/>
      <c r="G3839" s="115"/>
      <c r="H3839" s="86" t="e">
        <f>IF(I3839="fora",0%,G3839/QUÓRUM!$C$6)</f>
        <v>#DIV/0!</v>
      </c>
      <c r="I3839" s="87"/>
      <c r="J3839" s="88"/>
      <c r="K3839" s="88"/>
      <c r="L3839" s="89"/>
      <c r="M3839" s="89"/>
      <c r="Q3839" s="105"/>
    </row>
    <row r="3840" spans="3:17" x14ac:dyDescent="0.3">
      <c r="C3840" s="87"/>
      <c r="H3840" s="86" t="e">
        <f>IF(I3840="fora",0%,G3840/QUÓRUM!$C$6)</f>
        <v>#DIV/0!</v>
      </c>
      <c r="I3840" s="87"/>
      <c r="J3840" s="88"/>
      <c r="K3840" s="88"/>
      <c r="L3840" s="89"/>
      <c r="M3840" s="89"/>
      <c r="Q3840" s="105"/>
    </row>
    <row r="3841" spans="3:17" x14ac:dyDescent="0.3">
      <c r="C3841" s="87"/>
      <c r="H3841" s="86" t="e">
        <f>IF(I3841="fora",0%,G3841/QUÓRUM!$C$6)</f>
        <v>#DIV/0!</v>
      </c>
      <c r="I3841" s="87"/>
      <c r="J3841" s="88"/>
      <c r="K3841" s="88"/>
      <c r="L3841" s="89"/>
      <c r="M3841" s="89"/>
      <c r="Q3841" s="105"/>
    </row>
    <row r="3842" spans="3:17" x14ac:dyDescent="0.3">
      <c r="C3842" s="87"/>
      <c r="H3842" s="86" t="e">
        <f>IF(I3842="fora",0%,G3842/QUÓRUM!$C$6)</f>
        <v>#DIV/0!</v>
      </c>
      <c r="I3842" s="87"/>
      <c r="J3842" s="88"/>
      <c r="K3842" s="88"/>
      <c r="L3842" s="89"/>
      <c r="M3842" s="89"/>
      <c r="Q3842" s="105"/>
    </row>
    <row r="3843" spans="3:17" x14ac:dyDescent="0.3">
      <c r="C3843" s="87"/>
      <c r="H3843" s="86" t="e">
        <f>IF(I3843="fora",0%,G3843/QUÓRUM!$C$6)</f>
        <v>#DIV/0!</v>
      </c>
      <c r="I3843" s="87"/>
      <c r="J3843" s="88"/>
      <c r="K3843" s="88"/>
      <c r="L3843" s="89"/>
      <c r="M3843" s="89"/>
      <c r="Q3843" s="105"/>
    </row>
    <row r="3844" spans="3:17" x14ac:dyDescent="0.3">
      <c r="C3844" s="87"/>
      <c r="H3844" s="86" t="e">
        <f>IF(I3844="fora",0%,G3844/QUÓRUM!$C$6)</f>
        <v>#DIV/0!</v>
      </c>
      <c r="I3844" s="87"/>
      <c r="J3844" s="88"/>
      <c r="K3844" s="88"/>
      <c r="L3844" s="89"/>
      <c r="M3844" s="89"/>
      <c r="Q3844" s="105"/>
    </row>
    <row r="3845" spans="3:17" x14ac:dyDescent="0.3">
      <c r="C3845" s="87"/>
      <c r="H3845" s="86" t="e">
        <f>IF(I3845="fora",0%,G3845/QUÓRUM!$C$6)</f>
        <v>#DIV/0!</v>
      </c>
      <c r="I3845" s="87"/>
      <c r="J3845" s="88"/>
      <c r="K3845" s="88"/>
      <c r="L3845" s="89"/>
      <c r="M3845" s="89"/>
      <c r="Q3845" s="105"/>
    </row>
    <row r="3846" spans="3:17" x14ac:dyDescent="0.3">
      <c r="C3846" s="87"/>
      <c r="H3846" s="86" t="e">
        <f>IF(I3846="fora",0%,G3846/QUÓRUM!$C$6)</f>
        <v>#DIV/0!</v>
      </c>
      <c r="I3846" s="87"/>
      <c r="J3846" s="88"/>
      <c r="K3846" s="88"/>
      <c r="L3846" s="89"/>
      <c r="M3846" s="89"/>
      <c r="Q3846" s="105"/>
    </row>
    <row r="3847" spans="3:17" x14ac:dyDescent="0.3">
      <c r="C3847" s="87"/>
      <c r="H3847" s="86" t="e">
        <f>IF(I3847="fora",0%,G3847/QUÓRUM!$C$6)</f>
        <v>#DIV/0!</v>
      </c>
      <c r="I3847" s="87"/>
      <c r="J3847" s="88"/>
      <c r="K3847" s="88"/>
      <c r="L3847" s="89"/>
      <c r="M3847" s="89"/>
      <c r="Q3847" s="105"/>
    </row>
    <row r="3848" spans="3:17" x14ac:dyDescent="0.3">
      <c r="C3848" s="87"/>
      <c r="H3848" s="86" t="e">
        <f>IF(I3848="fora",0%,G3848/QUÓRUM!$C$6)</f>
        <v>#DIV/0!</v>
      </c>
      <c r="I3848" s="87"/>
      <c r="J3848" s="88"/>
      <c r="K3848" s="88"/>
      <c r="L3848" s="89"/>
      <c r="M3848" s="89"/>
      <c r="Q3848" s="105"/>
    </row>
    <row r="3849" spans="3:17" x14ac:dyDescent="0.3">
      <c r="C3849" s="87"/>
      <c r="H3849" s="86" t="e">
        <f>IF(I3849="fora",0%,G3849/QUÓRUM!$C$6)</f>
        <v>#DIV/0!</v>
      </c>
      <c r="I3849" s="87"/>
      <c r="J3849" s="88"/>
      <c r="K3849" s="88"/>
      <c r="L3849" s="89"/>
      <c r="M3849" s="89"/>
      <c r="Q3849" s="105"/>
    </row>
    <row r="3850" spans="3:17" x14ac:dyDescent="0.3">
      <c r="C3850" s="87"/>
      <c r="H3850" s="86" t="e">
        <f>IF(I3850="fora",0%,G3850/QUÓRUM!$C$6)</f>
        <v>#DIV/0!</v>
      </c>
      <c r="I3850" s="87"/>
      <c r="J3850" s="88"/>
      <c r="K3850" s="88"/>
      <c r="L3850" s="89"/>
      <c r="M3850" s="89"/>
      <c r="Q3850" s="105"/>
    </row>
    <row r="3851" spans="3:17" x14ac:dyDescent="0.3">
      <c r="C3851" s="87"/>
      <c r="H3851" s="86" t="e">
        <f>IF(I3851="fora",0%,G3851/QUÓRUM!$C$6)</f>
        <v>#DIV/0!</v>
      </c>
      <c r="I3851" s="87"/>
      <c r="J3851" s="88"/>
      <c r="K3851" s="88"/>
      <c r="L3851" s="89"/>
      <c r="M3851" s="89"/>
      <c r="Q3851" s="105"/>
    </row>
    <row r="3852" spans="3:17" x14ac:dyDescent="0.3">
      <c r="C3852" s="87"/>
      <c r="H3852" s="86" t="e">
        <f>IF(I3852="fora",0%,G3852/QUÓRUM!$C$6)</f>
        <v>#DIV/0!</v>
      </c>
      <c r="I3852" s="87"/>
      <c r="J3852" s="88"/>
      <c r="K3852" s="88"/>
      <c r="L3852" s="89"/>
      <c r="M3852" s="89"/>
      <c r="Q3852" s="105"/>
    </row>
    <row r="3853" spans="3:17" x14ac:dyDescent="0.3">
      <c r="C3853" s="87"/>
      <c r="H3853" s="86" t="e">
        <f>IF(I3853="fora",0%,G3853/QUÓRUM!$C$6)</f>
        <v>#DIV/0!</v>
      </c>
      <c r="I3853" s="87"/>
      <c r="J3853" s="88"/>
      <c r="K3853" s="88"/>
      <c r="L3853" s="89"/>
      <c r="M3853" s="89"/>
      <c r="Q3853" s="105"/>
    </row>
    <row r="3854" spans="3:17" x14ac:dyDescent="0.3">
      <c r="C3854" s="87"/>
      <c r="H3854" s="86" t="e">
        <f>IF(I3854="fora",0%,G3854/QUÓRUM!$C$6)</f>
        <v>#DIV/0!</v>
      </c>
      <c r="I3854" s="87"/>
      <c r="J3854" s="88"/>
      <c r="K3854" s="88"/>
      <c r="L3854" s="89"/>
      <c r="M3854" s="89"/>
      <c r="Q3854" s="105"/>
    </row>
    <row r="3855" spans="3:17" x14ac:dyDescent="0.3">
      <c r="C3855" s="87"/>
      <c r="H3855" s="86" t="e">
        <f>IF(I3855="fora",0%,G3855/QUÓRUM!$C$6)</f>
        <v>#DIV/0!</v>
      </c>
      <c r="I3855" s="87"/>
      <c r="J3855" s="88"/>
      <c r="K3855" s="88"/>
      <c r="L3855" s="89"/>
      <c r="M3855" s="89"/>
      <c r="Q3855" s="105"/>
    </row>
    <row r="3856" spans="3:17" x14ac:dyDescent="0.3">
      <c r="C3856" s="87"/>
      <c r="H3856" s="86" t="e">
        <f>IF(I3856="fora",0%,G3856/QUÓRUM!$C$6)</f>
        <v>#DIV/0!</v>
      </c>
      <c r="I3856" s="87"/>
      <c r="J3856" s="88"/>
      <c r="K3856" s="88"/>
      <c r="L3856" s="89"/>
      <c r="M3856" s="89"/>
      <c r="Q3856" s="105"/>
    </row>
    <row r="3857" spans="3:17" x14ac:dyDescent="0.3">
      <c r="C3857" s="87"/>
      <c r="H3857" s="86" t="e">
        <f>IF(I3857="fora",0%,G3857/QUÓRUM!$C$6)</f>
        <v>#DIV/0!</v>
      </c>
      <c r="I3857" s="87"/>
      <c r="J3857" s="88"/>
      <c r="K3857" s="88"/>
      <c r="L3857" s="89"/>
      <c r="M3857" s="89"/>
      <c r="Q3857" s="105"/>
    </row>
    <row r="3858" spans="3:17" x14ac:dyDescent="0.3">
      <c r="C3858" s="87"/>
      <c r="H3858" s="86" t="e">
        <f>IF(I3858="fora",0%,G3858/QUÓRUM!$C$6)</f>
        <v>#DIV/0!</v>
      </c>
      <c r="I3858" s="87"/>
      <c r="J3858" s="88"/>
      <c r="K3858" s="88"/>
      <c r="L3858" s="89"/>
      <c r="M3858" s="89"/>
      <c r="Q3858" s="105"/>
    </row>
    <row r="3859" spans="3:17" x14ac:dyDescent="0.3">
      <c r="C3859" s="87"/>
      <c r="H3859" s="86" t="e">
        <f>IF(I3859="fora",0%,G3859/QUÓRUM!$C$6)</f>
        <v>#DIV/0!</v>
      </c>
      <c r="I3859" s="87"/>
      <c r="J3859" s="88"/>
      <c r="K3859" s="88"/>
      <c r="L3859" s="89"/>
      <c r="M3859" s="89"/>
      <c r="Q3859" s="105"/>
    </row>
    <row r="3860" spans="3:17" x14ac:dyDescent="0.3">
      <c r="C3860" s="87"/>
      <c r="H3860" s="86" t="e">
        <f>IF(I3860="fora",0%,G3860/QUÓRUM!$C$6)</f>
        <v>#DIV/0!</v>
      </c>
      <c r="I3860" s="87"/>
      <c r="J3860" s="88"/>
      <c r="K3860" s="88"/>
      <c r="L3860" s="89"/>
      <c r="M3860" s="89"/>
      <c r="Q3860" s="105"/>
    </row>
    <row r="3861" spans="3:17" x14ac:dyDescent="0.3">
      <c r="C3861" s="87"/>
      <c r="H3861" s="86" t="e">
        <f>IF(I3861="fora",0%,G3861/QUÓRUM!$C$6)</f>
        <v>#DIV/0!</v>
      </c>
      <c r="I3861" s="87"/>
      <c r="J3861" s="88"/>
      <c r="K3861" s="88"/>
      <c r="L3861" s="89"/>
      <c r="M3861" s="89"/>
      <c r="Q3861" s="105"/>
    </row>
    <row r="3862" spans="3:17" x14ac:dyDescent="0.3">
      <c r="C3862" s="87"/>
      <c r="H3862" s="86" t="e">
        <f>IF(I3862="fora",0%,G3862/QUÓRUM!$C$6)</f>
        <v>#DIV/0!</v>
      </c>
      <c r="I3862" s="87"/>
      <c r="J3862" s="88"/>
      <c r="K3862" s="88"/>
      <c r="L3862" s="89"/>
      <c r="M3862" s="89"/>
      <c r="Q3862" s="105"/>
    </row>
    <row r="3863" spans="3:17" x14ac:dyDescent="0.3">
      <c r="C3863" s="87"/>
      <c r="H3863" s="86" t="e">
        <f>IF(I3863="fora",0%,G3863/QUÓRUM!$C$6)</f>
        <v>#DIV/0!</v>
      </c>
      <c r="I3863" s="87"/>
      <c r="J3863" s="88"/>
      <c r="K3863" s="88"/>
      <c r="L3863" s="89"/>
      <c r="M3863" s="89"/>
      <c r="Q3863" s="105"/>
    </row>
    <row r="3864" spans="3:17" x14ac:dyDescent="0.3">
      <c r="C3864" s="87"/>
      <c r="H3864" s="86" t="e">
        <f>IF(I3864="fora",0%,G3864/QUÓRUM!$C$6)</f>
        <v>#DIV/0!</v>
      </c>
      <c r="I3864" s="87"/>
      <c r="J3864" s="88"/>
      <c r="K3864" s="88"/>
      <c r="L3864" s="89"/>
      <c r="M3864" s="89"/>
      <c r="Q3864" s="105"/>
    </row>
    <row r="3865" spans="3:17" x14ac:dyDescent="0.3">
      <c r="C3865" s="87"/>
      <c r="H3865" s="86" t="e">
        <f>IF(I3865="fora",0%,G3865/QUÓRUM!$C$6)</f>
        <v>#DIV/0!</v>
      </c>
      <c r="I3865" s="87"/>
      <c r="J3865" s="88"/>
      <c r="K3865" s="88"/>
      <c r="L3865" s="89"/>
      <c r="M3865" s="89"/>
      <c r="Q3865" s="105"/>
    </row>
    <row r="3866" spans="3:17" x14ac:dyDescent="0.3">
      <c r="C3866" s="87"/>
      <c r="H3866" s="86" t="e">
        <f>IF(I3866="fora",0%,G3866/QUÓRUM!$C$6)</f>
        <v>#DIV/0!</v>
      </c>
      <c r="I3866" s="87"/>
      <c r="J3866" s="88"/>
      <c r="K3866" s="88"/>
      <c r="L3866" s="89"/>
      <c r="M3866" s="89"/>
      <c r="Q3866" s="105"/>
    </row>
    <row r="3867" spans="3:17" x14ac:dyDescent="0.3">
      <c r="C3867" s="87"/>
      <c r="H3867" s="86" t="e">
        <f>IF(I3867="fora",0%,G3867/QUÓRUM!$C$6)</f>
        <v>#DIV/0!</v>
      </c>
      <c r="I3867" s="87"/>
      <c r="J3867" s="88"/>
      <c r="K3867" s="88"/>
      <c r="L3867" s="89"/>
      <c r="M3867" s="89"/>
      <c r="Q3867" s="105"/>
    </row>
    <row r="3868" spans="3:17" x14ac:dyDescent="0.3">
      <c r="C3868" s="87"/>
      <c r="H3868" s="86" t="e">
        <f>IF(I3868="fora",0%,G3868/QUÓRUM!$C$6)</f>
        <v>#DIV/0!</v>
      </c>
      <c r="I3868" s="87"/>
      <c r="J3868" s="88"/>
      <c r="K3868" s="88"/>
      <c r="L3868" s="89"/>
      <c r="M3868" s="89"/>
      <c r="Q3868" s="105"/>
    </row>
    <row r="3869" spans="3:17" x14ac:dyDescent="0.3">
      <c r="C3869" s="87"/>
      <c r="H3869" s="86" t="e">
        <f>IF(I3869="fora",0%,G3869/QUÓRUM!$C$6)</f>
        <v>#DIV/0!</v>
      </c>
      <c r="I3869" s="87"/>
      <c r="J3869" s="88"/>
      <c r="K3869" s="88"/>
      <c r="L3869" s="89"/>
      <c r="M3869" s="89"/>
      <c r="Q3869" s="105"/>
    </row>
    <row r="3870" spans="3:17" x14ac:dyDescent="0.3">
      <c r="C3870" s="87"/>
      <c r="H3870" s="86" t="e">
        <f>IF(I3870="fora",0%,G3870/QUÓRUM!$C$6)</f>
        <v>#DIV/0!</v>
      </c>
      <c r="I3870" s="87"/>
      <c r="J3870" s="88"/>
      <c r="K3870" s="88"/>
      <c r="L3870" s="89"/>
      <c r="M3870" s="89"/>
      <c r="Q3870" s="105"/>
    </row>
    <row r="3871" spans="3:17" x14ac:dyDescent="0.3">
      <c r="C3871" s="87"/>
      <c r="H3871" s="86" t="e">
        <f>IF(I3871="fora",0%,G3871/QUÓRUM!$C$6)</f>
        <v>#DIV/0!</v>
      </c>
      <c r="I3871" s="87"/>
      <c r="J3871" s="88"/>
      <c r="K3871" s="88"/>
      <c r="L3871" s="89"/>
      <c r="M3871" s="89"/>
      <c r="Q3871" s="105"/>
    </row>
    <row r="3872" spans="3:17" x14ac:dyDescent="0.3">
      <c r="C3872" s="87"/>
      <c r="H3872" s="86" t="e">
        <f>IF(I3872="fora",0%,G3872/QUÓRUM!$C$6)</f>
        <v>#DIV/0!</v>
      </c>
      <c r="I3872" s="87"/>
      <c r="J3872" s="88"/>
      <c r="K3872" s="88"/>
      <c r="L3872" s="89"/>
      <c r="M3872" s="89"/>
      <c r="Q3872" s="105"/>
    </row>
    <row r="3873" spans="3:17" x14ac:dyDescent="0.3">
      <c r="C3873" s="87"/>
      <c r="H3873" s="86" t="e">
        <f>IF(I3873="fora",0%,G3873/QUÓRUM!$C$6)</f>
        <v>#DIV/0!</v>
      </c>
      <c r="I3873" s="87"/>
      <c r="J3873" s="88"/>
      <c r="K3873" s="88"/>
      <c r="L3873" s="89"/>
      <c r="M3873" s="89"/>
      <c r="Q3873" s="105"/>
    </row>
    <row r="3874" spans="3:17" x14ac:dyDescent="0.3">
      <c r="C3874" s="87"/>
      <c r="H3874" s="86" t="e">
        <f>IF(I3874="fora",0%,G3874/QUÓRUM!$C$6)</f>
        <v>#DIV/0!</v>
      </c>
      <c r="I3874" s="87"/>
      <c r="J3874" s="88"/>
      <c r="K3874" s="88"/>
      <c r="L3874" s="89"/>
      <c r="M3874" s="89"/>
      <c r="Q3874" s="105"/>
    </row>
    <row r="3875" spans="3:17" x14ac:dyDescent="0.3">
      <c r="C3875" s="87"/>
      <c r="H3875" s="86" t="e">
        <f>IF(I3875="fora",0%,G3875/QUÓRUM!$C$6)</f>
        <v>#DIV/0!</v>
      </c>
      <c r="I3875" s="87"/>
      <c r="J3875" s="88"/>
      <c r="K3875" s="88"/>
      <c r="L3875" s="89"/>
      <c r="M3875" s="89"/>
      <c r="Q3875" s="105"/>
    </row>
    <row r="3876" spans="3:17" x14ac:dyDescent="0.3">
      <c r="C3876" s="87"/>
      <c r="H3876" s="86" t="e">
        <f>IF(I3876="fora",0%,G3876/QUÓRUM!$C$6)</f>
        <v>#DIV/0!</v>
      </c>
      <c r="I3876" s="87"/>
      <c r="J3876" s="88"/>
      <c r="K3876" s="88"/>
      <c r="L3876" s="89"/>
      <c r="M3876" s="89"/>
      <c r="Q3876" s="105"/>
    </row>
    <row r="3877" spans="3:17" x14ac:dyDescent="0.3">
      <c r="C3877" s="87"/>
      <c r="H3877" s="86" t="e">
        <f>IF(I3877="fora",0%,G3877/QUÓRUM!$C$6)</f>
        <v>#DIV/0!</v>
      </c>
      <c r="I3877" s="87"/>
      <c r="J3877" s="88"/>
      <c r="K3877" s="88"/>
      <c r="L3877" s="89"/>
      <c r="M3877" s="89"/>
      <c r="Q3877" s="105"/>
    </row>
    <row r="3878" spans="3:17" x14ac:dyDescent="0.3">
      <c r="C3878" s="87"/>
      <c r="H3878" s="86" t="e">
        <f>IF(I3878="fora",0%,G3878/QUÓRUM!$C$6)</f>
        <v>#DIV/0!</v>
      </c>
      <c r="I3878" s="87"/>
      <c r="J3878" s="88"/>
      <c r="K3878" s="88"/>
      <c r="L3878" s="89"/>
      <c r="M3878" s="89"/>
      <c r="Q3878" s="105"/>
    </row>
    <row r="3879" spans="3:17" x14ac:dyDescent="0.3">
      <c r="C3879" s="87"/>
      <c r="H3879" s="86" t="e">
        <f>IF(I3879="fora",0%,G3879/QUÓRUM!$C$6)</f>
        <v>#DIV/0!</v>
      </c>
      <c r="I3879" s="87"/>
      <c r="J3879" s="88"/>
      <c r="K3879" s="88"/>
      <c r="L3879" s="89"/>
      <c r="M3879" s="89"/>
      <c r="Q3879" s="105"/>
    </row>
    <row r="3880" spans="3:17" x14ac:dyDescent="0.3">
      <c r="C3880" s="87"/>
      <c r="H3880" s="86" t="e">
        <f>IF(I3880="fora",0%,G3880/QUÓRUM!$C$6)</f>
        <v>#DIV/0!</v>
      </c>
      <c r="I3880" s="87"/>
      <c r="J3880" s="88"/>
      <c r="K3880" s="88"/>
      <c r="L3880" s="89"/>
      <c r="M3880" s="89"/>
      <c r="Q3880" s="105"/>
    </row>
    <row r="3881" spans="3:17" x14ac:dyDescent="0.3">
      <c r="C3881" s="87"/>
      <c r="H3881" s="86" t="e">
        <f>IF(I3881="fora",0%,G3881/QUÓRUM!$C$6)</f>
        <v>#DIV/0!</v>
      </c>
      <c r="I3881" s="87"/>
      <c r="J3881" s="88"/>
      <c r="K3881" s="88"/>
      <c r="L3881" s="89"/>
      <c r="M3881" s="89"/>
      <c r="Q3881" s="105"/>
    </row>
    <row r="3882" spans="3:17" x14ac:dyDescent="0.3">
      <c r="C3882" s="87"/>
      <c r="H3882" s="86" t="e">
        <f>IF(I3882="fora",0%,G3882/QUÓRUM!$C$6)</f>
        <v>#DIV/0!</v>
      </c>
      <c r="I3882" s="87"/>
      <c r="J3882" s="88"/>
      <c r="K3882" s="88"/>
      <c r="L3882" s="89"/>
      <c r="M3882" s="89"/>
      <c r="Q3882" s="105"/>
    </row>
    <row r="3883" spans="3:17" x14ac:dyDescent="0.3">
      <c r="C3883" s="87"/>
      <c r="H3883" s="86" t="e">
        <f>IF(I3883="fora",0%,G3883/QUÓRUM!$C$6)</f>
        <v>#DIV/0!</v>
      </c>
      <c r="I3883" s="87"/>
      <c r="J3883" s="88"/>
      <c r="K3883" s="88"/>
      <c r="L3883" s="89"/>
      <c r="M3883" s="89"/>
      <c r="Q3883" s="105"/>
    </row>
    <row r="3884" spans="3:17" x14ac:dyDescent="0.3">
      <c r="C3884" s="87"/>
      <c r="H3884" s="86" t="e">
        <f>IF(I3884="fora",0%,G3884/QUÓRUM!$C$6)</f>
        <v>#DIV/0!</v>
      </c>
      <c r="I3884" s="87"/>
      <c r="J3884" s="88"/>
      <c r="K3884" s="88"/>
      <c r="L3884" s="89"/>
      <c r="M3884" s="89"/>
      <c r="Q3884" s="105"/>
    </row>
    <row r="3885" spans="3:17" x14ac:dyDescent="0.3">
      <c r="C3885" s="87"/>
      <c r="H3885" s="86" t="e">
        <f>IF(I3885="fora",0%,G3885/QUÓRUM!$C$6)</f>
        <v>#DIV/0!</v>
      </c>
      <c r="I3885" s="87"/>
      <c r="J3885" s="88"/>
      <c r="K3885" s="88"/>
      <c r="L3885" s="89"/>
      <c r="M3885" s="89"/>
      <c r="Q3885" s="105"/>
    </row>
    <row r="3886" spans="3:17" x14ac:dyDescent="0.3">
      <c r="C3886" s="87"/>
      <c r="H3886" s="86" t="e">
        <f>IF(I3886="fora",0%,G3886/QUÓRUM!$C$6)</f>
        <v>#DIV/0!</v>
      </c>
      <c r="I3886" s="87"/>
      <c r="J3886" s="88"/>
      <c r="K3886" s="88"/>
      <c r="L3886" s="89"/>
      <c r="M3886" s="89"/>
      <c r="Q3886" s="105"/>
    </row>
    <row r="3887" spans="3:17" x14ac:dyDescent="0.3">
      <c r="C3887" s="87"/>
      <c r="H3887" s="86" t="e">
        <f>IF(I3887="fora",0%,G3887/QUÓRUM!$C$6)</f>
        <v>#DIV/0!</v>
      </c>
      <c r="I3887" s="87"/>
      <c r="J3887" s="88"/>
      <c r="K3887" s="88"/>
      <c r="L3887" s="89"/>
      <c r="M3887" s="89"/>
      <c r="Q3887" s="105"/>
    </row>
    <row r="3888" spans="3:17" x14ac:dyDescent="0.3">
      <c r="C3888" s="87"/>
      <c r="H3888" s="86" t="e">
        <f>IF(I3888="fora",0%,G3888/QUÓRUM!$C$6)</f>
        <v>#DIV/0!</v>
      </c>
      <c r="I3888" s="87"/>
      <c r="J3888" s="88"/>
      <c r="K3888" s="88"/>
      <c r="L3888" s="89"/>
      <c r="M3888" s="89"/>
      <c r="Q3888" s="105"/>
    </row>
    <row r="3889" spans="3:17" x14ac:dyDescent="0.3">
      <c r="C3889" s="87"/>
      <c r="H3889" s="86" t="e">
        <f>IF(I3889="fora",0%,G3889/QUÓRUM!$C$6)</f>
        <v>#DIV/0!</v>
      </c>
      <c r="I3889" s="87"/>
      <c r="J3889" s="88"/>
      <c r="K3889" s="88"/>
      <c r="L3889" s="89"/>
      <c r="M3889" s="89"/>
      <c r="Q3889" s="105"/>
    </row>
    <row r="3890" spans="3:17" x14ac:dyDescent="0.3">
      <c r="C3890" s="87"/>
      <c r="H3890" s="86" t="e">
        <f>IF(I3890="fora",0%,G3890/QUÓRUM!$C$6)</f>
        <v>#DIV/0!</v>
      </c>
      <c r="I3890" s="87"/>
      <c r="J3890" s="88"/>
      <c r="K3890" s="88"/>
      <c r="L3890" s="89"/>
      <c r="M3890" s="89"/>
      <c r="Q3890" s="105"/>
    </row>
    <row r="3891" spans="3:17" x14ac:dyDescent="0.3">
      <c r="C3891" s="87"/>
      <c r="H3891" s="86" t="e">
        <f>IF(I3891="fora",0%,G3891/QUÓRUM!$C$6)</f>
        <v>#DIV/0!</v>
      </c>
      <c r="I3891" s="87"/>
      <c r="J3891" s="88"/>
      <c r="K3891" s="88"/>
      <c r="L3891" s="89"/>
      <c r="M3891" s="89"/>
      <c r="Q3891" s="105"/>
    </row>
    <row r="3892" spans="3:17" x14ac:dyDescent="0.3">
      <c r="C3892" s="87"/>
      <c r="H3892" s="86" t="e">
        <f>IF(I3892="fora",0%,G3892/QUÓRUM!$C$6)</f>
        <v>#DIV/0!</v>
      </c>
      <c r="I3892" s="87"/>
      <c r="J3892" s="88"/>
      <c r="K3892" s="88"/>
      <c r="L3892" s="89"/>
      <c r="M3892" s="89"/>
      <c r="Q3892" s="105"/>
    </row>
    <row r="3893" spans="3:17" x14ac:dyDescent="0.3">
      <c r="C3893" s="87"/>
      <c r="H3893" s="86" t="e">
        <f>IF(I3893="fora",0%,G3893/QUÓRUM!$C$6)</f>
        <v>#DIV/0!</v>
      </c>
      <c r="I3893" s="87"/>
      <c r="J3893" s="88"/>
      <c r="K3893" s="88"/>
      <c r="L3893" s="89"/>
      <c r="M3893" s="89"/>
      <c r="Q3893" s="105"/>
    </row>
    <row r="3894" spans="3:17" x14ac:dyDescent="0.3">
      <c r="C3894" s="87"/>
      <c r="H3894" s="86" t="e">
        <f>IF(I3894="fora",0%,G3894/QUÓRUM!$C$6)</f>
        <v>#DIV/0!</v>
      </c>
      <c r="I3894" s="87"/>
      <c r="J3894" s="88"/>
      <c r="K3894" s="88"/>
      <c r="L3894" s="89"/>
      <c r="M3894" s="89"/>
      <c r="Q3894" s="105"/>
    </row>
    <row r="3895" spans="3:17" x14ac:dyDescent="0.3">
      <c r="C3895" s="87"/>
      <c r="H3895" s="86" t="e">
        <f>IF(I3895="fora",0%,G3895/QUÓRUM!$C$6)</f>
        <v>#DIV/0!</v>
      </c>
      <c r="I3895" s="87"/>
      <c r="J3895" s="88"/>
      <c r="K3895" s="88"/>
      <c r="L3895" s="89"/>
      <c r="M3895" s="89"/>
      <c r="Q3895" s="105"/>
    </row>
    <row r="3896" spans="3:17" x14ac:dyDescent="0.3">
      <c r="C3896" s="87"/>
      <c r="H3896" s="86" t="e">
        <f>IF(I3896="fora",0%,G3896/QUÓRUM!$C$6)</f>
        <v>#DIV/0!</v>
      </c>
      <c r="I3896" s="87"/>
      <c r="J3896" s="88"/>
      <c r="K3896" s="88"/>
      <c r="L3896" s="89"/>
      <c r="M3896" s="89"/>
      <c r="Q3896" s="105"/>
    </row>
    <row r="3897" spans="3:17" x14ac:dyDescent="0.3">
      <c r="C3897" s="87"/>
      <c r="H3897" s="86" t="e">
        <f>IF(I3897="fora",0%,G3897/QUÓRUM!$C$6)</f>
        <v>#DIV/0!</v>
      </c>
      <c r="I3897" s="87"/>
      <c r="J3897" s="88"/>
      <c r="K3897" s="88"/>
      <c r="L3897" s="89"/>
      <c r="M3897" s="89"/>
      <c r="Q3897" s="105"/>
    </row>
    <row r="3898" spans="3:17" x14ac:dyDescent="0.3">
      <c r="C3898" s="87"/>
      <c r="H3898" s="86" t="e">
        <f>IF(I3898="fora",0%,G3898/QUÓRUM!$C$6)</f>
        <v>#DIV/0!</v>
      </c>
      <c r="I3898" s="87"/>
      <c r="J3898" s="88"/>
      <c r="K3898" s="88"/>
      <c r="L3898" s="89"/>
      <c r="M3898" s="89"/>
      <c r="Q3898" s="105"/>
    </row>
    <row r="3899" spans="3:17" x14ac:dyDescent="0.3">
      <c r="C3899" s="87"/>
      <c r="H3899" s="86" t="e">
        <f>IF(I3899="fora",0%,G3899/QUÓRUM!$C$6)</f>
        <v>#DIV/0!</v>
      </c>
      <c r="I3899" s="87"/>
      <c r="J3899" s="88"/>
      <c r="K3899" s="88"/>
      <c r="L3899" s="89"/>
      <c r="M3899" s="89"/>
      <c r="Q3899" s="105"/>
    </row>
    <row r="3900" spans="3:17" x14ac:dyDescent="0.3">
      <c r="C3900" s="87"/>
      <c r="H3900" s="86" t="e">
        <f>IF(I3900="fora",0%,G3900/QUÓRUM!$C$6)</f>
        <v>#DIV/0!</v>
      </c>
      <c r="I3900" s="87"/>
      <c r="J3900" s="88"/>
      <c r="K3900" s="88"/>
      <c r="L3900" s="89"/>
      <c r="M3900" s="89"/>
      <c r="Q3900" s="105"/>
    </row>
    <row r="3901" spans="3:17" x14ac:dyDescent="0.3">
      <c r="C3901" s="87"/>
      <c r="H3901" s="86" t="e">
        <f>IF(I3901="fora",0%,G3901/QUÓRUM!$C$6)</f>
        <v>#DIV/0!</v>
      </c>
      <c r="I3901" s="87"/>
      <c r="J3901" s="88"/>
      <c r="K3901" s="88"/>
      <c r="L3901" s="89"/>
      <c r="M3901" s="89"/>
      <c r="Q3901" s="105"/>
    </row>
    <row r="3902" spans="3:17" x14ac:dyDescent="0.3">
      <c r="C3902" s="87"/>
      <c r="H3902" s="86" t="e">
        <f>IF(I3902="fora",0%,G3902/QUÓRUM!$C$6)</f>
        <v>#DIV/0!</v>
      </c>
      <c r="I3902" s="87"/>
      <c r="J3902" s="88"/>
      <c r="K3902" s="88"/>
      <c r="L3902" s="89"/>
      <c r="M3902" s="89"/>
      <c r="Q3902" s="105"/>
    </row>
    <row r="3903" spans="3:17" x14ac:dyDescent="0.3">
      <c r="C3903" s="87"/>
      <c r="H3903" s="86" t="e">
        <f>IF(I3903="fora",0%,G3903/QUÓRUM!$C$6)</f>
        <v>#DIV/0!</v>
      </c>
      <c r="I3903" s="87"/>
      <c r="J3903" s="88"/>
      <c r="K3903" s="88"/>
      <c r="L3903" s="89"/>
      <c r="M3903" s="89"/>
      <c r="Q3903" s="105"/>
    </row>
    <row r="3904" spans="3:17" x14ac:dyDescent="0.3">
      <c r="C3904" s="87"/>
      <c r="H3904" s="86" t="e">
        <f>IF(I3904="fora",0%,G3904/QUÓRUM!$C$6)</f>
        <v>#DIV/0!</v>
      </c>
      <c r="I3904" s="87"/>
      <c r="J3904" s="88"/>
      <c r="K3904" s="88"/>
      <c r="L3904" s="89"/>
      <c r="M3904" s="89"/>
      <c r="Q3904" s="105"/>
    </row>
    <row r="3905" spans="3:17" x14ac:dyDescent="0.3">
      <c r="C3905" s="87"/>
      <c r="H3905" s="86" t="e">
        <f>IF(I3905="fora",0%,G3905/QUÓRUM!$C$6)</f>
        <v>#DIV/0!</v>
      </c>
      <c r="I3905" s="87"/>
      <c r="J3905" s="88"/>
      <c r="K3905" s="88"/>
      <c r="L3905" s="89"/>
      <c r="M3905" s="89"/>
      <c r="Q3905" s="105"/>
    </row>
    <row r="3906" spans="3:17" x14ac:dyDescent="0.3">
      <c r="C3906" s="87"/>
      <c r="H3906" s="86" t="e">
        <f>IF(I3906="fora",0%,G3906/QUÓRUM!$C$6)</f>
        <v>#DIV/0!</v>
      </c>
      <c r="I3906" s="87"/>
      <c r="J3906" s="88"/>
      <c r="K3906" s="88"/>
      <c r="L3906" s="89"/>
      <c r="M3906" s="89"/>
      <c r="Q3906" s="105"/>
    </row>
    <row r="3907" spans="3:17" x14ac:dyDescent="0.3">
      <c r="C3907" s="87"/>
      <c r="H3907" s="86" t="e">
        <f>IF(I3907="fora",0%,G3907/QUÓRUM!$C$6)</f>
        <v>#DIV/0!</v>
      </c>
      <c r="I3907" s="87"/>
      <c r="J3907" s="88"/>
      <c r="K3907" s="88"/>
      <c r="L3907" s="89"/>
      <c r="M3907" s="89"/>
      <c r="Q3907" s="105"/>
    </row>
    <row r="3908" spans="3:17" x14ac:dyDescent="0.3">
      <c r="C3908" s="87"/>
      <c r="H3908" s="86" t="e">
        <f>IF(I3908="fora",0%,G3908/QUÓRUM!$C$6)</f>
        <v>#DIV/0!</v>
      </c>
      <c r="I3908" s="87"/>
      <c r="J3908" s="88"/>
      <c r="K3908" s="88"/>
      <c r="L3908" s="89"/>
      <c r="M3908" s="89"/>
      <c r="Q3908" s="105"/>
    </row>
    <row r="3909" spans="3:17" x14ac:dyDescent="0.3">
      <c r="C3909" s="87"/>
      <c r="H3909" s="86" t="e">
        <f>IF(I3909="fora",0%,G3909/QUÓRUM!$C$6)</f>
        <v>#DIV/0!</v>
      </c>
      <c r="I3909" s="87"/>
      <c r="J3909" s="88"/>
      <c r="K3909" s="88"/>
      <c r="L3909" s="89"/>
      <c r="M3909" s="89"/>
      <c r="Q3909" s="105"/>
    </row>
    <row r="3910" spans="3:17" x14ac:dyDescent="0.3">
      <c r="C3910" s="87"/>
      <c r="H3910" s="86" t="e">
        <f>IF(I3910="fora",0%,G3910/QUÓRUM!$C$6)</f>
        <v>#DIV/0!</v>
      </c>
      <c r="I3910" s="87"/>
      <c r="J3910" s="88"/>
      <c r="K3910" s="88"/>
      <c r="L3910" s="89"/>
      <c r="M3910" s="89"/>
      <c r="Q3910" s="105"/>
    </row>
    <row r="3911" spans="3:17" x14ac:dyDescent="0.3">
      <c r="C3911" s="87"/>
      <c r="H3911" s="86" t="e">
        <f>IF(I3911="fora",0%,G3911/QUÓRUM!$C$6)</f>
        <v>#DIV/0!</v>
      </c>
      <c r="I3911" s="87"/>
      <c r="J3911" s="88"/>
      <c r="K3911" s="88"/>
      <c r="L3911" s="89"/>
      <c r="M3911" s="89"/>
      <c r="Q3911" s="105"/>
    </row>
    <row r="3912" spans="3:17" x14ac:dyDescent="0.3">
      <c r="C3912" s="87"/>
      <c r="H3912" s="86" t="e">
        <f>IF(I3912="fora",0%,G3912/QUÓRUM!$C$6)</f>
        <v>#DIV/0!</v>
      </c>
      <c r="I3912" s="87"/>
      <c r="J3912" s="88"/>
      <c r="K3912" s="88"/>
      <c r="L3912" s="89"/>
      <c r="M3912" s="89"/>
      <c r="Q3912" s="105"/>
    </row>
    <row r="3913" spans="3:17" x14ac:dyDescent="0.3">
      <c r="C3913" s="87"/>
      <c r="H3913" s="86" t="e">
        <f>IF(I3913="fora",0%,G3913/QUÓRUM!$C$6)</f>
        <v>#DIV/0!</v>
      </c>
      <c r="I3913" s="87"/>
      <c r="J3913" s="88"/>
      <c r="K3913" s="88"/>
      <c r="L3913" s="89"/>
      <c r="M3913" s="89"/>
      <c r="Q3913" s="105"/>
    </row>
    <row r="3914" spans="3:17" x14ac:dyDescent="0.3">
      <c r="C3914" s="87"/>
      <c r="H3914" s="86" t="e">
        <f>IF(I3914="fora",0%,G3914/QUÓRUM!$C$6)</f>
        <v>#DIV/0!</v>
      </c>
      <c r="I3914" s="87"/>
      <c r="J3914" s="88"/>
      <c r="K3914" s="88"/>
      <c r="L3914" s="89"/>
      <c r="M3914" s="89"/>
      <c r="Q3914" s="105"/>
    </row>
    <row r="3915" spans="3:17" x14ac:dyDescent="0.3">
      <c r="C3915" s="87"/>
      <c r="H3915" s="86" t="e">
        <f>IF(I3915="fora",0%,G3915/QUÓRUM!$C$6)</f>
        <v>#DIV/0!</v>
      </c>
      <c r="I3915" s="87"/>
      <c r="J3915" s="88"/>
      <c r="K3915" s="88"/>
      <c r="L3915" s="89"/>
      <c r="M3915" s="89"/>
      <c r="Q3915" s="105"/>
    </row>
    <row r="3916" spans="3:17" x14ac:dyDescent="0.3">
      <c r="C3916" s="87"/>
      <c r="H3916" s="86" t="e">
        <f>IF(I3916="fora",0%,G3916/QUÓRUM!$C$6)</f>
        <v>#DIV/0!</v>
      </c>
      <c r="I3916" s="87"/>
      <c r="J3916" s="88"/>
      <c r="K3916" s="88"/>
      <c r="L3916" s="89"/>
      <c r="M3916" s="89"/>
      <c r="Q3916" s="105"/>
    </row>
    <row r="3917" spans="3:17" x14ac:dyDescent="0.3">
      <c r="C3917" s="87"/>
      <c r="H3917" s="86" t="e">
        <f>IF(I3917="fora",0%,G3917/QUÓRUM!$C$6)</f>
        <v>#DIV/0!</v>
      </c>
      <c r="I3917" s="87"/>
      <c r="J3917" s="88"/>
      <c r="K3917" s="88"/>
      <c r="L3917" s="89"/>
      <c r="M3917" s="89"/>
      <c r="Q3917" s="105"/>
    </row>
    <row r="3918" spans="3:17" x14ac:dyDescent="0.3">
      <c r="C3918" s="87"/>
      <c r="H3918" s="86" t="e">
        <f>IF(I3918="fora",0%,G3918/QUÓRUM!$C$6)</f>
        <v>#DIV/0!</v>
      </c>
      <c r="I3918" s="87"/>
      <c r="J3918" s="88"/>
      <c r="K3918" s="88"/>
      <c r="L3918" s="89"/>
      <c r="M3918" s="89"/>
      <c r="Q3918" s="105"/>
    </row>
    <row r="3919" spans="3:17" x14ac:dyDescent="0.3">
      <c r="C3919" s="87"/>
      <c r="H3919" s="86" t="e">
        <f>IF(I3919="fora",0%,G3919/QUÓRUM!$C$6)</f>
        <v>#DIV/0!</v>
      </c>
      <c r="I3919" s="87"/>
      <c r="J3919" s="88"/>
      <c r="K3919" s="88"/>
      <c r="L3919" s="89"/>
      <c r="M3919" s="89"/>
      <c r="Q3919" s="105"/>
    </row>
    <row r="3920" spans="3:17" x14ac:dyDescent="0.3">
      <c r="C3920" s="87"/>
      <c r="H3920" s="86" t="e">
        <f>IF(I3920="fora",0%,G3920/QUÓRUM!$C$6)</f>
        <v>#DIV/0!</v>
      </c>
      <c r="I3920" s="87"/>
      <c r="J3920" s="88"/>
      <c r="K3920" s="88"/>
      <c r="L3920" s="89"/>
      <c r="M3920" s="89"/>
      <c r="Q3920" s="105"/>
    </row>
    <row r="3921" spans="3:17" x14ac:dyDescent="0.3">
      <c r="C3921" s="87"/>
      <c r="H3921" s="86" t="e">
        <f>IF(I3921="fora",0%,G3921/QUÓRUM!$C$6)</f>
        <v>#DIV/0!</v>
      </c>
      <c r="I3921" s="87"/>
      <c r="J3921" s="88"/>
      <c r="K3921" s="88"/>
      <c r="L3921" s="89"/>
      <c r="M3921" s="89"/>
      <c r="Q3921" s="105"/>
    </row>
    <row r="3922" spans="3:17" x14ac:dyDescent="0.3">
      <c r="C3922" s="87"/>
      <c r="H3922" s="86" t="e">
        <f>IF(I3922="fora",0%,G3922/QUÓRUM!$C$6)</f>
        <v>#DIV/0!</v>
      </c>
      <c r="I3922" s="87"/>
      <c r="J3922" s="88"/>
      <c r="K3922" s="88"/>
      <c r="L3922" s="89"/>
      <c r="M3922" s="89"/>
      <c r="Q3922" s="105"/>
    </row>
    <row r="3923" spans="3:17" x14ac:dyDescent="0.3">
      <c r="C3923" s="87"/>
      <c r="H3923" s="86" t="e">
        <f>IF(I3923="fora",0%,G3923/QUÓRUM!$C$6)</f>
        <v>#DIV/0!</v>
      </c>
      <c r="I3923" s="87"/>
      <c r="J3923" s="88"/>
      <c r="K3923" s="88"/>
      <c r="L3923" s="89"/>
      <c r="M3923" s="89"/>
      <c r="Q3923" s="105"/>
    </row>
    <row r="3924" spans="3:17" x14ac:dyDescent="0.3">
      <c r="C3924" s="87"/>
      <c r="H3924" s="86" t="e">
        <f>IF(I3924="fora",0%,G3924/QUÓRUM!$C$6)</f>
        <v>#DIV/0!</v>
      </c>
      <c r="I3924" s="87"/>
      <c r="J3924" s="88"/>
      <c r="K3924" s="88"/>
      <c r="L3924" s="89"/>
      <c r="M3924" s="89"/>
      <c r="Q3924" s="105"/>
    </row>
    <row r="3925" spans="3:17" x14ac:dyDescent="0.3">
      <c r="C3925" s="87"/>
      <c r="H3925" s="86" t="e">
        <f>IF(I3925="fora",0%,G3925/QUÓRUM!$C$6)</f>
        <v>#DIV/0!</v>
      </c>
      <c r="I3925" s="87"/>
      <c r="J3925" s="88"/>
      <c r="K3925" s="88"/>
      <c r="L3925" s="89"/>
      <c r="M3925" s="89"/>
      <c r="Q3925" s="105"/>
    </row>
    <row r="3926" spans="3:17" x14ac:dyDescent="0.3">
      <c r="C3926" s="87"/>
      <c r="H3926" s="86" t="e">
        <f>IF(I3926="fora",0%,G3926/QUÓRUM!$C$6)</f>
        <v>#DIV/0!</v>
      </c>
      <c r="I3926" s="87"/>
      <c r="J3926" s="88"/>
      <c r="K3926" s="88"/>
      <c r="L3926" s="89"/>
      <c r="M3926" s="89"/>
      <c r="Q3926" s="105"/>
    </row>
    <row r="3927" spans="3:17" x14ac:dyDescent="0.3">
      <c r="C3927" s="87"/>
      <c r="H3927" s="86" t="e">
        <f>IF(I3927="fora",0%,G3927/QUÓRUM!$C$6)</f>
        <v>#DIV/0!</v>
      </c>
      <c r="I3927" s="87"/>
      <c r="J3927" s="88"/>
      <c r="K3927" s="88"/>
      <c r="L3927" s="89"/>
      <c r="M3927" s="89"/>
      <c r="Q3927" s="105"/>
    </row>
    <row r="3928" spans="3:17" x14ac:dyDescent="0.3">
      <c r="C3928" s="87"/>
      <c r="H3928" s="86" t="e">
        <f>IF(I3928="fora",0%,G3928/QUÓRUM!$C$6)</f>
        <v>#DIV/0!</v>
      </c>
      <c r="I3928" s="87"/>
      <c r="J3928" s="88"/>
      <c r="K3928" s="88"/>
      <c r="L3928" s="89"/>
      <c r="M3928" s="89"/>
      <c r="Q3928" s="105"/>
    </row>
    <row r="3929" spans="3:17" x14ac:dyDescent="0.3">
      <c r="C3929" s="87"/>
      <c r="H3929" s="86" t="e">
        <f>IF(I3929="fora",0%,G3929/QUÓRUM!$C$6)</f>
        <v>#DIV/0!</v>
      </c>
      <c r="I3929" s="87"/>
      <c r="J3929" s="88"/>
      <c r="K3929" s="88"/>
      <c r="L3929" s="89"/>
      <c r="M3929" s="89"/>
      <c r="Q3929" s="105"/>
    </row>
    <row r="3930" spans="3:17" x14ac:dyDescent="0.3">
      <c r="C3930" s="87"/>
      <c r="H3930" s="86" t="e">
        <f>IF(I3930="fora",0%,G3930/QUÓRUM!$C$6)</f>
        <v>#DIV/0!</v>
      </c>
      <c r="I3930" s="87"/>
      <c r="J3930" s="88"/>
      <c r="K3930" s="88"/>
      <c r="L3930" s="89"/>
      <c r="M3930" s="89"/>
      <c r="Q3930" s="105"/>
    </row>
    <row r="3931" spans="3:17" x14ac:dyDescent="0.3">
      <c r="C3931" s="87"/>
      <c r="H3931" s="86" t="e">
        <f>IF(I3931="fora",0%,G3931/QUÓRUM!$C$6)</f>
        <v>#DIV/0!</v>
      </c>
      <c r="I3931" s="87"/>
      <c r="J3931" s="88"/>
      <c r="K3931" s="88"/>
      <c r="L3931" s="89"/>
      <c r="M3931" s="89"/>
      <c r="Q3931" s="105"/>
    </row>
    <row r="3932" spans="3:17" x14ac:dyDescent="0.3">
      <c r="C3932" s="87"/>
      <c r="H3932" s="86" t="e">
        <f>IF(I3932="fora",0%,G3932/QUÓRUM!$C$6)</f>
        <v>#DIV/0!</v>
      </c>
      <c r="I3932" s="87"/>
      <c r="J3932" s="88"/>
      <c r="K3932" s="88"/>
      <c r="L3932" s="89"/>
      <c r="M3932" s="89"/>
      <c r="Q3932" s="105"/>
    </row>
    <row r="3933" spans="3:17" x14ac:dyDescent="0.3">
      <c r="C3933" s="87"/>
      <c r="H3933" s="86" t="e">
        <f>IF(I3933="fora",0%,G3933/QUÓRUM!$C$6)</f>
        <v>#DIV/0!</v>
      </c>
      <c r="I3933" s="87"/>
      <c r="J3933" s="88"/>
      <c r="K3933" s="88"/>
      <c r="L3933" s="89"/>
      <c r="M3933" s="89"/>
      <c r="Q3933" s="105"/>
    </row>
    <row r="3934" spans="3:17" x14ac:dyDescent="0.3">
      <c r="C3934" s="87"/>
      <c r="H3934" s="86" t="e">
        <f>IF(I3934="fora",0%,G3934/QUÓRUM!$C$6)</f>
        <v>#DIV/0!</v>
      </c>
      <c r="I3934" s="87"/>
      <c r="J3934" s="88"/>
      <c r="K3934" s="88"/>
      <c r="L3934" s="89"/>
      <c r="M3934" s="89"/>
      <c r="Q3934" s="105"/>
    </row>
    <row r="3935" spans="3:17" x14ac:dyDescent="0.3">
      <c r="C3935" s="87"/>
      <c r="H3935" s="86" t="e">
        <f>IF(I3935="fora",0%,G3935/QUÓRUM!$C$6)</f>
        <v>#DIV/0!</v>
      </c>
      <c r="I3935" s="87"/>
      <c r="J3935" s="88"/>
      <c r="K3935" s="88"/>
      <c r="L3935" s="89"/>
      <c r="M3935" s="89"/>
      <c r="Q3935" s="105"/>
    </row>
    <row r="3936" spans="3:17" x14ac:dyDescent="0.3">
      <c r="C3936" s="87"/>
      <c r="H3936" s="86" t="e">
        <f>IF(I3936="fora",0%,G3936/QUÓRUM!$C$6)</f>
        <v>#DIV/0!</v>
      </c>
      <c r="I3936" s="87"/>
      <c r="J3936" s="88"/>
      <c r="K3936" s="88"/>
      <c r="L3936" s="89"/>
      <c r="M3936" s="89"/>
      <c r="Q3936" s="105"/>
    </row>
    <row r="3937" spans="3:17" x14ac:dyDescent="0.3">
      <c r="C3937" s="87"/>
      <c r="H3937" s="86" t="e">
        <f>IF(I3937="fora",0%,G3937/QUÓRUM!$C$6)</f>
        <v>#DIV/0!</v>
      </c>
      <c r="I3937" s="87"/>
      <c r="J3937" s="88"/>
      <c r="K3937" s="88"/>
      <c r="L3937" s="89"/>
      <c r="M3937" s="89"/>
      <c r="Q3937" s="105"/>
    </row>
    <row r="3938" spans="3:17" x14ac:dyDescent="0.3">
      <c r="C3938" s="87"/>
      <c r="H3938" s="86" t="e">
        <f>IF(I3938="fora",0%,G3938/QUÓRUM!$C$6)</f>
        <v>#DIV/0!</v>
      </c>
      <c r="I3938" s="87"/>
      <c r="J3938" s="88"/>
      <c r="K3938" s="88"/>
      <c r="L3938" s="89"/>
      <c r="M3938" s="89"/>
      <c r="Q3938" s="105"/>
    </row>
    <row r="3939" spans="3:17" x14ac:dyDescent="0.3">
      <c r="C3939" s="87"/>
      <c r="H3939" s="86" t="e">
        <f>IF(I3939="fora",0%,G3939/QUÓRUM!$C$6)</f>
        <v>#DIV/0!</v>
      </c>
      <c r="I3939" s="87"/>
      <c r="J3939" s="88"/>
      <c r="K3939" s="88"/>
      <c r="L3939" s="89"/>
      <c r="M3939" s="89"/>
      <c r="Q3939" s="105"/>
    </row>
    <row r="3940" spans="3:17" x14ac:dyDescent="0.3">
      <c r="C3940" s="87"/>
      <c r="H3940" s="86" t="e">
        <f>IF(I3940="fora",0%,G3940/QUÓRUM!$C$6)</f>
        <v>#DIV/0!</v>
      </c>
      <c r="I3940" s="87"/>
      <c r="J3940" s="88"/>
      <c r="K3940" s="88"/>
      <c r="L3940" s="89"/>
      <c r="M3940" s="89"/>
      <c r="Q3940" s="105"/>
    </row>
    <row r="3941" spans="3:17" x14ac:dyDescent="0.3">
      <c r="C3941" s="87"/>
      <c r="H3941" s="86" t="e">
        <f>IF(I3941="fora",0%,G3941/QUÓRUM!$C$6)</f>
        <v>#DIV/0!</v>
      </c>
      <c r="I3941" s="87"/>
      <c r="J3941" s="88"/>
      <c r="K3941" s="88"/>
      <c r="L3941" s="89"/>
      <c r="M3941" s="89"/>
      <c r="Q3941" s="105"/>
    </row>
    <row r="3942" spans="3:17" x14ac:dyDescent="0.3">
      <c r="C3942" s="87"/>
      <c r="H3942" s="86" t="e">
        <f>IF(I3942="fora",0%,G3942/QUÓRUM!$C$6)</f>
        <v>#DIV/0!</v>
      </c>
      <c r="I3942" s="87"/>
      <c r="J3942" s="88"/>
      <c r="K3942" s="88"/>
      <c r="L3942" s="89"/>
      <c r="M3942" s="89"/>
      <c r="Q3942" s="105"/>
    </row>
    <row r="3943" spans="3:17" x14ac:dyDescent="0.3">
      <c r="C3943" s="87"/>
      <c r="H3943" s="86" t="e">
        <f>IF(I3943="fora",0%,G3943/QUÓRUM!$C$6)</f>
        <v>#DIV/0!</v>
      </c>
      <c r="I3943" s="87"/>
      <c r="J3943" s="88"/>
      <c r="K3943" s="88"/>
      <c r="L3943" s="89"/>
      <c r="M3943" s="89"/>
      <c r="Q3943" s="105"/>
    </row>
    <row r="3944" spans="3:17" x14ac:dyDescent="0.3">
      <c r="C3944" s="87"/>
      <c r="H3944" s="86" t="e">
        <f>IF(I3944="fora",0%,G3944/QUÓRUM!$C$6)</f>
        <v>#DIV/0!</v>
      </c>
      <c r="I3944" s="87"/>
      <c r="J3944" s="88"/>
      <c r="K3944" s="88"/>
      <c r="L3944" s="89"/>
      <c r="M3944" s="89"/>
      <c r="Q3944" s="105"/>
    </row>
    <row r="3945" spans="3:17" x14ac:dyDescent="0.3">
      <c r="C3945" s="87"/>
      <c r="H3945" s="86" t="e">
        <f>IF(I3945="fora",0%,G3945/QUÓRUM!$C$6)</f>
        <v>#DIV/0!</v>
      </c>
      <c r="I3945" s="87"/>
      <c r="J3945" s="88"/>
      <c r="K3945" s="88"/>
      <c r="L3945" s="89"/>
      <c r="M3945" s="89"/>
      <c r="Q3945" s="105"/>
    </row>
    <row r="3946" spans="3:17" x14ac:dyDescent="0.3">
      <c r="C3946" s="87"/>
      <c r="H3946" s="86" t="e">
        <f>IF(I3946="fora",0%,G3946/QUÓRUM!$C$6)</f>
        <v>#DIV/0!</v>
      </c>
      <c r="I3946" s="87"/>
      <c r="J3946" s="88"/>
      <c r="K3946" s="88"/>
      <c r="L3946" s="89"/>
      <c r="M3946" s="89"/>
      <c r="Q3946" s="105"/>
    </row>
    <row r="3947" spans="3:17" x14ac:dyDescent="0.3">
      <c r="C3947" s="87"/>
      <c r="H3947" s="86" t="e">
        <f>IF(I3947="fora",0%,G3947/QUÓRUM!$C$6)</f>
        <v>#DIV/0!</v>
      </c>
      <c r="I3947" s="87"/>
      <c r="J3947" s="88"/>
      <c r="K3947" s="88"/>
      <c r="L3947" s="89"/>
      <c r="M3947" s="89"/>
      <c r="Q3947" s="105"/>
    </row>
    <row r="3948" spans="3:17" x14ac:dyDescent="0.3">
      <c r="C3948" s="87"/>
      <c r="H3948" s="86" t="e">
        <f>IF(I3948="fora",0%,G3948/QUÓRUM!$C$6)</f>
        <v>#DIV/0!</v>
      </c>
      <c r="I3948" s="87"/>
      <c r="J3948" s="88"/>
      <c r="K3948" s="88"/>
      <c r="L3948" s="89"/>
      <c r="M3948" s="89"/>
      <c r="Q3948" s="105"/>
    </row>
    <row r="3949" spans="3:17" x14ac:dyDescent="0.3">
      <c r="C3949" s="87"/>
      <c r="H3949" s="86" t="e">
        <f>IF(I3949="fora",0%,G3949/QUÓRUM!$C$6)</f>
        <v>#DIV/0!</v>
      </c>
      <c r="I3949" s="87"/>
      <c r="J3949" s="88"/>
      <c r="K3949" s="88"/>
      <c r="L3949" s="89"/>
      <c r="M3949" s="89"/>
      <c r="Q3949" s="105"/>
    </row>
    <row r="3950" spans="3:17" x14ac:dyDescent="0.3">
      <c r="C3950" s="87"/>
      <c r="H3950" s="86" t="e">
        <f>IF(I3950="fora",0%,G3950/QUÓRUM!$C$6)</f>
        <v>#DIV/0!</v>
      </c>
      <c r="I3950" s="87"/>
      <c r="J3950" s="88"/>
      <c r="K3950" s="88"/>
      <c r="L3950" s="89"/>
      <c r="M3950" s="89"/>
      <c r="Q3950" s="105"/>
    </row>
    <row r="3951" spans="3:17" x14ac:dyDescent="0.3">
      <c r="C3951" s="87"/>
      <c r="H3951" s="86" t="e">
        <f>IF(I3951="fora",0%,G3951/QUÓRUM!$C$6)</f>
        <v>#DIV/0!</v>
      </c>
      <c r="I3951" s="87"/>
      <c r="J3951" s="88"/>
      <c r="K3951" s="88"/>
      <c r="L3951" s="89"/>
      <c r="M3951" s="89"/>
      <c r="Q3951" s="105"/>
    </row>
    <row r="3952" spans="3:17" x14ac:dyDescent="0.3">
      <c r="C3952" s="87"/>
      <c r="H3952" s="86" t="e">
        <f>IF(I3952="fora",0%,G3952/QUÓRUM!$C$6)</f>
        <v>#DIV/0!</v>
      </c>
      <c r="I3952" s="87"/>
      <c r="J3952" s="88"/>
      <c r="K3952" s="88"/>
      <c r="L3952" s="89"/>
      <c r="M3952" s="89"/>
      <c r="Q3952" s="105"/>
    </row>
    <row r="3953" spans="3:17" x14ac:dyDescent="0.3">
      <c r="C3953" s="87"/>
      <c r="H3953" s="86" t="e">
        <f>IF(I3953="fora",0%,G3953/QUÓRUM!$C$6)</f>
        <v>#DIV/0!</v>
      </c>
      <c r="I3953" s="87"/>
      <c r="J3953" s="88"/>
      <c r="K3953" s="88"/>
      <c r="L3953" s="89"/>
      <c r="M3953" s="89"/>
      <c r="Q3953" s="105"/>
    </row>
    <row r="3954" spans="3:17" x14ac:dyDescent="0.3">
      <c r="C3954" s="87"/>
      <c r="H3954" s="86" t="e">
        <f>IF(I3954="fora",0%,G3954/QUÓRUM!$C$6)</f>
        <v>#DIV/0!</v>
      </c>
      <c r="I3954" s="87"/>
      <c r="J3954" s="88"/>
      <c r="K3954" s="88"/>
      <c r="L3954" s="89"/>
      <c r="M3954" s="89"/>
      <c r="Q3954" s="105"/>
    </row>
    <row r="3955" spans="3:17" x14ac:dyDescent="0.3">
      <c r="C3955" s="87"/>
      <c r="H3955" s="86" t="e">
        <f>IF(I3955="fora",0%,G3955/QUÓRUM!$C$6)</f>
        <v>#DIV/0!</v>
      </c>
      <c r="I3955" s="87"/>
      <c r="J3955" s="88"/>
      <c r="K3955" s="88"/>
      <c r="L3955" s="89"/>
      <c r="M3955" s="89"/>
      <c r="Q3955" s="105"/>
    </row>
    <row r="3956" spans="3:17" x14ac:dyDescent="0.3">
      <c r="C3956" s="87"/>
      <c r="H3956" s="86" t="e">
        <f>IF(I3956="fora",0%,G3956/QUÓRUM!$C$6)</f>
        <v>#DIV/0!</v>
      </c>
      <c r="I3956" s="87"/>
      <c r="J3956" s="88"/>
      <c r="K3956" s="88"/>
      <c r="L3956" s="89"/>
      <c r="M3956" s="89"/>
      <c r="Q3956" s="105"/>
    </row>
    <row r="3957" spans="3:17" x14ac:dyDescent="0.3">
      <c r="C3957" s="87"/>
      <c r="H3957" s="86" t="e">
        <f>IF(I3957="fora",0%,G3957/QUÓRUM!$C$6)</f>
        <v>#DIV/0!</v>
      </c>
      <c r="I3957" s="87"/>
      <c r="J3957" s="88"/>
      <c r="K3957" s="88"/>
      <c r="L3957" s="89"/>
      <c r="M3957" s="89"/>
      <c r="Q3957" s="105"/>
    </row>
    <row r="3958" spans="3:17" x14ac:dyDescent="0.3">
      <c r="C3958" s="87"/>
      <c r="H3958" s="86" t="e">
        <f>IF(I3958="fora",0%,G3958/QUÓRUM!$C$6)</f>
        <v>#DIV/0!</v>
      </c>
      <c r="I3958" s="87"/>
      <c r="J3958" s="88"/>
      <c r="K3958" s="88"/>
      <c r="L3958" s="89"/>
      <c r="M3958" s="89"/>
      <c r="Q3958" s="105"/>
    </row>
    <row r="3959" spans="3:17" x14ac:dyDescent="0.3">
      <c r="C3959" s="87"/>
      <c r="H3959" s="86" t="e">
        <f>IF(I3959="fora",0%,G3959/QUÓRUM!$C$6)</f>
        <v>#DIV/0!</v>
      </c>
      <c r="I3959" s="87"/>
      <c r="J3959" s="88"/>
      <c r="K3959" s="88"/>
      <c r="L3959" s="89"/>
      <c r="M3959" s="89"/>
      <c r="Q3959" s="105"/>
    </row>
    <row r="3960" spans="3:17" x14ac:dyDescent="0.3">
      <c r="C3960" s="87"/>
      <c r="H3960" s="86" t="e">
        <f>IF(I3960="fora",0%,G3960/QUÓRUM!$C$6)</f>
        <v>#DIV/0!</v>
      </c>
      <c r="I3960" s="87"/>
      <c r="J3960" s="88"/>
      <c r="K3960" s="88"/>
      <c r="L3960" s="89"/>
      <c r="M3960" s="89"/>
      <c r="Q3960" s="105"/>
    </row>
    <row r="3961" spans="3:17" x14ac:dyDescent="0.3">
      <c r="C3961" s="87"/>
      <c r="H3961" s="86" t="e">
        <f>IF(I3961="fora",0%,G3961/QUÓRUM!$C$6)</f>
        <v>#DIV/0!</v>
      </c>
      <c r="I3961" s="87"/>
      <c r="J3961" s="88"/>
      <c r="K3961" s="88"/>
      <c r="L3961" s="89"/>
      <c r="M3961" s="89"/>
      <c r="Q3961" s="105"/>
    </row>
    <row r="3962" spans="3:17" x14ac:dyDescent="0.3">
      <c r="C3962" s="87"/>
      <c r="H3962" s="86" t="e">
        <f>IF(I3962="fora",0%,G3962/QUÓRUM!$C$6)</f>
        <v>#DIV/0!</v>
      </c>
      <c r="I3962" s="87"/>
      <c r="J3962" s="88"/>
      <c r="K3962" s="88"/>
      <c r="L3962" s="89"/>
      <c r="M3962" s="89"/>
      <c r="Q3962" s="105"/>
    </row>
    <row r="3963" spans="3:17" x14ac:dyDescent="0.3">
      <c r="C3963" s="87"/>
      <c r="H3963" s="86" t="e">
        <f>IF(I3963="fora",0%,G3963/QUÓRUM!$C$6)</f>
        <v>#DIV/0!</v>
      </c>
      <c r="I3963" s="87"/>
      <c r="J3963" s="88"/>
      <c r="K3963" s="88"/>
      <c r="L3963" s="89"/>
      <c r="M3963" s="89"/>
      <c r="Q3963" s="105"/>
    </row>
    <row r="3964" spans="3:17" x14ac:dyDescent="0.3">
      <c r="C3964" s="87"/>
      <c r="H3964" s="86" t="e">
        <f>IF(I3964="fora",0%,G3964/QUÓRUM!$C$6)</f>
        <v>#DIV/0!</v>
      </c>
      <c r="I3964" s="87"/>
      <c r="J3964" s="88"/>
      <c r="K3964" s="88"/>
      <c r="L3964" s="89"/>
      <c r="M3964" s="89"/>
      <c r="Q3964" s="105"/>
    </row>
    <row r="3965" spans="3:17" x14ac:dyDescent="0.3">
      <c r="C3965" s="87"/>
      <c r="H3965" s="86" t="e">
        <f>IF(I3965="fora",0%,G3965/QUÓRUM!$C$6)</f>
        <v>#DIV/0!</v>
      </c>
      <c r="I3965" s="87"/>
      <c r="J3965" s="88"/>
      <c r="K3965" s="88"/>
      <c r="L3965" s="89"/>
      <c r="M3965" s="89"/>
      <c r="Q3965" s="105"/>
    </row>
    <row r="3966" spans="3:17" x14ac:dyDescent="0.3">
      <c r="C3966" s="87"/>
      <c r="H3966" s="86" t="e">
        <f>IF(I3966="fora",0%,G3966/QUÓRUM!$C$6)</f>
        <v>#DIV/0!</v>
      </c>
      <c r="I3966" s="87"/>
      <c r="J3966" s="88"/>
      <c r="K3966" s="88"/>
      <c r="L3966" s="89"/>
      <c r="M3966" s="89"/>
      <c r="Q3966" s="105"/>
    </row>
    <row r="3967" spans="3:17" x14ac:dyDescent="0.3">
      <c r="C3967" s="87"/>
      <c r="H3967" s="86" t="e">
        <f>IF(I3967="fora",0%,G3967/QUÓRUM!$C$6)</f>
        <v>#DIV/0!</v>
      </c>
      <c r="I3967" s="87"/>
      <c r="J3967" s="88"/>
      <c r="K3967" s="88"/>
      <c r="L3967" s="89"/>
      <c r="M3967" s="89"/>
      <c r="Q3967" s="105"/>
    </row>
    <row r="3968" spans="3:17" x14ac:dyDescent="0.3">
      <c r="C3968" s="87"/>
      <c r="H3968" s="86" t="e">
        <f>IF(I3968="fora",0%,G3968/QUÓRUM!$C$6)</f>
        <v>#DIV/0!</v>
      </c>
      <c r="I3968" s="87"/>
      <c r="J3968" s="88"/>
      <c r="K3968" s="88"/>
      <c r="L3968" s="89"/>
      <c r="M3968" s="89"/>
      <c r="Q3968" s="105"/>
    </row>
    <row r="3969" spans="3:17" x14ac:dyDescent="0.3">
      <c r="C3969" s="87"/>
      <c r="H3969" s="86" t="e">
        <f>IF(I3969="fora",0%,G3969/QUÓRUM!$C$6)</f>
        <v>#DIV/0!</v>
      </c>
      <c r="I3969" s="87"/>
      <c r="J3969" s="88"/>
      <c r="K3969" s="88"/>
      <c r="L3969" s="89"/>
      <c r="M3969" s="89"/>
      <c r="Q3969" s="105"/>
    </row>
    <row r="3970" spans="3:17" x14ac:dyDescent="0.3">
      <c r="C3970" s="87"/>
      <c r="H3970" s="86" t="e">
        <f>IF(I3970="fora",0%,G3970/QUÓRUM!$C$6)</f>
        <v>#DIV/0!</v>
      </c>
      <c r="I3970" s="87"/>
      <c r="J3970" s="88"/>
      <c r="K3970" s="88"/>
      <c r="L3970" s="89"/>
      <c r="M3970" s="89"/>
      <c r="Q3970" s="105"/>
    </row>
    <row r="3971" spans="3:17" x14ac:dyDescent="0.3">
      <c r="C3971" s="87"/>
      <c r="H3971" s="86" t="e">
        <f>IF(I3971="fora",0%,G3971/QUÓRUM!$C$6)</f>
        <v>#DIV/0!</v>
      </c>
      <c r="I3971" s="87"/>
      <c r="J3971" s="88"/>
      <c r="K3971" s="88"/>
      <c r="L3971" s="89"/>
      <c r="M3971" s="89"/>
      <c r="Q3971" s="105"/>
    </row>
    <row r="3972" spans="3:17" x14ac:dyDescent="0.3">
      <c r="C3972" s="87"/>
      <c r="H3972" s="86" t="e">
        <f>IF(I3972="fora",0%,G3972/QUÓRUM!$C$6)</f>
        <v>#DIV/0!</v>
      </c>
      <c r="I3972" s="87"/>
      <c r="J3972" s="88"/>
      <c r="K3972" s="88"/>
      <c r="L3972" s="89"/>
      <c r="M3972" s="89"/>
      <c r="Q3972" s="105"/>
    </row>
    <row r="3973" spans="3:17" x14ac:dyDescent="0.3">
      <c r="C3973" s="87"/>
      <c r="H3973" s="86" t="e">
        <f>IF(I3973="fora",0%,G3973/QUÓRUM!$C$6)</f>
        <v>#DIV/0!</v>
      </c>
      <c r="I3973" s="87"/>
      <c r="J3973" s="88"/>
      <c r="K3973" s="88"/>
      <c r="L3973" s="89"/>
      <c r="M3973" s="89"/>
      <c r="Q3973" s="105"/>
    </row>
    <row r="3974" spans="3:17" x14ac:dyDescent="0.3">
      <c r="C3974" s="87"/>
      <c r="H3974" s="86" t="e">
        <f>IF(I3974="fora",0%,G3974/QUÓRUM!$C$6)</f>
        <v>#DIV/0!</v>
      </c>
      <c r="I3974" s="87"/>
      <c r="J3974" s="88"/>
      <c r="K3974" s="88"/>
      <c r="L3974" s="89"/>
      <c r="M3974" s="89"/>
      <c r="Q3974" s="105"/>
    </row>
    <row r="3975" spans="3:17" x14ac:dyDescent="0.3">
      <c r="C3975" s="87"/>
      <c r="H3975" s="86" t="e">
        <f>IF(I3975="fora",0%,G3975/QUÓRUM!$C$6)</f>
        <v>#DIV/0!</v>
      </c>
      <c r="I3975" s="87"/>
      <c r="J3975" s="88"/>
      <c r="K3975" s="88"/>
      <c r="L3975" s="89"/>
      <c r="M3975" s="89"/>
      <c r="Q3975" s="105"/>
    </row>
    <row r="3976" spans="3:17" x14ac:dyDescent="0.3">
      <c r="C3976" s="87"/>
      <c r="H3976" s="86" t="e">
        <f>IF(I3976="fora",0%,G3976/QUÓRUM!$C$6)</f>
        <v>#DIV/0!</v>
      </c>
      <c r="I3976" s="87"/>
      <c r="J3976" s="88"/>
      <c r="K3976" s="88"/>
      <c r="L3976" s="89"/>
      <c r="M3976" s="89"/>
      <c r="Q3976" s="105"/>
    </row>
    <row r="3977" spans="3:17" x14ac:dyDescent="0.3">
      <c r="C3977" s="87"/>
      <c r="H3977" s="86" t="e">
        <f>IF(I3977="fora",0%,G3977/QUÓRUM!$C$6)</f>
        <v>#DIV/0!</v>
      </c>
      <c r="I3977" s="87"/>
      <c r="J3977" s="88"/>
      <c r="K3977" s="88"/>
      <c r="L3977" s="89"/>
      <c r="M3977" s="89"/>
      <c r="Q3977" s="105"/>
    </row>
    <row r="3978" spans="3:17" x14ac:dyDescent="0.3">
      <c r="C3978" s="87"/>
      <c r="H3978" s="86" t="e">
        <f>IF(I3978="fora",0%,G3978/QUÓRUM!$C$6)</f>
        <v>#DIV/0!</v>
      </c>
      <c r="I3978" s="87"/>
      <c r="J3978" s="88"/>
      <c r="K3978" s="88"/>
      <c r="L3978" s="89"/>
      <c r="M3978" s="89"/>
      <c r="Q3978" s="105"/>
    </row>
    <row r="3979" spans="3:17" x14ac:dyDescent="0.3">
      <c r="C3979" s="87"/>
      <c r="H3979" s="86" t="e">
        <f>IF(I3979="fora",0%,G3979/QUÓRUM!$C$6)</f>
        <v>#DIV/0!</v>
      </c>
      <c r="I3979" s="87"/>
      <c r="J3979" s="88"/>
      <c r="K3979" s="88"/>
      <c r="L3979" s="89"/>
      <c r="M3979" s="89"/>
      <c r="Q3979" s="105"/>
    </row>
    <row r="3980" spans="3:17" x14ac:dyDescent="0.3">
      <c r="C3980" s="87"/>
      <c r="H3980" s="86" t="e">
        <f>IF(I3980="fora",0%,G3980/QUÓRUM!$C$6)</f>
        <v>#DIV/0!</v>
      </c>
      <c r="I3980" s="87"/>
      <c r="J3980" s="88"/>
      <c r="K3980" s="88"/>
      <c r="L3980" s="89"/>
      <c r="M3980" s="89"/>
      <c r="Q3980" s="105"/>
    </row>
    <row r="3981" spans="3:17" x14ac:dyDescent="0.3">
      <c r="C3981" s="87"/>
      <c r="H3981" s="86" t="e">
        <f>IF(I3981="fora",0%,G3981/QUÓRUM!$C$6)</f>
        <v>#DIV/0!</v>
      </c>
      <c r="I3981" s="87"/>
      <c r="J3981" s="88"/>
      <c r="K3981" s="88"/>
      <c r="L3981" s="89"/>
      <c r="M3981" s="89"/>
      <c r="Q3981" s="105"/>
    </row>
    <row r="3982" spans="3:17" x14ac:dyDescent="0.3">
      <c r="C3982" s="87"/>
      <c r="H3982" s="86" t="e">
        <f>IF(I3982="fora",0%,G3982/QUÓRUM!$C$6)</f>
        <v>#DIV/0!</v>
      </c>
      <c r="I3982" s="87"/>
      <c r="J3982" s="88"/>
      <c r="K3982" s="88"/>
      <c r="L3982" s="89"/>
      <c r="M3982" s="89"/>
      <c r="Q3982" s="105"/>
    </row>
    <row r="3983" spans="3:17" x14ac:dyDescent="0.3">
      <c r="C3983" s="87"/>
      <c r="H3983" s="86" t="e">
        <f>IF(I3983="fora",0%,G3983/QUÓRUM!$C$6)</f>
        <v>#DIV/0!</v>
      </c>
      <c r="I3983" s="87"/>
      <c r="J3983" s="88"/>
      <c r="K3983" s="88"/>
      <c r="L3983" s="89"/>
      <c r="M3983" s="89"/>
      <c r="Q3983" s="105"/>
    </row>
    <row r="3984" spans="3:17" x14ac:dyDescent="0.3">
      <c r="C3984" s="87"/>
      <c r="H3984" s="86" t="e">
        <f>IF(I3984="fora",0%,G3984/QUÓRUM!$C$6)</f>
        <v>#DIV/0!</v>
      </c>
      <c r="I3984" s="87"/>
      <c r="J3984" s="88"/>
      <c r="K3984" s="88"/>
      <c r="L3984" s="89"/>
      <c r="M3984" s="89"/>
      <c r="Q3984" s="105"/>
    </row>
    <row r="3985" spans="3:17" x14ac:dyDescent="0.3">
      <c r="C3985" s="87"/>
      <c r="H3985" s="86" t="e">
        <f>IF(I3985="fora",0%,G3985/QUÓRUM!$C$6)</f>
        <v>#DIV/0!</v>
      </c>
      <c r="I3985" s="87"/>
      <c r="J3985" s="88"/>
      <c r="K3985" s="88"/>
      <c r="L3985" s="89"/>
      <c r="M3985" s="89"/>
      <c r="Q3985" s="105"/>
    </row>
    <row r="3986" spans="3:17" x14ac:dyDescent="0.3">
      <c r="C3986" s="87"/>
      <c r="H3986" s="86" t="e">
        <f>IF(I3986="fora",0%,G3986/QUÓRUM!$C$6)</f>
        <v>#DIV/0!</v>
      </c>
      <c r="I3986" s="87"/>
      <c r="J3986" s="88"/>
      <c r="K3986" s="88"/>
      <c r="L3986" s="89"/>
      <c r="M3986" s="89"/>
      <c r="Q3986" s="105"/>
    </row>
    <row r="3987" spans="3:17" x14ac:dyDescent="0.3">
      <c r="C3987" s="87"/>
      <c r="H3987" s="86" t="e">
        <f>IF(I3987="fora",0%,G3987/QUÓRUM!$C$6)</f>
        <v>#DIV/0!</v>
      </c>
      <c r="I3987" s="87"/>
      <c r="J3987" s="88"/>
      <c r="K3987" s="88"/>
      <c r="L3987" s="89"/>
      <c r="M3987" s="89"/>
      <c r="Q3987" s="105"/>
    </row>
    <row r="3988" spans="3:17" x14ac:dyDescent="0.3">
      <c r="C3988" s="87"/>
      <c r="H3988" s="86" t="e">
        <f>IF(I3988="fora",0%,G3988/QUÓRUM!$C$6)</f>
        <v>#DIV/0!</v>
      </c>
      <c r="I3988" s="87"/>
      <c r="J3988" s="88"/>
      <c r="K3988" s="88"/>
      <c r="L3988" s="89"/>
      <c r="M3988" s="89"/>
      <c r="Q3988" s="105"/>
    </row>
    <row r="3989" spans="3:17" x14ac:dyDescent="0.3">
      <c r="C3989" s="87"/>
      <c r="H3989" s="86" t="e">
        <f>IF(I3989="fora",0%,G3989/QUÓRUM!$C$6)</f>
        <v>#DIV/0!</v>
      </c>
      <c r="I3989" s="87"/>
      <c r="J3989" s="88"/>
      <c r="K3989" s="88"/>
      <c r="L3989" s="89"/>
      <c r="M3989" s="89"/>
      <c r="Q3989" s="105"/>
    </row>
    <row r="3990" spans="3:17" x14ac:dyDescent="0.3">
      <c r="C3990" s="87"/>
      <c r="H3990" s="86" t="e">
        <f>IF(I3990="fora",0%,G3990/QUÓRUM!$C$6)</f>
        <v>#DIV/0!</v>
      </c>
      <c r="I3990" s="87"/>
      <c r="J3990" s="88"/>
      <c r="K3990" s="88"/>
      <c r="L3990" s="89"/>
      <c r="M3990" s="89"/>
      <c r="Q3990" s="105"/>
    </row>
    <row r="3991" spans="3:17" x14ac:dyDescent="0.3">
      <c r="C3991" s="87"/>
      <c r="H3991" s="86" t="e">
        <f>IF(I3991="fora",0%,G3991/QUÓRUM!$C$6)</f>
        <v>#DIV/0!</v>
      </c>
      <c r="I3991" s="87"/>
      <c r="J3991" s="88"/>
      <c r="K3991" s="88"/>
      <c r="L3991" s="89"/>
      <c r="M3991" s="89"/>
      <c r="Q3991" s="105"/>
    </row>
    <row r="3992" spans="3:17" x14ac:dyDescent="0.3">
      <c r="C3992" s="87"/>
      <c r="H3992" s="86" t="e">
        <f>IF(I3992="fora",0%,G3992/QUÓRUM!$C$6)</f>
        <v>#DIV/0!</v>
      </c>
      <c r="I3992" s="87"/>
      <c r="J3992" s="88"/>
      <c r="K3992" s="88"/>
      <c r="L3992" s="89"/>
      <c r="M3992" s="89"/>
      <c r="Q3992" s="105"/>
    </row>
    <row r="3993" spans="3:17" x14ac:dyDescent="0.3">
      <c r="C3993" s="87"/>
      <c r="H3993" s="86" t="e">
        <f>IF(I3993="fora",0%,G3993/QUÓRUM!$C$6)</f>
        <v>#DIV/0!</v>
      </c>
      <c r="I3993" s="87"/>
      <c r="J3993" s="88"/>
      <c r="K3993" s="88"/>
      <c r="L3993" s="89"/>
      <c r="M3993" s="89"/>
      <c r="Q3993" s="105"/>
    </row>
    <row r="3994" spans="3:17" x14ac:dyDescent="0.3">
      <c r="C3994" s="87"/>
      <c r="H3994" s="86" t="e">
        <f>IF(I3994="fora",0%,G3994/QUÓRUM!$C$6)</f>
        <v>#DIV/0!</v>
      </c>
      <c r="I3994" s="87"/>
      <c r="J3994" s="88"/>
      <c r="K3994" s="88"/>
      <c r="L3994" s="89"/>
      <c r="M3994" s="89"/>
      <c r="Q3994" s="105"/>
    </row>
    <row r="3995" spans="3:17" x14ac:dyDescent="0.3">
      <c r="C3995" s="87"/>
      <c r="H3995" s="86" t="e">
        <f>IF(I3995="fora",0%,G3995/QUÓRUM!$C$6)</f>
        <v>#DIV/0!</v>
      </c>
      <c r="I3995" s="87"/>
      <c r="J3995" s="88"/>
      <c r="K3995" s="88"/>
      <c r="L3995" s="89"/>
      <c r="M3995" s="89"/>
      <c r="Q3995" s="105"/>
    </row>
    <row r="3996" spans="3:17" x14ac:dyDescent="0.3">
      <c r="C3996" s="87"/>
      <c r="H3996" s="86" t="e">
        <f>IF(I3996="fora",0%,G3996/QUÓRUM!$C$6)</f>
        <v>#DIV/0!</v>
      </c>
      <c r="I3996" s="87"/>
      <c r="J3996" s="88"/>
      <c r="K3996" s="88"/>
      <c r="L3996" s="89"/>
      <c r="M3996" s="89"/>
      <c r="Q3996" s="105"/>
    </row>
    <row r="3997" spans="3:17" x14ac:dyDescent="0.3">
      <c r="C3997" s="87"/>
      <c r="H3997" s="86" t="e">
        <f>IF(I3997="fora",0%,G3997/QUÓRUM!$C$6)</f>
        <v>#DIV/0!</v>
      </c>
      <c r="I3997" s="87"/>
      <c r="J3997" s="88"/>
      <c r="K3997" s="88"/>
      <c r="L3997" s="89"/>
      <c r="M3997" s="89"/>
      <c r="Q3997" s="105"/>
    </row>
    <row r="3998" spans="3:17" x14ac:dyDescent="0.3">
      <c r="C3998" s="87"/>
      <c r="H3998" s="86" t="e">
        <f>IF(I3998="fora",0%,G3998/QUÓRUM!$C$6)</f>
        <v>#DIV/0!</v>
      </c>
      <c r="I3998" s="87"/>
      <c r="J3998" s="88"/>
      <c r="K3998" s="88"/>
      <c r="L3998" s="89"/>
      <c r="M3998" s="89"/>
      <c r="Q3998" s="105"/>
    </row>
    <row r="3999" spans="3:17" x14ac:dyDescent="0.3">
      <c r="C3999" s="87"/>
      <c r="H3999" s="86" t="e">
        <f>IF(I3999="fora",0%,G3999/QUÓRUM!$C$6)</f>
        <v>#DIV/0!</v>
      </c>
      <c r="I3999" s="87"/>
      <c r="J3999" s="88"/>
      <c r="K3999" s="88"/>
      <c r="L3999" s="89"/>
      <c r="M3999" s="89"/>
      <c r="Q3999" s="105"/>
    </row>
    <row r="4000" spans="3:17" x14ac:dyDescent="0.3">
      <c r="C4000" s="87"/>
      <c r="H4000" s="86" t="e">
        <f>IF(I4000="fora",0%,G4000/QUÓRUM!$C$6)</f>
        <v>#DIV/0!</v>
      </c>
      <c r="I4000" s="87"/>
      <c r="J4000" s="88"/>
      <c r="K4000" s="88"/>
      <c r="L4000" s="89"/>
      <c r="M4000" s="89"/>
      <c r="Q4000" s="105"/>
    </row>
    <row r="4001" spans="3:17" x14ac:dyDescent="0.3">
      <c r="C4001" s="87"/>
      <c r="H4001" s="86" t="e">
        <f>IF(I4001="fora",0%,G4001/QUÓRUM!$C$6)</f>
        <v>#DIV/0!</v>
      </c>
      <c r="I4001" s="87"/>
      <c r="J4001" s="88"/>
      <c r="K4001" s="88"/>
      <c r="L4001" s="89"/>
      <c r="M4001" s="89"/>
      <c r="Q4001" s="105"/>
    </row>
    <row r="4002" spans="3:17" x14ac:dyDescent="0.3">
      <c r="C4002" s="87"/>
      <c r="H4002" s="86" t="e">
        <f>IF(I4002="fora",0%,G4002/QUÓRUM!$C$6)</f>
        <v>#DIV/0!</v>
      </c>
      <c r="I4002" s="87"/>
      <c r="J4002" s="88"/>
      <c r="K4002" s="88"/>
      <c r="L4002" s="89"/>
      <c r="M4002" s="89"/>
      <c r="Q4002" s="105"/>
    </row>
    <row r="4003" spans="3:17" x14ac:dyDescent="0.3">
      <c r="C4003" s="87"/>
      <c r="H4003" s="86" t="e">
        <f>IF(I4003="fora",0%,G4003/QUÓRUM!$C$6)</f>
        <v>#DIV/0!</v>
      </c>
      <c r="I4003" s="87"/>
      <c r="J4003" s="88"/>
      <c r="K4003" s="88"/>
      <c r="L4003" s="89"/>
      <c r="M4003" s="89"/>
      <c r="Q4003" s="105"/>
    </row>
    <row r="4004" spans="3:17" x14ac:dyDescent="0.3">
      <c r="C4004" s="87"/>
      <c r="H4004" s="86" t="e">
        <f>IF(I4004="fora",0%,G4004/QUÓRUM!$C$6)</f>
        <v>#DIV/0!</v>
      </c>
      <c r="I4004" s="87"/>
      <c r="J4004" s="88"/>
      <c r="K4004" s="88"/>
      <c r="L4004" s="89"/>
      <c r="M4004" s="89"/>
      <c r="Q4004" s="105"/>
    </row>
    <row r="4005" spans="3:17" x14ac:dyDescent="0.3">
      <c r="C4005" s="87"/>
      <c r="H4005" s="86" t="e">
        <f>IF(I4005="fora",0%,G4005/QUÓRUM!$C$6)</f>
        <v>#DIV/0!</v>
      </c>
      <c r="I4005" s="87"/>
      <c r="J4005" s="88"/>
      <c r="K4005" s="88"/>
      <c r="L4005" s="89"/>
      <c r="M4005" s="89"/>
      <c r="Q4005" s="105"/>
    </row>
    <row r="4006" spans="3:17" x14ac:dyDescent="0.3">
      <c r="C4006" s="87"/>
      <c r="H4006" s="86" t="e">
        <f>IF(I4006="fora",0%,G4006/QUÓRUM!$C$6)</f>
        <v>#DIV/0!</v>
      </c>
      <c r="I4006" s="87"/>
      <c r="J4006" s="88"/>
      <c r="K4006" s="88"/>
      <c r="L4006" s="89"/>
      <c r="M4006" s="89"/>
      <c r="Q4006" s="105"/>
    </row>
    <row r="4007" spans="3:17" x14ac:dyDescent="0.3">
      <c r="C4007" s="87"/>
      <c r="H4007" s="86" t="e">
        <f>IF(I4007="fora",0%,G4007/QUÓRUM!$C$6)</f>
        <v>#DIV/0!</v>
      </c>
      <c r="I4007" s="87"/>
      <c r="J4007" s="88"/>
      <c r="K4007" s="88"/>
      <c r="L4007" s="89"/>
      <c r="M4007" s="89"/>
      <c r="Q4007" s="105"/>
    </row>
    <row r="4008" spans="3:17" x14ac:dyDescent="0.3">
      <c r="C4008" s="87"/>
      <c r="H4008" s="86" t="e">
        <f>IF(I4008="fora",0%,G4008/QUÓRUM!$C$6)</f>
        <v>#DIV/0!</v>
      </c>
      <c r="I4008" s="87"/>
      <c r="J4008" s="88"/>
      <c r="K4008" s="88"/>
      <c r="L4008" s="89"/>
      <c r="M4008" s="89"/>
      <c r="Q4008" s="105"/>
    </row>
    <row r="4009" spans="3:17" x14ac:dyDescent="0.3">
      <c r="C4009" s="87"/>
      <c r="H4009" s="86" t="e">
        <f>IF(I4009="fora",0%,G4009/QUÓRUM!$C$6)</f>
        <v>#DIV/0!</v>
      </c>
      <c r="I4009" s="87"/>
      <c r="J4009" s="88"/>
      <c r="K4009" s="88"/>
      <c r="L4009" s="89"/>
      <c r="M4009" s="89"/>
      <c r="Q4009" s="105"/>
    </row>
    <row r="4010" spans="3:17" x14ac:dyDescent="0.3">
      <c r="C4010" s="87"/>
      <c r="H4010" s="86" t="e">
        <f>IF(I4010="fora",0%,G4010/QUÓRUM!$C$6)</f>
        <v>#DIV/0!</v>
      </c>
      <c r="I4010" s="87"/>
      <c r="J4010" s="88"/>
      <c r="K4010" s="88"/>
      <c r="L4010" s="89"/>
      <c r="M4010" s="89"/>
      <c r="Q4010" s="105"/>
    </row>
    <row r="4011" spans="3:17" x14ac:dyDescent="0.3">
      <c r="C4011" s="87"/>
      <c r="H4011" s="86" t="e">
        <f>IF(I4011="fora",0%,G4011/QUÓRUM!$C$6)</f>
        <v>#DIV/0!</v>
      </c>
      <c r="I4011" s="87"/>
      <c r="J4011" s="88"/>
      <c r="K4011" s="88"/>
      <c r="L4011" s="89"/>
      <c r="M4011" s="89"/>
      <c r="Q4011" s="105"/>
    </row>
    <row r="4012" spans="3:17" x14ac:dyDescent="0.3">
      <c r="C4012" s="87"/>
      <c r="H4012" s="86" t="e">
        <f>IF(I4012="fora",0%,G4012/QUÓRUM!$C$6)</f>
        <v>#DIV/0!</v>
      </c>
      <c r="I4012" s="87"/>
      <c r="J4012" s="88"/>
      <c r="K4012" s="88"/>
      <c r="L4012" s="89"/>
      <c r="M4012" s="89"/>
      <c r="Q4012" s="105"/>
    </row>
    <row r="4013" spans="3:17" x14ac:dyDescent="0.3">
      <c r="C4013" s="87"/>
      <c r="H4013" s="86" t="e">
        <f>IF(I4013="fora",0%,G4013/QUÓRUM!$C$6)</f>
        <v>#DIV/0!</v>
      </c>
      <c r="I4013" s="87"/>
      <c r="J4013" s="88"/>
      <c r="K4013" s="88"/>
      <c r="L4013" s="89"/>
      <c r="M4013" s="89"/>
      <c r="Q4013" s="105"/>
    </row>
    <row r="4014" spans="3:17" x14ac:dyDescent="0.3">
      <c r="C4014" s="87"/>
      <c r="H4014" s="86" t="e">
        <f>IF(I4014="fora",0%,G4014/QUÓRUM!$C$6)</f>
        <v>#DIV/0!</v>
      </c>
      <c r="I4014" s="87"/>
      <c r="J4014" s="88"/>
      <c r="K4014" s="88"/>
      <c r="L4014" s="89"/>
      <c r="M4014" s="89"/>
      <c r="Q4014" s="105"/>
    </row>
    <row r="4015" spans="3:17" x14ac:dyDescent="0.3">
      <c r="C4015" s="87"/>
      <c r="H4015" s="86" t="e">
        <f>IF(I4015="fora",0%,G4015/QUÓRUM!$C$6)</f>
        <v>#DIV/0!</v>
      </c>
      <c r="I4015" s="87"/>
      <c r="J4015" s="88"/>
      <c r="K4015" s="88"/>
      <c r="L4015" s="89"/>
      <c r="M4015" s="89"/>
      <c r="Q4015" s="105"/>
    </row>
    <row r="4016" spans="3:17" x14ac:dyDescent="0.3">
      <c r="C4016" s="87"/>
      <c r="H4016" s="86" t="e">
        <f>IF(I4016="fora",0%,G4016/QUÓRUM!$C$6)</f>
        <v>#DIV/0!</v>
      </c>
      <c r="I4016" s="87"/>
      <c r="J4016" s="88"/>
      <c r="K4016" s="88"/>
      <c r="L4016" s="89"/>
      <c r="M4016" s="89"/>
      <c r="Q4016" s="105"/>
    </row>
    <row r="4017" spans="3:17" x14ac:dyDescent="0.3">
      <c r="C4017" s="87"/>
      <c r="H4017" s="86" t="e">
        <f>IF(I4017="fora",0%,G4017/QUÓRUM!$C$6)</f>
        <v>#DIV/0!</v>
      </c>
      <c r="I4017" s="87"/>
      <c r="J4017" s="88"/>
      <c r="K4017" s="88"/>
      <c r="L4017" s="89"/>
      <c r="M4017" s="89"/>
      <c r="Q4017" s="105"/>
    </row>
    <row r="4018" spans="3:17" x14ac:dyDescent="0.3">
      <c r="C4018" s="87"/>
      <c r="H4018" s="86" t="e">
        <f>IF(I4018="fora",0%,G4018/QUÓRUM!$C$6)</f>
        <v>#DIV/0!</v>
      </c>
      <c r="I4018" s="87"/>
      <c r="J4018" s="88"/>
      <c r="K4018" s="88"/>
      <c r="L4018" s="89"/>
      <c r="M4018" s="89"/>
      <c r="Q4018" s="105"/>
    </row>
    <row r="4019" spans="3:17" x14ac:dyDescent="0.3">
      <c r="C4019" s="87"/>
      <c r="H4019" s="86" t="e">
        <f>IF(I4019="fora",0%,G4019/QUÓRUM!$C$6)</f>
        <v>#DIV/0!</v>
      </c>
      <c r="I4019" s="87"/>
      <c r="J4019" s="88"/>
      <c r="K4019" s="88"/>
      <c r="L4019" s="89"/>
      <c r="M4019" s="89"/>
      <c r="Q4019" s="105"/>
    </row>
    <row r="4020" spans="3:17" x14ac:dyDescent="0.3">
      <c r="C4020" s="87"/>
      <c r="H4020" s="86" t="e">
        <f>IF(I4020="fora",0%,G4020/QUÓRUM!$C$6)</f>
        <v>#DIV/0!</v>
      </c>
      <c r="I4020" s="87"/>
      <c r="J4020" s="88"/>
      <c r="K4020" s="88"/>
      <c r="L4020" s="89"/>
      <c r="M4020" s="89"/>
      <c r="Q4020" s="105"/>
    </row>
    <row r="4021" spans="3:17" x14ac:dyDescent="0.3">
      <c r="C4021" s="87"/>
      <c r="H4021" s="86" t="e">
        <f>IF(I4021="fora",0%,G4021/QUÓRUM!$C$6)</f>
        <v>#DIV/0!</v>
      </c>
      <c r="I4021" s="87"/>
      <c r="J4021" s="88"/>
      <c r="K4021" s="88"/>
      <c r="L4021" s="89"/>
      <c r="M4021" s="89"/>
      <c r="Q4021" s="105"/>
    </row>
    <row r="4022" spans="3:17" x14ac:dyDescent="0.3">
      <c r="C4022" s="87"/>
      <c r="H4022" s="86" t="e">
        <f>IF(I4022="fora",0%,G4022/QUÓRUM!$C$6)</f>
        <v>#DIV/0!</v>
      </c>
      <c r="I4022" s="87"/>
      <c r="J4022" s="88"/>
      <c r="K4022" s="88"/>
      <c r="L4022" s="89"/>
      <c r="M4022" s="89"/>
      <c r="Q4022" s="105"/>
    </row>
    <row r="4023" spans="3:17" x14ac:dyDescent="0.3">
      <c r="C4023" s="87"/>
      <c r="H4023" s="86" t="e">
        <f>IF(I4023="fora",0%,G4023/QUÓRUM!$C$6)</f>
        <v>#DIV/0!</v>
      </c>
      <c r="I4023" s="87"/>
      <c r="J4023" s="88"/>
      <c r="K4023" s="88"/>
      <c r="L4023" s="89"/>
      <c r="M4023" s="89"/>
      <c r="Q4023" s="105"/>
    </row>
    <row r="4024" spans="3:17" x14ac:dyDescent="0.3">
      <c r="C4024" s="87"/>
      <c r="H4024" s="86" t="e">
        <f>IF(I4024="fora",0%,G4024/QUÓRUM!$C$6)</f>
        <v>#DIV/0!</v>
      </c>
      <c r="I4024" s="87"/>
      <c r="J4024" s="88"/>
      <c r="K4024" s="88"/>
      <c r="L4024" s="89"/>
      <c r="M4024" s="89"/>
      <c r="Q4024" s="105"/>
    </row>
    <row r="4025" spans="3:17" x14ac:dyDescent="0.3">
      <c r="C4025" s="87"/>
      <c r="H4025" s="86" t="e">
        <f>IF(I4025="fora",0%,G4025/QUÓRUM!$C$6)</f>
        <v>#DIV/0!</v>
      </c>
      <c r="I4025" s="87"/>
      <c r="J4025" s="88"/>
      <c r="K4025" s="88"/>
      <c r="L4025" s="89"/>
      <c r="M4025" s="89"/>
      <c r="Q4025" s="105"/>
    </row>
    <row r="4026" spans="3:17" x14ac:dyDescent="0.3">
      <c r="C4026" s="87"/>
      <c r="H4026" s="86" t="e">
        <f>IF(I4026="fora",0%,G4026/QUÓRUM!$C$6)</f>
        <v>#DIV/0!</v>
      </c>
      <c r="I4026" s="87"/>
      <c r="J4026" s="88"/>
      <c r="K4026" s="88"/>
      <c r="L4026" s="89"/>
      <c r="M4026" s="89"/>
      <c r="Q4026" s="105"/>
    </row>
    <row r="4027" spans="3:17" x14ac:dyDescent="0.3">
      <c r="C4027" s="87"/>
      <c r="H4027" s="86" t="e">
        <f>IF(I4027="fora",0%,G4027/QUÓRUM!$C$6)</f>
        <v>#DIV/0!</v>
      </c>
      <c r="I4027" s="87"/>
      <c r="J4027" s="88"/>
      <c r="K4027" s="88"/>
      <c r="L4027" s="89"/>
      <c r="M4027" s="89"/>
      <c r="Q4027" s="105"/>
    </row>
    <row r="4028" spans="3:17" x14ac:dyDescent="0.3">
      <c r="C4028" s="87"/>
      <c r="H4028" s="86" t="e">
        <f>IF(I4028="fora",0%,G4028/QUÓRUM!$C$6)</f>
        <v>#DIV/0!</v>
      </c>
      <c r="I4028" s="87"/>
      <c r="J4028" s="88"/>
      <c r="K4028" s="88"/>
      <c r="L4028" s="89"/>
      <c r="M4028" s="89"/>
      <c r="Q4028" s="105"/>
    </row>
    <row r="4029" spans="3:17" x14ac:dyDescent="0.3">
      <c r="C4029" s="87"/>
      <c r="H4029" s="86" t="e">
        <f>IF(I4029="fora",0%,G4029/QUÓRUM!$C$6)</f>
        <v>#DIV/0!</v>
      </c>
      <c r="I4029" s="87"/>
      <c r="J4029" s="88"/>
      <c r="K4029" s="88"/>
      <c r="L4029" s="89"/>
      <c r="M4029" s="89"/>
      <c r="Q4029" s="105"/>
    </row>
    <row r="4030" spans="3:17" x14ac:dyDescent="0.3">
      <c r="C4030" s="87"/>
      <c r="H4030" s="86" t="e">
        <f>IF(I4030="fora",0%,G4030/QUÓRUM!$C$6)</f>
        <v>#DIV/0!</v>
      </c>
      <c r="I4030" s="87"/>
      <c r="J4030" s="88"/>
      <c r="K4030" s="88"/>
      <c r="L4030" s="89"/>
      <c r="M4030" s="89"/>
      <c r="Q4030" s="105"/>
    </row>
    <row r="4031" spans="3:17" x14ac:dyDescent="0.3">
      <c r="C4031" s="87"/>
      <c r="H4031" s="86" t="e">
        <f>IF(I4031="fora",0%,G4031/QUÓRUM!$C$6)</f>
        <v>#DIV/0!</v>
      </c>
      <c r="I4031" s="87"/>
      <c r="J4031" s="88"/>
      <c r="K4031" s="88"/>
      <c r="L4031" s="89"/>
      <c r="M4031" s="89"/>
      <c r="Q4031" s="105"/>
    </row>
    <row r="4032" spans="3:17" x14ac:dyDescent="0.3">
      <c r="C4032" s="87"/>
      <c r="H4032" s="86" t="e">
        <f>IF(I4032="fora",0%,G4032/QUÓRUM!$C$6)</f>
        <v>#DIV/0!</v>
      </c>
      <c r="I4032" s="87"/>
      <c r="J4032" s="88"/>
      <c r="K4032" s="88"/>
      <c r="L4032" s="89"/>
      <c r="M4032" s="89"/>
      <c r="Q4032" s="105"/>
    </row>
    <row r="4033" spans="3:17" x14ac:dyDescent="0.3">
      <c r="C4033" s="87"/>
      <c r="H4033" s="86" t="e">
        <f>IF(I4033="fora",0%,G4033/QUÓRUM!$C$6)</f>
        <v>#DIV/0!</v>
      </c>
      <c r="I4033" s="87"/>
      <c r="J4033" s="88"/>
      <c r="K4033" s="88"/>
      <c r="L4033" s="89"/>
      <c r="M4033" s="89"/>
      <c r="Q4033" s="105"/>
    </row>
    <row r="4034" spans="3:17" x14ac:dyDescent="0.3">
      <c r="C4034" s="87"/>
      <c r="H4034" s="86" t="e">
        <f>IF(I4034="fora",0%,G4034/QUÓRUM!$C$6)</f>
        <v>#DIV/0!</v>
      </c>
      <c r="I4034" s="87"/>
      <c r="J4034" s="88"/>
      <c r="K4034" s="88"/>
      <c r="L4034" s="89"/>
      <c r="M4034" s="89"/>
      <c r="Q4034" s="105"/>
    </row>
    <row r="4035" spans="3:17" x14ac:dyDescent="0.3">
      <c r="C4035" s="87"/>
      <c r="H4035" s="86" t="e">
        <f>IF(I4035="fora",0%,G4035/QUÓRUM!$C$6)</f>
        <v>#DIV/0!</v>
      </c>
      <c r="I4035" s="87"/>
      <c r="J4035" s="88"/>
      <c r="K4035" s="88"/>
      <c r="L4035" s="89"/>
      <c r="M4035" s="89"/>
      <c r="Q4035" s="105"/>
    </row>
    <row r="4036" spans="3:17" x14ac:dyDescent="0.3">
      <c r="C4036" s="87"/>
      <c r="H4036" s="86" t="e">
        <f>IF(I4036="fora",0%,G4036/QUÓRUM!$C$6)</f>
        <v>#DIV/0!</v>
      </c>
      <c r="I4036" s="87"/>
      <c r="J4036" s="88"/>
      <c r="K4036" s="88"/>
      <c r="L4036" s="89"/>
      <c r="M4036" s="89"/>
      <c r="Q4036" s="105"/>
    </row>
    <row r="4037" spans="3:17" x14ac:dyDescent="0.3">
      <c r="C4037" s="87"/>
      <c r="H4037" s="86" t="e">
        <f>IF(I4037="fora",0%,G4037/QUÓRUM!$C$6)</f>
        <v>#DIV/0!</v>
      </c>
      <c r="I4037" s="87"/>
      <c r="J4037" s="88"/>
      <c r="K4037" s="88"/>
      <c r="L4037" s="89"/>
      <c r="M4037" s="89"/>
      <c r="Q4037" s="105"/>
    </row>
    <row r="4038" spans="3:17" x14ac:dyDescent="0.3">
      <c r="C4038" s="87"/>
      <c r="H4038" s="86" t="e">
        <f>IF(I4038="fora",0%,G4038/QUÓRUM!$C$6)</f>
        <v>#DIV/0!</v>
      </c>
      <c r="I4038" s="87"/>
      <c r="J4038" s="88"/>
      <c r="K4038" s="88"/>
      <c r="L4038" s="89"/>
      <c r="M4038" s="89"/>
      <c r="Q4038" s="105"/>
    </row>
    <row r="4039" spans="3:17" x14ac:dyDescent="0.3">
      <c r="C4039" s="87"/>
      <c r="H4039" s="86" t="e">
        <f>IF(I4039="fora",0%,G4039/QUÓRUM!$C$6)</f>
        <v>#DIV/0!</v>
      </c>
      <c r="I4039" s="87"/>
      <c r="J4039" s="88"/>
      <c r="K4039" s="88"/>
      <c r="L4039" s="89"/>
      <c r="M4039" s="89"/>
      <c r="Q4039" s="105"/>
    </row>
    <row r="4040" spans="3:17" x14ac:dyDescent="0.3">
      <c r="C4040" s="87"/>
      <c r="H4040" s="86" t="e">
        <f>IF(I4040="fora",0%,G4040/QUÓRUM!$C$6)</f>
        <v>#DIV/0!</v>
      </c>
      <c r="I4040" s="87"/>
      <c r="J4040" s="88"/>
      <c r="K4040" s="88"/>
      <c r="L4040" s="89"/>
      <c r="M4040" s="89"/>
      <c r="Q4040" s="105"/>
    </row>
    <row r="4041" spans="3:17" x14ac:dyDescent="0.3">
      <c r="C4041" s="87"/>
      <c r="H4041" s="86" t="e">
        <f>IF(I4041="fora",0%,G4041/QUÓRUM!$C$6)</f>
        <v>#DIV/0!</v>
      </c>
      <c r="I4041" s="87"/>
      <c r="J4041" s="88"/>
      <c r="K4041" s="88"/>
      <c r="L4041" s="89"/>
      <c r="M4041" s="89"/>
      <c r="Q4041" s="105"/>
    </row>
    <row r="4042" spans="3:17" x14ac:dyDescent="0.3">
      <c r="C4042" s="87"/>
      <c r="H4042" s="86" t="e">
        <f>IF(I4042="fora",0%,G4042/QUÓRUM!$C$6)</f>
        <v>#DIV/0!</v>
      </c>
      <c r="I4042" s="87"/>
      <c r="J4042" s="88"/>
      <c r="K4042" s="88"/>
      <c r="L4042" s="89"/>
      <c r="M4042" s="89"/>
      <c r="Q4042" s="105"/>
    </row>
    <row r="4043" spans="3:17" x14ac:dyDescent="0.3">
      <c r="C4043" s="87"/>
      <c r="H4043" s="86" t="e">
        <f>IF(I4043="fora",0%,G4043/QUÓRUM!$C$6)</f>
        <v>#DIV/0!</v>
      </c>
      <c r="I4043" s="87"/>
      <c r="J4043" s="88"/>
      <c r="K4043" s="88"/>
      <c r="L4043" s="89"/>
      <c r="M4043" s="89"/>
      <c r="Q4043" s="105"/>
    </row>
    <row r="4044" spans="3:17" x14ac:dyDescent="0.3">
      <c r="C4044" s="87"/>
      <c r="H4044" s="86" t="e">
        <f>IF(I4044="fora",0%,G4044/QUÓRUM!$C$6)</f>
        <v>#DIV/0!</v>
      </c>
      <c r="I4044" s="87"/>
      <c r="J4044" s="88"/>
      <c r="K4044" s="88"/>
      <c r="L4044" s="89"/>
      <c r="M4044" s="89"/>
      <c r="Q4044" s="105"/>
    </row>
    <row r="4045" spans="3:17" x14ac:dyDescent="0.3">
      <c r="C4045" s="87"/>
      <c r="H4045" s="86" t="e">
        <f>IF(I4045="fora",0%,G4045/QUÓRUM!$C$6)</f>
        <v>#DIV/0!</v>
      </c>
      <c r="I4045" s="87"/>
      <c r="J4045" s="88"/>
      <c r="K4045" s="88"/>
      <c r="L4045" s="89"/>
      <c r="M4045" s="89"/>
      <c r="Q4045" s="105"/>
    </row>
    <row r="4046" spans="3:17" x14ac:dyDescent="0.3">
      <c r="C4046" s="87"/>
      <c r="H4046" s="86" t="e">
        <f>IF(I4046="fora",0%,G4046/QUÓRUM!$C$6)</f>
        <v>#DIV/0!</v>
      </c>
      <c r="I4046" s="87"/>
      <c r="J4046" s="88"/>
      <c r="K4046" s="88"/>
      <c r="L4046" s="89"/>
      <c r="M4046" s="89"/>
      <c r="Q4046" s="105"/>
    </row>
    <row r="4047" spans="3:17" x14ac:dyDescent="0.3">
      <c r="C4047" s="87"/>
      <c r="H4047" s="86" t="e">
        <f>IF(I4047="fora",0%,G4047/QUÓRUM!$C$6)</f>
        <v>#DIV/0!</v>
      </c>
      <c r="I4047" s="87"/>
      <c r="J4047" s="88"/>
      <c r="K4047" s="88"/>
      <c r="L4047" s="89"/>
      <c r="M4047" s="89"/>
      <c r="Q4047" s="105"/>
    </row>
    <row r="4048" spans="3:17" x14ac:dyDescent="0.3">
      <c r="C4048" s="87"/>
      <c r="H4048" s="86" t="e">
        <f>IF(I4048="fora",0%,G4048/QUÓRUM!$C$6)</f>
        <v>#DIV/0!</v>
      </c>
      <c r="I4048" s="87"/>
      <c r="J4048" s="88"/>
      <c r="K4048" s="88"/>
      <c r="L4048" s="89"/>
      <c r="M4048" s="89"/>
      <c r="Q4048" s="105"/>
    </row>
    <row r="4049" spans="3:17" x14ac:dyDescent="0.3">
      <c r="C4049" s="87"/>
      <c r="H4049" s="86" t="e">
        <f>IF(I4049="fora",0%,G4049/QUÓRUM!$C$6)</f>
        <v>#DIV/0!</v>
      </c>
      <c r="I4049" s="87"/>
      <c r="J4049" s="88"/>
      <c r="K4049" s="88"/>
      <c r="L4049" s="89"/>
      <c r="M4049" s="89"/>
      <c r="Q4049" s="105"/>
    </row>
    <row r="4050" spans="3:17" x14ac:dyDescent="0.3">
      <c r="C4050" s="87"/>
      <c r="H4050" s="86" t="e">
        <f>IF(I4050="fora",0%,G4050/QUÓRUM!$C$6)</f>
        <v>#DIV/0!</v>
      </c>
      <c r="I4050" s="87"/>
      <c r="J4050" s="88"/>
      <c r="K4050" s="88"/>
      <c r="L4050" s="89"/>
      <c r="M4050" s="89"/>
      <c r="Q4050" s="105"/>
    </row>
    <row r="4051" spans="3:17" x14ac:dyDescent="0.3">
      <c r="C4051" s="87"/>
      <c r="H4051" s="86" t="e">
        <f>IF(I4051="fora",0%,G4051/QUÓRUM!$C$6)</f>
        <v>#DIV/0!</v>
      </c>
      <c r="I4051" s="87"/>
      <c r="J4051" s="88"/>
      <c r="K4051" s="88"/>
      <c r="L4051" s="89"/>
      <c r="M4051" s="89"/>
      <c r="Q4051" s="105"/>
    </row>
    <row r="4052" spans="3:17" x14ac:dyDescent="0.3">
      <c r="C4052" s="87"/>
      <c r="H4052" s="86" t="e">
        <f>IF(I4052="fora",0%,G4052/QUÓRUM!$C$6)</f>
        <v>#DIV/0!</v>
      </c>
      <c r="I4052" s="87"/>
      <c r="J4052" s="88"/>
      <c r="K4052" s="88"/>
      <c r="L4052" s="89"/>
      <c r="M4052" s="89"/>
      <c r="Q4052" s="105"/>
    </row>
    <row r="4053" spans="3:17" x14ac:dyDescent="0.3">
      <c r="C4053" s="87"/>
      <c r="H4053" s="86" t="e">
        <f>IF(I4053="fora",0%,G4053/QUÓRUM!$C$6)</f>
        <v>#DIV/0!</v>
      </c>
      <c r="I4053" s="87"/>
      <c r="J4053" s="88"/>
      <c r="K4053" s="88"/>
      <c r="L4053" s="89"/>
      <c r="M4053" s="89"/>
      <c r="Q4053" s="105"/>
    </row>
    <row r="4054" spans="3:17" x14ac:dyDescent="0.3">
      <c r="C4054" s="87"/>
      <c r="H4054" s="86" t="e">
        <f>IF(I4054="fora",0%,G4054/QUÓRUM!$C$6)</f>
        <v>#DIV/0!</v>
      </c>
      <c r="I4054" s="87"/>
      <c r="J4054" s="88"/>
      <c r="K4054" s="88"/>
      <c r="L4054" s="89"/>
      <c r="M4054" s="89"/>
      <c r="Q4054" s="105"/>
    </row>
    <row r="4055" spans="3:17" x14ac:dyDescent="0.3">
      <c r="C4055" s="87"/>
      <c r="H4055" s="86" t="e">
        <f>IF(I4055="fora",0%,G4055/QUÓRUM!$C$6)</f>
        <v>#DIV/0!</v>
      </c>
      <c r="I4055" s="87"/>
      <c r="J4055" s="88"/>
      <c r="K4055" s="88"/>
      <c r="L4055" s="89"/>
      <c r="M4055" s="89"/>
      <c r="Q4055" s="105"/>
    </row>
    <row r="4056" spans="3:17" x14ac:dyDescent="0.3">
      <c r="C4056" s="87"/>
      <c r="H4056" s="86" t="e">
        <f>IF(I4056="fora",0%,G4056/QUÓRUM!$C$6)</f>
        <v>#DIV/0!</v>
      </c>
      <c r="I4056" s="87"/>
      <c r="J4056" s="88"/>
      <c r="K4056" s="88"/>
      <c r="L4056" s="89"/>
      <c r="M4056" s="89"/>
      <c r="Q4056" s="105"/>
    </row>
    <row r="4057" spans="3:17" x14ac:dyDescent="0.3">
      <c r="C4057" s="87"/>
      <c r="H4057" s="86" t="e">
        <f>IF(I4057="fora",0%,G4057/QUÓRUM!$C$6)</f>
        <v>#DIV/0!</v>
      </c>
      <c r="I4057" s="87"/>
      <c r="J4057" s="88"/>
      <c r="K4057" s="88"/>
      <c r="L4057" s="89"/>
      <c r="M4057" s="89"/>
      <c r="Q4057" s="105"/>
    </row>
    <row r="4058" spans="3:17" x14ac:dyDescent="0.3">
      <c r="C4058" s="87"/>
      <c r="H4058" s="86" t="e">
        <f>IF(I4058="fora",0%,G4058/QUÓRUM!$C$6)</f>
        <v>#DIV/0!</v>
      </c>
      <c r="I4058" s="87"/>
      <c r="J4058" s="88"/>
      <c r="K4058" s="88"/>
      <c r="L4058" s="89"/>
      <c r="M4058" s="89"/>
      <c r="Q4058" s="105"/>
    </row>
    <row r="4059" spans="3:17" x14ac:dyDescent="0.3">
      <c r="C4059" s="87"/>
      <c r="H4059" s="86" t="e">
        <f>IF(I4059="fora",0%,G4059/QUÓRUM!$C$6)</f>
        <v>#DIV/0!</v>
      </c>
      <c r="I4059" s="87"/>
      <c r="J4059" s="88"/>
      <c r="K4059" s="88"/>
      <c r="L4059" s="89"/>
      <c r="M4059" s="89"/>
      <c r="Q4059" s="105"/>
    </row>
    <row r="4060" spans="3:17" x14ac:dyDescent="0.3">
      <c r="C4060" s="87"/>
      <c r="H4060" s="86" t="e">
        <f>IF(I4060="fora",0%,G4060/QUÓRUM!$C$6)</f>
        <v>#DIV/0!</v>
      </c>
      <c r="I4060" s="87"/>
      <c r="J4060" s="88"/>
      <c r="K4060" s="88"/>
      <c r="L4060" s="89"/>
      <c r="M4060" s="89"/>
      <c r="Q4060" s="105"/>
    </row>
    <row r="4061" spans="3:17" x14ac:dyDescent="0.3">
      <c r="C4061" s="87"/>
      <c r="H4061" s="86" t="e">
        <f>IF(I4061="fora",0%,G4061/QUÓRUM!$C$6)</f>
        <v>#DIV/0!</v>
      </c>
      <c r="I4061" s="87"/>
      <c r="J4061" s="88"/>
      <c r="K4061" s="88"/>
      <c r="L4061" s="89"/>
      <c r="M4061" s="89"/>
      <c r="Q4061" s="105"/>
    </row>
    <row r="4062" spans="3:17" x14ac:dyDescent="0.3">
      <c r="C4062" s="87"/>
      <c r="H4062" s="86" t="e">
        <f>IF(I4062="fora",0%,G4062/QUÓRUM!$C$6)</f>
        <v>#DIV/0!</v>
      </c>
      <c r="I4062" s="87"/>
      <c r="J4062" s="88"/>
      <c r="K4062" s="88"/>
      <c r="L4062" s="89"/>
      <c r="M4062" s="89"/>
      <c r="Q4062" s="105"/>
    </row>
    <row r="4063" spans="3:17" x14ac:dyDescent="0.3">
      <c r="C4063" s="87"/>
      <c r="H4063" s="86" t="e">
        <f>IF(I4063="fora",0%,G4063/QUÓRUM!$C$6)</f>
        <v>#DIV/0!</v>
      </c>
      <c r="I4063" s="87"/>
      <c r="J4063" s="88"/>
      <c r="K4063" s="88"/>
      <c r="L4063" s="89"/>
      <c r="M4063" s="89"/>
      <c r="Q4063" s="105"/>
    </row>
    <row r="4064" spans="3:17" x14ac:dyDescent="0.3">
      <c r="C4064" s="87"/>
      <c r="H4064" s="86" t="e">
        <f>IF(I4064="fora",0%,G4064/QUÓRUM!$C$6)</f>
        <v>#DIV/0!</v>
      </c>
      <c r="I4064" s="87"/>
      <c r="J4064" s="88"/>
      <c r="K4064" s="88"/>
      <c r="L4064" s="89"/>
      <c r="M4064" s="89"/>
      <c r="Q4064" s="105"/>
    </row>
    <row r="4065" spans="3:17" x14ac:dyDescent="0.3">
      <c r="C4065" s="87"/>
      <c r="H4065" s="86" t="e">
        <f>IF(I4065="fora",0%,G4065/QUÓRUM!$C$6)</f>
        <v>#DIV/0!</v>
      </c>
      <c r="I4065" s="87"/>
      <c r="J4065" s="88"/>
      <c r="K4065" s="88"/>
      <c r="L4065" s="89"/>
      <c r="M4065" s="89"/>
      <c r="Q4065" s="105"/>
    </row>
    <row r="4066" spans="3:17" x14ac:dyDescent="0.3">
      <c r="C4066" s="87"/>
      <c r="H4066" s="86" t="e">
        <f>IF(I4066="fora",0%,G4066/QUÓRUM!$C$6)</f>
        <v>#DIV/0!</v>
      </c>
      <c r="I4066" s="87"/>
      <c r="J4066" s="88"/>
      <c r="K4066" s="88"/>
      <c r="L4066" s="89"/>
      <c r="M4066" s="89"/>
      <c r="Q4066" s="105"/>
    </row>
    <row r="4067" spans="3:17" x14ac:dyDescent="0.3">
      <c r="C4067" s="87"/>
      <c r="H4067" s="86" t="e">
        <f>IF(I4067="fora",0%,G4067/QUÓRUM!$C$6)</f>
        <v>#DIV/0!</v>
      </c>
      <c r="I4067" s="87"/>
      <c r="J4067" s="88"/>
      <c r="K4067" s="88"/>
      <c r="L4067" s="89"/>
      <c r="M4067" s="89"/>
      <c r="Q4067" s="105"/>
    </row>
    <row r="4068" spans="3:17" x14ac:dyDescent="0.3">
      <c r="C4068" s="87"/>
      <c r="H4068" s="86" t="e">
        <f>IF(I4068="fora",0%,G4068/QUÓRUM!$C$6)</f>
        <v>#DIV/0!</v>
      </c>
      <c r="I4068" s="87"/>
      <c r="J4068" s="88"/>
      <c r="K4068" s="88"/>
      <c r="L4068" s="89"/>
      <c r="M4068" s="89"/>
      <c r="Q4068" s="105"/>
    </row>
    <row r="4069" spans="3:17" x14ac:dyDescent="0.3">
      <c r="C4069" s="87"/>
      <c r="H4069" s="86" t="e">
        <f>IF(I4069="fora",0%,G4069/QUÓRUM!$C$6)</f>
        <v>#DIV/0!</v>
      </c>
      <c r="I4069" s="87"/>
      <c r="J4069" s="88"/>
      <c r="K4069" s="88"/>
      <c r="L4069" s="89"/>
      <c r="M4069" s="89"/>
      <c r="Q4069" s="105"/>
    </row>
    <row r="4070" spans="3:17" x14ac:dyDescent="0.3">
      <c r="C4070" s="87"/>
      <c r="H4070" s="86" t="e">
        <f>IF(I4070="fora",0%,G4070/QUÓRUM!$C$6)</f>
        <v>#DIV/0!</v>
      </c>
      <c r="I4070" s="87"/>
      <c r="J4070" s="88"/>
      <c r="K4070" s="88"/>
      <c r="L4070" s="89"/>
      <c r="M4070" s="89"/>
      <c r="Q4070" s="105"/>
    </row>
    <row r="4071" spans="3:17" x14ac:dyDescent="0.3">
      <c r="C4071" s="87"/>
      <c r="H4071" s="86" t="e">
        <f>IF(I4071="fora",0%,G4071/QUÓRUM!$C$6)</f>
        <v>#DIV/0!</v>
      </c>
      <c r="I4071" s="87"/>
      <c r="J4071" s="88"/>
      <c r="K4071" s="88"/>
      <c r="L4071" s="89"/>
      <c r="M4071" s="89"/>
      <c r="Q4071" s="105"/>
    </row>
    <row r="4072" spans="3:17" x14ac:dyDescent="0.3">
      <c r="C4072" s="87"/>
      <c r="H4072" s="86" t="e">
        <f>IF(I4072="fora",0%,G4072/QUÓRUM!$C$6)</f>
        <v>#DIV/0!</v>
      </c>
      <c r="I4072" s="87"/>
      <c r="J4072" s="88"/>
      <c r="K4072" s="88"/>
      <c r="L4072" s="89"/>
      <c r="M4072" s="89"/>
      <c r="Q4072" s="105"/>
    </row>
    <row r="4073" spans="3:17" x14ac:dyDescent="0.3">
      <c r="C4073" s="87"/>
      <c r="H4073" s="86" t="e">
        <f>IF(I4073="fora",0%,G4073/QUÓRUM!$C$6)</f>
        <v>#DIV/0!</v>
      </c>
      <c r="I4073" s="87"/>
      <c r="J4073" s="88"/>
      <c r="K4073" s="88"/>
      <c r="L4073" s="89"/>
      <c r="M4073" s="89"/>
      <c r="Q4073" s="105"/>
    </row>
    <row r="4074" spans="3:17" x14ac:dyDescent="0.3">
      <c r="C4074" s="87"/>
      <c r="H4074" s="86" t="e">
        <f>IF(I4074="fora",0%,G4074/QUÓRUM!$C$6)</f>
        <v>#DIV/0!</v>
      </c>
      <c r="I4074" s="87"/>
      <c r="J4074" s="88"/>
      <c r="K4074" s="88"/>
      <c r="L4074" s="89"/>
      <c r="M4074" s="89"/>
      <c r="Q4074" s="105"/>
    </row>
    <row r="4075" spans="3:17" x14ac:dyDescent="0.3">
      <c r="C4075" s="87"/>
      <c r="H4075" s="86" t="e">
        <f>IF(I4075="fora",0%,G4075/QUÓRUM!$C$6)</f>
        <v>#DIV/0!</v>
      </c>
      <c r="I4075" s="87"/>
      <c r="J4075" s="88"/>
      <c r="K4075" s="88"/>
      <c r="L4075" s="89"/>
      <c r="M4075" s="89"/>
      <c r="Q4075" s="105"/>
    </row>
    <row r="4076" spans="3:17" x14ac:dyDescent="0.3">
      <c r="C4076" s="87"/>
      <c r="H4076" s="86" t="e">
        <f>IF(I4076="fora",0%,G4076/QUÓRUM!$C$6)</f>
        <v>#DIV/0!</v>
      </c>
      <c r="I4076" s="87"/>
      <c r="J4076" s="88"/>
      <c r="K4076" s="88"/>
      <c r="L4076" s="89"/>
      <c r="M4076" s="89"/>
      <c r="Q4076" s="105"/>
    </row>
    <row r="4077" spans="3:17" x14ac:dyDescent="0.3">
      <c r="C4077" s="87"/>
      <c r="H4077" s="86" t="e">
        <f>IF(I4077="fora",0%,G4077/QUÓRUM!$C$6)</f>
        <v>#DIV/0!</v>
      </c>
      <c r="I4077" s="87"/>
      <c r="J4077" s="88"/>
      <c r="K4077" s="88"/>
      <c r="L4077" s="89"/>
      <c r="M4077" s="89"/>
      <c r="Q4077" s="105"/>
    </row>
    <row r="4078" spans="3:17" x14ac:dyDescent="0.3">
      <c r="C4078" s="87"/>
      <c r="H4078" s="86" t="e">
        <f>IF(I4078="fora",0%,G4078/QUÓRUM!$C$6)</f>
        <v>#DIV/0!</v>
      </c>
      <c r="I4078" s="87"/>
      <c r="J4078" s="88"/>
      <c r="K4078" s="88"/>
      <c r="L4078" s="89"/>
      <c r="M4078" s="89"/>
      <c r="Q4078" s="105"/>
    </row>
    <row r="4079" spans="3:17" x14ac:dyDescent="0.3">
      <c r="C4079" s="87"/>
      <c r="H4079" s="86" t="e">
        <f>IF(I4079="fora",0%,G4079/QUÓRUM!$C$6)</f>
        <v>#DIV/0!</v>
      </c>
      <c r="I4079" s="87"/>
      <c r="J4079" s="88"/>
      <c r="K4079" s="88"/>
      <c r="L4079" s="89"/>
      <c r="M4079" s="89"/>
      <c r="Q4079" s="105"/>
    </row>
    <row r="4080" spans="3:17" x14ac:dyDescent="0.3">
      <c r="C4080" s="87"/>
      <c r="H4080" s="86" t="e">
        <f>IF(I4080="fora",0%,G4080/QUÓRUM!$C$6)</f>
        <v>#DIV/0!</v>
      </c>
      <c r="I4080" s="87"/>
      <c r="J4080" s="88"/>
      <c r="K4080" s="88"/>
      <c r="L4080" s="89"/>
      <c r="M4080" s="89"/>
      <c r="Q4080" s="105"/>
    </row>
    <row r="4081" spans="3:17" x14ac:dyDescent="0.3">
      <c r="C4081" s="87"/>
      <c r="H4081" s="86" t="e">
        <f>IF(I4081="fora",0%,G4081/QUÓRUM!$C$6)</f>
        <v>#DIV/0!</v>
      </c>
      <c r="I4081" s="87"/>
      <c r="J4081" s="88"/>
      <c r="K4081" s="88"/>
      <c r="L4081" s="89"/>
      <c r="M4081" s="89"/>
      <c r="Q4081" s="105"/>
    </row>
    <row r="4082" spans="3:17" x14ac:dyDescent="0.3">
      <c r="C4082" s="87"/>
      <c r="H4082" s="86" t="e">
        <f>IF(I4082="fora",0%,G4082/QUÓRUM!$C$6)</f>
        <v>#DIV/0!</v>
      </c>
      <c r="I4082" s="87"/>
      <c r="J4082" s="88"/>
      <c r="K4082" s="88"/>
      <c r="L4082" s="89"/>
      <c r="M4082" s="89"/>
      <c r="Q4082" s="105"/>
    </row>
    <row r="4083" spans="3:17" x14ac:dyDescent="0.3">
      <c r="C4083" s="87"/>
      <c r="H4083" s="86" t="e">
        <f>IF(I4083="fora",0%,G4083/QUÓRUM!$C$6)</f>
        <v>#DIV/0!</v>
      </c>
      <c r="I4083" s="87"/>
      <c r="J4083" s="88"/>
      <c r="K4083" s="88"/>
      <c r="L4083" s="89"/>
      <c r="M4083" s="89"/>
      <c r="Q4083" s="105"/>
    </row>
    <row r="4084" spans="3:17" x14ac:dyDescent="0.3">
      <c r="C4084" s="87"/>
      <c r="H4084" s="86" t="e">
        <f>IF(I4084="fora",0%,G4084/QUÓRUM!$C$6)</f>
        <v>#DIV/0!</v>
      </c>
      <c r="I4084" s="87"/>
      <c r="J4084" s="88"/>
      <c r="K4084" s="88"/>
      <c r="L4084" s="89"/>
      <c r="M4084" s="89"/>
      <c r="Q4084" s="105"/>
    </row>
    <row r="4085" spans="3:17" x14ac:dyDescent="0.3">
      <c r="C4085" s="87"/>
      <c r="H4085" s="86" t="e">
        <f>IF(I4085="fora",0%,G4085/QUÓRUM!$C$6)</f>
        <v>#DIV/0!</v>
      </c>
      <c r="I4085" s="87"/>
      <c r="J4085" s="88"/>
      <c r="K4085" s="88"/>
      <c r="L4085" s="89"/>
      <c r="M4085" s="89"/>
      <c r="Q4085" s="105"/>
    </row>
    <row r="4086" spans="3:17" x14ac:dyDescent="0.3">
      <c r="C4086" s="87"/>
      <c r="H4086" s="86" t="e">
        <f>IF(I4086="fora",0%,G4086/QUÓRUM!$C$6)</f>
        <v>#DIV/0!</v>
      </c>
      <c r="I4086" s="87"/>
      <c r="J4086" s="88"/>
      <c r="K4086" s="88"/>
      <c r="L4086" s="89"/>
      <c r="M4086" s="89"/>
      <c r="Q4086" s="105"/>
    </row>
    <row r="4087" spans="3:17" x14ac:dyDescent="0.3">
      <c r="C4087" s="87"/>
      <c r="H4087" s="86" t="e">
        <f>IF(I4087="fora",0%,G4087/QUÓRUM!$C$6)</f>
        <v>#DIV/0!</v>
      </c>
      <c r="I4087" s="87"/>
      <c r="J4087" s="88"/>
      <c r="K4087" s="88"/>
      <c r="L4087" s="89"/>
      <c r="M4087" s="89"/>
      <c r="Q4087" s="105"/>
    </row>
    <row r="4088" spans="3:17" x14ac:dyDescent="0.3">
      <c r="C4088" s="87"/>
      <c r="H4088" s="86" t="e">
        <f>IF(I4088="fora",0%,G4088/QUÓRUM!$C$6)</f>
        <v>#DIV/0!</v>
      </c>
      <c r="I4088" s="87"/>
      <c r="J4088" s="88"/>
      <c r="K4088" s="88"/>
      <c r="L4088" s="89"/>
      <c r="M4088" s="89"/>
      <c r="Q4088" s="105"/>
    </row>
    <row r="4089" spans="3:17" x14ac:dyDescent="0.3">
      <c r="C4089" s="87"/>
      <c r="H4089" s="86" t="e">
        <f>IF(I4089="fora",0%,G4089/QUÓRUM!$C$6)</f>
        <v>#DIV/0!</v>
      </c>
      <c r="I4089" s="87"/>
      <c r="J4089" s="88"/>
      <c r="K4089" s="88"/>
      <c r="L4089" s="89"/>
      <c r="M4089" s="89"/>
      <c r="Q4089" s="105"/>
    </row>
    <row r="4090" spans="3:17" x14ac:dyDescent="0.3">
      <c r="C4090" s="87"/>
      <c r="H4090" s="86" t="e">
        <f>IF(I4090="fora",0%,G4090/QUÓRUM!$C$6)</f>
        <v>#DIV/0!</v>
      </c>
      <c r="I4090" s="87"/>
      <c r="J4090" s="88"/>
      <c r="K4090" s="88"/>
      <c r="L4090" s="89"/>
      <c r="M4090" s="89"/>
      <c r="Q4090" s="105"/>
    </row>
    <row r="4091" spans="3:17" x14ac:dyDescent="0.3">
      <c r="C4091" s="87"/>
      <c r="H4091" s="86" t="e">
        <f>IF(I4091="fora",0%,G4091/QUÓRUM!$C$6)</f>
        <v>#DIV/0!</v>
      </c>
      <c r="I4091" s="87"/>
      <c r="J4091" s="88"/>
      <c r="K4091" s="88"/>
      <c r="L4091" s="89"/>
      <c r="M4091" s="89"/>
      <c r="Q4091" s="105"/>
    </row>
    <row r="4092" spans="3:17" x14ac:dyDescent="0.3">
      <c r="C4092" s="87"/>
      <c r="H4092" s="86" t="e">
        <f>IF(I4092="fora",0%,G4092/QUÓRUM!$C$6)</f>
        <v>#DIV/0!</v>
      </c>
      <c r="I4092" s="87"/>
      <c r="J4092" s="88"/>
      <c r="K4092" s="88"/>
      <c r="L4092" s="89"/>
      <c r="M4092" s="89"/>
      <c r="Q4092" s="105"/>
    </row>
    <row r="4093" spans="3:17" x14ac:dyDescent="0.3">
      <c r="C4093" s="87"/>
      <c r="H4093" s="86" t="e">
        <f>IF(I4093="fora",0%,G4093/QUÓRUM!$C$6)</f>
        <v>#DIV/0!</v>
      </c>
      <c r="I4093" s="87"/>
      <c r="J4093" s="88"/>
      <c r="K4093" s="88"/>
      <c r="L4093" s="89"/>
      <c r="M4093" s="89"/>
      <c r="Q4093" s="105"/>
    </row>
    <row r="4094" spans="3:17" x14ac:dyDescent="0.3">
      <c r="C4094" s="87"/>
      <c r="H4094" s="86" t="e">
        <f>IF(I4094="fora",0%,G4094/QUÓRUM!$C$6)</f>
        <v>#DIV/0!</v>
      </c>
      <c r="I4094" s="87"/>
      <c r="J4094" s="88"/>
      <c r="K4094" s="88"/>
      <c r="L4094" s="89"/>
      <c r="M4094" s="89"/>
      <c r="Q4094" s="105"/>
    </row>
    <row r="4095" spans="3:17" x14ac:dyDescent="0.3">
      <c r="C4095" s="87"/>
      <c r="H4095" s="86" t="e">
        <f>IF(I4095="fora",0%,G4095/QUÓRUM!$C$6)</f>
        <v>#DIV/0!</v>
      </c>
      <c r="I4095" s="87"/>
      <c r="J4095" s="88"/>
      <c r="K4095" s="88"/>
      <c r="L4095" s="89"/>
      <c r="M4095" s="89"/>
      <c r="Q4095" s="105"/>
    </row>
    <row r="4096" spans="3:17" x14ac:dyDescent="0.3">
      <c r="C4096" s="87"/>
      <c r="H4096" s="86" t="e">
        <f>IF(I4096="fora",0%,G4096/QUÓRUM!$C$6)</f>
        <v>#DIV/0!</v>
      </c>
      <c r="I4096" s="87"/>
      <c r="J4096" s="88"/>
      <c r="K4096" s="88"/>
      <c r="L4096" s="89"/>
      <c r="M4096" s="89"/>
      <c r="Q4096" s="105"/>
    </row>
    <row r="4097" spans="3:17" x14ac:dyDescent="0.3">
      <c r="C4097" s="87"/>
      <c r="H4097" s="86" t="e">
        <f>IF(I4097="fora",0%,G4097/QUÓRUM!$C$6)</f>
        <v>#DIV/0!</v>
      </c>
      <c r="I4097" s="87"/>
      <c r="J4097" s="88"/>
      <c r="K4097" s="88"/>
      <c r="L4097" s="89"/>
      <c r="M4097" s="89"/>
      <c r="Q4097" s="105"/>
    </row>
    <row r="4098" spans="3:17" x14ac:dyDescent="0.3">
      <c r="C4098" s="87"/>
      <c r="H4098" s="86" t="e">
        <f>IF(I4098="fora",0%,G4098/QUÓRUM!$C$6)</f>
        <v>#DIV/0!</v>
      </c>
      <c r="I4098" s="87"/>
      <c r="J4098" s="88"/>
      <c r="K4098" s="88"/>
      <c r="L4098" s="89"/>
      <c r="M4098" s="89"/>
      <c r="Q4098" s="105"/>
    </row>
    <row r="4099" spans="3:17" x14ac:dyDescent="0.3">
      <c r="C4099" s="87"/>
      <c r="H4099" s="86" t="e">
        <f>IF(I4099="fora",0%,G4099/QUÓRUM!$C$6)</f>
        <v>#DIV/0!</v>
      </c>
      <c r="I4099" s="87"/>
      <c r="J4099" s="88"/>
      <c r="K4099" s="88"/>
      <c r="L4099" s="89"/>
      <c r="M4099" s="89"/>
      <c r="Q4099" s="105"/>
    </row>
    <row r="4100" spans="3:17" x14ac:dyDescent="0.3">
      <c r="C4100" s="87"/>
      <c r="H4100" s="86" t="e">
        <f>IF(I4100="fora",0%,G4100/QUÓRUM!$C$6)</f>
        <v>#DIV/0!</v>
      </c>
      <c r="I4100" s="87"/>
      <c r="J4100" s="88"/>
      <c r="K4100" s="88"/>
      <c r="L4100" s="89"/>
      <c r="M4100" s="89"/>
      <c r="Q4100" s="105"/>
    </row>
    <row r="4101" spans="3:17" x14ac:dyDescent="0.3">
      <c r="C4101" s="87"/>
      <c r="H4101" s="86" t="e">
        <f>IF(I4101="fora",0%,G4101/QUÓRUM!$C$6)</f>
        <v>#DIV/0!</v>
      </c>
      <c r="I4101" s="87"/>
      <c r="J4101" s="88"/>
      <c r="K4101" s="88"/>
      <c r="L4101" s="89"/>
      <c r="M4101" s="89"/>
      <c r="Q4101" s="105"/>
    </row>
    <row r="4102" spans="3:17" x14ac:dyDescent="0.3">
      <c r="C4102" s="87"/>
      <c r="H4102" s="86" t="e">
        <f>IF(I4102="fora",0%,G4102/QUÓRUM!$C$6)</f>
        <v>#DIV/0!</v>
      </c>
      <c r="I4102" s="87"/>
      <c r="J4102" s="88"/>
      <c r="K4102" s="88"/>
      <c r="L4102" s="89"/>
      <c r="M4102" s="89"/>
      <c r="Q4102" s="105"/>
    </row>
    <row r="4103" spans="3:17" x14ac:dyDescent="0.3">
      <c r="C4103" s="87"/>
      <c r="H4103" s="86" t="e">
        <f>IF(I4103="fora",0%,G4103/QUÓRUM!$C$6)</f>
        <v>#DIV/0!</v>
      </c>
      <c r="I4103" s="87"/>
      <c r="J4103" s="88"/>
      <c r="K4103" s="88"/>
      <c r="L4103" s="89"/>
      <c r="M4103" s="89"/>
      <c r="Q4103" s="105"/>
    </row>
    <row r="4104" spans="3:17" x14ac:dyDescent="0.3">
      <c r="C4104" s="87"/>
      <c r="H4104" s="86" t="e">
        <f>IF(I4104="fora",0%,G4104/QUÓRUM!$C$6)</f>
        <v>#DIV/0!</v>
      </c>
      <c r="I4104" s="87"/>
      <c r="J4104" s="88"/>
      <c r="K4104" s="88"/>
      <c r="L4104" s="89"/>
      <c r="M4104" s="89"/>
      <c r="Q4104" s="105"/>
    </row>
    <row r="4105" spans="3:17" x14ac:dyDescent="0.3">
      <c r="C4105" s="87"/>
      <c r="H4105" s="86" t="e">
        <f>IF(I4105="fora",0%,G4105/QUÓRUM!$C$6)</f>
        <v>#DIV/0!</v>
      </c>
      <c r="I4105" s="87"/>
      <c r="J4105" s="88"/>
      <c r="K4105" s="88"/>
      <c r="L4105" s="89"/>
      <c r="M4105" s="89"/>
      <c r="Q4105" s="105"/>
    </row>
    <row r="4106" spans="3:17" x14ac:dyDescent="0.3">
      <c r="C4106" s="87"/>
      <c r="H4106" s="86" t="e">
        <f>IF(I4106="fora",0%,G4106/QUÓRUM!$C$6)</f>
        <v>#DIV/0!</v>
      </c>
      <c r="I4106" s="87"/>
      <c r="J4106" s="88"/>
      <c r="K4106" s="88"/>
      <c r="L4106" s="89"/>
      <c r="M4106" s="89"/>
      <c r="Q4106" s="105"/>
    </row>
    <row r="4107" spans="3:17" x14ac:dyDescent="0.3">
      <c r="C4107" s="87"/>
      <c r="H4107" s="86" t="e">
        <f>IF(I4107="fora",0%,G4107/QUÓRUM!$C$6)</f>
        <v>#DIV/0!</v>
      </c>
      <c r="I4107" s="87"/>
      <c r="J4107" s="88"/>
      <c r="K4107" s="88"/>
      <c r="L4107" s="89"/>
      <c r="M4107" s="89"/>
      <c r="Q4107" s="105"/>
    </row>
    <row r="4108" spans="3:17" x14ac:dyDescent="0.3">
      <c r="C4108" s="87"/>
      <c r="H4108" s="86" t="e">
        <f>IF(I4108="fora",0%,G4108/QUÓRUM!$C$6)</f>
        <v>#DIV/0!</v>
      </c>
      <c r="I4108" s="87"/>
      <c r="J4108" s="88"/>
      <c r="K4108" s="88"/>
      <c r="L4108" s="89"/>
      <c r="M4108" s="89"/>
      <c r="Q4108" s="105"/>
    </row>
    <row r="4109" spans="3:17" x14ac:dyDescent="0.3">
      <c r="C4109" s="87"/>
      <c r="H4109" s="86" t="e">
        <f>IF(I4109="fora",0%,G4109/QUÓRUM!$C$6)</f>
        <v>#DIV/0!</v>
      </c>
      <c r="I4109" s="87"/>
      <c r="J4109" s="88"/>
      <c r="K4109" s="88"/>
      <c r="L4109" s="89"/>
      <c r="M4109" s="89"/>
      <c r="Q4109" s="105"/>
    </row>
    <row r="4110" spans="3:17" x14ac:dyDescent="0.3">
      <c r="C4110" s="87"/>
      <c r="H4110" s="86" t="e">
        <f>IF(I4110="fora",0%,G4110/QUÓRUM!$C$6)</f>
        <v>#DIV/0!</v>
      </c>
      <c r="I4110" s="87"/>
      <c r="J4110" s="88"/>
      <c r="K4110" s="88"/>
      <c r="L4110" s="89"/>
      <c r="M4110" s="89"/>
      <c r="Q4110" s="105"/>
    </row>
    <row r="4111" spans="3:17" x14ac:dyDescent="0.3">
      <c r="C4111" s="87"/>
      <c r="H4111" s="86" t="e">
        <f>IF(I4111="fora",0%,G4111/QUÓRUM!$C$6)</f>
        <v>#DIV/0!</v>
      </c>
      <c r="I4111" s="87"/>
      <c r="J4111" s="88"/>
      <c r="K4111" s="88"/>
      <c r="L4111" s="89"/>
      <c r="M4111" s="89"/>
      <c r="Q4111" s="105"/>
    </row>
    <row r="4112" spans="3:17" x14ac:dyDescent="0.3">
      <c r="C4112" s="87"/>
      <c r="H4112" s="86" t="e">
        <f>IF(I4112="fora",0%,G4112/QUÓRUM!$C$6)</f>
        <v>#DIV/0!</v>
      </c>
      <c r="I4112" s="87"/>
      <c r="J4112" s="88"/>
      <c r="K4112" s="88"/>
      <c r="L4112" s="89"/>
      <c r="M4112" s="89"/>
      <c r="Q4112" s="105"/>
    </row>
    <row r="4113" spans="3:17" x14ac:dyDescent="0.3">
      <c r="C4113" s="87"/>
      <c r="H4113" s="86" t="e">
        <f>IF(I4113="fora",0%,G4113/QUÓRUM!$C$6)</f>
        <v>#DIV/0!</v>
      </c>
      <c r="I4113" s="87"/>
      <c r="J4113" s="88"/>
      <c r="K4113" s="88"/>
      <c r="L4113" s="89"/>
      <c r="M4113" s="89"/>
      <c r="Q4113" s="105"/>
    </row>
    <row r="4114" spans="3:17" x14ac:dyDescent="0.3">
      <c r="C4114" s="87"/>
      <c r="H4114" s="86" t="e">
        <f>IF(I4114="fora",0%,G4114/QUÓRUM!$C$6)</f>
        <v>#DIV/0!</v>
      </c>
      <c r="I4114" s="87"/>
      <c r="J4114" s="88"/>
      <c r="K4114" s="88"/>
      <c r="L4114" s="89"/>
      <c r="M4114" s="89"/>
      <c r="Q4114" s="105"/>
    </row>
    <row r="4115" spans="3:17" x14ac:dyDescent="0.3">
      <c r="C4115" s="87"/>
      <c r="H4115" s="86" t="e">
        <f>IF(I4115="fora",0%,G4115/QUÓRUM!$C$6)</f>
        <v>#DIV/0!</v>
      </c>
      <c r="I4115" s="87"/>
      <c r="J4115" s="88"/>
      <c r="K4115" s="88"/>
      <c r="L4115" s="89"/>
      <c r="M4115" s="89"/>
      <c r="Q4115" s="105"/>
    </row>
    <row r="4116" spans="3:17" x14ac:dyDescent="0.3">
      <c r="C4116" s="87"/>
      <c r="H4116" s="86" t="e">
        <f>IF(I4116="fora",0%,G4116/QUÓRUM!$C$6)</f>
        <v>#DIV/0!</v>
      </c>
      <c r="I4116" s="87"/>
      <c r="J4116" s="88"/>
      <c r="K4116" s="88"/>
      <c r="L4116" s="89"/>
      <c r="M4116" s="89"/>
      <c r="Q4116" s="105"/>
    </row>
    <row r="4117" spans="3:17" x14ac:dyDescent="0.3">
      <c r="C4117" s="87"/>
      <c r="H4117" s="86" t="e">
        <f>IF(I4117="fora",0%,G4117/QUÓRUM!$C$6)</f>
        <v>#DIV/0!</v>
      </c>
      <c r="I4117" s="87"/>
      <c r="J4117" s="88"/>
      <c r="K4117" s="88"/>
      <c r="L4117" s="89"/>
      <c r="M4117" s="89"/>
      <c r="Q4117" s="105"/>
    </row>
    <row r="4118" spans="3:17" x14ac:dyDescent="0.3">
      <c r="C4118" s="87"/>
      <c r="H4118" s="86" t="e">
        <f>IF(I4118="fora",0%,G4118/QUÓRUM!$C$6)</f>
        <v>#DIV/0!</v>
      </c>
      <c r="I4118" s="87"/>
      <c r="J4118" s="88"/>
      <c r="K4118" s="88"/>
      <c r="L4118" s="89"/>
      <c r="M4118" s="89"/>
      <c r="Q4118" s="105"/>
    </row>
    <row r="4119" spans="3:17" x14ac:dyDescent="0.3">
      <c r="C4119" s="87"/>
      <c r="H4119" s="86" t="e">
        <f>IF(I4119="fora",0%,G4119/QUÓRUM!$C$6)</f>
        <v>#DIV/0!</v>
      </c>
      <c r="I4119" s="87"/>
      <c r="J4119" s="88"/>
      <c r="K4119" s="88"/>
      <c r="L4119" s="89"/>
      <c r="M4119" s="89"/>
      <c r="Q4119" s="105"/>
    </row>
    <row r="4120" spans="3:17" x14ac:dyDescent="0.3">
      <c r="C4120" s="87"/>
      <c r="H4120" s="86" t="e">
        <f>IF(I4120="fora",0%,G4120/QUÓRUM!$C$6)</f>
        <v>#DIV/0!</v>
      </c>
      <c r="I4120" s="87"/>
      <c r="J4120" s="88"/>
      <c r="K4120" s="88"/>
      <c r="L4120" s="89"/>
      <c r="M4120" s="89"/>
      <c r="Q4120" s="105"/>
    </row>
    <row r="4121" spans="3:17" x14ac:dyDescent="0.3">
      <c r="C4121" s="87"/>
      <c r="H4121" s="86" t="e">
        <f>IF(I4121="fora",0%,G4121/QUÓRUM!$C$6)</f>
        <v>#DIV/0!</v>
      </c>
      <c r="I4121" s="87"/>
      <c r="J4121" s="88"/>
      <c r="K4121" s="88"/>
      <c r="L4121" s="89"/>
      <c r="M4121" s="89"/>
      <c r="Q4121" s="105"/>
    </row>
    <row r="4122" spans="3:17" x14ac:dyDescent="0.3">
      <c r="C4122" s="87"/>
      <c r="H4122" s="86" t="e">
        <f>IF(I4122="fora",0%,G4122/QUÓRUM!$C$6)</f>
        <v>#DIV/0!</v>
      </c>
      <c r="I4122" s="87"/>
      <c r="J4122" s="88"/>
      <c r="K4122" s="88"/>
      <c r="L4122" s="89"/>
      <c r="M4122" s="89"/>
      <c r="Q4122" s="105"/>
    </row>
    <row r="4123" spans="3:17" x14ac:dyDescent="0.3">
      <c r="C4123" s="87"/>
      <c r="H4123" s="86" t="e">
        <f>IF(I4123="fora",0%,G4123/QUÓRUM!$C$6)</f>
        <v>#DIV/0!</v>
      </c>
      <c r="I4123" s="87"/>
      <c r="J4123" s="88"/>
      <c r="K4123" s="88"/>
      <c r="L4123" s="89"/>
      <c r="M4123" s="89"/>
      <c r="Q4123" s="105"/>
    </row>
    <row r="4124" spans="3:17" x14ac:dyDescent="0.3">
      <c r="C4124" s="87"/>
      <c r="H4124" s="86" t="e">
        <f>IF(I4124="fora",0%,G4124/QUÓRUM!$C$6)</f>
        <v>#DIV/0!</v>
      </c>
      <c r="I4124" s="87"/>
      <c r="J4124" s="88"/>
      <c r="K4124" s="88"/>
      <c r="L4124" s="89"/>
      <c r="M4124" s="89"/>
      <c r="Q4124" s="105"/>
    </row>
    <row r="4125" spans="3:17" x14ac:dyDescent="0.3">
      <c r="C4125" s="87"/>
      <c r="H4125" s="86" t="e">
        <f>IF(I4125="fora",0%,G4125/QUÓRUM!$C$6)</f>
        <v>#DIV/0!</v>
      </c>
      <c r="I4125" s="87"/>
      <c r="J4125" s="88"/>
      <c r="K4125" s="88"/>
      <c r="L4125" s="89"/>
      <c r="M4125" s="89"/>
      <c r="Q4125" s="105"/>
    </row>
    <row r="4126" spans="3:17" x14ac:dyDescent="0.3">
      <c r="C4126" s="87"/>
      <c r="H4126" s="86" t="e">
        <f>IF(I4126="fora",0%,G4126/QUÓRUM!$C$6)</f>
        <v>#DIV/0!</v>
      </c>
      <c r="I4126" s="87"/>
      <c r="J4126" s="88"/>
      <c r="K4126" s="88"/>
      <c r="L4126" s="89"/>
      <c r="M4126" s="89"/>
      <c r="Q4126" s="105"/>
    </row>
    <row r="4127" spans="3:17" x14ac:dyDescent="0.3">
      <c r="C4127" s="87"/>
      <c r="H4127" s="86" t="e">
        <f>IF(I4127="fora",0%,G4127/QUÓRUM!$C$6)</f>
        <v>#DIV/0!</v>
      </c>
      <c r="I4127" s="87"/>
      <c r="J4127" s="88"/>
      <c r="K4127" s="88"/>
      <c r="L4127" s="89"/>
      <c r="M4127" s="89"/>
      <c r="Q4127" s="105"/>
    </row>
    <row r="4128" spans="3:17" x14ac:dyDescent="0.3">
      <c r="C4128" s="87"/>
      <c r="H4128" s="86" t="e">
        <f>IF(I4128="fora",0%,G4128/QUÓRUM!$C$6)</f>
        <v>#DIV/0!</v>
      </c>
      <c r="I4128" s="87"/>
      <c r="J4128" s="88"/>
      <c r="K4128" s="88"/>
      <c r="L4128" s="89"/>
      <c r="M4128" s="89"/>
      <c r="Q4128" s="105"/>
    </row>
    <row r="4129" spans="3:17" x14ac:dyDescent="0.3">
      <c r="C4129" s="87"/>
      <c r="H4129" s="86" t="e">
        <f>IF(I4129="fora",0%,G4129/QUÓRUM!$C$6)</f>
        <v>#DIV/0!</v>
      </c>
      <c r="I4129" s="87"/>
      <c r="J4129" s="88"/>
      <c r="K4129" s="88"/>
      <c r="L4129" s="89"/>
      <c r="M4129" s="89"/>
      <c r="Q4129" s="105"/>
    </row>
    <row r="4130" spans="3:17" x14ac:dyDescent="0.3">
      <c r="C4130" s="87"/>
      <c r="H4130" s="86" t="e">
        <f>IF(I4130="fora",0%,G4130/QUÓRUM!$C$6)</f>
        <v>#DIV/0!</v>
      </c>
      <c r="I4130" s="87"/>
      <c r="J4130" s="88"/>
      <c r="K4130" s="88"/>
      <c r="L4130" s="89"/>
      <c r="M4130" s="89"/>
      <c r="Q4130" s="105"/>
    </row>
    <row r="4131" spans="3:17" x14ac:dyDescent="0.3">
      <c r="C4131" s="87"/>
      <c r="H4131" s="86" t="e">
        <f>IF(I4131="fora",0%,G4131/QUÓRUM!$C$6)</f>
        <v>#DIV/0!</v>
      </c>
      <c r="I4131" s="87"/>
      <c r="J4131" s="88"/>
      <c r="K4131" s="88"/>
      <c r="L4131" s="89"/>
      <c r="M4131" s="89"/>
      <c r="Q4131" s="105"/>
    </row>
    <row r="4132" spans="3:17" x14ac:dyDescent="0.3">
      <c r="C4132" s="87"/>
      <c r="H4132" s="86" t="e">
        <f>IF(I4132="fora",0%,G4132/QUÓRUM!$C$6)</f>
        <v>#DIV/0!</v>
      </c>
      <c r="I4132" s="87"/>
      <c r="J4132" s="88"/>
      <c r="K4132" s="88"/>
      <c r="L4132" s="89"/>
      <c r="M4132" s="89"/>
      <c r="Q4132" s="105"/>
    </row>
    <row r="4133" spans="3:17" x14ac:dyDescent="0.3">
      <c r="C4133" s="87"/>
      <c r="H4133" s="86" t="e">
        <f>IF(I4133="fora",0%,G4133/QUÓRUM!$C$6)</f>
        <v>#DIV/0!</v>
      </c>
      <c r="I4133" s="87"/>
      <c r="J4133" s="88"/>
      <c r="K4133" s="88"/>
      <c r="L4133" s="89"/>
      <c r="M4133" s="89"/>
      <c r="Q4133" s="105"/>
    </row>
    <row r="4134" spans="3:17" x14ac:dyDescent="0.3">
      <c r="C4134" s="87"/>
      <c r="H4134" s="86" t="e">
        <f>IF(I4134="fora",0%,G4134/QUÓRUM!$C$6)</f>
        <v>#DIV/0!</v>
      </c>
      <c r="I4134" s="87"/>
      <c r="J4134" s="88"/>
      <c r="K4134" s="88"/>
      <c r="L4134" s="89"/>
      <c r="M4134" s="89"/>
      <c r="Q4134" s="105"/>
    </row>
    <row r="4135" spans="3:17" x14ac:dyDescent="0.3">
      <c r="C4135" s="87"/>
      <c r="H4135" s="86" t="e">
        <f>IF(I4135="fora",0%,G4135/QUÓRUM!$C$6)</f>
        <v>#DIV/0!</v>
      </c>
      <c r="I4135" s="87"/>
      <c r="J4135" s="88"/>
      <c r="K4135" s="88"/>
      <c r="L4135" s="89"/>
      <c r="M4135" s="89"/>
      <c r="Q4135" s="105"/>
    </row>
    <row r="4136" spans="3:17" x14ac:dyDescent="0.3">
      <c r="C4136" s="87"/>
      <c r="H4136" s="86" t="e">
        <f>IF(I4136="fora",0%,G4136/QUÓRUM!$C$6)</f>
        <v>#DIV/0!</v>
      </c>
      <c r="I4136" s="87"/>
      <c r="J4136" s="88"/>
      <c r="K4136" s="88"/>
      <c r="L4136" s="89"/>
      <c r="M4136" s="89"/>
      <c r="Q4136" s="105"/>
    </row>
    <row r="4137" spans="3:17" x14ac:dyDescent="0.3">
      <c r="C4137" s="87"/>
      <c r="H4137" s="86" t="e">
        <f>IF(I4137="fora",0%,G4137/QUÓRUM!$C$6)</f>
        <v>#DIV/0!</v>
      </c>
      <c r="I4137" s="87"/>
      <c r="J4137" s="88"/>
      <c r="K4137" s="88"/>
      <c r="L4137" s="89"/>
      <c r="M4137" s="89"/>
      <c r="Q4137" s="105"/>
    </row>
    <row r="4138" spans="3:17" x14ac:dyDescent="0.3">
      <c r="C4138" s="87"/>
      <c r="H4138" s="86" t="e">
        <f>IF(I4138="fora",0%,G4138/QUÓRUM!$C$6)</f>
        <v>#DIV/0!</v>
      </c>
      <c r="I4138" s="87"/>
      <c r="J4138" s="88"/>
      <c r="K4138" s="88"/>
      <c r="L4138" s="89"/>
      <c r="M4138" s="89"/>
      <c r="Q4138" s="105"/>
    </row>
    <row r="4139" spans="3:17" x14ac:dyDescent="0.3">
      <c r="C4139" s="87"/>
      <c r="H4139" s="86" t="e">
        <f>IF(I4139="fora",0%,G4139/QUÓRUM!$C$6)</f>
        <v>#DIV/0!</v>
      </c>
      <c r="I4139" s="87"/>
      <c r="J4139" s="88"/>
      <c r="K4139" s="88"/>
      <c r="L4139" s="89"/>
      <c r="M4139" s="89"/>
      <c r="Q4139" s="105"/>
    </row>
    <row r="4140" spans="3:17" x14ac:dyDescent="0.3">
      <c r="C4140" s="87"/>
      <c r="H4140" s="86" t="e">
        <f>IF(I4140="fora",0%,G4140/QUÓRUM!$C$6)</f>
        <v>#DIV/0!</v>
      </c>
      <c r="I4140" s="87"/>
      <c r="J4140" s="88"/>
      <c r="K4140" s="88"/>
      <c r="L4140" s="89"/>
      <c r="M4140" s="89"/>
      <c r="Q4140" s="105"/>
    </row>
    <row r="4141" spans="3:17" x14ac:dyDescent="0.3">
      <c r="C4141" s="87"/>
      <c r="H4141" s="86" t="e">
        <f>IF(I4141="fora",0%,G4141/QUÓRUM!$C$6)</f>
        <v>#DIV/0!</v>
      </c>
      <c r="I4141" s="87"/>
      <c r="J4141" s="88"/>
      <c r="K4141" s="88"/>
      <c r="L4141" s="89"/>
      <c r="M4141" s="89"/>
      <c r="Q4141" s="105"/>
    </row>
    <row r="4142" spans="3:17" x14ac:dyDescent="0.3">
      <c r="C4142" s="87"/>
      <c r="H4142" s="86" t="e">
        <f>IF(I4142="fora",0%,G4142/QUÓRUM!$C$6)</f>
        <v>#DIV/0!</v>
      </c>
      <c r="I4142" s="87"/>
      <c r="J4142" s="88"/>
      <c r="K4142" s="88"/>
      <c r="L4142" s="89"/>
      <c r="M4142" s="89"/>
      <c r="Q4142" s="105"/>
    </row>
    <row r="4143" spans="3:17" x14ac:dyDescent="0.3">
      <c r="C4143" s="87"/>
      <c r="H4143" s="86" t="e">
        <f>IF(I4143="fora",0%,G4143/QUÓRUM!$C$6)</f>
        <v>#DIV/0!</v>
      </c>
      <c r="I4143" s="87"/>
      <c r="J4143" s="88"/>
      <c r="K4143" s="88"/>
      <c r="L4143" s="89"/>
      <c r="M4143" s="89"/>
      <c r="Q4143" s="105"/>
    </row>
    <row r="4144" spans="3:17" x14ac:dyDescent="0.3">
      <c r="C4144" s="87"/>
      <c r="H4144" s="86" t="e">
        <f>IF(I4144="fora",0%,G4144/QUÓRUM!$C$6)</f>
        <v>#DIV/0!</v>
      </c>
      <c r="I4144" s="87"/>
      <c r="J4144" s="88"/>
      <c r="K4144" s="88"/>
      <c r="L4144" s="89"/>
      <c r="M4144" s="89"/>
      <c r="Q4144" s="105"/>
    </row>
    <row r="4145" spans="3:17" x14ac:dyDescent="0.3">
      <c r="C4145" s="87"/>
      <c r="H4145" s="86" t="e">
        <f>IF(I4145="fora",0%,G4145/QUÓRUM!$C$6)</f>
        <v>#DIV/0!</v>
      </c>
      <c r="I4145" s="87"/>
      <c r="J4145" s="88"/>
      <c r="K4145" s="88"/>
      <c r="L4145" s="89"/>
      <c r="M4145" s="89"/>
      <c r="Q4145" s="105"/>
    </row>
    <row r="4146" spans="3:17" x14ac:dyDescent="0.3">
      <c r="C4146" s="87"/>
      <c r="H4146" s="86" t="e">
        <f>IF(I4146="fora",0%,G4146/QUÓRUM!$C$6)</f>
        <v>#DIV/0!</v>
      </c>
      <c r="I4146" s="87"/>
      <c r="J4146" s="88"/>
      <c r="K4146" s="88"/>
      <c r="L4146" s="89"/>
      <c r="M4146" s="89"/>
      <c r="Q4146" s="105"/>
    </row>
    <row r="4147" spans="3:17" x14ac:dyDescent="0.3">
      <c r="C4147" s="87"/>
      <c r="H4147" s="86" t="e">
        <f>IF(I4147="fora",0%,G4147/QUÓRUM!$C$6)</f>
        <v>#DIV/0!</v>
      </c>
      <c r="I4147" s="87"/>
      <c r="J4147" s="88"/>
      <c r="K4147" s="88"/>
      <c r="L4147" s="89"/>
      <c r="M4147" s="89"/>
      <c r="Q4147" s="105"/>
    </row>
    <row r="4148" spans="3:17" x14ac:dyDescent="0.3">
      <c r="C4148" s="87"/>
      <c r="H4148" s="86" t="e">
        <f>IF(I4148="fora",0%,G4148/QUÓRUM!$C$6)</f>
        <v>#DIV/0!</v>
      </c>
      <c r="I4148" s="87"/>
      <c r="J4148" s="88"/>
      <c r="K4148" s="88"/>
      <c r="L4148" s="89"/>
      <c r="M4148" s="89"/>
      <c r="Q4148" s="105"/>
    </row>
    <row r="4149" spans="3:17" x14ac:dyDescent="0.3">
      <c r="C4149" s="87"/>
      <c r="H4149" s="86" t="e">
        <f>IF(I4149="fora",0%,G4149/QUÓRUM!$C$6)</f>
        <v>#DIV/0!</v>
      </c>
      <c r="I4149" s="87"/>
      <c r="J4149" s="88"/>
      <c r="K4149" s="88"/>
      <c r="L4149" s="89"/>
      <c r="M4149" s="89"/>
      <c r="Q4149" s="105"/>
    </row>
    <row r="4150" spans="3:17" x14ac:dyDescent="0.3">
      <c r="C4150" s="87"/>
      <c r="H4150" s="86" t="e">
        <f>IF(I4150="fora",0%,G4150/QUÓRUM!$C$6)</f>
        <v>#DIV/0!</v>
      </c>
      <c r="I4150" s="87"/>
      <c r="J4150" s="88"/>
      <c r="K4150" s="88"/>
      <c r="L4150" s="89"/>
      <c r="M4150" s="89"/>
      <c r="Q4150" s="105"/>
    </row>
    <row r="4151" spans="3:17" x14ac:dyDescent="0.3">
      <c r="C4151" s="87"/>
      <c r="H4151" s="86" t="e">
        <f>IF(I4151="fora",0%,G4151/QUÓRUM!$C$6)</f>
        <v>#DIV/0!</v>
      </c>
      <c r="I4151" s="87"/>
      <c r="J4151" s="88"/>
      <c r="K4151" s="88"/>
      <c r="L4151" s="89"/>
      <c r="M4151" s="89"/>
      <c r="Q4151" s="105"/>
    </row>
    <row r="4152" spans="3:17" x14ac:dyDescent="0.3">
      <c r="C4152" s="87"/>
      <c r="H4152" s="86" t="e">
        <f>IF(I4152="fora",0%,G4152/QUÓRUM!$C$6)</f>
        <v>#DIV/0!</v>
      </c>
      <c r="I4152" s="87"/>
      <c r="J4152" s="88"/>
      <c r="K4152" s="88"/>
      <c r="L4152" s="89"/>
      <c r="M4152" s="89"/>
      <c r="Q4152" s="105"/>
    </row>
    <row r="4153" spans="3:17" x14ac:dyDescent="0.3">
      <c r="C4153" s="87"/>
      <c r="H4153" s="86" t="e">
        <f>IF(I4153="fora",0%,G4153/QUÓRUM!$C$6)</f>
        <v>#DIV/0!</v>
      </c>
      <c r="I4153" s="87"/>
      <c r="J4153" s="88"/>
      <c r="K4153" s="88"/>
      <c r="L4153" s="89"/>
      <c r="M4153" s="89"/>
      <c r="Q4153" s="105"/>
    </row>
    <row r="4154" spans="3:17" x14ac:dyDescent="0.3">
      <c r="C4154" s="87"/>
      <c r="H4154" s="86" t="e">
        <f>IF(I4154="fora",0%,G4154/QUÓRUM!$C$6)</f>
        <v>#DIV/0!</v>
      </c>
      <c r="I4154" s="87"/>
      <c r="J4154" s="88"/>
      <c r="K4154" s="88"/>
      <c r="L4154" s="89"/>
      <c r="M4154" s="89"/>
      <c r="Q4154" s="105"/>
    </row>
    <row r="4155" spans="3:17" x14ac:dyDescent="0.3">
      <c r="C4155" s="87"/>
      <c r="H4155" s="86" t="e">
        <f>IF(I4155="fora",0%,G4155/QUÓRUM!$C$6)</f>
        <v>#DIV/0!</v>
      </c>
      <c r="I4155" s="87"/>
      <c r="J4155" s="88"/>
      <c r="K4155" s="88"/>
      <c r="L4155" s="89"/>
      <c r="M4155" s="89"/>
      <c r="Q4155" s="105"/>
    </row>
    <row r="4156" spans="3:17" x14ac:dyDescent="0.3">
      <c r="C4156" s="87"/>
      <c r="H4156" s="86" t="e">
        <f>IF(I4156="fora",0%,G4156/QUÓRUM!$C$6)</f>
        <v>#DIV/0!</v>
      </c>
      <c r="I4156" s="87"/>
      <c r="J4156" s="88"/>
      <c r="K4156" s="88"/>
      <c r="L4156" s="89"/>
      <c r="M4156" s="89"/>
      <c r="Q4156" s="105"/>
    </row>
    <row r="4157" spans="3:17" x14ac:dyDescent="0.3">
      <c r="C4157" s="87"/>
      <c r="H4157" s="86" t="e">
        <f>IF(I4157="fora",0%,G4157/QUÓRUM!$C$6)</f>
        <v>#DIV/0!</v>
      </c>
      <c r="I4157" s="87"/>
      <c r="J4157" s="88"/>
      <c r="K4157" s="88"/>
      <c r="L4157" s="89"/>
      <c r="M4157" s="89"/>
      <c r="Q4157" s="105"/>
    </row>
    <row r="4158" spans="3:17" x14ac:dyDescent="0.3">
      <c r="C4158" s="87"/>
      <c r="H4158" s="86" t="e">
        <f>IF(I4158="fora",0%,G4158/QUÓRUM!$C$6)</f>
        <v>#DIV/0!</v>
      </c>
      <c r="I4158" s="87"/>
      <c r="J4158" s="88"/>
      <c r="K4158" s="88"/>
      <c r="L4158" s="89"/>
      <c r="M4158" s="89"/>
      <c r="Q4158" s="105"/>
    </row>
    <row r="4159" spans="3:17" x14ac:dyDescent="0.3">
      <c r="C4159" s="87"/>
      <c r="H4159" s="86" t="e">
        <f>IF(I4159="fora",0%,G4159/QUÓRUM!$C$6)</f>
        <v>#DIV/0!</v>
      </c>
      <c r="I4159" s="87"/>
      <c r="J4159" s="88"/>
      <c r="K4159" s="88"/>
      <c r="L4159" s="89"/>
      <c r="M4159" s="89"/>
      <c r="Q4159" s="105"/>
    </row>
    <row r="4160" spans="3:17" x14ac:dyDescent="0.3">
      <c r="C4160" s="87"/>
      <c r="H4160" s="86" t="e">
        <f>IF(I4160="fora",0%,G4160/QUÓRUM!$C$6)</f>
        <v>#DIV/0!</v>
      </c>
      <c r="I4160" s="87"/>
      <c r="J4160" s="88"/>
      <c r="K4160" s="88"/>
      <c r="L4160" s="89"/>
      <c r="M4160" s="89"/>
      <c r="Q4160" s="105"/>
    </row>
    <row r="4161" spans="3:17" x14ac:dyDescent="0.3">
      <c r="C4161" s="87"/>
      <c r="H4161" s="86" t="e">
        <f>IF(I4161="fora",0%,G4161/QUÓRUM!$C$6)</f>
        <v>#DIV/0!</v>
      </c>
      <c r="I4161" s="87"/>
      <c r="J4161" s="88"/>
      <c r="K4161" s="88"/>
      <c r="L4161" s="89"/>
      <c r="M4161" s="89"/>
      <c r="Q4161" s="105"/>
    </row>
    <row r="4162" spans="3:17" x14ac:dyDescent="0.3">
      <c r="C4162" s="87"/>
      <c r="H4162" s="86" t="e">
        <f>IF(I4162="fora",0%,G4162/QUÓRUM!$C$6)</f>
        <v>#DIV/0!</v>
      </c>
      <c r="I4162" s="87"/>
      <c r="J4162" s="88"/>
      <c r="K4162" s="88"/>
      <c r="L4162" s="89"/>
      <c r="M4162" s="89"/>
      <c r="Q4162" s="105"/>
    </row>
    <row r="4163" spans="3:17" x14ac:dyDescent="0.3">
      <c r="C4163" s="87"/>
      <c r="H4163" s="86" t="e">
        <f>IF(I4163="fora",0%,G4163/QUÓRUM!$C$6)</f>
        <v>#DIV/0!</v>
      </c>
      <c r="I4163" s="87"/>
      <c r="J4163" s="88"/>
      <c r="K4163" s="88"/>
      <c r="L4163" s="89"/>
      <c r="M4163" s="89"/>
      <c r="Q4163" s="105"/>
    </row>
    <row r="4164" spans="3:17" x14ac:dyDescent="0.3">
      <c r="C4164" s="87"/>
      <c r="H4164" s="86" t="e">
        <f>IF(I4164="fora",0%,G4164/QUÓRUM!$C$6)</f>
        <v>#DIV/0!</v>
      </c>
      <c r="I4164" s="87"/>
      <c r="J4164" s="88"/>
      <c r="K4164" s="88"/>
      <c r="L4164" s="89"/>
      <c r="M4164" s="89"/>
      <c r="Q4164" s="105"/>
    </row>
    <row r="4165" spans="3:17" x14ac:dyDescent="0.3">
      <c r="C4165" s="87"/>
      <c r="H4165" s="86" t="e">
        <f>IF(I4165="fora",0%,G4165/QUÓRUM!$C$6)</f>
        <v>#DIV/0!</v>
      </c>
      <c r="I4165" s="87"/>
      <c r="J4165" s="88"/>
      <c r="K4165" s="88"/>
      <c r="L4165" s="89"/>
      <c r="M4165" s="89"/>
      <c r="Q4165" s="105"/>
    </row>
    <row r="4166" spans="3:17" x14ac:dyDescent="0.3">
      <c r="C4166" s="87"/>
      <c r="H4166" s="86" t="e">
        <f>IF(I4166="fora",0%,G4166/QUÓRUM!$C$6)</f>
        <v>#DIV/0!</v>
      </c>
      <c r="I4166" s="87"/>
      <c r="J4166" s="88"/>
      <c r="K4166" s="88"/>
      <c r="L4166" s="89"/>
      <c r="M4166" s="89"/>
      <c r="Q4166" s="105"/>
    </row>
    <row r="4167" spans="3:17" x14ac:dyDescent="0.3">
      <c r="C4167" s="87"/>
      <c r="H4167" s="86" t="e">
        <f>IF(I4167="fora",0%,G4167/QUÓRUM!$C$6)</f>
        <v>#DIV/0!</v>
      </c>
      <c r="I4167" s="87"/>
      <c r="J4167" s="88"/>
      <c r="K4167" s="88"/>
      <c r="L4167" s="89"/>
      <c r="M4167" s="89"/>
      <c r="Q4167" s="105"/>
    </row>
    <row r="4168" spans="3:17" x14ac:dyDescent="0.3">
      <c r="C4168" s="87"/>
      <c r="H4168" s="86" t="e">
        <f>IF(I4168="fora",0%,G4168/QUÓRUM!$C$6)</f>
        <v>#DIV/0!</v>
      </c>
      <c r="I4168" s="87"/>
      <c r="J4168" s="88"/>
      <c r="K4168" s="88"/>
      <c r="L4168" s="89"/>
      <c r="M4168" s="89"/>
      <c r="Q4168" s="105"/>
    </row>
    <row r="4169" spans="3:17" x14ac:dyDescent="0.3">
      <c r="C4169" s="87"/>
      <c r="H4169" s="86" t="e">
        <f>IF(I4169="fora",0%,G4169/QUÓRUM!$C$6)</f>
        <v>#DIV/0!</v>
      </c>
      <c r="I4169" s="87"/>
      <c r="J4169" s="88"/>
      <c r="K4169" s="88"/>
      <c r="L4169" s="89"/>
      <c r="M4169" s="89"/>
      <c r="Q4169" s="105"/>
    </row>
    <row r="4170" spans="3:17" x14ac:dyDescent="0.3">
      <c r="C4170" s="87"/>
      <c r="H4170" s="86" t="e">
        <f>IF(I4170="fora",0%,G4170/QUÓRUM!$C$6)</f>
        <v>#DIV/0!</v>
      </c>
      <c r="I4170" s="87"/>
      <c r="J4170" s="88"/>
      <c r="K4170" s="88"/>
      <c r="L4170" s="89"/>
      <c r="M4170" s="89"/>
      <c r="Q4170" s="105"/>
    </row>
    <row r="4171" spans="3:17" x14ac:dyDescent="0.3">
      <c r="C4171" s="87"/>
      <c r="H4171" s="86" t="e">
        <f>IF(I4171="fora",0%,G4171/QUÓRUM!$C$6)</f>
        <v>#DIV/0!</v>
      </c>
      <c r="I4171" s="87"/>
      <c r="J4171" s="88"/>
      <c r="K4171" s="88"/>
      <c r="L4171" s="89"/>
      <c r="M4171" s="89"/>
      <c r="Q4171" s="105"/>
    </row>
    <row r="4172" spans="3:17" x14ac:dyDescent="0.3">
      <c r="C4172" s="87"/>
      <c r="H4172" s="86" t="e">
        <f>IF(I4172="fora",0%,G4172/QUÓRUM!$C$6)</f>
        <v>#DIV/0!</v>
      </c>
      <c r="I4172" s="87"/>
      <c r="J4172" s="88"/>
      <c r="K4172" s="88"/>
      <c r="L4172" s="89"/>
      <c r="M4172" s="89"/>
      <c r="Q4172" s="105"/>
    </row>
    <row r="4173" spans="3:17" x14ac:dyDescent="0.3">
      <c r="C4173" s="87"/>
      <c r="H4173" s="86" t="e">
        <f>IF(I4173="fora",0%,G4173/QUÓRUM!$C$6)</f>
        <v>#DIV/0!</v>
      </c>
      <c r="I4173" s="87"/>
      <c r="J4173" s="88"/>
      <c r="K4173" s="88"/>
      <c r="L4173" s="89"/>
      <c r="M4173" s="89"/>
      <c r="Q4173" s="105"/>
    </row>
    <row r="4174" spans="3:17" x14ac:dyDescent="0.3">
      <c r="C4174" s="87"/>
      <c r="H4174" s="86" t="e">
        <f>IF(I4174="fora",0%,G4174/QUÓRUM!$C$6)</f>
        <v>#DIV/0!</v>
      </c>
      <c r="I4174" s="87"/>
      <c r="J4174" s="88"/>
      <c r="K4174" s="88"/>
      <c r="L4174" s="89"/>
      <c r="M4174" s="89"/>
      <c r="Q4174" s="105"/>
    </row>
    <row r="4175" spans="3:17" x14ac:dyDescent="0.3">
      <c r="C4175" s="87"/>
      <c r="H4175" s="86" t="e">
        <f>IF(I4175="fora",0%,G4175/QUÓRUM!$C$6)</f>
        <v>#DIV/0!</v>
      </c>
      <c r="I4175" s="87"/>
      <c r="J4175" s="88"/>
      <c r="K4175" s="88"/>
      <c r="L4175" s="89"/>
      <c r="M4175" s="89"/>
      <c r="Q4175" s="105"/>
    </row>
    <row r="4176" spans="3:17" x14ac:dyDescent="0.3">
      <c r="C4176" s="87"/>
      <c r="H4176" s="86" t="e">
        <f>IF(I4176="fora",0%,G4176/QUÓRUM!$C$6)</f>
        <v>#DIV/0!</v>
      </c>
      <c r="I4176" s="87"/>
      <c r="J4176" s="88"/>
      <c r="K4176" s="88"/>
      <c r="L4176" s="89"/>
      <c r="M4176" s="89"/>
      <c r="Q4176" s="105"/>
    </row>
    <row r="4177" spans="3:17" x14ac:dyDescent="0.3">
      <c r="C4177" s="87"/>
      <c r="H4177" s="86" t="e">
        <f>IF(I4177="fora",0%,G4177/QUÓRUM!$C$6)</f>
        <v>#DIV/0!</v>
      </c>
      <c r="I4177" s="87"/>
      <c r="J4177" s="88"/>
      <c r="K4177" s="88"/>
      <c r="L4177" s="89"/>
      <c r="M4177" s="89"/>
      <c r="Q4177" s="105"/>
    </row>
    <row r="4178" spans="3:17" x14ac:dyDescent="0.3">
      <c r="C4178" s="87"/>
      <c r="H4178" s="86" t="e">
        <f>IF(I4178="fora",0%,G4178/QUÓRUM!$C$6)</f>
        <v>#DIV/0!</v>
      </c>
      <c r="I4178" s="87"/>
      <c r="J4178" s="88"/>
      <c r="K4178" s="88"/>
      <c r="L4178" s="89"/>
      <c r="M4178" s="89"/>
      <c r="Q4178" s="105"/>
    </row>
    <row r="4179" spans="3:17" x14ac:dyDescent="0.3">
      <c r="C4179" s="87"/>
      <c r="H4179" s="86" t="e">
        <f>IF(I4179="fora",0%,G4179/QUÓRUM!$C$6)</f>
        <v>#DIV/0!</v>
      </c>
      <c r="I4179" s="87"/>
      <c r="J4179" s="88"/>
      <c r="K4179" s="88"/>
      <c r="L4179" s="89"/>
      <c r="M4179" s="89"/>
      <c r="Q4179" s="105"/>
    </row>
    <row r="4180" spans="3:17" x14ac:dyDescent="0.3">
      <c r="C4180" s="87"/>
      <c r="H4180" s="86" t="e">
        <f>IF(I4180="fora",0%,G4180/QUÓRUM!$C$6)</f>
        <v>#DIV/0!</v>
      </c>
      <c r="I4180" s="87"/>
      <c r="J4180" s="88"/>
      <c r="K4180" s="88"/>
      <c r="L4180" s="89"/>
      <c r="M4180" s="89"/>
      <c r="Q4180" s="105"/>
    </row>
    <row r="4181" spans="3:17" x14ac:dyDescent="0.3">
      <c r="C4181" s="87"/>
      <c r="H4181" s="86" t="e">
        <f>IF(I4181="fora",0%,G4181/QUÓRUM!$C$6)</f>
        <v>#DIV/0!</v>
      </c>
      <c r="I4181" s="87"/>
      <c r="J4181" s="88"/>
      <c r="K4181" s="88"/>
      <c r="L4181" s="89"/>
      <c r="M4181" s="89"/>
      <c r="Q4181" s="105"/>
    </row>
    <row r="4182" spans="3:17" x14ac:dyDescent="0.3">
      <c r="C4182" s="87"/>
      <c r="H4182" s="86" t="e">
        <f>IF(I4182="fora",0%,G4182/QUÓRUM!$C$6)</f>
        <v>#DIV/0!</v>
      </c>
      <c r="I4182" s="87"/>
      <c r="J4182" s="88"/>
      <c r="K4182" s="88"/>
      <c r="L4182" s="89"/>
      <c r="M4182" s="89"/>
      <c r="Q4182" s="105"/>
    </row>
    <row r="4183" spans="3:17" x14ac:dyDescent="0.3">
      <c r="C4183" s="87"/>
      <c r="H4183" s="86" t="e">
        <f>IF(I4183="fora",0%,G4183/QUÓRUM!$C$6)</f>
        <v>#DIV/0!</v>
      </c>
      <c r="I4183" s="87"/>
      <c r="J4183" s="88"/>
      <c r="K4183" s="88"/>
      <c r="L4183" s="89"/>
      <c r="M4183" s="89"/>
      <c r="Q4183" s="105"/>
    </row>
    <row r="4184" spans="3:17" x14ac:dyDescent="0.3">
      <c r="C4184" s="87"/>
      <c r="H4184" s="86" t="e">
        <f>IF(I4184="fora",0%,G4184/QUÓRUM!$C$6)</f>
        <v>#DIV/0!</v>
      </c>
      <c r="I4184" s="87"/>
      <c r="J4184" s="88"/>
      <c r="K4184" s="88"/>
      <c r="L4184" s="89"/>
      <c r="M4184" s="89"/>
      <c r="Q4184" s="105"/>
    </row>
    <row r="4185" spans="3:17" x14ac:dyDescent="0.3">
      <c r="C4185" s="87"/>
      <c r="H4185" s="86" t="e">
        <f>IF(I4185="fora",0%,G4185/QUÓRUM!$C$6)</f>
        <v>#DIV/0!</v>
      </c>
      <c r="I4185" s="87"/>
      <c r="J4185" s="88"/>
      <c r="K4185" s="88"/>
      <c r="L4185" s="89"/>
      <c r="M4185" s="89"/>
      <c r="Q4185" s="105"/>
    </row>
    <row r="4186" spans="3:17" x14ac:dyDescent="0.3">
      <c r="C4186" s="87"/>
      <c r="H4186" s="86" t="e">
        <f>IF(I4186="fora",0%,G4186/QUÓRUM!$C$6)</f>
        <v>#DIV/0!</v>
      </c>
      <c r="I4186" s="87"/>
      <c r="J4186" s="88"/>
      <c r="K4186" s="88"/>
      <c r="L4186" s="89"/>
      <c r="M4186" s="89"/>
      <c r="Q4186" s="105"/>
    </row>
    <row r="4187" spans="3:17" x14ac:dyDescent="0.3">
      <c r="C4187" s="87"/>
      <c r="H4187" s="86" t="e">
        <f>IF(I4187="fora",0%,G4187/QUÓRUM!$C$6)</f>
        <v>#DIV/0!</v>
      </c>
      <c r="I4187" s="87"/>
      <c r="J4187" s="88"/>
      <c r="K4187" s="88"/>
      <c r="L4187" s="89"/>
      <c r="M4187" s="89"/>
      <c r="Q4187" s="105"/>
    </row>
    <row r="4188" spans="3:17" x14ac:dyDescent="0.3">
      <c r="C4188" s="87"/>
      <c r="H4188" s="86" t="e">
        <f>IF(I4188="fora",0%,G4188/QUÓRUM!$C$6)</f>
        <v>#DIV/0!</v>
      </c>
      <c r="I4188" s="87"/>
      <c r="J4188" s="88"/>
      <c r="K4188" s="88"/>
      <c r="L4188" s="89"/>
      <c r="M4188" s="89"/>
      <c r="Q4188" s="105"/>
    </row>
    <row r="4189" spans="3:17" x14ac:dyDescent="0.3">
      <c r="C4189" s="87"/>
      <c r="H4189" s="86" t="e">
        <f>IF(I4189="fora",0%,G4189/QUÓRUM!$C$6)</f>
        <v>#DIV/0!</v>
      </c>
      <c r="I4189" s="87"/>
      <c r="J4189" s="88"/>
      <c r="K4189" s="88"/>
      <c r="L4189" s="89"/>
      <c r="M4189" s="89"/>
      <c r="Q4189" s="105"/>
    </row>
    <row r="4190" spans="3:17" x14ac:dyDescent="0.3">
      <c r="C4190" s="87"/>
      <c r="H4190" s="86" t="e">
        <f>IF(I4190="fora",0%,G4190/QUÓRUM!$C$6)</f>
        <v>#DIV/0!</v>
      </c>
      <c r="I4190" s="87"/>
      <c r="J4190" s="88"/>
      <c r="K4190" s="88"/>
      <c r="L4190" s="89"/>
      <c r="M4190" s="89"/>
      <c r="Q4190" s="105"/>
    </row>
    <row r="4191" spans="3:17" x14ac:dyDescent="0.3">
      <c r="C4191" s="87"/>
      <c r="H4191" s="86" t="e">
        <f>IF(I4191="fora",0%,G4191/QUÓRUM!$C$6)</f>
        <v>#DIV/0!</v>
      </c>
      <c r="I4191" s="87"/>
      <c r="J4191" s="88"/>
      <c r="K4191" s="88"/>
      <c r="L4191" s="89"/>
      <c r="M4191" s="89"/>
      <c r="Q4191" s="105"/>
    </row>
    <row r="4192" spans="3:17" x14ac:dyDescent="0.3">
      <c r="C4192" s="87"/>
      <c r="H4192" s="86" t="e">
        <f>IF(I4192="fora",0%,G4192/QUÓRUM!$C$6)</f>
        <v>#DIV/0!</v>
      </c>
      <c r="I4192" s="87"/>
      <c r="J4192" s="88"/>
      <c r="K4192" s="88"/>
      <c r="L4192" s="89"/>
      <c r="M4192" s="89"/>
      <c r="Q4192" s="105"/>
    </row>
    <row r="4193" spans="3:17" x14ac:dyDescent="0.3">
      <c r="C4193" s="87"/>
      <c r="H4193" s="86" t="e">
        <f>IF(I4193="fora",0%,G4193/QUÓRUM!$C$6)</f>
        <v>#DIV/0!</v>
      </c>
      <c r="I4193" s="87"/>
      <c r="J4193" s="88"/>
      <c r="K4193" s="88"/>
      <c r="L4193" s="89"/>
      <c r="M4193" s="89"/>
      <c r="Q4193" s="105"/>
    </row>
    <row r="4194" spans="3:17" x14ac:dyDescent="0.3">
      <c r="C4194" s="87"/>
      <c r="H4194" s="86" t="e">
        <f>IF(I4194="fora",0%,G4194/QUÓRUM!$C$6)</f>
        <v>#DIV/0!</v>
      </c>
      <c r="I4194" s="87"/>
      <c r="J4194" s="88"/>
      <c r="K4194" s="88"/>
      <c r="L4194" s="89"/>
      <c r="M4194" s="89"/>
      <c r="Q4194" s="105"/>
    </row>
    <row r="4195" spans="3:17" x14ac:dyDescent="0.3">
      <c r="C4195" s="87"/>
      <c r="H4195" s="86" t="e">
        <f>IF(I4195="fora",0%,G4195/QUÓRUM!$C$6)</f>
        <v>#DIV/0!</v>
      </c>
      <c r="I4195" s="87"/>
      <c r="J4195" s="88"/>
      <c r="K4195" s="88"/>
      <c r="L4195" s="89"/>
      <c r="M4195" s="89"/>
      <c r="Q4195" s="105"/>
    </row>
    <row r="4196" spans="3:17" x14ac:dyDescent="0.3">
      <c r="C4196" s="87"/>
      <c r="H4196" s="86" t="e">
        <f>IF(I4196="fora",0%,G4196/QUÓRUM!$C$6)</f>
        <v>#DIV/0!</v>
      </c>
      <c r="I4196" s="87"/>
      <c r="J4196" s="88"/>
      <c r="K4196" s="88"/>
      <c r="L4196" s="89"/>
      <c r="M4196" s="89"/>
      <c r="Q4196" s="105"/>
    </row>
    <row r="4197" spans="3:17" x14ac:dyDescent="0.3">
      <c r="C4197" s="87"/>
      <c r="H4197" s="86" t="e">
        <f>IF(I4197="fora",0%,G4197/QUÓRUM!$C$6)</f>
        <v>#DIV/0!</v>
      </c>
      <c r="I4197" s="87"/>
      <c r="J4197" s="88"/>
      <c r="K4197" s="88"/>
      <c r="L4197" s="89"/>
      <c r="M4197" s="89"/>
      <c r="Q4197" s="105"/>
    </row>
    <row r="4198" spans="3:17" x14ac:dyDescent="0.3">
      <c r="C4198" s="87"/>
      <c r="H4198" s="86" t="e">
        <f>IF(I4198="fora",0%,G4198/QUÓRUM!$C$6)</f>
        <v>#DIV/0!</v>
      </c>
      <c r="I4198" s="87"/>
      <c r="J4198" s="88"/>
      <c r="K4198" s="88"/>
      <c r="L4198" s="89"/>
      <c r="M4198" s="89"/>
      <c r="Q4198" s="105"/>
    </row>
    <row r="4199" spans="3:17" x14ac:dyDescent="0.3">
      <c r="C4199" s="87"/>
      <c r="H4199" s="86" t="e">
        <f>IF(I4199="fora",0%,G4199/QUÓRUM!$C$6)</f>
        <v>#DIV/0!</v>
      </c>
      <c r="I4199" s="87"/>
      <c r="J4199" s="88"/>
      <c r="K4199" s="88"/>
      <c r="L4199" s="89"/>
      <c r="M4199" s="89"/>
      <c r="Q4199" s="105"/>
    </row>
    <row r="4200" spans="3:17" x14ac:dyDescent="0.3">
      <c r="C4200" s="87"/>
      <c r="H4200" s="86" t="e">
        <f>IF(I4200="fora",0%,G4200/QUÓRUM!$C$6)</f>
        <v>#DIV/0!</v>
      </c>
      <c r="I4200" s="87"/>
      <c r="J4200" s="88"/>
      <c r="K4200" s="88"/>
      <c r="L4200" s="89"/>
      <c r="M4200" s="89"/>
      <c r="Q4200" s="105"/>
    </row>
    <row r="4201" spans="3:17" x14ac:dyDescent="0.3">
      <c r="C4201" s="87"/>
      <c r="H4201" s="86" t="e">
        <f>IF(I4201="fora",0%,G4201/QUÓRUM!$C$6)</f>
        <v>#DIV/0!</v>
      </c>
      <c r="I4201" s="87"/>
      <c r="J4201" s="88"/>
      <c r="K4201" s="88"/>
      <c r="L4201" s="89"/>
      <c r="M4201" s="89"/>
      <c r="Q4201" s="105"/>
    </row>
    <row r="4202" spans="3:17" x14ac:dyDescent="0.3">
      <c r="C4202" s="87"/>
      <c r="H4202" s="86" t="e">
        <f>IF(I4202="fora",0%,G4202/QUÓRUM!$C$6)</f>
        <v>#DIV/0!</v>
      </c>
      <c r="I4202" s="87"/>
      <c r="J4202" s="88"/>
      <c r="K4202" s="88"/>
      <c r="L4202" s="89"/>
      <c r="M4202" s="89"/>
      <c r="Q4202" s="105"/>
    </row>
    <row r="4203" spans="3:17" x14ac:dyDescent="0.3">
      <c r="C4203" s="87"/>
      <c r="H4203" s="86" t="e">
        <f>IF(I4203="fora",0%,G4203/QUÓRUM!$C$6)</f>
        <v>#DIV/0!</v>
      </c>
      <c r="I4203" s="87"/>
      <c r="J4203" s="88"/>
      <c r="K4203" s="88"/>
      <c r="L4203" s="89"/>
      <c r="M4203" s="89"/>
      <c r="Q4203" s="105"/>
    </row>
    <row r="4204" spans="3:17" x14ac:dyDescent="0.3">
      <c r="C4204" s="87"/>
      <c r="H4204" s="86" t="e">
        <f>IF(I4204="fora",0%,G4204/QUÓRUM!$C$6)</f>
        <v>#DIV/0!</v>
      </c>
      <c r="I4204" s="87"/>
      <c r="J4204" s="88"/>
      <c r="K4204" s="88"/>
      <c r="L4204" s="89"/>
      <c r="M4204" s="89"/>
      <c r="Q4204" s="105"/>
    </row>
    <row r="4205" spans="3:17" x14ac:dyDescent="0.3">
      <c r="C4205" s="87"/>
      <c r="H4205" s="86" t="e">
        <f>IF(I4205="fora",0%,G4205/QUÓRUM!$C$6)</f>
        <v>#DIV/0!</v>
      </c>
      <c r="I4205" s="87"/>
      <c r="J4205" s="88"/>
      <c r="K4205" s="88"/>
      <c r="L4205" s="89"/>
      <c r="M4205" s="89"/>
      <c r="Q4205" s="105"/>
    </row>
    <row r="4206" spans="3:17" x14ac:dyDescent="0.3">
      <c r="C4206" s="87"/>
      <c r="H4206" s="86" t="e">
        <f>IF(I4206="fora",0%,G4206/QUÓRUM!$C$6)</f>
        <v>#DIV/0!</v>
      </c>
      <c r="I4206" s="87"/>
      <c r="J4206" s="88"/>
      <c r="K4206" s="88"/>
      <c r="L4206" s="89"/>
      <c r="M4206" s="89"/>
      <c r="Q4206" s="105"/>
    </row>
    <row r="4207" spans="3:17" x14ac:dyDescent="0.3">
      <c r="C4207" s="87"/>
      <c r="H4207" s="86" t="e">
        <f>IF(I4207="fora",0%,G4207/QUÓRUM!$C$6)</f>
        <v>#DIV/0!</v>
      </c>
      <c r="I4207" s="87"/>
      <c r="J4207" s="88"/>
      <c r="K4207" s="88"/>
      <c r="L4207" s="89"/>
      <c r="M4207" s="89"/>
      <c r="Q4207" s="105"/>
    </row>
    <row r="4208" spans="3:17" x14ac:dyDescent="0.3">
      <c r="C4208" s="87"/>
      <c r="H4208" s="86" t="e">
        <f>IF(I4208="fora",0%,G4208/QUÓRUM!$C$6)</f>
        <v>#DIV/0!</v>
      </c>
      <c r="I4208" s="87"/>
      <c r="J4208" s="88"/>
      <c r="K4208" s="88"/>
      <c r="L4208" s="89"/>
      <c r="M4208" s="89"/>
      <c r="Q4208" s="105"/>
    </row>
    <row r="4209" spans="3:17" x14ac:dyDescent="0.3">
      <c r="C4209" s="87"/>
      <c r="H4209" s="86" t="e">
        <f>IF(I4209="fora",0%,G4209/QUÓRUM!$C$6)</f>
        <v>#DIV/0!</v>
      </c>
      <c r="I4209" s="87"/>
      <c r="J4209" s="88"/>
      <c r="K4209" s="88"/>
      <c r="L4209" s="89"/>
      <c r="M4209" s="89"/>
      <c r="Q4209" s="105"/>
    </row>
    <row r="4210" spans="3:17" x14ac:dyDescent="0.3">
      <c r="C4210" s="87"/>
      <c r="H4210" s="86" t="e">
        <f>IF(I4210="fora",0%,G4210/QUÓRUM!$C$6)</f>
        <v>#DIV/0!</v>
      </c>
      <c r="I4210" s="87"/>
      <c r="J4210" s="88"/>
      <c r="K4210" s="88"/>
      <c r="L4210" s="89"/>
      <c r="M4210" s="89"/>
      <c r="Q4210" s="105"/>
    </row>
    <row r="4211" spans="3:17" x14ac:dyDescent="0.3">
      <c r="C4211" s="87"/>
      <c r="H4211" s="86" t="e">
        <f>IF(I4211="fora",0%,G4211/QUÓRUM!$C$6)</f>
        <v>#DIV/0!</v>
      </c>
      <c r="I4211" s="87"/>
      <c r="J4211" s="88"/>
      <c r="K4211" s="88"/>
      <c r="L4211" s="89"/>
      <c r="M4211" s="89"/>
      <c r="Q4211" s="105"/>
    </row>
    <row r="4212" spans="3:17" x14ac:dyDescent="0.3">
      <c r="C4212" s="87"/>
      <c r="H4212" s="86" t="e">
        <f>IF(I4212="fora",0%,G4212/QUÓRUM!$C$6)</f>
        <v>#DIV/0!</v>
      </c>
      <c r="I4212" s="87"/>
      <c r="J4212" s="88"/>
      <c r="K4212" s="88"/>
      <c r="L4212" s="89"/>
      <c r="M4212" s="89"/>
      <c r="Q4212" s="105"/>
    </row>
    <row r="4213" spans="3:17" x14ac:dyDescent="0.3">
      <c r="C4213" s="87"/>
      <c r="H4213" s="86" t="e">
        <f>IF(I4213="fora",0%,G4213/QUÓRUM!$C$6)</f>
        <v>#DIV/0!</v>
      </c>
      <c r="I4213" s="87"/>
      <c r="J4213" s="88"/>
      <c r="K4213" s="88"/>
      <c r="L4213" s="89"/>
      <c r="M4213" s="89"/>
      <c r="Q4213" s="105"/>
    </row>
    <row r="4214" spans="3:17" x14ac:dyDescent="0.3">
      <c r="C4214" s="87"/>
      <c r="H4214" s="86" t="e">
        <f>IF(I4214="fora",0%,G4214/QUÓRUM!$C$6)</f>
        <v>#DIV/0!</v>
      </c>
      <c r="I4214" s="87"/>
      <c r="J4214" s="88"/>
      <c r="K4214" s="88"/>
      <c r="L4214" s="89"/>
      <c r="M4214" s="89"/>
      <c r="Q4214" s="105"/>
    </row>
    <row r="4215" spans="3:17" x14ac:dyDescent="0.3">
      <c r="C4215" s="87"/>
      <c r="H4215" s="86" t="e">
        <f>IF(I4215="fora",0%,G4215/QUÓRUM!$C$6)</f>
        <v>#DIV/0!</v>
      </c>
      <c r="I4215" s="87"/>
      <c r="J4215" s="88"/>
      <c r="K4215" s="88"/>
      <c r="L4215" s="89"/>
      <c r="M4215" s="89"/>
      <c r="Q4215" s="105"/>
    </row>
    <row r="4216" spans="3:17" x14ac:dyDescent="0.3">
      <c r="C4216" s="87"/>
      <c r="H4216" s="86" t="e">
        <f>IF(I4216="fora",0%,G4216/QUÓRUM!$C$6)</f>
        <v>#DIV/0!</v>
      </c>
      <c r="I4216" s="87"/>
      <c r="J4216" s="88"/>
      <c r="K4216" s="88"/>
      <c r="L4216" s="89"/>
      <c r="M4216" s="89"/>
      <c r="Q4216" s="105"/>
    </row>
    <row r="4217" spans="3:17" x14ac:dyDescent="0.3">
      <c r="C4217" s="87"/>
      <c r="H4217" s="86" t="e">
        <f>IF(I4217="fora",0%,G4217/QUÓRUM!$C$6)</f>
        <v>#DIV/0!</v>
      </c>
      <c r="I4217" s="87"/>
      <c r="J4217" s="88"/>
      <c r="K4217" s="88"/>
      <c r="L4217" s="89"/>
      <c r="M4217" s="89"/>
      <c r="Q4217" s="105"/>
    </row>
    <row r="4218" spans="3:17" x14ac:dyDescent="0.3">
      <c r="C4218" s="87"/>
      <c r="H4218" s="86" t="e">
        <f>IF(I4218="fora",0%,G4218/QUÓRUM!$C$6)</f>
        <v>#DIV/0!</v>
      </c>
      <c r="I4218" s="87"/>
      <c r="J4218" s="88"/>
      <c r="K4218" s="88"/>
      <c r="L4218" s="89"/>
      <c r="M4218" s="89"/>
      <c r="Q4218" s="105"/>
    </row>
    <row r="4219" spans="3:17" x14ac:dyDescent="0.3">
      <c r="C4219" s="87"/>
      <c r="H4219" s="86" t="e">
        <f>IF(I4219="fora",0%,G4219/QUÓRUM!$C$6)</f>
        <v>#DIV/0!</v>
      </c>
      <c r="I4219" s="87"/>
      <c r="J4219" s="88"/>
      <c r="K4219" s="88"/>
      <c r="L4219" s="89"/>
      <c r="M4219" s="89"/>
      <c r="Q4219" s="105"/>
    </row>
    <row r="4220" spans="3:17" x14ac:dyDescent="0.3">
      <c r="C4220" s="87"/>
      <c r="H4220" s="86" t="e">
        <f>IF(I4220="fora",0%,G4220/QUÓRUM!$C$6)</f>
        <v>#DIV/0!</v>
      </c>
      <c r="I4220" s="87"/>
      <c r="J4220" s="88"/>
      <c r="K4220" s="88"/>
      <c r="L4220" s="89"/>
      <c r="M4220" s="89"/>
      <c r="Q4220" s="105"/>
    </row>
    <row r="4221" spans="3:17" x14ac:dyDescent="0.3">
      <c r="C4221" s="87"/>
      <c r="H4221" s="86" t="e">
        <f>IF(I4221="fora",0%,G4221/QUÓRUM!$C$6)</f>
        <v>#DIV/0!</v>
      </c>
      <c r="I4221" s="87"/>
      <c r="J4221" s="88"/>
      <c r="K4221" s="88"/>
      <c r="L4221" s="89"/>
      <c r="M4221" s="89"/>
      <c r="Q4221" s="105"/>
    </row>
    <row r="4222" spans="3:17" x14ac:dyDescent="0.3">
      <c r="C4222" s="87"/>
      <c r="H4222" s="86" t="e">
        <f>IF(I4222="fora",0%,G4222/QUÓRUM!$C$6)</f>
        <v>#DIV/0!</v>
      </c>
      <c r="I4222" s="87"/>
      <c r="J4222" s="88"/>
      <c r="K4222" s="88"/>
      <c r="L4222" s="89"/>
      <c r="M4222" s="89"/>
      <c r="Q4222" s="105"/>
    </row>
    <row r="4223" spans="3:17" x14ac:dyDescent="0.3">
      <c r="C4223" s="87"/>
      <c r="H4223" s="86" t="e">
        <f>IF(I4223="fora",0%,G4223/QUÓRUM!$C$6)</f>
        <v>#DIV/0!</v>
      </c>
      <c r="I4223" s="87"/>
      <c r="J4223" s="88"/>
      <c r="K4223" s="88"/>
      <c r="L4223" s="89"/>
      <c r="M4223" s="89"/>
      <c r="Q4223" s="105"/>
    </row>
    <row r="4224" spans="3:17" x14ac:dyDescent="0.3">
      <c r="C4224" s="87"/>
      <c r="H4224" s="86" t="e">
        <f>IF(I4224="fora",0%,G4224/QUÓRUM!$C$6)</f>
        <v>#DIV/0!</v>
      </c>
      <c r="I4224" s="87"/>
      <c r="J4224" s="88"/>
      <c r="K4224" s="88"/>
      <c r="L4224" s="89"/>
      <c r="M4224" s="89"/>
      <c r="Q4224" s="105"/>
    </row>
    <row r="4225" spans="3:17" x14ac:dyDescent="0.3">
      <c r="C4225" s="87"/>
      <c r="H4225" s="86" t="e">
        <f>IF(I4225="fora",0%,G4225/QUÓRUM!$C$6)</f>
        <v>#DIV/0!</v>
      </c>
      <c r="I4225" s="87"/>
      <c r="J4225" s="88"/>
      <c r="K4225" s="88"/>
      <c r="L4225" s="89"/>
      <c r="M4225" s="89"/>
      <c r="Q4225" s="105"/>
    </row>
    <row r="4226" spans="3:17" x14ac:dyDescent="0.3">
      <c r="C4226" s="87"/>
      <c r="H4226" s="86" t="e">
        <f>IF(I4226="fora",0%,G4226/QUÓRUM!$C$6)</f>
        <v>#DIV/0!</v>
      </c>
      <c r="I4226" s="87"/>
      <c r="J4226" s="88"/>
      <c r="K4226" s="88"/>
      <c r="L4226" s="89"/>
      <c r="M4226" s="89"/>
      <c r="Q4226" s="105"/>
    </row>
    <row r="4227" spans="3:17" x14ac:dyDescent="0.3">
      <c r="C4227" s="87"/>
      <c r="H4227" s="86" t="e">
        <f>IF(I4227="fora",0%,G4227/QUÓRUM!$C$6)</f>
        <v>#DIV/0!</v>
      </c>
      <c r="I4227" s="87"/>
      <c r="J4227" s="88"/>
      <c r="K4227" s="88"/>
      <c r="L4227" s="89"/>
      <c r="M4227" s="89"/>
      <c r="Q4227" s="105"/>
    </row>
    <row r="4228" spans="3:17" x14ac:dyDescent="0.3">
      <c r="C4228" s="87"/>
      <c r="H4228" s="86" t="e">
        <f>IF(I4228="fora",0%,G4228/QUÓRUM!$C$6)</f>
        <v>#DIV/0!</v>
      </c>
      <c r="I4228" s="87"/>
      <c r="J4228" s="88"/>
      <c r="K4228" s="88"/>
      <c r="L4228" s="89"/>
      <c r="M4228" s="89"/>
      <c r="Q4228" s="105"/>
    </row>
    <row r="4229" spans="3:17" x14ac:dyDescent="0.3">
      <c r="C4229" s="87"/>
      <c r="H4229" s="86" t="e">
        <f>IF(I4229="fora",0%,G4229/QUÓRUM!$C$6)</f>
        <v>#DIV/0!</v>
      </c>
      <c r="I4229" s="87"/>
      <c r="J4229" s="88"/>
      <c r="K4229" s="88"/>
      <c r="L4229" s="89"/>
      <c r="M4229" s="89"/>
      <c r="Q4229" s="105"/>
    </row>
    <row r="4230" spans="3:17" x14ac:dyDescent="0.3">
      <c r="C4230" s="87"/>
      <c r="H4230" s="86" t="e">
        <f>IF(I4230="fora",0%,G4230/QUÓRUM!$C$6)</f>
        <v>#DIV/0!</v>
      </c>
      <c r="I4230" s="87"/>
      <c r="J4230" s="88"/>
      <c r="K4230" s="88"/>
      <c r="L4230" s="89"/>
      <c r="M4230" s="89"/>
      <c r="Q4230" s="105"/>
    </row>
    <row r="4231" spans="3:17" x14ac:dyDescent="0.3">
      <c r="C4231" s="87"/>
      <c r="H4231" s="86" t="e">
        <f>IF(I4231="fora",0%,G4231/QUÓRUM!$C$6)</f>
        <v>#DIV/0!</v>
      </c>
      <c r="I4231" s="87"/>
      <c r="J4231" s="88"/>
      <c r="K4231" s="88"/>
      <c r="L4231" s="89"/>
      <c r="M4231" s="89"/>
      <c r="Q4231" s="105"/>
    </row>
    <row r="4232" spans="3:17" x14ac:dyDescent="0.3">
      <c r="C4232" s="87"/>
      <c r="H4232" s="86" t="e">
        <f>IF(I4232="fora",0%,G4232/QUÓRUM!$C$6)</f>
        <v>#DIV/0!</v>
      </c>
      <c r="I4232" s="87"/>
      <c r="J4232" s="88"/>
      <c r="K4232" s="88"/>
      <c r="L4232" s="89"/>
      <c r="M4232" s="89"/>
      <c r="Q4232" s="105"/>
    </row>
    <row r="4233" spans="3:17" x14ac:dyDescent="0.3">
      <c r="C4233" s="87"/>
      <c r="H4233" s="86" t="e">
        <f>IF(I4233="fora",0%,G4233/QUÓRUM!$C$6)</f>
        <v>#DIV/0!</v>
      </c>
      <c r="I4233" s="87"/>
      <c r="J4233" s="88"/>
      <c r="K4233" s="88"/>
      <c r="L4233" s="89"/>
      <c r="M4233" s="89"/>
      <c r="Q4233" s="105"/>
    </row>
    <row r="4234" spans="3:17" x14ac:dyDescent="0.3">
      <c r="C4234" s="87"/>
      <c r="H4234" s="86" t="e">
        <f>IF(I4234="fora",0%,G4234/QUÓRUM!$C$6)</f>
        <v>#DIV/0!</v>
      </c>
      <c r="I4234" s="87"/>
      <c r="J4234" s="88"/>
      <c r="K4234" s="88"/>
      <c r="L4234" s="89"/>
      <c r="M4234" s="89"/>
      <c r="Q4234" s="105"/>
    </row>
    <row r="4235" spans="3:17" x14ac:dyDescent="0.3">
      <c r="C4235" s="87"/>
      <c r="H4235" s="86" t="e">
        <f>IF(I4235="fora",0%,G4235/QUÓRUM!$C$6)</f>
        <v>#DIV/0!</v>
      </c>
      <c r="I4235" s="87"/>
      <c r="J4235" s="88"/>
      <c r="K4235" s="88"/>
      <c r="L4235" s="89"/>
      <c r="M4235" s="89"/>
      <c r="Q4235" s="105"/>
    </row>
    <row r="4236" spans="3:17" x14ac:dyDescent="0.3">
      <c r="C4236" s="87"/>
      <c r="H4236" s="86" t="e">
        <f>IF(I4236="fora",0%,G4236/QUÓRUM!$C$6)</f>
        <v>#DIV/0!</v>
      </c>
      <c r="I4236" s="87"/>
      <c r="J4236" s="88"/>
      <c r="K4236" s="88"/>
      <c r="L4236" s="89"/>
      <c r="M4236" s="89"/>
      <c r="Q4236" s="105"/>
    </row>
    <row r="4237" spans="3:17" x14ac:dyDescent="0.3">
      <c r="C4237" s="87"/>
      <c r="H4237" s="86" t="e">
        <f>IF(I4237="fora",0%,G4237/QUÓRUM!$C$6)</f>
        <v>#DIV/0!</v>
      </c>
      <c r="I4237" s="87"/>
      <c r="J4237" s="88"/>
      <c r="K4237" s="88"/>
      <c r="L4237" s="89"/>
      <c r="M4237" s="89"/>
      <c r="Q4237" s="105"/>
    </row>
    <row r="4238" spans="3:17" x14ac:dyDescent="0.3">
      <c r="C4238" s="87"/>
      <c r="H4238" s="86" t="e">
        <f>IF(I4238="fora",0%,G4238/QUÓRUM!$C$6)</f>
        <v>#DIV/0!</v>
      </c>
      <c r="I4238" s="87"/>
      <c r="J4238" s="88"/>
      <c r="K4238" s="88"/>
      <c r="L4238" s="89"/>
      <c r="M4238" s="89"/>
      <c r="Q4238" s="105"/>
    </row>
    <row r="4239" spans="3:17" x14ac:dyDescent="0.3">
      <c r="C4239" s="87"/>
      <c r="H4239" s="86" t="e">
        <f>IF(I4239="fora",0%,G4239/QUÓRUM!$C$6)</f>
        <v>#DIV/0!</v>
      </c>
      <c r="I4239" s="87"/>
      <c r="J4239" s="88"/>
      <c r="K4239" s="88"/>
      <c r="L4239" s="89"/>
      <c r="M4239" s="89"/>
      <c r="Q4239" s="105"/>
    </row>
    <row r="4240" spans="3:17" x14ac:dyDescent="0.3">
      <c r="C4240" s="87"/>
      <c r="H4240" s="86" t="e">
        <f>IF(I4240="fora",0%,G4240/QUÓRUM!$C$6)</f>
        <v>#DIV/0!</v>
      </c>
      <c r="I4240" s="87"/>
      <c r="J4240" s="88"/>
      <c r="K4240" s="88"/>
      <c r="L4240" s="89"/>
      <c r="M4240" s="89"/>
      <c r="Q4240" s="105"/>
    </row>
    <row r="4241" spans="3:17" x14ac:dyDescent="0.3">
      <c r="C4241" s="87"/>
      <c r="H4241" s="86" t="e">
        <f>IF(I4241="fora",0%,G4241/QUÓRUM!$C$6)</f>
        <v>#DIV/0!</v>
      </c>
      <c r="I4241" s="87"/>
      <c r="J4241" s="88"/>
      <c r="K4241" s="88"/>
      <c r="L4241" s="89"/>
      <c r="M4241" s="89"/>
      <c r="Q4241" s="105"/>
    </row>
    <row r="4242" spans="3:17" x14ac:dyDescent="0.3">
      <c r="C4242" s="87"/>
      <c r="H4242" s="86" t="e">
        <f>IF(I4242="fora",0%,G4242/QUÓRUM!$C$6)</f>
        <v>#DIV/0!</v>
      </c>
      <c r="I4242" s="87"/>
      <c r="J4242" s="88"/>
      <c r="K4242" s="88"/>
      <c r="L4242" s="89"/>
      <c r="M4242" s="89"/>
      <c r="Q4242" s="105"/>
    </row>
    <row r="4243" spans="3:17" x14ac:dyDescent="0.3">
      <c r="C4243" s="87"/>
      <c r="H4243" s="86" t="e">
        <f>IF(I4243="fora",0%,G4243/QUÓRUM!$C$6)</f>
        <v>#DIV/0!</v>
      </c>
      <c r="I4243" s="87"/>
      <c r="J4243" s="88"/>
      <c r="K4243" s="88"/>
      <c r="L4243" s="89"/>
      <c r="M4243" s="89"/>
      <c r="Q4243" s="105"/>
    </row>
    <row r="4244" spans="3:17" x14ac:dyDescent="0.3">
      <c r="C4244" s="87"/>
      <c r="H4244" s="86" t="e">
        <f>IF(I4244="fora",0%,G4244/QUÓRUM!$C$6)</f>
        <v>#DIV/0!</v>
      </c>
      <c r="I4244" s="87"/>
      <c r="J4244" s="88"/>
      <c r="K4244" s="88"/>
      <c r="L4244" s="89"/>
      <c r="M4244" s="89"/>
      <c r="Q4244" s="105"/>
    </row>
    <row r="4245" spans="3:17" x14ac:dyDescent="0.3">
      <c r="C4245" s="87"/>
      <c r="H4245" s="86" t="e">
        <f>IF(I4245="fora",0%,G4245/QUÓRUM!$C$6)</f>
        <v>#DIV/0!</v>
      </c>
      <c r="I4245" s="87"/>
      <c r="J4245" s="88"/>
      <c r="K4245" s="88"/>
      <c r="L4245" s="89"/>
      <c r="M4245" s="89"/>
      <c r="Q4245" s="105"/>
    </row>
    <row r="4246" spans="3:17" x14ac:dyDescent="0.3">
      <c r="C4246" s="87"/>
      <c r="H4246" s="86" t="e">
        <f>IF(I4246="fora",0%,G4246/QUÓRUM!$C$6)</f>
        <v>#DIV/0!</v>
      </c>
      <c r="I4246" s="87"/>
      <c r="J4246" s="88"/>
      <c r="K4246" s="88"/>
      <c r="L4246" s="89"/>
      <c r="M4246" s="89"/>
      <c r="Q4246" s="105"/>
    </row>
    <row r="4247" spans="3:17" x14ac:dyDescent="0.3">
      <c r="C4247" s="87"/>
      <c r="H4247" s="86" t="e">
        <f>IF(I4247="fora",0%,G4247/QUÓRUM!$C$6)</f>
        <v>#DIV/0!</v>
      </c>
      <c r="I4247" s="87"/>
      <c r="J4247" s="88"/>
      <c r="K4247" s="88"/>
      <c r="L4247" s="89"/>
      <c r="M4247" s="89"/>
      <c r="Q4247" s="105"/>
    </row>
    <row r="4248" spans="3:17" x14ac:dyDescent="0.3">
      <c r="C4248" s="87"/>
      <c r="H4248" s="86" t="e">
        <f>IF(I4248="fora",0%,G4248/QUÓRUM!$C$6)</f>
        <v>#DIV/0!</v>
      </c>
      <c r="I4248" s="87"/>
      <c r="J4248" s="88"/>
      <c r="K4248" s="88"/>
      <c r="L4248" s="89"/>
      <c r="M4248" s="89"/>
      <c r="Q4248" s="105"/>
    </row>
    <row r="4249" spans="3:17" x14ac:dyDescent="0.3">
      <c r="C4249" s="87"/>
      <c r="H4249" s="86" t="e">
        <f>IF(I4249="fora",0%,G4249/QUÓRUM!$C$6)</f>
        <v>#DIV/0!</v>
      </c>
      <c r="I4249" s="87"/>
      <c r="J4249" s="88"/>
      <c r="K4249" s="88"/>
      <c r="L4249" s="89"/>
      <c r="M4249" s="89"/>
      <c r="Q4249" s="105"/>
    </row>
    <row r="4250" spans="3:17" x14ac:dyDescent="0.3">
      <c r="C4250" s="87"/>
      <c r="H4250" s="86" t="e">
        <f>IF(I4250="fora",0%,G4250/QUÓRUM!$C$6)</f>
        <v>#DIV/0!</v>
      </c>
      <c r="I4250" s="87"/>
      <c r="J4250" s="88"/>
      <c r="K4250" s="88"/>
      <c r="L4250" s="89"/>
      <c r="M4250" s="89"/>
      <c r="Q4250" s="105"/>
    </row>
    <row r="4251" spans="3:17" x14ac:dyDescent="0.3">
      <c r="C4251" s="87"/>
      <c r="H4251" s="86" t="e">
        <f>IF(I4251="fora",0%,G4251/QUÓRUM!$C$6)</f>
        <v>#DIV/0!</v>
      </c>
      <c r="I4251" s="87"/>
      <c r="J4251" s="88"/>
      <c r="K4251" s="88"/>
      <c r="L4251" s="89"/>
      <c r="M4251" s="89"/>
      <c r="Q4251" s="105"/>
    </row>
    <row r="4252" spans="3:17" x14ac:dyDescent="0.3">
      <c r="C4252" s="87"/>
      <c r="H4252" s="86" t="e">
        <f>IF(I4252="fora",0%,G4252/QUÓRUM!$C$6)</f>
        <v>#DIV/0!</v>
      </c>
      <c r="I4252" s="87"/>
      <c r="J4252" s="88"/>
      <c r="K4252" s="88"/>
      <c r="L4252" s="89"/>
      <c r="M4252" s="89"/>
      <c r="Q4252" s="105"/>
    </row>
    <row r="4253" spans="3:17" x14ac:dyDescent="0.3">
      <c r="C4253" s="87"/>
      <c r="H4253" s="86" t="e">
        <f>IF(I4253="fora",0%,G4253/QUÓRUM!$C$6)</f>
        <v>#DIV/0!</v>
      </c>
      <c r="I4253" s="87"/>
      <c r="J4253" s="88"/>
      <c r="K4253" s="88"/>
      <c r="L4253" s="89"/>
      <c r="M4253" s="89"/>
      <c r="Q4253" s="105"/>
    </row>
    <row r="4254" spans="3:17" x14ac:dyDescent="0.3">
      <c r="C4254" s="87"/>
      <c r="H4254" s="86" t="e">
        <f>IF(I4254="fora",0%,G4254/QUÓRUM!$C$6)</f>
        <v>#DIV/0!</v>
      </c>
      <c r="I4254" s="87"/>
      <c r="J4254" s="88"/>
      <c r="K4254" s="88"/>
      <c r="L4254" s="89"/>
      <c r="M4254" s="89"/>
      <c r="Q4254" s="105"/>
    </row>
    <row r="4255" spans="3:17" x14ac:dyDescent="0.3">
      <c r="C4255" s="87"/>
      <c r="H4255" s="86" t="e">
        <f>IF(I4255="fora",0%,G4255/QUÓRUM!$C$6)</f>
        <v>#DIV/0!</v>
      </c>
      <c r="I4255" s="87"/>
      <c r="J4255" s="88"/>
      <c r="K4255" s="88"/>
      <c r="L4255" s="89"/>
      <c r="M4255" s="89"/>
      <c r="Q4255" s="105"/>
    </row>
    <row r="4256" spans="3:17" x14ac:dyDescent="0.3">
      <c r="C4256" s="87"/>
      <c r="H4256" s="86" t="e">
        <f>IF(I4256="fora",0%,G4256/QUÓRUM!$C$6)</f>
        <v>#DIV/0!</v>
      </c>
      <c r="I4256" s="87"/>
      <c r="J4256" s="88"/>
      <c r="K4256" s="88"/>
      <c r="L4256" s="89"/>
      <c r="M4256" s="89"/>
      <c r="Q4256" s="105"/>
    </row>
    <row r="4257" spans="3:17" x14ac:dyDescent="0.3">
      <c r="C4257" s="87"/>
      <c r="H4257" s="86" t="e">
        <f>IF(I4257="fora",0%,G4257/QUÓRUM!$C$6)</f>
        <v>#DIV/0!</v>
      </c>
      <c r="I4257" s="87"/>
      <c r="J4257" s="88"/>
      <c r="K4257" s="88"/>
      <c r="L4257" s="89"/>
      <c r="M4257" s="89"/>
      <c r="Q4257" s="105"/>
    </row>
    <row r="4258" spans="3:17" x14ac:dyDescent="0.3">
      <c r="C4258" s="87"/>
      <c r="H4258" s="86" t="e">
        <f>IF(I4258="fora",0%,G4258/QUÓRUM!$C$6)</f>
        <v>#DIV/0!</v>
      </c>
      <c r="I4258" s="87"/>
      <c r="J4258" s="88"/>
      <c r="K4258" s="88"/>
      <c r="L4258" s="89"/>
      <c r="M4258" s="89"/>
      <c r="Q4258" s="105"/>
    </row>
    <row r="4259" spans="3:17" x14ac:dyDescent="0.3">
      <c r="C4259" s="87"/>
      <c r="H4259" s="86" t="e">
        <f>IF(I4259="fora",0%,G4259/QUÓRUM!$C$6)</f>
        <v>#DIV/0!</v>
      </c>
      <c r="I4259" s="87"/>
      <c r="J4259" s="88"/>
      <c r="K4259" s="88"/>
      <c r="L4259" s="89"/>
      <c r="M4259" s="89"/>
      <c r="Q4259" s="105"/>
    </row>
    <row r="4260" spans="3:17" x14ac:dyDescent="0.3">
      <c r="C4260" s="87"/>
      <c r="H4260" s="86" t="e">
        <f>IF(I4260="fora",0%,G4260/QUÓRUM!$C$6)</f>
        <v>#DIV/0!</v>
      </c>
      <c r="I4260" s="87"/>
      <c r="J4260" s="88"/>
      <c r="K4260" s="88"/>
      <c r="L4260" s="89"/>
      <c r="M4260" s="89"/>
      <c r="Q4260" s="105"/>
    </row>
    <row r="4261" spans="3:17" x14ac:dyDescent="0.3">
      <c r="C4261" s="87"/>
      <c r="H4261" s="86" t="e">
        <f>IF(I4261="fora",0%,G4261/QUÓRUM!$C$6)</f>
        <v>#DIV/0!</v>
      </c>
      <c r="I4261" s="87"/>
      <c r="J4261" s="88"/>
      <c r="K4261" s="88"/>
      <c r="L4261" s="89"/>
      <c r="M4261" s="89"/>
      <c r="Q4261" s="105"/>
    </row>
    <row r="4262" spans="3:17" x14ac:dyDescent="0.3">
      <c r="C4262" s="87"/>
      <c r="H4262" s="86" t="e">
        <f>IF(I4262="fora",0%,G4262/QUÓRUM!$C$6)</f>
        <v>#DIV/0!</v>
      </c>
      <c r="I4262" s="87"/>
      <c r="J4262" s="88"/>
      <c r="K4262" s="88"/>
      <c r="L4262" s="89"/>
      <c r="M4262" s="89"/>
      <c r="Q4262" s="105"/>
    </row>
    <row r="4263" spans="3:17" x14ac:dyDescent="0.3">
      <c r="C4263" s="87"/>
      <c r="H4263" s="86" t="e">
        <f>IF(I4263="fora",0%,G4263/QUÓRUM!$C$6)</f>
        <v>#DIV/0!</v>
      </c>
      <c r="I4263" s="87"/>
      <c r="J4263" s="88"/>
      <c r="K4263" s="88"/>
      <c r="L4263" s="89"/>
      <c r="M4263" s="89"/>
      <c r="Q4263" s="105"/>
    </row>
    <row r="4264" spans="3:17" x14ac:dyDescent="0.3">
      <c r="C4264" s="87"/>
      <c r="H4264" s="86" t="e">
        <f>IF(I4264="fora",0%,G4264/QUÓRUM!$C$6)</f>
        <v>#DIV/0!</v>
      </c>
      <c r="I4264" s="87"/>
      <c r="J4264" s="88"/>
      <c r="K4264" s="88"/>
      <c r="L4264" s="89"/>
      <c r="M4264" s="89"/>
      <c r="Q4264" s="105"/>
    </row>
    <row r="4265" spans="3:17" x14ac:dyDescent="0.3">
      <c r="C4265" s="87"/>
      <c r="H4265" s="86" t="e">
        <f>IF(I4265="fora",0%,G4265/QUÓRUM!$C$6)</f>
        <v>#DIV/0!</v>
      </c>
      <c r="I4265" s="87"/>
      <c r="J4265" s="88"/>
      <c r="K4265" s="88"/>
      <c r="L4265" s="89"/>
      <c r="M4265" s="89"/>
      <c r="Q4265" s="105"/>
    </row>
    <row r="4266" spans="3:17" x14ac:dyDescent="0.3">
      <c r="C4266" s="87"/>
      <c r="H4266" s="86" t="e">
        <f>IF(I4266="fora",0%,G4266/QUÓRUM!$C$6)</f>
        <v>#DIV/0!</v>
      </c>
      <c r="I4266" s="87"/>
      <c r="J4266" s="88"/>
      <c r="K4266" s="88"/>
      <c r="L4266" s="89"/>
      <c r="M4266" s="89"/>
      <c r="Q4266" s="105"/>
    </row>
    <row r="4267" spans="3:17" x14ac:dyDescent="0.3">
      <c r="C4267" s="87"/>
      <c r="H4267" s="86" t="e">
        <f>IF(I4267="fora",0%,G4267/QUÓRUM!$C$6)</f>
        <v>#DIV/0!</v>
      </c>
      <c r="I4267" s="87"/>
      <c r="J4267" s="88"/>
      <c r="K4267" s="88"/>
      <c r="L4267" s="89"/>
      <c r="M4267" s="89"/>
      <c r="Q4267" s="105"/>
    </row>
    <row r="4268" spans="3:17" x14ac:dyDescent="0.3">
      <c r="C4268" s="87"/>
      <c r="H4268" s="86" t="e">
        <f>IF(I4268="fora",0%,G4268/QUÓRUM!$C$6)</f>
        <v>#DIV/0!</v>
      </c>
      <c r="I4268" s="87"/>
      <c r="J4268" s="88"/>
      <c r="K4268" s="88"/>
      <c r="L4268" s="89"/>
      <c r="M4268" s="89"/>
      <c r="Q4268" s="105"/>
    </row>
    <row r="4269" spans="3:17" x14ac:dyDescent="0.3">
      <c r="C4269" s="87"/>
      <c r="H4269" s="86" t="e">
        <f>IF(I4269="fora",0%,G4269/QUÓRUM!$C$6)</f>
        <v>#DIV/0!</v>
      </c>
      <c r="I4269" s="87"/>
      <c r="J4269" s="88"/>
      <c r="K4269" s="88"/>
      <c r="L4269" s="89"/>
      <c r="M4269" s="89"/>
      <c r="Q4269" s="105"/>
    </row>
    <row r="4270" spans="3:17" x14ac:dyDescent="0.3">
      <c r="C4270" s="87"/>
      <c r="H4270" s="86" t="e">
        <f>IF(I4270="fora",0%,G4270/QUÓRUM!$C$6)</f>
        <v>#DIV/0!</v>
      </c>
      <c r="I4270" s="87"/>
      <c r="J4270" s="88"/>
      <c r="K4270" s="88"/>
      <c r="L4270" s="89"/>
      <c r="M4270" s="89"/>
      <c r="Q4270" s="105"/>
    </row>
    <row r="4271" spans="3:17" x14ac:dyDescent="0.3">
      <c r="C4271" s="87"/>
      <c r="H4271" s="86" t="e">
        <f>IF(I4271="fora",0%,G4271/QUÓRUM!$C$6)</f>
        <v>#DIV/0!</v>
      </c>
      <c r="I4271" s="87"/>
      <c r="J4271" s="88"/>
      <c r="K4271" s="88"/>
      <c r="L4271" s="89"/>
      <c r="M4271" s="89"/>
      <c r="Q4271" s="105"/>
    </row>
    <row r="4272" spans="3:17" x14ac:dyDescent="0.3">
      <c r="C4272" s="87"/>
      <c r="H4272" s="86" t="e">
        <f>IF(I4272="fora",0%,G4272/QUÓRUM!$C$6)</f>
        <v>#DIV/0!</v>
      </c>
      <c r="I4272" s="87"/>
      <c r="J4272" s="88"/>
      <c r="K4272" s="88"/>
      <c r="L4272" s="89"/>
      <c r="M4272" s="89"/>
      <c r="Q4272" s="105"/>
    </row>
    <row r="4273" spans="3:17" x14ac:dyDescent="0.3">
      <c r="C4273" s="87"/>
      <c r="H4273" s="86" t="e">
        <f>IF(I4273="fora",0%,G4273/QUÓRUM!$C$6)</f>
        <v>#DIV/0!</v>
      </c>
      <c r="I4273" s="87"/>
      <c r="J4273" s="88"/>
      <c r="K4273" s="88"/>
      <c r="L4273" s="89"/>
      <c r="M4273" s="89"/>
      <c r="Q4273" s="105"/>
    </row>
    <row r="4274" spans="3:17" x14ac:dyDescent="0.3">
      <c r="C4274" s="87"/>
      <c r="H4274" s="86" t="e">
        <f>IF(I4274="fora",0%,G4274/QUÓRUM!$C$6)</f>
        <v>#DIV/0!</v>
      </c>
      <c r="I4274" s="87"/>
      <c r="J4274" s="88"/>
      <c r="K4274" s="88"/>
      <c r="L4274" s="89"/>
      <c r="M4274" s="89"/>
      <c r="Q4274" s="105"/>
    </row>
    <row r="4275" spans="3:17" x14ac:dyDescent="0.3">
      <c r="C4275" s="87"/>
      <c r="H4275" s="86" t="e">
        <f>IF(I4275="fora",0%,G4275/QUÓRUM!$C$6)</f>
        <v>#DIV/0!</v>
      </c>
      <c r="I4275" s="87"/>
      <c r="J4275" s="88"/>
      <c r="K4275" s="88"/>
      <c r="L4275" s="89"/>
      <c r="M4275" s="89"/>
      <c r="Q4275" s="105"/>
    </row>
    <row r="4276" spans="3:17" x14ac:dyDescent="0.3">
      <c r="C4276" s="87"/>
      <c r="H4276" s="86" t="e">
        <f>IF(I4276="fora",0%,G4276/QUÓRUM!$C$6)</f>
        <v>#DIV/0!</v>
      </c>
      <c r="I4276" s="87"/>
      <c r="J4276" s="88"/>
      <c r="K4276" s="88"/>
      <c r="L4276" s="89"/>
      <c r="M4276" s="89"/>
      <c r="Q4276" s="105"/>
    </row>
    <row r="4277" spans="3:17" x14ac:dyDescent="0.3">
      <c r="C4277" s="87"/>
      <c r="H4277" s="86" t="e">
        <f>IF(I4277="fora",0%,G4277/QUÓRUM!$C$6)</f>
        <v>#DIV/0!</v>
      </c>
      <c r="I4277" s="87"/>
      <c r="J4277" s="88"/>
      <c r="K4277" s="88"/>
      <c r="L4277" s="89"/>
      <c r="M4277" s="89"/>
      <c r="Q4277" s="105"/>
    </row>
    <row r="4278" spans="3:17" x14ac:dyDescent="0.3">
      <c r="C4278" s="87"/>
      <c r="H4278" s="86" t="e">
        <f>IF(I4278="fora",0%,G4278/QUÓRUM!$C$6)</f>
        <v>#DIV/0!</v>
      </c>
      <c r="I4278" s="87"/>
      <c r="J4278" s="88"/>
      <c r="K4278" s="88"/>
      <c r="L4278" s="89"/>
      <c r="M4278" s="89"/>
      <c r="Q4278" s="105"/>
    </row>
    <row r="4279" spans="3:17" x14ac:dyDescent="0.3">
      <c r="C4279" s="87"/>
      <c r="H4279" s="86" t="e">
        <f>IF(I4279="fora",0%,G4279/QUÓRUM!$C$6)</f>
        <v>#DIV/0!</v>
      </c>
      <c r="I4279" s="87"/>
      <c r="J4279" s="88"/>
      <c r="K4279" s="88"/>
      <c r="L4279" s="89"/>
      <c r="M4279" s="89"/>
      <c r="Q4279" s="105"/>
    </row>
    <row r="4280" spans="3:17" x14ac:dyDescent="0.3">
      <c r="C4280" s="87"/>
      <c r="H4280" s="86" t="e">
        <f>IF(I4280="fora",0%,G4280/QUÓRUM!$C$6)</f>
        <v>#DIV/0!</v>
      </c>
      <c r="I4280" s="87"/>
      <c r="J4280" s="88"/>
      <c r="K4280" s="88"/>
      <c r="L4280" s="89"/>
      <c r="M4280" s="89"/>
      <c r="Q4280" s="105"/>
    </row>
    <row r="4281" spans="3:17" x14ac:dyDescent="0.3">
      <c r="C4281" s="87"/>
      <c r="H4281" s="86" t="e">
        <f>IF(I4281="fora",0%,G4281/QUÓRUM!$C$6)</f>
        <v>#DIV/0!</v>
      </c>
      <c r="I4281" s="87"/>
      <c r="J4281" s="88"/>
      <c r="K4281" s="88"/>
      <c r="L4281" s="89"/>
      <c r="M4281" s="89"/>
      <c r="Q4281" s="105"/>
    </row>
    <row r="4282" spans="3:17" x14ac:dyDescent="0.3">
      <c r="C4282" s="87"/>
      <c r="H4282" s="86" t="e">
        <f>IF(I4282="fora",0%,G4282/QUÓRUM!$C$6)</f>
        <v>#DIV/0!</v>
      </c>
      <c r="I4282" s="87"/>
      <c r="J4282" s="88"/>
      <c r="K4282" s="88"/>
      <c r="L4282" s="89"/>
      <c r="M4282" s="89"/>
      <c r="Q4282" s="105"/>
    </row>
    <row r="4283" spans="3:17" x14ac:dyDescent="0.3">
      <c r="C4283" s="87"/>
      <c r="H4283" s="86" t="e">
        <f>IF(I4283="fora",0%,G4283/QUÓRUM!$C$6)</f>
        <v>#DIV/0!</v>
      </c>
      <c r="I4283" s="87"/>
      <c r="J4283" s="88"/>
      <c r="K4283" s="88"/>
      <c r="L4283" s="89"/>
      <c r="M4283" s="89"/>
      <c r="Q4283" s="105"/>
    </row>
    <row r="4284" spans="3:17" x14ac:dyDescent="0.3">
      <c r="C4284" s="87"/>
      <c r="H4284" s="86" t="e">
        <f>IF(I4284="fora",0%,G4284/QUÓRUM!$C$6)</f>
        <v>#DIV/0!</v>
      </c>
      <c r="I4284" s="87"/>
      <c r="J4284" s="88"/>
      <c r="K4284" s="88"/>
      <c r="L4284" s="89"/>
      <c r="M4284" s="89"/>
      <c r="Q4284" s="105"/>
    </row>
    <row r="4285" spans="3:17" x14ac:dyDescent="0.3">
      <c r="C4285" s="87"/>
      <c r="H4285" s="86" t="e">
        <f>IF(I4285="fora",0%,G4285/QUÓRUM!$C$6)</f>
        <v>#DIV/0!</v>
      </c>
      <c r="I4285" s="87"/>
      <c r="J4285" s="88"/>
      <c r="K4285" s="88"/>
      <c r="L4285" s="89"/>
      <c r="M4285" s="89"/>
      <c r="Q4285" s="105"/>
    </row>
    <row r="4286" spans="3:17" x14ac:dyDescent="0.3">
      <c r="C4286" s="87"/>
      <c r="H4286" s="86" t="e">
        <f>IF(I4286="fora",0%,G4286/QUÓRUM!$C$6)</f>
        <v>#DIV/0!</v>
      </c>
      <c r="I4286" s="87"/>
      <c r="J4286" s="88"/>
      <c r="K4286" s="88"/>
      <c r="L4286" s="89"/>
      <c r="M4286" s="89"/>
      <c r="Q4286" s="105"/>
    </row>
    <row r="4287" spans="3:17" x14ac:dyDescent="0.3">
      <c r="C4287" s="87"/>
      <c r="H4287" s="86" t="e">
        <f>IF(I4287="fora",0%,G4287/QUÓRUM!$C$6)</f>
        <v>#DIV/0!</v>
      </c>
      <c r="I4287" s="87"/>
      <c r="J4287" s="88"/>
      <c r="K4287" s="88"/>
      <c r="L4287" s="89"/>
      <c r="M4287" s="89"/>
      <c r="Q4287" s="105"/>
    </row>
    <row r="4288" spans="3:17" x14ac:dyDescent="0.3">
      <c r="C4288" s="87"/>
      <c r="H4288" s="86" t="e">
        <f>IF(I4288="fora",0%,G4288/QUÓRUM!$C$6)</f>
        <v>#DIV/0!</v>
      </c>
      <c r="I4288" s="87"/>
      <c r="J4288" s="88"/>
      <c r="K4288" s="88"/>
      <c r="L4288" s="89"/>
      <c r="M4288" s="89"/>
      <c r="Q4288" s="105"/>
    </row>
    <row r="4289" spans="3:17" x14ac:dyDescent="0.3">
      <c r="C4289" s="87"/>
      <c r="H4289" s="86" t="e">
        <f>IF(I4289="fora",0%,G4289/QUÓRUM!$C$6)</f>
        <v>#DIV/0!</v>
      </c>
      <c r="I4289" s="87"/>
      <c r="J4289" s="88"/>
      <c r="K4289" s="88"/>
      <c r="L4289" s="89"/>
      <c r="M4289" s="89"/>
      <c r="Q4289" s="105"/>
    </row>
    <row r="4290" spans="3:17" x14ac:dyDescent="0.3">
      <c r="C4290" s="87"/>
      <c r="H4290" s="86" t="e">
        <f>IF(I4290="fora",0%,G4290/QUÓRUM!$C$6)</f>
        <v>#DIV/0!</v>
      </c>
      <c r="I4290" s="87"/>
      <c r="J4290" s="88"/>
      <c r="K4290" s="88"/>
      <c r="L4290" s="89"/>
      <c r="M4290" s="89"/>
      <c r="Q4290" s="105"/>
    </row>
    <row r="4291" spans="3:17" x14ac:dyDescent="0.3">
      <c r="C4291" s="87"/>
      <c r="H4291" s="86" t="e">
        <f>IF(I4291="fora",0%,G4291/QUÓRUM!$C$6)</f>
        <v>#DIV/0!</v>
      </c>
      <c r="I4291" s="87"/>
      <c r="J4291" s="88"/>
      <c r="K4291" s="88"/>
      <c r="L4291" s="89"/>
      <c r="M4291" s="89"/>
      <c r="Q4291" s="105"/>
    </row>
    <row r="4292" spans="3:17" x14ac:dyDescent="0.3">
      <c r="C4292" s="87"/>
      <c r="H4292" s="86" t="e">
        <f>IF(I4292="fora",0%,G4292/QUÓRUM!$C$6)</f>
        <v>#DIV/0!</v>
      </c>
      <c r="I4292" s="87"/>
      <c r="J4292" s="88"/>
      <c r="K4292" s="88"/>
      <c r="L4292" s="89"/>
      <c r="M4292" s="89"/>
      <c r="Q4292" s="105"/>
    </row>
    <row r="4293" spans="3:17" x14ac:dyDescent="0.3">
      <c r="C4293" s="87"/>
      <c r="H4293" s="86" t="e">
        <f>IF(I4293="fora",0%,G4293/QUÓRUM!$C$6)</f>
        <v>#DIV/0!</v>
      </c>
      <c r="I4293" s="87"/>
      <c r="J4293" s="88"/>
      <c r="K4293" s="88"/>
      <c r="L4293" s="89"/>
      <c r="M4293" s="89"/>
      <c r="Q4293" s="105"/>
    </row>
    <row r="4294" spans="3:17" x14ac:dyDescent="0.3">
      <c r="C4294" s="87"/>
      <c r="H4294" s="86" t="e">
        <f>IF(I4294="fora",0%,G4294/QUÓRUM!$C$6)</f>
        <v>#DIV/0!</v>
      </c>
      <c r="I4294" s="87"/>
      <c r="J4294" s="88"/>
      <c r="K4294" s="88"/>
      <c r="L4294" s="89"/>
      <c r="M4294" s="89"/>
      <c r="Q4294" s="105"/>
    </row>
    <row r="4295" spans="3:17" x14ac:dyDescent="0.3">
      <c r="C4295" s="87"/>
      <c r="H4295" s="86" t="e">
        <f>IF(I4295="fora",0%,G4295/QUÓRUM!$C$6)</f>
        <v>#DIV/0!</v>
      </c>
      <c r="I4295" s="87"/>
      <c r="J4295" s="88"/>
      <c r="K4295" s="88"/>
      <c r="L4295" s="89"/>
      <c r="M4295" s="89"/>
      <c r="Q4295" s="105"/>
    </row>
    <row r="4296" spans="3:17" x14ac:dyDescent="0.3">
      <c r="C4296" s="87"/>
      <c r="H4296" s="86" t="e">
        <f>IF(I4296="fora",0%,G4296/QUÓRUM!$C$6)</f>
        <v>#DIV/0!</v>
      </c>
      <c r="I4296" s="87"/>
      <c r="J4296" s="88"/>
      <c r="K4296" s="88"/>
      <c r="L4296" s="89"/>
      <c r="M4296" s="89"/>
      <c r="Q4296" s="105"/>
    </row>
    <row r="4297" spans="3:17" x14ac:dyDescent="0.3">
      <c r="C4297" s="87"/>
      <c r="H4297" s="86" t="e">
        <f>IF(I4297="fora",0%,G4297/QUÓRUM!$C$6)</f>
        <v>#DIV/0!</v>
      </c>
      <c r="I4297" s="87"/>
      <c r="J4297" s="88"/>
      <c r="K4297" s="88"/>
      <c r="L4297" s="89"/>
      <c r="M4297" s="89"/>
      <c r="Q4297" s="105"/>
    </row>
    <row r="4298" spans="3:17" x14ac:dyDescent="0.3">
      <c r="C4298" s="87"/>
      <c r="H4298" s="86" t="e">
        <f>IF(I4298="fora",0%,G4298/QUÓRUM!$C$6)</f>
        <v>#DIV/0!</v>
      </c>
      <c r="I4298" s="87"/>
      <c r="J4298" s="88"/>
      <c r="K4298" s="88"/>
      <c r="L4298" s="89"/>
      <c r="M4298" s="89"/>
      <c r="Q4298" s="105"/>
    </row>
    <row r="4299" spans="3:17" x14ac:dyDescent="0.3">
      <c r="C4299" s="87"/>
      <c r="H4299" s="86" t="e">
        <f>IF(I4299="fora",0%,G4299/QUÓRUM!$C$6)</f>
        <v>#DIV/0!</v>
      </c>
      <c r="I4299" s="87"/>
      <c r="J4299" s="88"/>
      <c r="K4299" s="88"/>
      <c r="L4299" s="89"/>
      <c r="M4299" s="89"/>
      <c r="Q4299" s="105"/>
    </row>
    <row r="4300" spans="3:17" x14ac:dyDescent="0.3">
      <c r="C4300" s="87"/>
      <c r="H4300" s="86" t="e">
        <f>IF(I4300="fora",0%,G4300/QUÓRUM!$C$6)</f>
        <v>#DIV/0!</v>
      </c>
      <c r="I4300" s="87"/>
      <c r="J4300" s="88"/>
      <c r="K4300" s="88"/>
      <c r="L4300" s="89"/>
      <c r="M4300" s="89"/>
      <c r="Q4300" s="105"/>
    </row>
    <row r="4301" spans="3:17" x14ac:dyDescent="0.3">
      <c r="C4301" s="87"/>
      <c r="H4301" s="86" t="e">
        <f>IF(I4301="fora",0%,G4301/QUÓRUM!$C$6)</f>
        <v>#DIV/0!</v>
      </c>
      <c r="I4301" s="87"/>
      <c r="J4301" s="88"/>
      <c r="K4301" s="88"/>
      <c r="L4301" s="89"/>
      <c r="M4301" s="89"/>
      <c r="Q4301" s="105"/>
    </row>
    <row r="4302" spans="3:17" x14ac:dyDescent="0.3">
      <c r="C4302" s="87"/>
      <c r="H4302" s="86" t="e">
        <f>IF(I4302="fora",0%,G4302/QUÓRUM!$C$6)</f>
        <v>#DIV/0!</v>
      </c>
      <c r="I4302" s="87"/>
      <c r="J4302" s="88"/>
      <c r="K4302" s="88"/>
      <c r="L4302" s="89"/>
      <c r="M4302" s="89"/>
      <c r="Q4302" s="105"/>
    </row>
    <row r="4303" spans="3:17" x14ac:dyDescent="0.3">
      <c r="C4303" s="87"/>
      <c r="H4303" s="86" t="e">
        <f>IF(I4303="fora",0%,G4303/QUÓRUM!$C$6)</f>
        <v>#DIV/0!</v>
      </c>
      <c r="I4303" s="87"/>
      <c r="J4303" s="88"/>
      <c r="K4303" s="88"/>
      <c r="L4303" s="89"/>
      <c r="M4303" s="89"/>
      <c r="Q4303" s="105"/>
    </row>
    <row r="4304" spans="3:17" x14ac:dyDescent="0.3">
      <c r="C4304" s="87"/>
      <c r="H4304" s="86" t="e">
        <f>IF(I4304="fora",0%,G4304/QUÓRUM!$C$6)</f>
        <v>#DIV/0!</v>
      </c>
      <c r="I4304" s="87"/>
      <c r="J4304" s="88"/>
      <c r="K4304" s="88"/>
      <c r="L4304" s="89"/>
      <c r="M4304" s="89"/>
      <c r="Q4304" s="105"/>
    </row>
    <row r="4305" spans="3:17" x14ac:dyDescent="0.3">
      <c r="C4305" s="87"/>
      <c r="H4305" s="86" t="e">
        <f>IF(I4305="fora",0%,G4305/QUÓRUM!$C$6)</f>
        <v>#DIV/0!</v>
      </c>
      <c r="I4305" s="87"/>
      <c r="J4305" s="88"/>
      <c r="K4305" s="88"/>
      <c r="L4305" s="89"/>
      <c r="M4305" s="89"/>
      <c r="Q4305" s="105"/>
    </row>
    <row r="4306" spans="3:17" x14ac:dyDescent="0.3">
      <c r="C4306" s="87"/>
      <c r="H4306" s="86" t="e">
        <f>IF(I4306="fora",0%,G4306/QUÓRUM!$C$6)</f>
        <v>#DIV/0!</v>
      </c>
      <c r="I4306" s="87"/>
      <c r="J4306" s="88"/>
      <c r="K4306" s="88"/>
      <c r="L4306" s="89"/>
      <c r="M4306" s="89"/>
      <c r="Q4306" s="105"/>
    </row>
    <row r="4307" spans="3:17" x14ac:dyDescent="0.3">
      <c r="C4307" s="87"/>
      <c r="H4307" s="86" t="e">
        <f>IF(I4307="fora",0%,G4307/QUÓRUM!$C$6)</f>
        <v>#DIV/0!</v>
      </c>
      <c r="I4307" s="87"/>
      <c r="J4307" s="88"/>
      <c r="K4307" s="88"/>
      <c r="L4307" s="89"/>
      <c r="M4307" s="89"/>
      <c r="Q4307" s="105"/>
    </row>
    <row r="4308" spans="3:17" x14ac:dyDescent="0.3">
      <c r="C4308" s="87"/>
      <c r="H4308" s="86" t="e">
        <f>IF(I4308="fora",0%,G4308/QUÓRUM!$C$6)</f>
        <v>#DIV/0!</v>
      </c>
      <c r="I4308" s="87"/>
      <c r="J4308" s="88"/>
      <c r="K4308" s="88"/>
      <c r="L4308" s="89"/>
      <c r="M4308" s="89"/>
      <c r="Q4308" s="105"/>
    </row>
    <row r="4309" spans="3:17" x14ac:dyDescent="0.3">
      <c r="C4309" s="87"/>
      <c r="H4309" s="86" t="e">
        <f>IF(I4309="fora",0%,G4309/QUÓRUM!$C$6)</f>
        <v>#DIV/0!</v>
      </c>
      <c r="I4309" s="87"/>
      <c r="J4309" s="88"/>
      <c r="K4309" s="88"/>
      <c r="L4309" s="89"/>
      <c r="M4309" s="89"/>
      <c r="Q4309" s="105"/>
    </row>
    <row r="4310" spans="3:17" x14ac:dyDescent="0.3">
      <c r="C4310" s="87"/>
      <c r="H4310" s="86" t="e">
        <f>IF(I4310="fora",0%,G4310/QUÓRUM!$C$6)</f>
        <v>#DIV/0!</v>
      </c>
      <c r="I4310" s="87"/>
      <c r="J4310" s="88"/>
      <c r="K4310" s="88"/>
      <c r="L4310" s="89"/>
      <c r="M4310" s="89"/>
      <c r="Q4310" s="105"/>
    </row>
    <row r="4311" spans="3:17" x14ac:dyDescent="0.3">
      <c r="C4311" s="87"/>
      <c r="H4311" s="86" t="e">
        <f>IF(I4311="fora",0%,G4311/QUÓRUM!$C$6)</f>
        <v>#DIV/0!</v>
      </c>
      <c r="I4311" s="87"/>
      <c r="J4311" s="88"/>
      <c r="K4311" s="88"/>
      <c r="L4311" s="89"/>
      <c r="M4311" s="89"/>
      <c r="Q4311" s="105"/>
    </row>
    <row r="4312" spans="3:17" x14ac:dyDescent="0.3">
      <c r="C4312" s="87"/>
      <c r="H4312" s="86" t="e">
        <f>IF(I4312="fora",0%,G4312/QUÓRUM!$C$6)</f>
        <v>#DIV/0!</v>
      </c>
      <c r="I4312" s="87"/>
      <c r="J4312" s="88"/>
      <c r="K4312" s="88"/>
      <c r="L4312" s="89"/>
      <c r="M4312" s="89"/>
      <c r="Q4312" s="105"/>
    </row>
    <row r="4313" spans="3:17" x14ac:dyDescent="0.3">
      <c r="C4313" s="87"/>
      <c r="H4313" s="86" t="e">
        <f>IF(I4313="fora",0%,G4313/QUÓRUM!$C$6)</f>
        <v>#DIV/0!</v>
      </c>
      <c r="I4313" s="87"/>
      <c r="J4313" s="88"/>
      <c r="K4313" s="88"/>
      <c r="L4313" s="89"/>
      <c r="M4313" s="89"/>
      <c r="Q4313" s="105"/>
    </row>
    <row r="4314" spans="3:17" x14ac:dyDescent="0.3">
      <c r="C4314" s="87"/>
      <c r="H4314" s="86" t="e">
        <f>IF(I4314="fora",0%,G4314/QUÓRUM!$C$6)</f>
        <v>#DIV/0!</v>
      </c>
      <c r="I4314" s="87"/>
      <c r="J4314" s="88"/>
      <c r="K4314" s="88"/>
      <c r="L4314" s="89"/>
      <c r="M4314" s="89"/>
      <c r="Q4314" s="105"/>
    </row>
    <row r="4315" spans="3:17" x14ac:dyDescent="0.3">
      <c r="C4315" s="87"/>
      <c r="H4315" s="86" t="e">
        <f>IF(I4315="fora",0%,G4315/QUÓRUM!$C$6)</f>
        <v>#DIV/0!</v>
      </c>
      <c r="I4315" s="87"/>
      <c r="J4315" s="88"/>
      <c r="K4315" s="88"/>
      <c r="L4315" s="89"/>
      <c r="M4315" s="89"/>
      <c r="Q4315" s="105"/>
    </row>
    <row r="4316" spans="3:17" x14ac:dyDescent="0.3">
      <c r="C4316" s="87"/>
      <c r="H4316" s="86" t="e">
        <f>IF(I4316="fora",0%,G4316/QUÓRUM!$C$6)</f>
        <v>#DIV/0!</v>
      </c>
      <c r="I4316" s="87"/>
      <c r="J4316" s="88"/>
      <c r="K4316" s="88"/>
      <c r="L4316" s="89"/>
      <c r="M4316" s="89"/>
      <c r="Q4316" s="105"/>
    </row>
    <row r="4317" spans="3:17" x14ac:dyDescent="0.3">
      <c r="C4317" s="87"/>
      <c r="H4317" s="86" t="e">
        <f>IF(I4317="fora",0%,G4317/QUÓRUM!$C$6)</f>
        <v>#DIV/0!</v>
      </c>
      <c r="I4317" s="87"/>
      <c r="J4317" s="88"/>
      <c r="K4317" s="88"/>
      <c r="L4317" s="89"/>
      <c r="M4317" s="89"/>
      <c r="Q4317" s="105"/>
    </row>
    <row r="4318" spans="3:17" x14ac:dyDescent="0.3">
      <c r="C4318" s="87"/>
      <c r="H4318" s="86" t="e">
        <f>IF(I4318="fora",0%,G4318/QUÓRUM!$C$6)</f>
        <v>#DIV/0!</v>
      </c>
      <c r="I4318" s="87"/>
      <c r="J4318" s="88"/>
      <c r="K4318" s="88"/>
      <c r="L4318" s="89"/>
      <c r="M4318" s="89"/>
      <c r="Q4318" s="105"/>
    </row>
    <row r="4319" spans="3:17" x14ac:dyDescent="0.3">
      <c r="C4319" s="87"/>
      <c r="H4319" s="86" t="e">
        <f>IF(I4319="fora",0%,G4319/QUÓRUM!$C$6)</f>
        <v>#DIV/0!</v>
      </c>
      <c r="I4319" s="87"/>
      <c r="J4319" s="88"/>
      <c r="K4319" s="88"/>
      <c r="L4319" s="89"/>
      <c r="M4319" s="89"/>
      <c r="Q4319" s="105"/>
    </row>
    <row r="4320" spans="3:17" x14ac:dyDescent="0.3">
      <c r="C4320" s="87"/>
      <c r="H4320" s="86" t="e">
        <f>IF(I4320="fora",0%,G4320/QUÓRUM!$C$6)</f>
        <v>#DIV/0!</v>
      </c>
      <c r="I4320" s="87"/>
      <c r="J4320" s="88"/>
      <c r="K4320" s="88"/>
      <c r="L4320" s="89"/>
      <c r="M4320" s="89"/>
      <c r="Q4320" s="105"/>
    </row>
    <row r="4321" spans="3:17" x14ac:dyDescent="0.3">
      <c r="C4321" s="87"/>
      <c r="H4321" s="86" t="e">
        <f>IF(I4321="fora",0%,G4321/QUÓRUM!$C$6)</f>
        <v>#DIV/0!</v>
      </c>
      <c r="I4321" s="87"/>
      <c r="J4321" s="88"/>
      <c r="K4321" s="88"/>
      <c r="L4321" s="89"/>
      <c r="M4321" s="89"/>
      <c r="Q4321" s="105"/>
    </row>
    <row r="4322" spans="3:17" x14ac:dyDescent="0.3">
      <c r="C4322" s="87"/>
      <c r="H4322" s="86" t="e">
        <f>IF(I4322="fora",0%,G4322/QUÓRUM!$C$6)</f>
        <v>#DIV/0!</v>
      </c>
      <c r="I4322" s="87"/>
      <c r="J4322" s="88"/>
      <c r="K4322" s="88"/>
      <c r="L4322" s="89"/>
      <c r="M4322" s="89"/>
      <c r="Q4322" s="105"/>
    </row>
    <row r="4323" spans="3:17" x14ac:dyDescent="0.3">
      <c r="C4323" s="87"/>
      <c r="H4323" s="86" t="e">
        <f>IF(I4323="fora",0%,G4323/QUÓRUM!$C$6)</f>
        <v>#DIV/0!</v>
      </c>
      <c r="I4323" s="87"/>
      <c r="J4323" s="88"/>
      <c r="K4323" s="88"/>
      <c r="L4323" s="89"/>
      <c r="M4323" s="89"/>
      <c r="Q4323" s="105"/>
    </row>
    <row r="4324" spans="3:17" x14ac:dyDescent="0.3">
      <c r="C4324" s="87"/>
      <c r="H4324" s="86" t="e">
        <f>IF(I4324="fora",0%,G4324/QUÓRUM!$C$6)</f>
        <v>#DIV/0!</v>
      </c>
      <c r="I4324" s="87"/>
      <c r="J4324" s="88"/>
      <c r="K4324" s="88"/>
      <c r="L4324" s="89"/>
      <c r="M4324" s="89"/>
      <c r="Q4324" s="105"/>
    </row>
    <row r="4325" spans="3:17" x14ac:dyDescent="0.3">
      <c r="C4325" s="87"/>
      <c r="H4325" s="86" t="e">
        <f>IF(I4325="fora",0%,G4325/QUÓRUM!$C$6)</f>
        <v>#DIV/0!</v>
      </c>
      <c r="I4325" s="87"/>
      <c r="J4325" s="88"/>
      <c r="K4325" s="88"/>
      <c r="L4325" s="89"/>
      <c r="M4325" s="89"/>
      <c r="Q4325" s="105"/>
    </row>
    <row r="4326" spans="3:17" x14ac:dyDescent="0.3">
      <c r="C4326" s="87"/>
      <c r="H4326" s="86" t="e">
        <f>IF(I4326="fora",0%,G4326/QUÓRUM!$C$6)</f>
        <v>#DIV/0!</v>
      </c>
      <c r="I4326" s="87"/>
      <c r="J4326" s="88"/>
      <c r="K4326" s="88"/>
      <c r="L4326" s="89"/>
      <c r="M4326" s="89"/>
      <c r="Q4326" s="105"/>
    </row>
    <row r="4327" spans="3:17" x14ac:dyDescent="0.3">
      <c r="C4327" s="87"/>
      <c r="H4327" s="86" t="e">
        <f>IF(I4327="fora",0%,G4327/QUÓRUM!$C$6)</f>
        <v>#DIV/0!</v>
      </c>
      <c r="I4327" s="87"/>
      <c r="J4327" s="88"/>
      <c r="K4327" s="88"/>
      <c r="L4327" s="89"/>
      <c r="M4327" s="89"/>
      <c r="Q4327" s="105"/>
    </row>
    <row r="4328" spans="3:17" x14ac:dyDescent="0.3">
      <c r="C4328" s="87"/>
      <c r="H4328" s="86" t="e">
        <f>IF(I4328="fora",0%,G4328/QUÓRUM!$C$6)</f>
        <v>#DIV/0!</v>
      </c>
      <c r="I4328" s="87"/>
      <c r="J4328" s="88"/>
      <c r="K4328" s="88"/>
      <c r="L4328" s="89"/>
      <c r="M4328" s="89"/>
      <c r="Q4328" s="105"/>
    </row>
    <row r="4329" spans="3:17" x14ac:dyDescent="0.3">
      <c r="C4329" s="87"/>
      <c r="H4329" s="86" t="e">
        <f>IF(I4329="fora",0%,G4329/QUÓRUM!$C$6)</f>
        <v>#DIV/0!</v>
      </c>
      <c r="I4329" s="87"/>
      <c r="J4329" s="88"/>
      <c r="K4329" s="88"/>
      <c r="L4329" s="89"/>
      <c r="M4329" s="89"/>
      <c r="Q4329" s="105"/>
    </row>
    <row r="4330" spans="3:17" x14ac:dyDescent="0.3">
      <c r="C4330" s="87"/>
      <c r="H4330" s="86" t="e">
        <f>IF(I4330="fora",0%,G4330/QUÓRUM!$C$6)</f>
        <v>#DIV/0!</v>
      </c>
      <c r="I4330" s="87"/>
      <c r="J4330" s="88"/>
      <c r="K4330" s="88"/>
      <c r="L4330" s="89"/>
      <c r="M4330" s="89"/>
      <c r="Q4330" s="105"/>
    </row>
    <row r="4331" spans="3:17" x14ac:dyDescent="0.3">
      <c r="C4331" s="87"/>
      <c r="H4331" s="86" t="e">
        <f>IF(I4331="fora",0%,G4331/QUÓRUM!$C$6)</f>
        <v>#DIV/0!</v>
      </c>
      <c r="I4331" s="87"/>
      <c r="J4331" s="88"/>
      <c r="K4331" s="88"/>
      <c r="L4331" s="89"/>
      <c r="M4331" s="89"/>
      <c r="Q4331" s="105"/>
    </row>
    <row r="4332" spans="3:17" x14ac:dyDescent="0.3">
      <c r="C4332" s="87"/>
      <c r="H4332" s="86" t="e">
        <f>IF(I4332="fora",0%,G4332/QUÓRUM!$C$6)</f>
        <v>#DIV/0!</v>
      </c>
      <c r="I4332" s="87"/>
      <c r="J4332" s="88"/>
      <c r="K4332" s="88"/>
      <c r="L4332" s="89"/>
      <c r="M4332" s="89"/>
      <c r="Q4332" s="105"/>
    </row>
    <row r="4333" spans="3:17" x14ac:dyDescent="0.3">
      <c r="C4333" s="87"/>
      <c r="H4333" s="86" t="e">
        <f>IF(I4333="fora",0%,G4333/QUÓRUM!$C$6)</f>
        <v>#DIV/0!</v>
      </c>
      <c r="I4333" s="87"/>
      <c r="J4333" s="88"/>
      <c r="K4333" s="88"/>
      <c r="L4333" s="89"/>
      <c r="M4333" s="89"/>
      <c r="Q4333" s="105"/>
    </row>
    <row r="4334" spans="3:17" x14ac:dyDescent="0.3">
      <c r="C4334" s="87"/>
      <c r="H4334" s="86" t="e">
        <f>IF(I4334="fora",0%,G4334/QUÓRUM!$C$6)</f>
        <v>#DIV/0!</v>
      </c>
      <c r="I4334" s="87"/>
      <c r="J4334" s="88"/>
      <c r="K4334" s="88"/>
      <c r="L4334" s="89"/>
      <c r="M4334" s="89"/>
      <c r="Q4334" s="105"/>
    </row>
    <row r="4335" spans="3:17" x14ac:dyDescent="0.3">
      <c r="C4335" s="87"/>
      <c r="H4335" s="86" t="e">
        <f>IF(I4335="fora",0%,G4335/QUÓRUM!$C$6)</f>
        <v>#DIV/0!</v>
      </c>
      <c r="I4335" s="87"/>
      <c r="J4335" s="88"/>
      <c r="K4335" s="88"/>
      <c r="L4335" s="89"/>
      <c r="M4335" s="89"/>
      <c r="Q4335" s="105"/>
    </row>
    <row r="4336" spans="3:17" x14ac:dyDescent="0.3">
      <c r="C4336" s="87"/>
      <c r="H4336" s="86" t="e">
        <f>IF(I4336="fora",0%,G4336/QUÓRUM!$C$6)</f>
        <v>#DIV/0!</v>
      </c>
      <c r="I4336" s="87"/>
      <c r="J4336" s="88"/>
      <c r="K4336" s="88"/>
      <c r="L4336" s="89"/>
      <c r="M4336" s="89"/>
      <c r="Q4336" s="105"/>
    </row>
    <row r="4337" spans="3:17" x14ac:dyDescent="0.3">
      <c r="C4337" s="87"/>
      <c r="H4337" s="86" t="e">
        <f>IF(I4337="fora",0%,G4337/QUÓRUM!$C$6)</f>
        <v>#DIV/0!</v>
      </c>
      <c r="I4337" s="87"/>
      <c r="J4337" s="88"/>
      <c r="K4337" s="88"/>
      <c r="L4337" s="89"/>
      <c r="M4337" s="89"/>
      <c r="Q4337" s="105"/>
    </row>
    <row r="4338" spans="3:17" x14ac:dyDescent="0.3">
      <c r="C4338" s="87"/>
      <c r="H4338" s="86" t="e">
        <f>IF(I4338="fora",0%,G4338/QUÓRUM!$C$6)</f>
        <v>#DIV/0!</v>
      </c>
      <c r="I4338" s="87"/>
      <c r="J4338" s="88"/>
      <c r="K4338" s="88"/>
      <c r="L4338" s="89"/>
      <c r="M4338" s="89"/>
      <c r="Q4338" s="105"/>
    </row>
    <row r="4339" spans="3:17" x14ac:dyDescent="0.3">
      <c r="C4339" s="87"/>
      <c r="H4339" s="86" t="e">
        <f>IF(I4339="fora",0%,G4339/QUÓRUM!$C$6)</f>
        <v>#DIV/0!</v>
      </c>
      <c r="I4339" s="87"/>
      <c r="J4339" s="88"/>
      <c r="K4339" s="88"/>
      <c r="L4339" s="89"/>
      <c r="M4339" s="89"/>
      <c r="Q4339" s="105"/>
    </row>
    <row r="4340" spans="3:17" x14ac:dyDescent="0.3">
      <c r="C4340" s="87"/>
      <c r="H4340" s="86" t="e">
        <f>IF(I4340="fora",0%,G4340/QUÓRUM!$C$6)</f>
        <v>#DIV/0!</v>
      </c>
      <c r="I4340" s="87"/>
      <c r="J4340" s="88"/>
      <c r="K4340" s="88"/>
      <c r="L4340" s="89"/>
      <c r="M4340" s="89"/>
      <c r="Q4340" s="105"/>
    </row>
    <row r="4341" spans="3:17" x14ac:dyDescent="0.3">
      <c r="C4341" s="87"/>
      <c r="H4341" s="86" t="e">
        <f>IF(I4341="fora",0%,G4341/QUÓRUM!$C$6)</f>
        <v>#DIV/0!</v>
      </c>
      <c r="I4341" s="87"/>
      <c r="J4341" s="88"/>
      <c r="K4341" s="88"/>
      <c r="L4341" s="89"/>
      <c r="M4341" s="89"/>
      <c r="Q4341" s="105"/>
    </row>
    <row r="4342" spans="3:17" x14ac:dyDescent="0.3">
      <c r="C4342" s="87"/>
      <c r="H4342" s="86" t="e">
        <f>IF(I4342="fora",0%,G4342/QUÓRUM!$C$6)</f>
        <v>#DIV/0!</v>
      </c>
      <c r="I4342" s="87"/>
      <c r="J4342" s="88"/>
      <c r="K4342" s="88"/>
      <c r="L4342" s="89"/>
      <c r="M4342" s="89"/>
      <c r="Q4342" s="105"/>
    </row>
    <row r="4343" spans="3:17" x14ac:dyDescent="0.3">
      <c r="C4343" s="87"/>
      <c r="H4343" s="86" t="e">
        <f>IF(I4343="fora",0%,G4343/QUÓRUM!$C$6)</f>
        <v>#DIV/0!</v>
      </c>
      <c r="I4343" s="87"/>
      <c r="J4343" s="88"/>
      <c r="K4343" s="88"/>
      <c r="L4343" s="89"/>
      <c r="M4343" s="89"/>
      <c r="Q4343" s="105"/>
    </row>
    <row r="4344" spans="3:17" x14ac:dyDescent="0.3">
      <c r="C4344" s="87"/>
      <c r="H4344" s="86" t="e">
        <f>IF(I4344="fora",0%,G4344/QUÓRUM!$C$6)</f>
        <v>#DIV/0!</v>
      </c>
      <c r="I4344" s="87"/>
      <c r="J4344" s="88"/>
      <c r="K4344" s="88"/>
      <c r="L4344" s="89"/>
      <c r="M4344" s="89"/>
      <c r="Q4344" s="105"/>
    </row>
    <row r="4345" spans="3:17" x14ac:dyDescent="0.3">
      <c r="C4345" s="87"/>
      <c r="H4345" s="86" t="e">
        <f>IF(I4345="fora",0%,G4345/QUÓRUM!$C$6)</f>
        <v>#DIV/0!</v>
      </c>
      <c r="I4345" s="87"/>
      <c r="J4345" s="88"/>
      <c r="K4345" s="88"/>
      <c r="L4345" s="89"/>
      <c r="M4345" s="89"/>
      <c r="Q4345" s="105"/>
    </row>
    <row r="4346" spans="3:17" x14ac:dyDescent="0.3">
      <c r="C4346" s="87"/>
      <c r="H4346" s="86" t="e">
        <f>IF(I4346="fora",0%,G4346/QUÓRUM!$C$6)</f>
        <v>#DIV/0!</v>
      </c>
      <c r="I4346" s="87"/>
      <c r="J4346" s="88"/>
      <c r="K4346" s="88"/>
      <c r="L4346" s="89"/>
      <c r="M4346" s="89"/>
      <c r="Q4346" s="105"/>
    </row>
    <row r="4347" spans="3:17" x14ac:dyDescent="0.3">
      <c r="C4347" s="87"/>
      <c r="H4347" s="86" t="e">
        <f>IF(I4347="fora",0%,G4347/QUÓRUM!$C$6)</f>
        <v>#DIV/0!</v>
      </c>
      <c r="I4347" s="87"/>
      <c r="J4347" s="88"/>
      <c r="K4347" s="88"/>
      <c r="L4347" s="89"/>
      <c r="M4347" s="89"/>
      <c r="Q4347" s="105"/>
    </row>
    <row r="4348" spans="3:17" x14ac:dyDescent="0.3">
      <c r="C4348" s="87"/>
      <c r="H4348" s="86" t="e">
        <f>IF(I4348="fora",0%,G4348/QUÓRUM!$C$6)</f>
        <v>#DIV/0!</v>
      </c>
      <c r="I4348" s="87"/>
      <c r="J4348" s="88"/>
      <c r="K4348" s="88"/>
      <c r="L4348" s="89"/>
      <c r="M4348" s="89"/>
      <c r="Q4348" s="105"/>
    </row>
    <row r="4349" spans="3:17" x14ac:dyDescent="0.3">
      <c r="C4349" s="87"/>
      <c r="H4349" s="86" t="e">
        <f>IF(I4349="fora",0%,G4349/QUÓRUM!$C$6)</f>
        <v>#DIV/0!</v>
      </c>
      <c r="I4349" s="87"/>
      <c r="J4349" s="88"/>
      <c r="K4349" s="88"/>
      <c r="L4349" s="89"/>
      <c r="M4349" s="89"/>
      <c r="Q4349" s="105"/>
    </row>
    <row r="4350" spans="3:17" x14ac:dyDescent="0.3">
      <c r="C4350" s="87"/>
      <c r="H4350" s="86" t="e">
        <f>IF(I4350="fora",0%,G4350/QUÓRUM!$C$6)</f>
        <v>#DIV/0!</v>
      </c>
      <c r="I4350" s="87"/>
      <c r="J4350" s="88"/>
      <c r="K4350" s="88"/>
      <c r="L4350" s="89"/>
      <c r="M4350" s="89"/>
      <c r="Q4350" s="105"/>
    </row>
    <row r="4351" spans="3:17" x14ac:dyDescent="0.3">
      <c r="C4351" s="87"/>
      <c r="H4351" s="86" t="e">
        <f>IF(I4351="fora",0%,G4351/QUÓRUM!$C$6)</f>
        <v>#DIV/0!</v>
      </c>
      <c r="I4351" s="87"/>
      <c r="J4351" s="88"/>
      <c r="K4351" s="88"/>
      <c r="L4351" s="89"/>
      <c r="M4351" s="89"/>
      <c r="Q4351" s="105"/>
    </row>
    <row r="4352" spans="3:17" x14ac:dyDescent="0.3">
      <c r="C4352" s="87"/>
      <c r="H4352" s="86" t="e">
        <f>IF(I4352="fora",0%,G4352/QUÓRUM!$C$6)</f>
        <v>#DIV/0!</v>
      </c>
      <c r="I4352" s="87"/>
      <c r="J4352" s="88"/>
      <c r="K4352" s="88"/>
      <c r="L4352" s="89"/>
      <c r="M4352" s="89"/>
      <c r="Q4352" s="105"/>
    </row>
    <row r="4353" spans="3:17" x14ac:dyDescent="0.3">
      <c r="C4353" s="87"/>
      <c r="H4353" s="86" t="e">
        <f>IF(I4353="fora",0%,G4353/QUÓRUM!$C$6)</f>
        <v>#DIV/0!</v>
      </c>
      <c r="I4353" s="87"/>
      <c r="J4353" s="88"/>
      <c r="K4353" s="88"/>
      <c r="L4353" s="89"/>
      <c r="M4353" s="89"/>
      <c r="Q4353" s="105"/>
    </row>
    <row r="4354" spans="3:17" x14ac:dyDescent="0.3">
      <c r="C4354" s="87"/>
      <c r="H4354" s="86" t="e">
        <f>IF(I4354="fora",0%,G4354/QUÓRUM!$C$6)</f>
        <v>#DIV/0!</v>
      </c>
      <c r="I4354" s="87"/>
      <c r="J4354" s="88"/>
      <c r="K4354" s="88"/>
      <c r="L4354" s="89"/>
      <c r="M4354" s="89"/>
      <c r="Q4354" s="105"/>
    </row>
    <row r="4355" spans="3:17" x14ac:dyDescent="0.3">
      <c r="C4355" s="87"/>
      <c r="H4355" s="86" t="e">
        <f>IF(I4355="fora",0%,G4355/QUÓRUM!$C$6)</f>
        <v>#DIV/0!</v>
      </c>
      <c r="I4355" s="87"/>
      <c r="J4355" s="88"/>
      <c r="K4355" s="88"/>
      <c r="L4355" s="89"/>
      <c r="M4355" s="89"/>
      <c r="Q4355" s="105"/>
    </row>
    <row r="4356" spans="3:17" x14ac:dyDescent="0.3">
      <c r="C4356" s="87"/>
      <c r="H4356" s="86" t="e">
        <f>IF(I4356="fora",0%,G4356/QUÓRUM!$C$6)</f>
        <v>#DIV/0!</v>
      </c>
      <c r="I4356" s="87"/>
      <c r="J4356" s="88"/>
      <c r="K4356" s="88"/>
      <c r="L4356" s="89"/>
      <c r="M4356" s="89"/>
      <c r="Q4356" s="105"/>
    </row>
    <row r="4357" spans="3:17" x14ac:dyDescent="0.3">
      <c r="C4357" s="87"/>
      <c r="H4357" s="86" t="e">
        <f>IF(I4357="fora",0%,G4357/QUÓRUM!$C$6)</f>
        <v>#DIV/0!</v>
      </c>
      <c r="I4357" s="87"/>
      <c r="J4357" s="88"/>
      <c r="K4357" s="88"/>
      <c r="L4357" s="89"/>
      <c r="M4357" s="89"/>
      <c r="Q4357" s="105"/>
    </row>
    <row r="4358" spans="3:17" x14ac:dyDescent="0.3">
      <c r="C4358" s="87"/>
      <c r="H4358" s="86" t="e">
        <f>IF(I4358="fora",0%,G4358/QUÓRUM!$C$6)</f>
        <v>#DIV/0!</v>
      </c>
      <c r="I4358" s="87"/>
      <c r="J4358" s="88"/>
      <c r="K4358" s="88"/>
      <c r="L4358" s="89"/>
      <c r="M4358" s="89"/>
      <c r="Q4358" s="105"/>
    </row>
    <row r="4359" spans="3:17" x14ac:dyDescent="0.3">
      <c r="C4359" s="87"/>
      <c r="H4359" s="86" t="e">
        <f>IF(I4359="fora",0%,G4359/QUÓRUM!$C$6)</f>
        <v>#DIV/0!</v>
      </c>
      <c r="I4359" s="87"/>
      <c r="J4359" s="88"/>
      <c r="K4359" s="88"/>
      <c r="L4359" s="89"/>
      <c r="M4359" s="89"/>
      <c r="Q4359" s="105"/>
    </row>
    <row r="4360" spans="3:17" x14ac:dyDescent="0.3">
      <c r="C4360" s="87"/>
      <c r="H4360" s="86" t="e">
        <f>IF(I4360="fora",0%,G4360/QUÓRUM!$C$6)</f>
        <v>#DIV/0!</v>
      </c>
      <c r="I4360" s="87"/>
      <c r="J4360" s="88"/>
      <c r="K4360" s="88"/>
      <c r="L4360" s="89"/>
      <c r="M4360" s="89"/>
      <c r="Q4360" s="105"/>
    </row>
    <row r="4361" spans="3:17" x14ac:dyDescent="0.3">
      <c r="C4361" s="87"/>
      <c r="H4361" s="86" t="e">
        <f>IF(I4361="fora",0%,G4361/QUÓRUM!$C$6)</f>
        <v>#DIV/0!</v>
      </c>
      <c r="I4361" s="87"/>
      <c r="J4361" s="88"/>
      <c r="K4361" s="88"/>
      <c r="L4361" s="89"/>
      <c r="M4361" s="89"/>
      <c r="Q4361" s="105"/>
    </row>
    <row r="4362" spans="3:17" x14ac:dyDescent="0.3">
      <c r="C4362" s="87"/>
      <c r="H4362" s="86" t="e">
        <f>IF(I4362="fora",0%,G4362/QUÓRUM!$C$6)</f>
        <v>#DIV/0!</v>
      </c>
      <c r="I4362" s="87"/>
      <c r="J4362" s="88"/>
      <c r="K4362" s="88"/>
      <c r="L4362" s="89"/>
      <c r="M4362" s="89"/>
      <c r="Q4362" s="105"/>
    </row>
    <row r="4363" spans="3:17" x14ac:dyDescent="0.3">
      <c r="C4363" s="87"/>
      <c r="H4363" s="86" t="e">
        <f>IF(I4363="fora",0%,G4363/QUÓRUM!$C$6)</f>
        <v>#DIV/0!</v>
      </c>
      <c r="I4363" s="87"/>
      <c r="J4363" s="88"/>
      <c r="K4363" s="88"/>
      <c r="L4363" s="89"/>
      <c r="M4363" s="89"/>
      <c r="Q4363" s="105"/>
    </row>
    <row r="4364" spans="3:17" x14ac:dyDescent="0.3">
      <c r="C4364" s="87"/>
      <c r="H4364" s="86" t="e">
        <f>IF(I4364="fora",0%,G4364/QUÓRUM!$C$6)</f>
        <v>#DIV/0!</v>
      </c>
      <c r="I4364" s="87"/>
      <c r="J4364" s="88"/>
      <c r="K4364" s="88"/>
      <c r="L4364" s="89"/>
      <c r="M4364" s="89"/>
      <c r="Q4364" s="105"/>
    </row>
    <row r="4365" spans="3:17" x14ac:dyDescent="0.3">
      <c r="C4365" s="87"/>
      <c r="H4365" s="86" t="e">
        <f>IF(I4365="fora",0%,G4365/QUÓRUM!$C$6)</f>
        <v>#DIV/0!</v>
      </c>
      <c r="I4365" s="87"/>
      <c r="J4365" s="88"/>
      <c r="K4365" s="88"/>
      <c r="L4365" s="89"/>
      <c r="M4365" s="89"/>
      <c r="Q4365" s="105"/>
    </row>
    <row r="4366" spans="3:17" x14ac:dyDescent="0.3">
      <c r="C4366" s="87"/>
      <c r="H4366" s="86" t="e">
        <f>IF(I4366="fora",0%,G4366/QUÓRUM!$C$6)</f>
        <v>#DIV/0!</v>
      </c>
      <c r="I4366" s="87"/>
      <c r="J4366" s="88"/>
      <c r="K4366" s="88"/>
      <c r="L4366" s="89"/>
      <c r="M4366" s="89"/>
      <c r="Q4366" s="105"/>
    </row>
    <row r="4367" spans="3:17" x14ac:dyDescent="0.3">
      <c r="C4367" s="87"/>
      <c r="H4367" s="86" t="e">
        <f>IF(I4367="fora",0%,G4367/QUÓRUM!$C$6)</f>
        <v>#DIV/0!</v>
      </c>
      <c r="I4367" s="87"/>
      <c r="J4367" s="88"/>
      <c r="K4367" s="88"/>
      <c r="L4367" s="89"/>
      <c r="M4367" s="89"/>
      <c r="Q4367" s="105"/>
    </row>
    <row r="4368" spans="3:17" x14ac:dyDescent="0.3">
      <c r="C4368" s="87"/>
      <c r="H4368" s="86" t="e">
        <f>IF(I4368="fora",0%,G4368/QUÓRUM!$C$6)</f>
        <v>#DIV/0!</v>
      </c>
      <c r="I4368" s="87"/>
      <c r="J4368" s="88"/>
      <c r="K4368" s="88"/>
      <c r="L4368" s="89"/>
      <c r="M4368" s="89"/>
      <c r="Q4368" s="105"/>
    </row>
    <row r="4369" spans="3:17" x14ac:dyDescent="0.3">
      <c r="C4369" s="87"/>
      <c r="H4369" s="86" t="e">
        <f>IF(I4369="fora",0%,G4369/QUÓRUM!$C$6)</f>
        <v>#DIV/0!</v>
      </c>
      <c r="I4369" s="87"/>
      <c r="J4369" s="88"/>
      <c r="K4369" s="88"/>
      <c r="L4369" s="89"/>
      <c r="M4369" s="89"/>
      <c r="Q4369" s="105"/>
    </row>
    <row r="4370" spans="3:17" x14ac:dyDescent="0.3">
      <c r="C4370" s="87"/>
      <c r="H4370" s="86" t="e">
        <f>IF(I4370="fora",0%,G4370/QUÓRUM!$C$6)</f>
        <v>#DIV/0!</v>
      </c>
      <c r="I4370" s="87"/>
      <c r="J4370" s="88"/>
      <c r="K4370" s="88"/>
      <c r="L4370" s="89"/>
      <c r="M4370" s="89"/>
      <c r="Q4370" s="105"/>
    </row>
    <row r="4371" spans="3:17" x14ac:dyDescent="0.3">
      <c r="C4371" s="87"/>
      <c r="H4371" s="86" t="e">
        <f>IF(I4371="fora",0%,G4371/QUÓRUM!$C$6)</f>
        <v>#DIV/0!</v>
      </c>
      <c r="I4371" s="87"/>
      <c r="J4371" s="88"/>
      <c r="K4371" s="88"/>
      <c r="L4371" s="89"/>
      <c r="M4371" s="89"/>
      <c r="Q4371" s="105"/>
    </row>
    <row r="4372" spans="3:17" x14ac:dyDescent="0.3">
      <c r="C4372" s="87"/>
      <c r="G4372" s="115"/>
      <c r="H4372" s="86" t="e">
        <f>IF(I4372="fora",0%,G4372/QUÓRUM!$C$6)</f>
        <v>#DIV/0!</v>
      </c>
      <c r="I4372" s="87"/>
      <c r="J4372" s="88"/>
      <c r="K4372" s="88"/>
      <c r="L4372" s="89"/>
      <c r="M4372" s="89"/>
      <c r="Q4372" s="105"/>
    </row>
    <row r="4373" spans="3:17" x14ac:dyDescent="0.3">
      <c r="C4373" s="87"/>
      <c r="H4373" s="86" t="e">
        <f>IF(I4373="fora",0%,G4373/QUÓRUM!$C$6)</f>
        <v>#DIV/0!</v>
      </c>
      <c r="I4373" s="87"/>
      <c r="J4373" s="88"/>
      <c r="K4373" s="88"/>
      <c r="L4373" s="89"/>
      <c r="M4373" s="89"/>
      <c r="Q4373" s="105"/>
    </row>
    <row r="4374" spans="3:17" x14ac:dyDescent="0.3">
      <c r="C4374" s="87"/>
      <c r="H4374" s="86" t="e">
        <f>IF(I4374="fora",0%,G4374/QUÓRUM!$C$6)</f>
        <v>#DIV/0!</v>
      </c>
      <c r="I4374" s="87"/>
      <c r="J4374" s="88"/>
      <c r="K4374" s="88"/>
      <c r="L4374" s="89"/>
      <c r="M4374" s="89"/>
      <c r="Q4374" s="105"/>
    </row>
    <row r="4375" spans="3:17" x14ac:dyDescent="0.3">
      <c r="C4375" s="87"/>
      <c r="H4375" s="86" t="e">
        <f>IF(I4375="fora",0%,G4375/QUÓRUM!$C$6)</f>
        <v>#DIV/0!</v>
      </c>
      <c r="I4375" s="87"/>
      <c r="J4375" s="88"/>
      <c r="K4375" s="88"/>
      <c r="L4375" s="89"/>
      <c r="M4375" s="89"/>
      <c r="Q4375" s="105"/>
    </row>
    <row r="4376" spans="3:17" x14ac:dyDescent="0.3">
      <c r="C4376" s="87"/>
      <c r="H4376" s="86" t="e">
        <f>IF(I4376="fora",0%,G4376/QUÓRUM!$C$6)</f>
        <v>#DIV/0!</v>
      </c>
      <c r="I4376" s="87"/>
      <c r="J4376" s="88"/>
      <c r="K4376" s="88"/>
      <c r="L4376" s="89"/>
      <c r="M4376" s="89"/>
      <c r="Q4376" s="105"/>
    </row>
    <row r="4377" spans="3:17" x14ac:dyDescent="0.3">
      <c r="C4377" s="87"/>
      <c r="H4377" s="86" t="e">
        <f>IF(I4377="fora",0%,G4377/QUÓRUM!$C$6)</f>
        <v>#DIV/0!</v>
      </c>
      <c r="I4377" s="87"/>
      <c r="J4377" s="88"/>
      <c r="K4377" s="88"/>
      <c r="L4377" s="89"/>
      <c r="M4377" s="89"/>
      <c r="Q4377" s="105"/>
    </row>
    <row r="4378" spans="3:17" x14ac:dyDescent="0.3">
      <c r="C4378" s="87"/>
      <c r="H4378" s="86" t="e">
        <f>IF(I4378="fora",0%,G4378/QUÓRUM!$C$6)</f>
        <v>#DIV/0!</v>
      </c>
      <c r="I4378" s="87"/>
      <c r="J4378" s="88"/>
      <c r="K4378" s="88"/>
      <c r="L4378" s="89"/>
      <c r="M4378" s="89"/>
      <c r="Q4378" s="105"/>
    </row>
    <row r="4379" spans="3:17" x14ac:dyDescent="0.3">
      <c r="C4379" s="87"/>
      <c r="H4379" s="86" t="e">
        <f>IF(I4379="fora",0%,G4379/QUÓRUM!$C$6)</f>
        <v>#DIV/0!</v>
      </c>
      <c r="I4379" s="87"/>
      <c r="J4379" s="88"/>
      <c r="K4379" s="88"/>
      <c r="L4379" s="89"/>
      <c r="M4379" s="89"/>
      <c r="Q4379" s="105"/>
    </row>
    <row r="4380" spans="3:17" x14ac:dyDescent="0.3">
      <c r="C4380" s="87"/>
      <c r="H4380" s="86" t="e">
        <f>IF(I4380="fora",0%,G4380/QUÓRUM!$C$6)</f>
        <v>#DIV/0!</v>
      </c>
      <c r="I4380" s="87"/>
      <c r="J4380" s="88"/>
      <c r="K4380" s="88"/>
      <c r="L4380" s="89"/>
      <c r="M4380" s="89"/>
      <c r="Q4380" s="105"/>
    </row>
    <row r="4381" spans="3:17" x14ac:dyDescent="0.3">
      <c r="C4381" s="87"/>
      <c r="H4381" s="86" t="e">
        <f>IF(I4381="fora",0%,G4381/QUÓRUM!$C$6)</f>
        <v>#DIV/0!</v>
      </c>
      <c r="I4381" s="87"/>
      <c r="J4381" s="88"/>
      <c r="K4381" s="88"/>
      <c r="L4381" s="89"/>
      <c r="M4381" s="89"/>
      <c r="Q4381" s="105"/>
    </row>
    <row r="4382" spans="3:17" x14ac:dyDescent="0.3">
      <c r="C4382" s="87"/>
      <c r="H4382" s="86" t="e">
        <f>IF(I4382="fora",0%,G4382/QUÓRUM!$C$6)</f>
        <v>#DIV/0!</v>
      </c>
      <c r="I4382" s="87"/>
      <c r="J4382" s="88"/>
      <c r="K4382" s="88"/>
      <c r="L4382" s="89"/>
      <c r="M4382" s="89"/>
      <c r="Q4382" s="105"/>
    </row>
    <row r="4383" spans="3:17" x14ac:dyDescent="0.3">
      <c r="C4383" s="87"/>
      <c r="H4383" s="86" t="e">
        <f>IF(I4383="fora",0%,G4383/QUÓRUM!$C$6)</f>
        <v>#DIV/0!</v>
      </c>
      <c r="I4383" s="87"/>
      <c r="J4383" s="88"/>
      <c r="K4383" s="88"/>
      <c r="L4383" s="89"/>
      <c r="M4383" s="89"/>
      <c r="Q4383" s="105"/>
    </row>
    <row r="4384" spans="3:17" x14ac:dyDescent="0.3">
      <c r="C4384" s="87"/>
      <c r="H4384" s="86" t="e">
        <f>IF(I4384="fora",0%,G4384/QUÓRUM!$C$6)</f>
        <v>#DIV/0!</v>
      </c>
      <c r="I4384" s="87"/>
      <c r="J4384" s="88"/>
      <c r="K4384" s="88"/>
      <c r="L4384" s="89"/>
      <c r="M4384" s="89"/>
      <c r="Q4384" s="105"/>
    </row>
    <row r="4385" spans="3:17" x14ac:dyDescent="0.3">
      <c r="C4385" s="87"/>
      <c r="H4385" s="86" t="e">
        <f>IF(I4385="fora",0%,G4385/QUÓRUM!$C$6)</f>
        <v>#DIV/0!</v>
      </c>
      <c r="I4385" s="87"/>
      <c r="J4385" s="88"/>
      <c r="K4385" s="88"/>
      <c r="L4385" s="89"/>
      <c r="M4385" s="89"/>
      <c r="Q4385" s="105"/>
    </row>
    <row r="4386" spans="3:17" x14ac:dyDescent="0.3">
      <c r="C4386" s="87"/>
      <c r="H4386" s="86" t="e">
        <f>IF(I4386="fora",0%,G4386/QUÓRUM!$C$6)</f>
        <v>#DIV/0!</v>
      </c>
      <c r="I4386" s="87"/>
      <c r="J4386" s="88"/>
      <c r="K4386" s="88"/>
      <c r="L4386" s="89"/>
      <c r="M4386" s="89"/>
      <c r="Q4386" s="105"/>
    </row>
    <row r="4387" spans="3:17" x14ac:dyDescent="0.3">
      <c r="C4387" s="87"/>
      <c r="H4387" s="86" t="e">
        <f>IF(I4387="fora",0%,G4387/QUÓRUM!$C$6)</f>
        <v>#DIV/0!</v>
      </c>
      <c r="I4387" s="87"/>
      <c r="J4387" s="88"/>
      <c r="K4387" s="88"/>
      <c r="L4387" s="89"/>
      <c r="M4387" s="89"/>
      <c r="Q4387" s="105"/>
    </row>
    <row r="4388" spans="3:17" x14ac:dyDescent="0.3">
      <c r="C4388" s="87"/>
      <c r="H4388" s="86" t="e">
        <f>IF(I4388="fora",0%,G4388/QUÓRUM!$C$6)</f>
        <v>#DIV/0!</v>
      </c>
      <c r="I4388" s="87"/>
      <c r="J4388" s="88"/>
      <c r="K4388" s="88"/>
      <c r="L4388" s="89"/>
      <c r="M4388" s="89"/>
      <c r="Q4388" s="105"/>
    </row>
    <row r="4389" spans="3:17" x14ac:dyDescent="0.3">
      <c r="C4389" s="87"/>
      <c r="H4389" s="86" t="e">
        <f>IF(I4389="fora",0%,G4389/QUÓRUM!$C$6)</f>
        <v>#DIV/0!</v>
      </c>
      <c r="I4389" s="87"/>
      <c r="J4389" s="88"/>
      <c r="K4389" s="88"/>
      <c r="L4389" s="89"/>
      <c r="M4389" s="89"/>
      <c r="Q4389" s="105"/>
    </row>
    <row r="4390" spans="3:17" x14ac:dyDescent="0.3">
      <c r="C4390" s="87"/>
      <c r="H4390" s="86" t="e">
        <f>IF(I4390="fora",0%,G4390/QUÓRUM!$C$6)</f>
        <v>#DIV/0!</v>
      </c>
      <c r="I4390" s="87"/>
      <c r="J4390" s="88"/>
      <c r="K4390" s="88"/>
      <c r="L4390" s="89"/>
      <c r="M4390" s="89"/>
      <c r="Q4390" s="105"/>
    </row>
    <row r="4391" spans="3:17" x14ac:dyDescent="0.3">
      <c r="C4391" s="87"/>
      <c r="H4391" s="86" t="e">
        <f>IF(I4391="fora",0%,G4391/QUÓRUM!$C$6)</f>
        <v>#DIV/0!</v>
      </c>
      <c r="I4391" s="87"/>
      <c r="J4391" s="88"/>
      <c r="K4391" s="88"/>
      <c r="L4391" s="89"/>
      <c r="M4391" s="89"/>
      <c r="Q4391" s="105"/>
    </row>
    <row r="4392" spans="3:17" x14ac:dyDescent="0.3">
      <c r="C4392" s="87"/>
      <c r="H4392" s="86" t="e">
        <f>IF(I4392="fora",0%,G4392/QUÓRUM!$C$6)</f>
        <v>#DIV/0!</v>
      </c>
      <c r="I4392" s="87"/>
      <c r="J4392" s="88"/>
      <c r="K4392" s="88"/>
      <c r="L4392" s="89"/>
      <c r="M4392" s="89"/>
      <c r="Q4392" s="105"/>
    </row>
    <row r="4393" spans="3:17" x14ac:dyDescent="0.3">
      <c r="C4393" s="87"/>
      <c r="H4393" s="86" t="e">
        <f>IF(I4393="fora",0%,G4393/QUÓRUM!$C$6)</f>
        <v>#DIV/0!</v>
      </c>
      <c r="I4393" s="87"/>
      <c r="J4393" s="88"/>
      <c r="K4393" s="88"/>
      <c r="L4393" s="89"/>
      <c r="M4393" s="89"/>
      <c r="Q4393" s="105"/>
    </row>
    <row r="4394" spans="3:17" x14ac:dyDescent="0.3">
      <c r="C4394" s="87"/>
      <c r="H4394" s="86" t="e">
        <f>IF(I4394="fora",0%,G4394/QUÓRUM!$C$6)</f>
        <v>#DIV/0!</v>
      </c>
      <c r="I4394" s="87"/>
      <c r="J4394" s="88"/>
      <c r="K4394" s="88"/>
      <c r="L4394" s="89"/>
      <c r="M4394" s="89"/>
      <c r="Q4394" s="105"/>
    </row>
    <row r="4395" spans="3:17" x14ac:dyDescent="0.3">
      <c r="C4395" s="87"/>
      <c r="H4395" s="86" t="e">
        <f>IF(I4395="fora",0%,G4395/QUÓRUM!$C$6)</f>
        <v>#DIV/0!</v>
      </c>
      <c r="I4395" s="87"/>
      <c r="J4395" s="88"/>
      <c r="K4395" s="88"/>
      <c r="L4395" s="89"/>
      <c r="M4395" s="89"/>
      <c r="Q4395" s="105"/>
    </row>
    <row r="4396" spans="3:17" x14ac:dyDescent="0.3">
      <c r="C4396" s="87"/>
      <c r="H4396" s="86" t="e">
        <f>IF(I4396="fora",0%,G4396/QUÓRUM!$C$6)</f>
        <v>#DIV/0!</v>
      </c>
      <c r="I4396" s="87"/>
      <c r="J4396" s="88"/>
      <c r="K4396" s="88"/>
      <c r="L4396" s="89"/>
      <c r="M4396" s="89"/>
      <c r="Q4396" s="105"/>
    </row>
    <row r="4397" spans="3:17" x14ac:dyDescent="0.3">
      <c r="C4397" s="87"/>
      <c r="H4397" s="86" t="e">
        <f>IF(I4397="fora",0%,G4397/QUÓRUM!$C$6)</f>
        <v>#DIV/0!</v>
      </c>
      <c r="I4397" s="87"/>
      <c r="J4397" s="88"/>
      <c r="K4397" s="88"/>
      <c r="L4397" s="89"/>
      <c r="M4397" s="89"/>
      <c r="Q4397" s="105"/>
    </row>
    <row r="4398" spans="3:17" x14ac:dyDescent="0.3">
      <c r="C4398" s="87"/>
      <c r="H4398" s="86" t="e">
        <f>IF(I4398="fora",0%,G4398/QUÓRUM!$C$6)</f>
        <v>#DIV/0!</v>
      </c>
      <c r="I4398" s="87"/>
      <c r="J4398" s="88"/>
      <c r="K4398" s="88"/>
      <c r="L4398" s="89"/>
      <c r="M4398" s="89"/>
      <c r="Q4398" s="105"/>
    </row>
    <row r="4399" spans="3:17" x14ac:dyDescent="0.3">
      <c r="C4399" s="87"/>
      <c r="H4399" s="86" t="e">
        <f>IF(I4399="fora",0%,G4399/QUÓRUM!$C$6)</f>
        <v>#DIV/0!</v>
      </c>
      <c r="I4399" s="87"/>
      <c r="J4399" s="88"/>
      <c r="K4399" s="88"/>
      <c r="L4399" s="89"/>
      <c r="M4399" s="89"/>
      <c r="Q4399" s="105"/>
    </row>
    <row r="4400" spans="3:17" x14ac:dyDescent="0.3">
      <c r="C4400" s="87"/>
      <c r="H4400" s="86" t="e">
        <f>IF(I4400="fora",0%,G4400/QUÓRUM!$C$6)</f>
        <v>#DIV/0!</v>
      </c>
      <c r="I4400" s="87"/>
      <c r="J4400" s="88"/>
      <c r="K4400" s="88"/>
      <c r="L4400" s="89"/>
      <c r="M4400" s="89"/>
      <c r="Q4400" s="105"/>
    </row>
    <row r="4401" spans="3:17" x14ac:dyDescent="0.3">
      <c r="C4401" s="87"/>
      <c r="H4401" s="86" t="e">
        <f>IF(I4401="fora",0%,G4401/QUÓRUM!$C$6)</f>
        <v>#DIV/0!</v>
      </c>
      <c r="I4401" s="87"/>
      <c r="J4401" s="88"/>
      <c r="K4401" s="88"/>
      <c r="L4401" s="89"/>
      <c r="M4401" s="89"/>
      <c r="Q4401" s="105"/>
    </row>
    <row r="4402" spans="3:17" x14ac:dyDescent="0.3">
      <c r="C4402" s="87"/>
      <c r="H4402" s="86" t="e">
        <f>IF(I4402="fora",0%,G4402/QUÓRUM!$C$6)</f>
        <v>#DIV/0!</v>
      </c>
      <c r="I4402" s="87"/>
      <c r="J4402" s="88"/>
      <c r="K4402" s="88"/>
      <c r="L4402" s="89"/>
      <c r="M4402" s="89"/>
      <c r="Q4402" s="105"/>
    </row>
    <row r="4403" spans="3:17" x14ac:dyDescent="0.3">
      <c r="C4403" s="87"/>
      <c r="H4403" s="86" t="e">
        <f>IF(I4403="fora",0%,G4403/QUÓRUM!$C$6)</f>
        <v>#DIV/0!</v>
      </c>
      <c r="I4403" s="87"/>
      <c r="J4403" s="88"/>
      <c r="K4403" s="88"/>
      <c r="L4403" s="89"/>
      <c r="M4403" s="89"/>
      <c r="Q4403" s="105"/>
    </row>
    <row r="4404" spans="3:17" x14ac:dyDescent="0.3">
      <c r="C4404" s="87"/>
      <c r="H4404" s="86" t="e">
        <f>IF(I4404="fora",0%,G4404/QUÓRUM!$C$6)</f>
        <v>#DIV/0!</v>
      </c>
      <c r="I4404" s="87"/>
      <c r="J4404" s="88"/>
      <c r="K4404" s="88"/>
      <c r="L4404" s="89"/>
      <c r="M4404" s="89"/>
      <c r="Q4404" s="105"/>
    </row>
    <row r="4405" spans="3:17" x14ac:dyDescent="0.3">
      <c r="C4405" s="87"/>
      <c r="H4405" s="86" t="e">
        <f>IF(I4405="fora",0%,G4405/QUÓRUM!$C$6)</f>
        <v>#DIV/0!</v>
      </c>
      <c r="I4405" s="87"/>
      <c r="J4405" s="88"/>
      <c r="K4405" s="88"/>
      <c r="L4405" s="89"/>
      <c r="M4405" s="89"/>
      <c r="Q4405" s="105"/>
    </row>
    <row r="4406" spans="3:17" x14ac:dyDescent="0.3">
      <c r="C4406" s="87"/>
      <c r="H4406" s="86" t="e">
        <f>IF(I4406="fora",0%,G4406/QUÓRUM!$C$6)</f>
        <v>#DIV/0!</v>
      </c>
      <c r="I4406" s="87"/>
      <c r="J4406" s="88"/>
      <c r="K4406" s="88"/>
      <c r="L4406" s="89"/>
      <c r="M4406" s="89"/>
      <c r="Q4406" s="105"/>
    </row>
    <row r="4407" spans="3:17" x14ac:dyDescent="0.3">
      <c r="C4407" s="87"/>
      <c r="H4407" s="86" t="e">
        <f>IF(I4407="fora",0%,G4407/QUÓRUM!$C$6)</f>
        <v>#DIV/0!</v>
      </c>
      <c r="I4407" s="87"/>
      <c r="J4407" s="88"/>
      <c r="K4407" s="88"/>
      <c r="L4407" s="89"/>
      <c r="M4407" s="89"/>
      <c r="Q4407" s="105"/>
    </row>
    <row r="4408" spans="3:17" x14ac:dyDescent="0.3">
      <c r="C4408" s="87"/>
      <c r="H4408" s="86" t="e">
        <f>IF(I4408="fora",0%,G4408/QUÓRUM!$C$6)</f>
        <v>#DIV/0!</v>
      </c>
      <c r="I4408" s="87"/>
      <c r="J4408" s="88"/>
      <c r="K4408" s="88"/>
      <c r="L4408" s="89"/>
      <c r="M4408" s="89"/>
      <c r="Q4408" s="105"/>
    </row>
    <row r="4409" spans="3:17" x14ac:dyDescent="0.3">
      <c r="C4409" s="87"/>
      <c r="H4409" s="86" t="e">
        <f>IF(I4409="fora",0%,G4409/QUÓRUM!$C$6)</f>
        <v>#DIV/0!</v>
      </c>
      <c r="I4409" s="87"/>
      <c r="J4409" s="88"/>
      <c r="K4409" s="88"/>
      <c r="L4409" s="89"/>
      <c r="M4409" s="89"/>
      <c r="Q4409" s="105"/>
    </row>
    <row r="4410" spans="3:17" x14ac:dyDescent="0.3">
      <c r="C4410" s="87"/>
      <c r="H4410" s="86" t="e">
        <f>IF(I4410="fora",0%,G4410/QUÓRUM!$C$6)</f>
        <v>#DIV/0!</v>
      </c>
      <c r="I4410" s="87"/>
      <c r="J4410" s="88"/>
      <c r="K4410" s="88"/>
      <c r="L4410" s="89"/>
      <c r="M4410" s="89"/>
      <c r="Q4410" s="105"/>
    </row>
    <row r="4411" spans="3:17" x14ac:dyDescent="0.3">
      <c r="C4411" s="87"/>
      <c r="H4411" s="86" t="e">
        <f>IF(I4411="fora",0%,G4411/QUÓRUM!$C$6)</f>
        <v>#DIV/0!</v>
      </c>
      <c r="I4411" s="87"/>
      <c r="J4411" s="88"/>
      <c r="K4411" s="88"/>
      <c r="L4411" s="89"/>
      <c r="M4411" s="89"/>
      <c r="Q4411" s="105"/>
    </row>
    <row r="4412" spans="3:17" x14ac:dyDescent="0.3">
      <c r="C4412" s="87"/>
      <c r="H4412" s="86" t="e">
        <f>IF(I4412="fora",0%,G4412/QUÓRUM!$C$6)</f>
        <v>#DIV/0!</v>
      </c>
      <c r="I4412" s="87"/>
      <c r="J4412" s="88"/>
      <c r="K4412" s="88"/>
      <c r="L4412" s="89"/>
      <c r="M4412" s="89"/>
      <c r="Q4412" s="105"/>
    </row>
    <row r="4413" spans="3:17" x14ac:dyDescent="0.3">
      <c r="C4413" s="87"/>
      <c r="H4413" s="86" t="e">
        <f>IF(I4413="fora",0%,G4413/QUÓRUM!$C$6)</f>
        <v>#DIV/0!</v>
      </c>
      <c r="I4413" s="87"/>
      <c r="J4413" s="88"/>
      <c r="K4413" s="88"/>
      <c r="L4413" s="89"/>
      <c r="M4413" s="89"/>
      <c r="Q4413" s="105"/>
    </row>
    <row r="4414" spans="3:17" x14ac:dyDescent="0.3">
      <c r="C4414" s="87"/>
      <c r="H4414" s="86" t="e">
        <f>IF(I4414="fora",0%,G4414/QUÓRUM!$C$6)</f>
        <v>#DIV/0!</v>
      </c>
      <c r="I4414" s="87"/>
      <c r="J4414" s="88"/>
      <c r="K4414" s="88"/>
      <c r="L4414" s="89"/>
      <c r="M4414" s="89"/>
      <c r="Q4414" s="105"/>
    </row>
    <row r="4415" spans="3:17" x14ac:dyDescent="0.3">
      <c r="C4415" s="87"/>
      <c r="H4415" s="86" t="e">
        <f>IF(I4415="fora",0%,G4415/QUÓRUM!$C$6)</f>
        <v>#DIV/0!</v>
      </c>
      <c r="I4415" s="87"/>
      <c r="J4415" s="88"/>
      <c r="K4415" s="88"/>
      <c r="L4415" s="89"/>
      <c r="M4415" s="89"/>
      <c r="Q4415" s="105"/>
    </row>
    <row r="4416" spans="3:17" x14ac:dyDescent="0.3">
      <c r="C4416" s="87"/>
      <c r="H4416" s="86" t="e">
        <f>IF(I4416="fora",0%,G4416/QUÓRUM!$C$6)</f>
        <v>#DIV/0!</v>
      </c>
      <c r="I4416" s="87"/>
      <c r="J4416" s="88"/>
      <c r="K4416" s="88"/>
      <c r="L4416" s="89"/>
      <c r="M4416" s="89"/>
      <c r="Q4416" s="105"/>
    </row>
    <row r="4417" spans="3:17" x14ac:dyDescent="0.3">
      <c r="C4417" s="87"/>
      <c r="H4417" s="86" t="e">
        <f>IF(I4417="fora",0%,G4417/QUÓRUM!$C$6)</f>
        <v>#DIV/0!</v>
      </c>
      <c r="I4417" s="87"/>
      <c r="J4417" s="88"/>
      <c r="K4417" s="88"/>
      <c r="L4417" s="89"/>
      <c r="M4417" s="89"/>
      <c r="Q4417" s="105"/>
    </row>
    <row r="4418" spans="3:17" x14ac:dyDescent="0.3">
      <c r="C4418" s="87"/>
      <c r="H4418" s="86" t="e">
        <f>IF(I4418="fora",0%,G4418/QUÓRUM!$C$6)</f>
        <v>#DIV/0!</v>
      </c>
      <c r="I4418" s="87"/>
      <c r="J4418" s="88"/>
      <c r="K4418" s="88"/>
      <c r="L4418" s="89"/>
      <c r="M4418" s="89"/>
      <c r="Q4418" s="105"/>
    </row>
    <row r="4419" spans="3:17" x14ac:dyDescent="0.3">
      <c r="C4419" s="87"/>
      <c r="H4419" s="86" t="e">
        <f>IF(I4419="fora",0%,G4419/QUÓRUM!$C$6)</f>
        <v>#DIV/0!</v>
      </c>
      <c r="I4419" s="87"/>
      <c r="J4419" s="88"/>
      <c r="K4419" s="88"/>
      <c r="L4419" s="89"/>
      <c r="M4419" s="89"/>
      <c r="Q4419" s="105"/>
    </row>
    <row r="4420" spans="3:17" x14ac:dyDescent="0.3">
      <c r="C4420" s="87"/>
      <c r="H4420" s="86" t="e">
        <f>IF(I4420="fora",0%,G4420/QUÓRUM!$C$6)</f>
        <v>#DIV/0!</v>
      </c>
      <c r="I4420" s="87"/>
      <c r="J4420" s="88"/>
      <c r="K4420" s="88"/>
      <c r="L4420" s="89"/>
      <c r="M4420" s="89"/>
      <c r="Q4420" s="105"/>
    </row>
    <row r="4421" spans="3:17" x14ac:dyDescent="0.3">
      <c r="C4421" s="87"/>
      <c r="H4421" s="86" t="e">
        <f>IF(I4421="fora",0%,G4421/QUÓRUM!$C$6)</f>
        <v>#DIV/0!</v>
      </c>
      <c r="I4421" s="87"/>
      <c r="J4421" s="88"/>
      <c r="K4421" s="88"/>
      <c r="L4421" s="89"/>
      <c r="M4421" s="89"/>
      <c r="Q4421" s="105"/>
    </row>
    <row r="4422" spans="3:17" x14ac:dyDescent="0.3">
      <c r="C4422" s="87"/>
      <c r="H4422" s="86" t="e">
        <f>IF(I4422="fora",0%,G4422/QUÓRUM!$C$6)</f>
        <v>#DIV/0!</v>
      </c>
      <c r="I4422" s="87"/>
      <c r="J4422" s="88"/>
      <c r="K4422" s="88"/>
      <c r="L4422" s="89"/>
      <c r="M4422" s="89"/>
      <c r="Q4422" s="105"/>
    </row>
    <row r="4423" spans="3:17" x14ac:dyDescent="0.3">
      <c r="C4423" s="87"/>
      <c r="H4423" s="86" t="e">
        <f>IF(I4423="fora",0%,G4423/QUÓRUM!$C$6)</f>
        <v>#DIV/0!</v>
      </c>
      <c r="I4423" s="87"/>
      <c r="J4423" s="88"/>
      <c r="K4423" s="88"/>
      <c r="L4423" s="89"/>
      <c r="M4423" s="89"/>
      <c r="Q4423" s="105"/>
    </row>
    <row r="4424" spans="3:17" x14ac:dyDescent="0.3">
      <c r="C4424" s="87"/>
      <c r="H4424" s="86" t="e">
        <f>IF(I4424="fora",0%,G4424/QUÓRUM!$C$6)</f>
        <v>#DIV/0!</v>
      </c>
      <c r="I4424" s="87"/>
      <c r="J4424" s="88"/>
      <c r="K4424" s="88"/>
      <c r="L4424" s="89"/>
      <c r="M4424" s="89"/>
      <c r="Q4424" s="105"/>
    </row>
    <row r="4425" spans="3:17" x14ac:dyDescent="0.3">
      <c r="C4425" s="87"/>
      <c r="H4425" s="86" t="e">
        <f>IF(I4425="fora",0%,G4425/QUÓRUM!$C$6)</f>
        <v>#DIV/0!</v>
      </c>
      <c r="I4425" s="87"/>
      <c r="J4425" s="88"/>
      <c r="K4425" s="88"/>
      <c r="L4425" s="89"/>
      <c r="M4425" s="89"/>
      <c r="Q4425" s="105"/>
    </row>
    <row r="4426" spans="3:17" x14ac:dyDescent="0.3">
      <c r="C4426" s="87"/>
      <c r="H4426" s="86" t="e">
        <f>IF(I4426="fora",0%,G4426/QUÓRUM!$C$6)</f>
        <v>#DIV/0!</v>
      </c>
      <c r="I4426" s="87"/>
      <c r="J4426" s="88"/>
      <c r="K4426" s="88"/>
      <c r="L4426" s="89"/>
      <c r="M4426" s="89"/>
      <c r="Q4426" s="105"/>
    </row>
    <row r="4427" spans="3:17" x14ac:dyDescent="0.3">
      <c r="C4427" s="87"/>
      <c r="H4427" s="86" t="e">
        <f>IF(I4427="fora",0%,G4427/QUÓRUM!$C$6)</f>
        <v>#DIV/0!</v>
      </c>
      <c r="I4427" s="87"/>
      <c r="J4427" s="88"/>
      <c r="K4427" s="88"/>
      <c r="L4427" s="89"/>
      <c r="M4427" s="89"/>
      <c r="Q4427" s="105"/>
    </row>
    <row r="4428" spans="3:17" x14ac:dyDescent="0.3">
      <c r="C4428" s="87"/>
      <c r="H4428" s="86" t="e">
        <f>IF(I4428="fora",0%,G4428/QUÓRUM!$C$6)</f>
        <v>#DIV/0!</v>
      </c>
      <c r="I4428" s="87"/>
      <c r="J4428" s="88"/>
      <c r="K4428" s="88"/>
      <c r="L4428" s="89"/>
      <c r="M4428" s="89"/>
      <c r="Q4428" s="105"/>
    </row>
    <row r="4429" spans="3:17" x14ac:dyDescent="0.3">
      <c r="C4429" s="87"/>
      <c r="H4429" s="86" t="e">
        <f>IF(I4429="fora",0%,G4429/QUÓRUM!$C$6)</f>
        <v>#DIV/0!</v>
      </c>
      <c r="I4429" s="87"/>
      <c r="J4429" s="88"/>
      <c r="K4429" s="88"/>
      <c r="L4429" s="89"/>
      <c r="M4429" s="89"/>
      <c r="Q4429" s="105"/>
    </row>
    <row r="4430" spans="3:17" x14ac:dyDescent="0.3">
      <c r="C4430" s="87"/>
      <c r="H4430" s="86" t="e">
        <f>IF(I4430="fora",0%,G4430/QUÓRUM!$C$6)</f>
        <v>#DIV/0!</v>
      </c>
      <c r="I4430" s="87"/>
      <c r="J4430" s="88"/>
      <c r="K4430" s="88"/>
      <c r="L4430" s="89"/>
      <c r="M4430" s="89"/>
      <c r="Q4430" s="105"/>
    </row>
    <row r="4431" spans="3:17" x14ac:dyDescent="0.3">
      <c r="C4431" s="87"/>
      <c r="H4431" s="86" t="e">
        <f>IF(I4431="fora",0%,G4431/QUÓRUM!$C$6)</f>
        <v>#DIV/0!</v>
      </c>
      <c r="I4431" s="87"/>
      <c r="J4431" s="88"/>
      <c r="K4431" s="88"/>
      <c r="L4431" s="89"/>
      <c r="M4431" s="89"/>
      <c r="Q4431" s="105"/>
    </row>
    <row r="4432" spans="3:17" x14ac:dyDescent="0.3">
      <c r="C4432" s="87"/>
      <c r="H4432" s="86" t="e">
        <f>IF(I4432="fora",0%,G4432/QUÓRUM!$C$6)</f>
        <v>#DIV/0!</v>
      </c>
      <c r="I4432" s="87"/>
      <c r="J4432" s="88"/>
      <c r="K4432" s="88"/>
      <c r="L4432" s="89"/>
      <c r="M4432" s="89"/>
      <c r="Q4432" s="105"/>
    </row>
    <row r="4433" spans="3:17" x14ac:dyDescent="0.3">
      <c r="C4433" s="87"/>
      <c r="H4433" s="86" t="e">
        <f>IF(I4433="fora",0%,G4433/QUÓRUM!$C$6)</f>
        <v>#DIV/0!</v>
      </c>
      <c r="I4433" s="87"/>
      <c r="J4433" s="88"/>
      <c r="K4433" s="88"/>
      <c r="L4433" s="89"/>
      <c r="M4433" s="89"/>
      <c r="Q4433" s="105"/>
    </row>
    <row r="4434" spans="3:17" x14ac:dyDescent="0.3">
      <c r="C4434" s="87"/>
      <c r="H4434" s="86" t="e">
        <f>IF(I4434="fora",0%,G4434/QUÓRUM!$C$6)</f>
        <v>#DIV/0!</v>
      </c>
      <c r="I4434" s="87"/>
      <c r="J4434" s="88"/>
      <c r="K4434" s="88"/>
      <c r="L4434" s="89"/>
      <c r="M4434" s="89"/>
      <c r="Q4434" s="105"/>
    </row>
    <row r="4435" spans="3:17" x14ac:dyDescent="0.3">
      <c r="C4435" s="87"/>
      <c r="H4435" s="86" t="e">
        <f>IF(I4435="fora",0%,G4435/QUÓRUM!$C$6)</f>
        <v>#DIV/0!</v>
      </c>
      <c r="I4435" s="87"/>
      <c r="J4435" s="88"/>
      <c r="K4435" s="88"/>
      <c r="L4435" s="89"/>
      <c r="M4435" s="89"/>
      <c r="Q4435" s="105"/>
    </row>
    <row r="4436" spans="3:17" x14ac:dyDescent="0.3">
      <c r="C4436" s="87"/>
      <c r="H4436" s="86" t="e">
        <f>IF(I4436="fora",0%,G4436/QUÓRUM!$C$6)</f>
        <v>#DIV/0!</v>
      </c>
      <c r="I4436" s="87"/>
      <c r="J4436" s="88"/>
      <c r="K4436" s="88"/>
      <c r="L4436" s="89"/>
      <c r="M4436" s="89"/>
      <c r="Q4436" s="105"/>
    </row>
    <row r="4437" spans="3:17" x14ac:dyDescent="0.3">
      <c r="C4437" s="87"/>
      <c r="H4437" s="86" t="e">
        <f>IF(I4437="fora",0%,G4437/QUÓRUM!$C$6)</f>
        <v>#DIV/0!</v>
      </c>
      <c r="I4437" s="87"/>
      <c r="J4437" s="88"/>
      <c r="K4437" s="88"/>
      <c r="L4437" s="89"/>
      <c r="M4437" s="89"/>
      <c r="Q4437" s="105"/>
    </row>
    <row r="4438" spans="3:17" x14ac:dyDescent="0.3">
      <c r="C4438" s="87"/>
      <c r="H4438" s="86" t="e">
        <f>IF(I4438="fora",0%,G4438/QUÓRUM!$C$6)</f>
        <v>#DIV/0!</v>
      </c>
      <c r="I4438" s="87"/>
      <c r="J4438" s="88"/>
      <c r="K4438" s="88"/>
      <c r="L4438" s="89"/>
      <c r="M4438" s="89"/>
      <c r="Q4438" s="105"/>
    </row>
    <row r="4439" spans="3:17" x14ac:dyDescent="0.3">
      <c r="C4439" s="87"/>
      <c r="H4439" s="86" t="e">
        <f>IF(I4439="fora",0%,G4439/QUÓRUM!$C$6)</f>
        <v>#DIV/0!</v>
      </c>
      <c r="I4439" s="87"/>
      <c r="J4439" s="88"/>
      <c r="K4439" s="88"/>
      <c r="L4439" s="89"/>
      <c r="M4439" s="89"/>
      <c r="Q4439" s="105"/>
    </row>
    <row r="4440" spans="3:17" x14ac:dyDescent="0.3">
      <c r="C4440" s="87"/>
      <c r="H4440" s="86" t="e">
        <f>IF(I4440="fora",0%,G4440/QUÓRUM!$C$6)</f>
        <v>#DIV/0!</v>
      </c>
      <c r="I4440" s="87"/>
      <c r="J4440" s="88"/>
      <c r="K4440" s="88"/>
      <c r="L4440" s="89"/>
      <c r="M4440" s="89"/>
      <c r="Q4440" s="105"/>
    </row>
    <row r="4441" spans="3:17" x14ac:dyDescent="0.3">
      <c r="C4441" s="87"/>
      <c r="H4441" s="86" t="e">
        <f>IF(I4441="fora",0%,G4441/QUÓRUM!$C$6)</f>
        <v>#DIV/0!</v>
      </c>
      <c r="I4441" s="87"/>
      <c r="J4441" s="88"/>
      <c r="K4441" s="88"/>
      <c r="L4441" s="89"/>
      <c r="M4441" s="89"/>
      <c r="Q4441" s="105"/>
    </row>
    <row r="4442" spans="3:17" x14ac:dyDescent="0.3">
      <c r="C4442" s="87"/>
      <c r="H4442" s="86" t="e">
        <f>IF(I4442="fora",0%,G4442/QUÓRUM!$C$6)</f>
        <v>#DIV/0!</v>
      </c>
      <c r="I4442" s="87"/>
      <c r="J4442" s="88"/>
      <c r="K4442" s="88"/>
      <c r="L4442" s="89"/>
      <c r="M4442" s="89"/>
      <c r="Q4442" s="105"/>
    </row>
    <row r="4443" spans="3:17" x14ac:dyDescent="0.3">
      <c r="C4443" s="87"/>
      <c r="H4443" s="86" t="e">
        <f>IF(I4443="fora",0%,G4443/QUÓRUM!$C$6)</f>
        <v>#DIV/0!</v>
      </c>
      <c r="I4443" s="87"/>
      <c r="J4443" s="88"/>
      <c r="K4443" s="88"/>
      <c r="L4443" s="89"/>
      <c r="M4443" s="89"/>
      <c r="Q4443" s="105"/>
    </row>
    <row r="4444" spans="3:17" x14ac:dyDescent="0.3">
      <c r="C4444" s="87"/>
      <c r="H4444" s="86" t="e">
        <f>IF(I4444="fora",0%,G4444/QUÓRUM!$C$6)</f>
        <v>#DIV/0!</v>
      </c>
      <c r="I4444" s="87"/>
      <c r="J4444" s="88"/>
      <c r="K4444" s="88"/>
      <c r="L4444" s="89"/>
      <c r="M4444" s="89"/>
      <c r="Q4444" s="105"/>
    </row>
    <row r="4445" spans="3:17" x14ac:dyDescent="0.3">
      <c r="C4445" s="87"/>
      <c r="H4445" s="86" t="e">
        <f>IF(I4445="fora",0%,G4445/QUÓRUM!$C$6)</f>
        <v>#DIV/0!</v>
      </c>
      <c r="I4445" s="87"/>
      <c r="J4445" s="88"/>
      <c r="K4445" s="88"/>
      <c r="L4445" s="89"/>
      <c r="M4445" s="89"/>
      <c r="Q4445" s="105"/>
    </row>
    <row r="4446" spans="3:17" x14ac:dyDescent="0.3">
      <c r="C4446" s="87"/>
      <c r="H4446" s="86" t="e">
        <f>IF(I4446="fora",0%,G4446/QUÓRUM!$C$6)</f>
        <v>#DIV/0!</v>
      </c>
      <c r="I4446" s="87"/>
      <c r="J4446" s="88"/>
      <c r="K4446" s="88"/>
      <c r="L4446" s="89"/>
      <c r="M4446" s="89"/>
      <c r="Q4446" s="105"/>
    </row>
    <row r="4447" spans="3:17" x14ac:dyDescent="0.3">
      <c r="C4447" s="87"/>
      <c r="H4447" s="86" t="e">
        <f>IF(I4447="fora",0%,G4447/QUÓRUM!$C$6)</f>
        <v>#DIV/0!</v>
      </c>
      <c r="I4447" s="87"/>
      <c r="J4447" s="88"/>
      <c r="K4447" s="88"/>
      <c r="L4447" s="89"/>
      <c r="M4447" s="89"/>
      <c r="Q4447" s="105"/>
    </row>
    <row r="4448" spans="3:17" x14ac:dyDescent="0.3">
      <c r="C4448" s="87"/>
      <c r="H4448" s="86" t="e">
        <f>IF(I4448="fora",0%,G4448/QUÓRUM!$C$6)</f>
        <v>#DIV/0!</v>
      </c>
      <c r="I4448" s="87"/>
      <c r="J4448" s="88"/>
      <c r="K4448" s="88"/>
      <c r="L4448" s="89"/>
      <c r="M4448" s="89"/>
      <c r="Q4448" s="105"/>
    </row>
    <row r="4449" spans="3:17" x14ac:dyDescent="0.3">
      <c r="C4449" s="87"/>
      <c r="H4449" s="86" t="e">
        <f>IF(I4449="fora",0%,G4449/QUÓRUM!$C$6)</f>
        <v>#DIV/0!</v>
      </c>
      <c r="I4449" s="87"/>
      <c r="J4449" s="88"/>
      <c r="K4449" s="88"/>
      <c r="L4449" s="89"/>
      <c r="M4449" s="89"/>
      <c r="Q4449" s="105"/>
    </row>
    <row r="4450" spans="3:17" x14ac:dyDescent="0.3">
      <c r="C4450" s="87"/>
      <c r="H4450" s="86" t="e">
        <f>IF(I4450="fora",0%,G4450/QUÓRUM!$C$6)</f>
        <v>#DIV/0!</v>
      </c>
      <c r="I4450" s="87"/>
      <c r="J4450" s="88"/>
      <c r="K4450" s="88"/>
      <c r="L4450" s="89"/>
      <c r="M4450" s="89"/>
      <c r="Q4450" s="105"/>
    </row>
    <row r="4451" spans="3:17" x14ac:dyDescent="0.3">
      <c r="C4451" s="87"/>
      <c r="H4451" s="86" t="e">
        <f>IF(I4451="fora",0%,G4451/QUÓRUM!$C$6)</f>
        <v>#DIV/0!</v>
      </c>
      <c r="I4451" s="87"/>
      <c r="J4451" s="88"/>
      <c r="K4451" s="88"/>
      <c r="L4451" s="89"/>
      <c r="M4451" s="89"/>
      <c r="Q4451" s="105"/>
    </row>
    <row r="4452" spans="3:17" x14ac:dyDescent="0.3">
      <c r="C4452" s="87"/>
      <c r="H4452" s="86" t="e">
        <f>IF(I4452="fora",0%,G4452/QUÓRUM!$C$6)</f>
        <v>#DIV/0!</v>
      </c>
      <c r="I4452" s="87"/>
      <c r="J4452" s="88"/>
      <c r="K4452" s="88"/>
      <c r="L4452" s="89"/>
      <c r="M4452" s="89"/>
      <c r="Q4452" s="105"/>
    </row>
    <row r="4453" spans="3:17" x14ac:dyDescent="0.3">
      <c r="C4453" s="87"/>
      <c r="H4453" s="86" t="e">
        <f>IF(I4453="fora",0%,G4453/QUÓRUM!$C$6)</f>
        <v>#DIV/0!</v>
      </c>
      <c r="I4453" s="87"/>
      <c r="J4453" s="88"/>
      <c r="K4453" s="88"/>
      <c r="L4453" s="89"/>
      <c r="M4453" s="89"/>
      <c r="Q4453" s="105"/>
    </row>
    <row r="4454" spans="3:17" x14ac:dyDescent="0.3">
      <c r="C4454" s="87"/>
      <c r="H4454" s="86" t="e">
        <f>IF(I4454="fora",0%,G4454/QUÓRUM!$C$6)</f>
        <v>#DIV/0!</v>
      </c>
      <c r="I4454" s="87"/>
      <c r="J4454" s="88"/>
      <c r="K4454" s="88"/>
      <c r="L4454" s="89"/>
      <c r="M4454" s="89"/>
      <c r="Q4454" s="105"/>
    </row>
    <row r="4455" spans="3:17" x14ac:dyDescent="0.3">
      <c r="C4455" s="87"/>
      <c r="H4455" s="86" t="e">
        <f>IF(I4455="fora",0%,G4455/QUÓRUM!$C$6)</f>
        <v>#DIV/0!</v>
      </c>
      <c r="I4455" s="87"/>
      <c r="J4455" s="88"/>
      <c r="K4455" s="88"/>
      <c r="L4455" s="89"/>
      <c r="M4455" s="89"/>
      <c r="Q4455" s="105"/>
    </row>
    <row r="4456" spans="3:17" x14ac:dyDescent="0.3">
      <c r="C4456" s="87"/>
      <c r="H4456" s="86" t="e">
        <f>IF(I4456="fora",0%,G4456/QUÓRUM!$C$6)</f>
        <v>#DIV/0!</v>
      </c>
      <c r="I4456" s="87"/>
      <c r="J4456" s="88"/>
      <c r="K4456" s="88"/>
      <c r="L4456" s="89"/>
      <c r="M4456" s="89"/>
      <c r="Q4456" s="105"/>
    </row>
    <row r="4457" spans="3:17" x14ac:dyDescent="0.3">
      <c r="C4457" s="87"/>
      <c r="H4457" s="86" t="e">
        <f>IF(I4457="fora",0%,G4457/QUÓRUM!$C$6)</f>
        <v>#DIV/0!</v>
      </c>
      <c r="I4457" s="87"/>
      <c r="J4457" s="88"/>
      <c r="K4457" s="88"/>
      <c r="L4457" s="89"/>
      <c r="M4457" s="89"/>
      <c r="Q4457" s="105"/>
    </row>
    <row r="4458" spans="3:17" x14ac:dyDescent="0.3">
      <c r="C4458" s="87"/>
      <c r="H4458" s="86" t="e">
        <f>IF(I4458="fora",0%,G4458/QUÓRUM!$C$6)</f>
        <v>#DIV/0!</v>
      </c>
      <c r="I4458" s="87"/>
      <c r="J4458" s="88"/>
      <c r="K4458" s="88"/>
      <c r="L4458" s="89"/>
      <c r="M4458" s="89"/>
      <c r="Q4458" s="105"/>
    </row>
    <row r="4459" spans="3:17" x14ac:dyDescent="0.3">
      <c r="C4459" s="87"/>
      <c r="H4459" s="86" t="e">
        <f>IF(I4459="fora",0%,G4459/QUÓRUM!$C$6)</f>
        <v>#DIV/0!</v>
      </c>
      <c r="I4459" s="87"/>
      <c r="J4459" s="88"/>
      <c r="K4459" s="88"/>
      <c r="L4459" s="89"/>
      <c r="M4459" s="89"/>
      <c r="Q4459" s="105"/>
    </row>
    <row r="4460" spans="3:17" x14ac:dyDescent="0.3">
      <c r="C4460" s="87"/>
      <c r="H4460" s="86" t="e">
        <f>IF(I4460="fora",0%,G4460/QUÓRUM!$C$6)</f>
        <v>#DIV/0!</v>
      </c>
      <c r="I4460" s="87"/>
      <c r="J4460" s="88"/>
      <c r="K4460" s="88"/>
      <c r="L4460" s="89"/>
      <c r="M4460" s="89"/>
      <c r="Q4460" s="105"/>
    </row>
    <row r="4461" spans="3:17" x14ac:dyDescent="0.3">
      <c r="C4461" s="87"/>
      <c r="H4461" s="86" t="e">
        <f>IF(I4461="fora",0%,G4461/QUÓRUM!$C$6)</f>
        <v>#DIV/0!</v>
      </c>
      <c r="I4461" s="87"/>
      <c r="J4461" s="88"/>
      <c r="K4461" s="88"/>
      <c r="L4461" s="89"/>
      <c r="M4461" s="89"/>
      <c r="Q4461" s="105"/>
    </row>
    <row r="4462" spans="3:17" x14ac:dyDescent="0.3">
      <c r="C4462" s="87"/>
      <c r="H4462" s="86" t="e">
        <f>IF(I4462="fora",0%,G4462/QUÓRUM!$C$6)</f>
        <v>#DIV/0!</v>
      </c>
      <c r="I4462" s="87"/>
      <c r="J4462" s="88"/>
      <c r="K4462" s="88"/>
      <c r="L4462" s="89"/>
      <c r="M4462" s="89"/>
      <c r="Q4462" s="105"/>
    </row>
    <row r="4463" spans="3:17" x14ac:dyDescent="0.3">
      <c r="C4463" s="87"/>
      <c r="H4463" s="86" t="e">
        <f>IF(I4463="fora",0%,G4463/QUÓRUM!$C$6)</f>
        <v>#DIV/0!</v>
      </c>
      <c r="I4463" s="87"/>
      <c r="J4463" s="88"/>
      <c r="K4463" s="88"/>
      <c r="L4463" s="89"/>
      <c r="M4463" s="89"/>
      <c r="Q4463" s="105"/>
    </row>
    <row r="4464" spans="3:17" x14ac:dyDescent="0.3">
      <c r="C4464" s="87"/>
      <c r="H4464" s="86" t="e">
        <f>IF(I4464="fora",0%,G4464/QUÓRUM!$C$6)</f>
        <v>#DIV/0!</v>
      </c>
      <c r="I4464" s="87"/>
      <c r="J4464" s="88"/>
      <c r="K4464" s="88"/>
      <c r="L4464" s="89"/>
      <c r="M4464" s="89"/>
      <c r="Q4464" s="105"/>
    </row>
    <row r="4465" spans="3:17" x14ac:dyDescent="0.3">
      <c r="C4465" s="87"/>
      <c r="H4465" s="86" t="e">
        <f>IF(I4465="fora",0%,G4465/QUÓRUM!$C$6)</f>
        <v>#DIV/0!</v>
      </c>
      <c r="I4465" s="87"/>
      <c r="J4465" s="88"/>
      <c r="K4465" s="88"/>
      <c r="L4465" s="89"/>
      <c r="M4465" s="89"/>
      <c r="Q4465" s="105"/>
    </row>
    <row r="4466" spans="3:17" x14ac:dyDescent="0.3">
      <c r="C4466" s="87"/>
      <c r="H4466" s="86" t="e">
        <f>IF(I4466="fora",0%,G4466/QUÓRUM!$C$6)</f>
        <v>#DIV/0!</v>
      </c>
      <c r="I4466" s="87"/>
      <c r="J4466" s="88"/>
      <c r="K4466" s="88"/>
      <c r="L4466" s="89"/>
      <c r="M4466" s="89"/>
      <c r="Q4466" s="105"/>
    </row>
    <row r="4467" spans="3:17" x14ac:dyDescent="0.3">
      <c r="C4467" s="87"/>
      <c r="H4467" s="86" t="e">
        <f>IF(I4467="fora",0%,G4467/QUÓRUM!$C$6)</f>
        <v>#DIV/0!</v>
      </c>
      <c r="I4467" s="87"/>
      <c r="J4467" s="88"/>
      <c r="K4467" s="88"/>
      <c r="L4467" s="89"/>
      <c r="M4467" s="89"/>
      <c r="Q4467" s="105"/>
    </row>
    <row r="4468" spans="3:17" x14ac:dyDescent="0.3">
      <c r="C4468" s="87"/>
      <c r="H4468" s="86" t="e">
        <f>IF(I4468="fora",0%,G4468/QUÓRUM!$C$6)</f>
        <v>#DIV/0!</v>
      </c>
      <c r="I4468" s="87"/>
      <c r="J4468" s="88"/>
      <c r="K4468" s="88"/>
      <c r="L4468" s="89"/>
      <c r="M4468" s="89"/>
      <c r="Q4468" s="105"/>
    </row>
    <row r="4469" spans="3:17" x14ac:dyDescent="0.3">
      <c r="C4469" s="87"/>
      <c r="H4469" s="86" t="e">
        <f>IF(I4469="fora",0%,G4469/QUÓRUM!$C$6)</f>
        <v>#DIV/0!</v>
      </c>
      <c r="I4469" s="87"/>
      <c r="J4469" s="88"/>
      <c r="K4469" s="88"/>
      <c r="L4469" s="89"/>
      <c r="M4469" s="89"/>
      <c r="Q4469" s="105"/>
    </row>
    <row r="4470" spans="3:17" x14ac:dyDescent="0.3">
      <c r="C4470" s="87"/>
      <c r="H4470" s="86" t="e">
        <f>IF(I4470="fora",0%,G4470/QUÓRUM!$C$6)</f>
        <v>#DIV/0!</v>
      </c>
      <c r="I4470" s="87"/>
      <c r="J4470" s="88"/>
      <c r="K4470" s="88"/>
      <c r="L4470" s="89"/>
      <c r="M4470" s="89"/>
      <c r="Q4470" s="105"/>
    </row>
    <row r="4471" spans="3:17" x14ac:dyDescent="0.3">
      <c r="C4471" s="87"/>
      <c r="H4471" s="86" t="e">
        <f>IF(I4471="fora",0%,G4471/QUÓRUM!$C$6)</f>
        <v>#DIV/0!</v>
      </c>
      <c r="I4471" s="87"/>
      <c r="J4471" s="88"/>
      <c r="K4471" s="88"/>
      <c r="L4471" s="89"/>
      <c r="M4471" s="89"/>
      <c r="Q4471" s="105"/>
    </row>
    <row r="4472" spans="3:17" x14ac:dyDescent="0.3">
      <c r="C4472" s="87"/>
      <c r="H4472" s="86" t="e">
        <f>IF(I4472="fora",0%,G4472/QUÓRUM!$C$6)</f>
        <v>#DIV/0!</v>
      </c>
      <c r="I4472" s="87"/>
      <c r="J4472" s="88"/>
      <c r="K4472" s="88"/>
      <c r="L4472" s="89"/>
      <c r="M4472" s="89"/>
      <c r="Q4472" s="105"/>
    </row>
    <row r="4473" spans="3:17" x14ac:dyDescent="0.3">
      <c r="C4473" s="87"/>
      <c r="H4473" s="86" t="e">
        <f>IF(I4473="fora",0%,G4473/QUÓRUM!$C$6)</f>
        <v>#DIV/0!</v>
      </c>
      <c r="I4473" s="87"/>
      <c r="J4473" s="88"/>
      <c r="K4473" s="88"/>
      <c r="L4473" s="89"/>
      <c r="M4473" s="89"/>
      <c r="Q4473" s="105"/>
    </row>
    <row r="4474" spans="3:17" x14ac:dyDescent="0.3">
      <c r="C4474" s="87"/>
      <c r="H4474" s="86" t="e">
        <f>IF(I4474="fora",0%,G4474/QUÓRUM!$C$6)</f>
        <v>#DIV/0!</v>
      </c>
      <c r="I4474" s="87"/>
      <c r="J4474" s="88"/>
      <c r="K4474" s="88"/>
      <c r="L4474" s="89"/>
      <c r="M4474" s="89"/>
      <c r="Q4474" s="105"/>
    </row>
    <row r="4475" spans="3:17" x14ac:dyDescent="0.3">
      <c r="C4475" s="87"/>
      <c r="H4475" s="86" t="e">
        <f>IF(I4475="fora",0%,G4475/QUÓRUM!$C$6)</f>
        <v>#DIV/0!</v>
      </c>
      <c r="I4475" s="87"/>
      <c r="J4475" s="88"/>
      <c r="K4475" s="88"/>
      <c r="L4475" s="89"/>
      <c r="M4475" s="89"/>
      <c r="Q4475" s="105"/>
    </row>
    <row r="4476" spans="3:17" x14ac:dyDescent="0.3">
      <c r="C4476" s="87"/>
      <c r="H4476" s="86" t="e">
        <f>IF(I4476="fora",0%,G4476/QUÓRUM!$C$6)</f>
        <v>#DIV/0!</v>
      </c>
      <c r="I4476" s="87"/>
      <c r="J4476" s="88"/>
      <c r="K4476" s="88"/>
      <c r="L4476" s="89"/>
      <c r="M4476" s="89"/>
      <c r="Q4476" s="105"/>
    </row>
    <row r="4477" spans="3:17" x14ac:dyDescent="0.3">
      <c r="C4477" s="87"/>
      <c r="H4477" s="86" t="e">
        <f>IF(I4477="fora",0%,G4477/QUÓRUM!$C$6)</f>
        <v>#DIV/0!</v>
      </c>
      <c r="I4477" s="87"/>
      <c r="J4477" s="88"/>
      <c r="K4477" s="88"/>
      <c r="L4477" s="89"/>
      <c r="M4477" s="89"/>
      <c r="Q4477" s="105"/>
    </row>
    <row r="4478" spans="3:17" x14ac:dyDescent="0.3">
      <c r="C4478" s="87"/>
      <c r="H4478" s="86" t="e">
        <f>IF(I4478="fora",0%,G4478/QUÓRUM!$C$6)</f>
        <v>#DIV/0!</v>
      </c>
      <c r="I4478" s="87"/>
      <c r="J4478" s="88"/>
      <c r="K4478" s="88"/>
      <c r="L4478" s="89"/>
      <c r="M4478" s="89"/>
      <c r="Q4478" s="105"/>
    </row>
    <row r="4479" spans="3:17" x14ac:dyDescent="0.3">
      <c r="C4479" s="87"/>
      <c r="H4479" s="86" t="e">
        <f>IF(I4479="fora",0%,G4479/QUÓRUM!$C$6)</f>
        <v>#DIV/0!</v>
      </c>
      <c r="I4479" s="87"/>
      <c r="J4479" s="88"/>
      <c r="K4479" s="88"/>
      <c r="L4479" s="89"/>
      <c r="M4479" s="89"/>
      <c r="Q4479" s="105"/>
    </row>
    <row r="4480" spans="3:17" x14ac:dyDescent="0.3">
      <c r="C4480" s="87"/>
      <c r="H4480" s="86" t="e">
        <f>IF(I4480="fora",0%,G4480/QUÓRUM!$C$6)</f>
        <v>#DIV/0!</v>
      </c>
      <c r="I4480" s="87"/>
      <c r="J4480" s="88"/>
      <c r="K4480" s="88"/>
      <c r="L4480" s="89"/>
      <c r="M4480" s="89"/>
      <c r="Q4480" s="105"/>
    </row>
    <row r="4481" spans="3:17" x14ac:dyDescent="0.3">
      <c r="C4481" s="87"/>
      <c r="H4481" s="86" t="e">
        <f>IF(I4481="fora",0%,G4481/QUÓRUM!$C$6)</f>
        <v>#DIV/0!</v>
      </c>
      <c r="I4481" s="87"/>
      <c r="J4481" s="88"/>
      <c r="K4481" s="88"/>
      <c r="L4481" s="89"/>
      <c r="M4481" s="89"/>
      <c r="Q4481" s="105"/>
    </row>
    <row r="4482" spans="3:17" x14ac:dyDescent="0.3">
      <c r="C4482" s="87"/>
      <c r="H4482" s="86" t="e">
        <f>IF(I4482="fora",0%,G4482/QUÓRUM!$C$6)</f>
        <v>#DIV/0!</v>
      </c>
      <c r="I4482" s="87"/>
      <c r="J4482" s="88"/>
      <c r="K4482" s="88"/>
      <c r="L4482" s="89"/>
      <c r="M4482" s="89"/>
      <c r="Q4482" s="105"/>
    </row>
    <row r="4483" spans="3:17" x14ac:dyDescent="0.3">
      <c r="C4483" s="87"/>
      <c r="H4483" s="86" t="e">
        <f>IF(I4483="fora",0%,G4483/QUÓRUM!$C$6)</f>
        <v>#DIV/0!</v>
      </c>
      <c r="I4483" s="87"/>
      <c r="J4483" s="88"/>
      <c r="K4483" s="88"/>
      <c r="L4483" s="89"/>
      <c r="M4483" s="89"/>
      <c r="Q4483" s="105"/>
    </row>
    <row r="4484" spans="3:17" x14ac:dyDescent="0.3">
      <c r="C4484" s="87"/>
      <c r="H4484" s="86" t="e">
        <f>IF(I4484="fora",0%,G4484/QUÓRUM!$C$6)</f>
        <v>#DIV/0!</v>
      </c>
      <c r="I4484" s="87"/>
      <c r="J4484" s="88"/>
      <c r="K4484" s="88"/>
      <c r="L4484" s="89"/>
      <c r="M4484" s="89"/>
      <c r="Q4484" s="105"/>
    </row>
    <row r="4485" spans="3:17" x14ac:dyDescent="0.3">
      <c r="C4485" s="87"/>
      <c r="H4485" s="86" t="e">
        <f>IF(I4485="fora",0%,G4485/QUÓRUM!$C$6)</f>
        <v>#DIV/0!</v>
      </c>
      <c r="I4485" s="87"/>
      <c r="J4485" s="88"/>
      <c r="K4485" s="88"/>
      <c r="L4485" s="89"/>
      <c r="M4485" s="89"/>
      <c r="Q4485" s="105"/>
    </row>
    <row r="4486" spans="3:17" x14ac:dyDescent="0.3">
      <c r="C4486" s="87"/>
      <c r="H4486" s="86" t="e">
        <f>IF(I4486="fora",0%,G4486/QUÓRUM!$C$6)</f>
        <v>#DIV/0!</v>
      </c>
      <c r="I4486" s="87"/>
      <c r="J4486" s="88"/>
      <c r="K4486" s="88"/>
      <c r="L4486" s="89"/>
      <c r="M4486" s="89"/>
      <c r="Q4486" s="105"/>
    </row>
    <row r="4487" spans="3:17" x14ac:dyDescent="0.3">
      <c r="C4487" s="87"/>
      <c r="H4487" s="86" t="e">
        <f>IF(I4487="fora",0%,G4487/QUÓRUM!$C$6)</f>
        <v>#DIV/0!</v>
      </c>
      <c r="I4487" s="87"/>
      <c r="J4487" s="88"/>
      <c r="K4487" s="88"/>
      <c r="L4487" s="89"/>
      <c r="M4487" s="89"/>
      <c r="Q4487" s="105"/>
    </row>
    <row r="4488" spans="3:17" x14ac:dyDescent="0.3">
      <c r="C4488" s="87"/>
      <c r="H4488" s="86" t="e">
        <f>IF(I4488="fora",0%,G4488/QUÓRUM!$C$6)</f>
        <v>#DIV/0!</v>
      </c>
      <c r="I4488" s="87"/>
      <c r="J4488" s="88"/>
      <c r="K4488" s="88"/>
      <c r="L4488" s="89"/>
      <c r="M4488" s="89"/>
      <c r="Q4488" s="105"/>
    </row>
    <row r="4489" spans="3:17" x14ac:dyDescent="0.3">
      <c r="C4489" s="87"/>
      <c r="H4489" s="86" t="e">
        <f>IF(I4489="fora",0%,G4489/QUÓRUM!$C$6)</f>
        <v>#DIV/0!</v>
      </c>
      <c r="I4489" s="87"/>
      <c r="J4489" s="88"/>
      <c r="K4489" s="88"/>
      <c r="L4489" s="89"/>
      <c r="M4489" s="89"/>
      <c r="Q4489" s="105"/>
    </row>
    <row r="4490" spans="3:17" x14ac:dyDescent="0.3">
      <c r="C4490" s="87"/>
      <c r="H4490" s="86" t="e">
        <f>IF(I4490="fora",0%,G4490/QUÓRUM!$C$6)</f>
        <v>#DIV/0!</v>
      </c>
      <c r="I4490" s="87"/>
      <c r="J4490" s="88"/>
      <c r="K4490" s="88"/>
      <c r="L4490" s="89"/>
      <c r="M4490" s="89"/>
      <c r="Q4490" s="105"/>
    </row>
    <row r="4491" spans="3:17" x14ac:dyDescent="0.3">
      <c r="C4491" s="87"/>
      <c r="H4491" s="86" t="e">
        <f>IF(I4491="fora",0%,G4491/QUÓRUM!$C$6)</f>
        <v>#DIV/0!</v>
      </c>
      <c r="I4491" s="87"/>
      <c r="J4491" s="88"/>
      <c r="K4491" s="88"/>
      <c r="L4491" s="89"/>
      <c r="M4491" s="89"/>
      <c r="Q4491" s="105"/>
    </row>
    <row r="4492" spans="3:17" x14ac:dyDescent="0.3">
      <c r="C4492" s="87"/>
      <c r="H4492" s="86" t="e">
        <f>IF(I4492="fora",0%,G4492/QUÓRUM!$C$6)</f>
        <v>#DIV/0!</v>
      </c>
      <c r="I4492" s="87"/>
      <c r="J4492" s="88"/>
      <c r="K4492" s="88"/>
      <c r="L4492" s="89"/>
      <c r="M4492" s="89"/>
      <c r="Q4492" s="105"/>
    </row>
    <row r="4493" spans="3:17" x14ac:dyDescent="0.3">
      <c r="C4493" s="87"/>
      <c r="H4493" s="86" t="e">
        <f>IF(I4493="fora",0%,G4493/QUÓRUM!$C$6)</f>
        <v>#DIV/0!</v>
      </c>
      <c r="I4493" s="87"/>
      <c r="J4493" s="88"/>
      <c r="K4493" s="88"/>
      <c r="L4493" s="89"/>
      <c r="M4493" s="89"/>
      <c r="Q4493" s="105"/>
    </row>
    <row r="4494" spans="3:17" x14ac:dyDescent="0.3">
      <c r="C4494" s="87"/>
      <c r="H4494" s="86" t="e">
        <f>IF(I4494="fora",0%,G4494/QUÓRUM!$C$6)</f>
        <v>#DIV/0!</v>
      </c>
      <c r="I4494" s="87"/>
      <c r="J4494" s="88"/>
      <c r="K4494" s="88"/>
      <c r="L4494" s="89"/>
      <c r="M4494" s="89"/>
      <c r="Q4494" s="105"/>
    </row>
    <row r="4495" spans="3:17" x14ac:dyDescent="0.3">
      <c r="C4495" s="87"/>
      <c r="H4495" s="86" t="e">
        <f>IF(I4495="fora",0%,G4495/QUÓRUM!$C$6)</f>
        <v>#DIV/0!</v>
      </c>
      <c r="I4495" s="87"/>
      <c r="J4495" s="88"/>
      <c r="K4495" s="88"/>
      <c r="L4495" s="89"/>
      <c r="M4495" s="89"/>
      <c r="Q4495" s="105"/>
    </row>
    <row r="4496" spans="3:17" x14ac:dyDescent="0.3">
      <c r="C4496" s="87"/>
      <c r="H4496" s="86" t="e">
        <f>IF(I4496="fora",0%,G4496/QUÓRUM!$C$6)</f>
        <v>#DIV/0!</v>
      </c>
      <c r="I4496" s="87"/>
      <c r="J4496" s="88"/>
      <c r="K4496" s="88"/>
      <c r="L4496" s="89"/>
      <c r="M4496" s="89"/>
      <c r="Q4496" s="105"/>
    </row>
    <row r="4497" spans="3:17" x14ac:dyDescent="0.3">
      <c r="C4497" s="87"/>
      <c r="H4497" s="86" t="e">
        <f>IF(I4497="fora",0%,G4497/QUÓRUM!$C$6)</f>
        <v>#DIV/0!</v>
      </c>
      <c r="I4497" s="87"/>
      <c r="J4497" s="88"/>
      <c r="K4497" s="88"/>
      <c r="L4497" s="89"/>
      <c r="M4497" s="89"/>
      <c r="Q4497" s="105"/>
    </row>
    <row r="4498" spans="3:17" x14ac:dyDescent="0.3">
      <c r="C4498" s="87"/>
      <c r="H4498" s="86" t="e">
        <f>IF(I4498="fora",0%,G4498/QUÓRUM!$C$6)</f>
        <v>#DIV/0!</v>
      </c>
      <c r="I4498" s="87"/>
      <c r="J4498" s="88"/>
      <c r="K4498" s="88"/>
      <c r="L4498" s="89"/>
      <c r="M4498" s="89"/>
      <c r="Q4498" s="105"/>
    </row>
    <row r="4499" spans="3:17" x14ac:dyDescent="0.3">
      <c r="C4499" s="87"/>
      <c r="H4499" s="86" t="e">
        <f>IF(I4499="fora",0%,G4499/QUÓRUM!$C$6)</f>
        <v>#DIV/0!</v>
      </c>
      <c r="I4499" s="87"/>
      <c r="J4499" s="88"/>
      <c r="K4499" s="88"/>
      <c r="L4499" s="89"/>
      <c r="M4499" s="89"/>
      <c r="Q4499" s="105"/>
    </row>
    <row r="4500" spans="3:17" x14ac:dyDescent="0.3">
      <c r="C4500" s="87"/>
      <c r="H4500" s="86" t="e">
        <f>IF(I4500="fora",0%,G4500/QUÓRUM!$C$6)</f>
        <v>#DIV/0!</v>
      </c>
      <c r="I4500" s="87"/>
      <c r="J4500" s="88"/>
      <c r="K4500" s="88"/>
      <c r="L4500" s="89"/>
      <c r="M4500" s="89"/>
      <c r="Q4500" s="105"/>
    </row>
    <row r="4501" spans="3:17" x14ac:dyDescent="0.3">
      <c r="C4501" s="87"/>
      <c r="H4501" s="86" t="e">
        <f>IF(I4501="fora",0%,G4501/QUÓRUM!$C$6)</f>
        <v>#DIV/0!</v>
      </c>
      <c r="I4501" s="87"/>
      <c r="J4501" s="88"/>
      <c r="K4501" s="88"/>
      <c r="L4501" s="89"/>
      <c r="M4501" s="89"/>
      <c r="Q4501" s="105"/>
    </row>
    <row r="4502" spans="3:17" x14ac:dyDescent="0.3">
      <c r="C4502" s="87"/>
      <c r="H4502" s="86" t="e">
        <f>IF(I4502="fora",0%,G4502/QUÓRUM!$C$6)</f>
        <v>#DIV/0!</v>
      </c>
      <c r="I4502" s="87"/>
      <c r="J4502" s="88"/>
      <c r="K4502" s="88"/>
      <c r="L4502" s="89"/>
      <c r="M4502" s="89"/>
      <c r="Q4502" s="105"/>
    </row>
    <row r="4503" spans="3:17" x14ac:dyDescent="0.3">
      <c r="C4503" s="87"/>
      <c r="H4503" s="86" t="e">
        <f>IF(I4503="fora",0%,G4503/QUÓRUM!$C$6)</f>
        <v>#DIV/0!</v>
      </c>
      <c r="I4503" s="87"/>
      <c r="J4503" s="88"/>
      <c r="K4503" s="88"/>
      <c r="L4503" s="89"/>
      <c r="M4503" s="89"/>
      <c r="Q4503" s="105"/>
    </row>
    <row r="4504" spans="3:17" x14ac:dyDescent="0.3">
      <c r="C4504" s="87"/>
      <c r="H4504" s="86" t="e">
        <f>IF(I4504="fora",0%,G4504/QUÓRUM!$C$6)</f>
        <v>#DIV/0!</v>
      </c>
      <c r="I4504" s="87"/>
      <c r="J4504" s="88"/>
      <c r="K4504" s="88"/>
      <c r="L4504" s="89"/>
      <c r="M4504" s="89"/>
      <c r="Q4504" s="105"/>
    </row>
    <row r="4505" spans="3:17" x14ac:dyDescent="0.3">
      <c r="C4505" s="87"/>
      <c r="H4505" s="86" t="e">
        <f>IF(I4505="fora",0%,G4505/QUÓRUM!$C$6)</f>
        <v>#DIV/0!</v>
      </c>
      <c r="I4505" s="87"/>
      <c r="J4505" s="88"/>
      <c r="K4505" s="88"/>
      <c r="L4505" s="89"/>
      <c r="M4505" s="89"/>
      <c r="Q4505" s="105"/>
    </row>
    <row r="4506" spans="3:17" x14ac:dyDescent="0.3">
      <c r="C4506" s="87"/>
      <c r="H4506" s="86" t="e">
        <f>IF(I4506="fora",0%,G4506/QUÓRUM!$C$6)</f>
        <v>#DIV/0!</v>
      </c>
      <c r="I4506" s="87"/>
      <c r="J4506" s="88"/>
      <c r="K4506" s="88"/>
      <c r="L4506" s="89"/>
      <c r="M4506" s="89"/>
      <c r="Q4506" s="105"/>
    </row>
    <row r="4507" spans="3:17" x14ac:dyDescent="0.3">
      <c r="C4507" s="87"/>
      <c r="H4507" s="86" t="e">
        <f>IF(I4507="fora",0%,G4507/QUÓRUM!$C$6)</f>
        <v>#DIV/0!</v>
      </c>
      <c r="I4507" s="87"/>
      <c r="J4507" s="88"/>
      <c r="K4507" s="88"/>
      <c r="L4507" s="89"/>
      <c r="M4507" s="89"/>
      <c r="Q4507" s="105"/>
    </row>
    <row r="4508" spans="3:17" x14ac:dyDescent="0.3">
      <c r="C4508" s="87"/>
      <c r="H4508" s="86" t="e">
        <f>IF(I4508="fora",0%,G4508/QUÓRUM!$C$6)</f>
        <v>#DIV/0!</v>
      </c>
      <c r="I4508" s="87"/>
      <c r="J4508" s="88"/>
      <c r="K4508" s="88"/>
      <c r="L4508" s="89"/>
      <c r="M4508" s="89"/>
      <c r="Q4508" s="105"/>
    </row>
    <row r="4509" spans="3:17" x14ac:dyDescent="0.3">
      <c r="C4509" s="87"/>
      <c r="H4509" s="86" t="e">
        <f>IF(I4509="fora",0%,G4509/QUÓRUM!$C$6)</f>
        <v>#DIV/0!</v>
      </c>
      <c r="I4509" s="87"/>
      <c r="J4509" s="88"/>
      <c r="K4509" s="88"/>
      <c r="L4509" s="89"/>
      <c r="M4509" s="89"/>
      <c r="Q4509" s="105"/>
    </row>
    <row r="4510" spans="3:17" x14ac:dyDescent="0.3">
      <c r="C4510" s="87"/>
      <c r="H4510" s="86" t="e">
        <f>IF(I4510="fora",0%,G4510/QUÓRUM!$C$6)</f>
        <v>#DIV/0!</v>
      </c>
      <c r="I4510" s="87"/>
      <c r="J4510" s="88"/>
      <c r="K4510" s="88"/>
      <c r="L4510" s="89"/>
      <c r="M4510" s="89"/>
      <c r="Q4510" s="105"/>
    </row>
    <row r="4511" spans="3:17" x14ac:dyDescent="0.3">
      <c r="C4511" s="87"/>
      <c r="H4511" s="86" t="e">
        <f>IF(I4511="fora",0%,G4511/QUÓRUM!$C$6)</f>
        <v>#DIV/0!</v>
      </c>
      <c r="I4511" s="87"/>
      <c r="J4511" s="88"/>
      <c r="K4511" s="88"/>
      <c r="L4511" s="89"/>
      <c r="M4511" s="89"/>
      <c r="Q4511" s="105"/>
    </row>
    <row r="4512" spans="3:17" x14ac:dyDescent="0.3">
      <c r="C4512" s="87"/>
      <c r="H4512" s="86" t="e">
        <f>IF(I4512="fora",0%,G4512/QUÓRUM!$C$6)</f>
        <v>#DIV/0!</v>
      </c>
      <c r="I4512" s="87"/>
      <c r="J4512" s="88"/>
      <c r="K4512" s="88"/>
      <c r="L4512" s="89"/>
      <c r="M4512" s="89"/>
      <c r="Q4512" s="105"/>
    </row>
    <row r="4513" spans="3:17" x14ac:dyDescent="0.3">
      <c r="C4513" s="87"/>
      <c r="H4513" s="86" t="e">
        <f>IF(I4513="fora",0%,G4513/QUÓRUM!$C$6)</f>
        <v>#DIV/0!</v>
      </c>
      <c r="I4513" s="87"/>
      <c r="J4513" s="88"/>
      <c r="K4513" s="88"/>
      <c r="L4513" s="89"/>
      <c r="M4513" s="89"/>
      <c r="Q4513" s="105"/>
    </row>
    <row r="4514" spans="3:17" x14ac:dyDescent="0.3">
      <c r="C4514" s="87"/>
      <c r="H4514" s="86" t="e">
        <f>IF(I4514="fora",0%,G4514/QUÓRUM!$C$6)</f>
        <v>#DIV/0!</v>
      </c>
      <c r="I4514" s="87"/>
      <c r="J4514" s="88"/>
      <c r="K4514" s="88"/>
      <c r="L4514" s="89"/>
      <c r="M4514" s="89"/>
      <c r="Q4514" s="105"/>
    </row>
    <row r="4515" spans="3:17" x14ac:dyDescent="0.3">
      <c r="C4515" s="87"/>
      <c r="H4515" s="86" t="e">
        <f>IF(I4515="fora",0%,G4515/QUÓRUM!$C$6)</f>
        <v>#DIV/0!</v>
      </c>
      <c r="I4515" s="87"/>
      <c r="J4515" s="88"/>
      <c r="K4515" s="88"/>
      <c r="L4515" s="89"/>
      <c r="M4515" s="89"/>
      <c r="Q4515" s="105"/>
    </row>
    <row r="4516" spans="3:17" x14ac:dyDescent="0.3">
      <c r="C4516" s="87"/>
      <c r="H4516" s="86" t="e">
        <f>IF(I4516="fora",0%,G4516/QUÓRUM!$C$6)</f>
        <v>#DIV/0!</v>
      </c>
      <c r="I4516" s="87"/>
      <c r="J4516" s="88"/>
      <c r="K4516" s="88"/>
      <c r="L4516" s="89"/>
      <c r="M4516" s="89"/>
      <c r="Q4516" s="105"/>
    </row>
    <row r="4517" spans="3:17" x14ac:dyDescent="0.3">
      <c r="C4517" s="87"/>
      <c r="H4517" s="86" t="e">
        <f>IF(I4517="fora",0%,G4517/QUÓRUM!$C$6)</f>
        <v>#DIV/0!</v>
      </c>
      <c r="I4517" s="87"/>
      <c r="J4517" s="88"/>
      <c r="K4517" s="88"/>
      <c r="L4517" s="89"/>
      <c r="M4517" s="89"/>
      <c r="Q4517" s="105"/>
    </row>
    <row r="4518" spans="3:17" x14ac:dyDescent="0.3">
      <c r="C4518" s="87"/>
      <c r="H4518" s="86" t="e">
        <f>IF(I4518="fora",0%,G4518/QUÓRUM!$C$6)</f>
        <v>#DIV/0!</v>
      </c>
      <c r="I4518" s="87"/>
      <c r="J4518" s="88"/>
      <c r="K4518" s="88"/>
      <c r="L4518" s="89"/>
      <c r="M4518" s="89"/>
      <c r="Q4518" s="105"/>
    </row>
    <row r="4519" spans="3:17" x14ac:dyDescent="0.3">
      <c r="C4519" s="87"/>
      <c r="H4519" s="86" t="e">
        <f>IF(I4519="fora",0%,G4519/QUÓRUM!$C$6)</f>
        <v>#DIV/0!</v>
      </c>
      <c r="I4519" s="87"/>
      <c r="J4519" s="88"/>
      <c r="K4519" s="88"/>
      <c r="L4519" s="89"/>
      <c r="M4519" s="89"/>
      <c r="Q4519" s="105"/>
    </row>
    <row r="4520" spans="3:17" x14ac:dyDescent="0.3">
      <c r="C4520" s="87"/>
      <c r="H4520" s="86" t="e">
        <f>IF(I4520="fora",0%,G4520/QUÓRUM!$C$6)</f>
        <v>#DIV/0!</v>
      </c>
      <c r="I4520" s="87"/>
      <c r="J4520" s="88"/>
      <c r="K4520" s="88"/>
      <c r="L4520" s="89"/>
      <c r="M4520" s="89"/>
      <c r="Q4520" s="105"/>
    </row>
    <row r="4521" spans="3:17" x14ac:dyDescent="0.3">
      <c r="C4521" s="87"/>
      <c r="H4521" s="86" t="e">
        <f>IF(I4521="fora",0%,G4521/QUÓRUM!$C$6)</f>
        <v>#DIV/0!</v>
      </c>
      <c r="I4521" s="87"/>
      <c r="J4521" s="88"/>
      <c r="K4521" s="88"/>
      <c r="L4521" s="89"/>
      <c r="M4521" s="89"/>
      <c r="Q4521" s="105"/>
    </row>
    <row r="4522" spans="3:17" x14ac:dyDescent="0.3">
      <c r="C4522" s="87"/>
      <c r="H4522" s="86" t="e">
        <f>IF(I4522="fora",0%,G4522/QUÓRUM!$C$6)</f>
        <v>#DIV/0!</v>
      </c>
      <c r="I4522" s="87"/>
      <c r="J4522" s="88"/>
      <c r="K4522" s="88"/>
      <c r="L4522" s="89"/>
      <c r="M4522" s="89"/>
      <c r="Q4522" s="105"/>
    </row>
    <row r="4523" spans="3:17" x14ac:dyDescent="0.3">
      <c r="C4523" s="87"/>
      <c r="H4523" s="86" t="e">
        <f>IF(I4523="fora",0%,G4523/QUÓRUM!$C$6)</f>
        <v>#DIV/0!</v>
      </c>
      <c r="I4523" s="87"/>
      <c r="J4523" s="88"/>
      <c r="K4523" s="88"/>
      <c r="L4523" s="89"/>
      <c r="M4523" s="89"/>
      <c r="Q4523" s="105"/>
    </row>
    <row r="4524" spans="3:17" x14ac:dyDescent="0.3">
      <c r="C4524" s="87"/>
      <c r="H4524" s="86" t="e">
        <f>IF(I4524="fora",0%,G4524/QUÓRUM!$C$6)</f>
        <v>#DIV/0!</v>
      </c>
      <c r="I4524" s="87"/>
      <c r="J4524" s="88"/>
      <c r="K4524" s="88"/>
      <c r="L4524" s="89"/>
      <c r="M4524" s="89"/>
      <c r="Q4524" s="105"/>
    </row>
    <row r="4525" spans="3:17" x14ac:dyDescent="0.3">
      <c r="C4525" s="87"/>
      <c r="H4525" s="86" t="e">
        <f>IF(I4525="fora",0%,G4525/QUÓRUM!$C$6)</f>
        <v>#DIV/0!</v>
      </c>
      <c r="I4525" s="87"/>
      <c r="J4525" s="88"/>
      <c r="K4525" s="88"/>
      <c r="L4525" s="89"/>
      <c r="M4525" s="89"/>
      <c r="Q4525" s="105"/>
    </row>
    <row r="4526" spans="3:17" x14ac:dyDescent="0.3">
      <c r="C4526" s="87"/>
      <c r="H4526" s="86" t="e">
        <f>IF(I4526="fora",0%,G4526/QUÓRUM!$C$6)</f>
        <v>#DIV/0!</v>
      </c>
      <c r="I4526" s="87"/>
      <c r="J4526" s="88"/>
      <c r="K4526" s="88"/>
      <c r="L4526" s="89"/>
      <c r="M4526" s="89"/>
      <c r="Q4526" s="105"/>
    </row>
    <row r="4527" spans="3:17" x14ac:dyDescent="0.3">
      <c r="C4527" s="87"/>
      <c r="H4527" s="86" t="e">
        <f>IF(I4527="fora",0%,G4527/QUÓRUM!$C$6)</f>
        <v>#DIV/0!</v>
      </c>
      <c r="I4527" s="87"/>
      <c r="J4527" s="88"/>
      <c r="K4527" s="88"/>
      <c r="L4527" s="89"/>
      <c r="M4527" s="89"/>
      <c r="Q4527" s="105"/>
    </row>
    <row r="4528" spans="3:17" x14ac:dyDescent="0.3">
      <c r="C4528" s="87"/>
      <c r="H4528" s="86" t="e">
        <f>IF(I4528="fora",0%,G4528/QUÓRUM!$C$6)</f>
        <v>#DIV/0!</v>
      </c>
      <c r="I4528" s="87"/>
      <c r="J4528" s="88"/>
      <c r="K4528" s="88"/>
      <c r="L4528" s="89"/>
      <c r="M4528" s="89"/>
      <c r="Q4528" s="105"/>
    </row>
    <row r="4529" spans="3:17" x14ac:dyDescent="0.3">
      <c r="C4529" s="87"/>
      <c r="H4529" s="86" t="e">
        <f>IF(I4529="fora",0%,G4529/QUÓRUM!$C$6)</f>
        <v>#DIV/0!</v>
      </c>
      <c r="I4529" s="87"/>
      <c r="J4529" s="88"/>
      <c r="K4529" s="88"/>
      <c r="L4529" s="89"/>
      <c r="M4529" s="89"/>
      <c r="Q4529" s="105"/>
    </row>
    <row r="4530" spans="3:17" x14ac:dyDescent="0.3">
      <c r="C4530" s="87"/>
      <c r="H4530" s="86" t="e">
        <f>IF(I4530="fora",0%,G4530/QUÓRUM!$C$6)</f>
        <v>#DIV/0!</v>
      </c>
      <c r="I4530" s="87"/>
      <c r="J4530" s="88"/>
      <c r="K4530" s="88"/>
      <c r="L4530" s="89"/>
      <c r="M4530" s="89"/>
      <c r="Q4530" s="105"/>
    </row>
    <row r="4531" spans="3:17" x14ac:dyDescent="0.3">
      <c r="C4531" s="87"/>
      <c r="H4531" s="86" t="e">
        <f>IF(I4531="fora",0%,G4531/QUÓRUM!$C$6)</f>
        <v>#DIV/0!</v>
      </c>
      <c r="I4531" s="87"/>
      <c r="J4531" s="88"/>
      <c r="K4531" s="88"/>
      <c r="L4531" s="89"/>
      <c r="M4531" s="89"/>
      <c r="Q4531" s="105"/>
    </row>
    <row r="4532" spans="3:17" x14ac:dyDescent="0.3">
      <c r="C4532" s="87"/>
      <c r="H4532" s="86" t="e">
        <f>IF(I4532="fora",0%,G4532/QUÓRUM!$C$6)</f>
        <v>#DIV/0!</v>
      </c>
      <c r="I4532" s="87"/>
      <c r="J4532" s="88"/>
      <c r="K4532" s="88"/>
      <c r="L4532" s="89"/>
      <c r="M4532" s="89"/>
      <c r="Q4532" s="105"/>
    </row>
    <row r="4533" spans="3:17" x14ac:dyDescent="0.3">
      <c r="C4533" s="87"/>
      <c r="H4533" s="86" t="e">
        <f>IF(I4533="fora",0%,G4533/QUÓRUM!$C$6)</f>
        <v>#DIV/0!</v>
      </c>
      <c r="I4533" s="87"/>
      <c r="J4533" s="88"/>
      <c r="K4533" s="88"/>
      <c r="L4533" s="89"/>
      <c r="M4533" s="89"/>
      <c r="Q4533" s="105"/>
    </row>
    <row r="4534" spans="3:17" x14ac:dyDescent="0.3">
      <c r="C4534" s="87"/>
      <c r="H4534" s="86" t="e">
        <f>IF(I4534="fora",0%,G4534/QUÓRUM!$C$6)</f>
        <v>#DIV/0!</v>
      </c>
      <c r="I4534" s="87"/>
      <c r="J4534" s="88"/>
      <c r="K4534" s="88"/>
      <c r="L4534" s="89"/>
      <c r="M4534" s="89"/>
      <c r="Q4534" s="105"/>
    </row>
    <row r="4535" spans="3:17" x14ac:dyDescent="0.3">
      <c r="C4535" s="87"/>
      <c r="H4535" s="86" t="e">
        <f>IF(I4535="fora",0%,G4535/QUÓRUM!$C$6)</f>
        <v>#DIV/0!</v>
      </c>
      <c r="I4535" s="87"/>
      <c r="J4535" s="88"/>
      <c r="K4535" s="88"/>
      <c r="L4535" s="89"/>
      <c r="M4535" s="89"/>
      <c r="Q4535" s="105"/>
    </row>
    <row r="4536" spans="3:17" x14ac:dyDescent="0.3">
      <c r="C4536" s="87"/>
      <c r="H4536" s="86" t="e">
        <f>IF(I4536="fora",0%,G4536/QUÓRUM!$C$6)</f>
        <v>#DIV/0!</v>
      </c>
      <c r="I4536" s="87"/>
      <c r="J4536" s="88"/>
      <c r="K4536" s="88"/>
      <c r="L4536" s="89"/>
      <c r="M4536" s="89"/>
      <c r="Q4536" s="105"/>
    </row>
    <row r="4537" spans="3:17" x14ac:dyDescent="0.3">
      <c r="C4537" s="87"/>
      <c r="H4537" s="86" t="e">
        <f>IF(I4537="fora",0%,G4537/QUÓRUM!$C$6)</f>
        <v>#DIV/0!</v>
      </c>
      <c r="I4537" s="87"/>
      <c r="J4537" s="88"/>
      <c r="K4537" s="88"/>
      <c r="L4537" s="89"/>
      <c r="M4537" s="89"/>
      <c r="Q4537" s="105"/>
    </row>
    <row r="4538" spans="3:17" x14ac:dyDescent="0.3">
      <c r="C4538" s="87"/>
      <c r="H4538" s="86" t="e">
        <f>IF(I4538="fora",0%,G4538/QUÓRUM!$C$6)</f>
        <v>#DIV/0!</v>
      </c>
      <c r="I4538" s="87"/>
      <c r="J4538" s="88"/>
      <c r="K4538" s="88"/>
      <c r="L4538" s="89"/>
      <c r="M4538" s="89"/>
      <c r="Q4538" s="105"/>
    </row>
    <row r="4539" spans="3:17" x14ac:dyDescent="0.3">
      <c r="C4539" s="87"/>
      <c r="H4539" s="86" t="e">
        <f>IF(I4539="fora",0%,G4539/QUÓRUM!$C$6)</f>
        <v>#DIV/0!</v>
      </c>
      <c r="I4539" s="87"/>
      <c r="J4539" s="88"/>
      <c r="K4539" s="88"/>
      <c r="L4539" s="89"/>
      <c r="M4539" s="89"/>
      <c r="Q4539" s="105"/>
    </row>
    <row r="4540" spans="3:17" x14ac:dyDescent="0.3">
      <c r="C4540" s="87"/>
      <c r="H4540" s="86" t="e">
        <f>IF(I4540="fora",0%,G4540/QUÓRUM!$C$6)</f>
        <v>#DIV/0!</v>
      </c>
      <c r="I4540" s="87"/>
      <c r="J4540" s="88"/>
      <c r="K4540" s="88"/>
      <c r="L4540" s="89"/>
      <c r="M4540" s="89"/>
      <c r="Q4540" s="105"/>
    </row>
    <row r="4541" spans="3:17" x14ac:dyDescent="0.3">
      <c r="C4541" s="87"/>
      <c r="H4541" s="86" t="e">
        <f>IF(I4541="fora",0%,G4541/QUÓRUM!$C$6)</f>
        <v>#DIV/0!</v>
      </c>
      <c r="I4541" s="87"/>
      <c r="J4541" s="88"/>
      <c r="K4541" s="88"/>
      <c r="L4541" s="89"/>
      <c r="M4541" s="89"/>
      <c r="Q4541" s="105"/>
    </row>
    <row r="4542" spans="3:17" x14ac:dyDescent="0.3">
      <c r="C4542" s="87"/>
      <c r="H4542" s="86" t="e">
        <f>IF(I4542="fora",0%,G4542/QUÓRUM!$C$6)</f>
        <v>#DIV/0!</v>
      </c>
      <c r="I4542" s="87"/>
      <c r="J4542" s="88"/>
      <c r="K4542" s="88"/>
      <c r="L4542" s="89"/>
      <c r="M4542" s="89"/>
      <c r="Q4542" s="105"/>
    </row>
    <row r="4543" spans="3:17" x14ac:dyDescent="0.3">
      <c r="C4543" s="87"/>
      <c r="H4543" s="86" t="e">
        <f>IF(I4543="fora",0%,G4543/QUÓRUM!$C$6)</f>
        <v>#DIV/0!</v>
      </c>
      <c r="I4543" s="87"/>
      <c r="J4543" s="88"/>
      <c r="K4543" s="88"/>
      <c r="L4543" s="89"/>
      <c r="M4543" s="89"/>
      <c r="Q4543" s="105"/>
    </row>
    <row r="4544" spans="3:17" x14ac:dyDescent="0.3">
      <c r="C4544" s="87"/>
      <c r="H4544" s="86" t="e">
        <f>IF(I4544="fora",0%,G4544/QUÓRUM!$C$6)</f>
        <v>#DIV/0!</v>
      </c>
      <c r="I4544" s="87"/>
      <c r="J4544" s="88"/>
      <c r="K4544" s="88"/>
      <c r="L4544" s="89"/>
      <c r="M4544" s="89"/>
      <c r="Q4544" s="105"/>
    </row>
    <row r="4545" spans="3:17" x14ac:dyDescent="0.3">
      <c r="C4545" s="87"/>
      <c r="H4545" s="86" t="e">
        <f>IF(I4545="fora",0%,G4545/QUÓRUM!$C$6)</f>
        <v>#DIV/0!</v>
      </c>
      <c r="I4545" s="87"/>
      <c r="J4545" s="88"/>
      <c r="K4545" s="88"/>
      <c r="L4545" s="89"/>
      <c r="M4545" s="89"/>
      <c r="Q4545" s="105"/>
    </row>
    <row r="4546" spans="3:17" x14ac:dyDescent="0.3">
      <c r="C4546" s="87"/>
      <c r="H4546" s="86" t="e">
        <f>IF(I4546="fora",0%,G4546/QUÓRUM!$C$6)</f>
        <v>#DIV/0!</v>
      </c>
      <c r="I4546" s="87"/>
      <c r="J4546" s="88"/>
      <c r="K4546" s="88"/>
      <c r="L4546" s="89"/>
      <c r="M4546" s="89"/>
      <c r="Q4546" s="105"/>
    </row>
    <row r="4547" spans="3:17" x14ac:dyDescent="0.3">
      <c r="C4547" s="87"/>
      <c r="H4547" s="86" t="e">
        <f>IF(I4547="fora",0%,G4547/QUÓRUM!$C$6)</f>
        <v>#DIV/0!</v>
      </c>
      <c r="I4547" s="87"/>
      <c r="J4547" s="88"/>
      <c r="K4547" s="88"/>
      <c r="L4547" s="89"/>
      <c r="M4547" s="89"/>
      <c r="Q4547" s="105"/>
    </row>
    <row r="4548" spans="3:17" x14ac:dyDescent="0.3">
      <c r="C4548" s="87"/>
      <c r="H4548" s="86" t="e">
        <f>IF(I4548="fora",0%,G4548/QUÓRUM!$C$6)</f>
        <v>#DIV/0!</v>
      </c>
      <c r="I4548" s="87"/>
      <c r="J4548" s="88"/>
      <c r="K4548" s="88"/>
      <c r="L4548" s="89"/>
      <c r="M4548" s="89"/>
      <c r="Q4548" s="105"/>
    </row>
    <row r="4549" spans="3:17" x14ac:dyDescent="0.3">
      <c r="C4549" s="87"/>
      <c r="H4549" s="86" t="e">
        <f>IF(I4549="fora",0%,G4549/QUÓRUM!$C$6)</f>
        <v>#DIV/0!</v>
      </c>
      <c r="I4549" s="87"/>
      <c r="J4549" s="88"/>
      <c r="K4549" s="88"/>
      <c r="L4549" s="89"/>
      <c r="M4549" s="89"/>
      <c r="Q4549" s="105"/>
    </row>
    <row r="4550" spans="3:17" x14ac:dyDescent="0.3">
      <c r="C4550" s="87"/>
      <c r="H4550" s="86" t="e">
        <f>IF(I4550="fora",0%,G4550/QUÓRUM!$C$6)</f>
        <v>#DIV/0!</v>
      </c>
      <c r="I4550" s="87"/>
      <c r="J4550" s="88"/>
      <c r="K4550" s="88"/>
      <c r="L4550" s="89"/>
      <c r="M4550" s="89"/>
      <c r="Q4550" s="105"/>
    </row>
    <row r="4551" spans="3:17" x14ac:dyDescent="0.3">
      <c r="C4551" s="87"/>
      <c r="H4551" s="86" t="e">
        <f>IF(I4551="fora",0%,G4551/QUÓRUM!$C$6)</f>
        <v>#DIV/0!</v>
      </c>
      <c r="I4551" s="87"/>
      <c r="J4551" s="88"/>
      <c r="K4551" s="88"/>
      <c r="L4551" s="89"/>
      <c r="M4551" s="89"/>
      <c r="Q4551" s="105"/>
    </row>
    <row r="4552" spans="3:17" x14ac:dyDescent="0.3">
      <c r="C4552" s="87"/>
      <c r="H4552" s="86" t="e">
        <f>IF(I4552="fora",0%,G4552/QUÓRUM!$C$6)</f>
        <v>#DIV/0!</v>
      </c>
      <c r="I4552" s="87"/>
      <c r="J4552" s="88"/>
      <c r="K4552" s="88"/>
      <c r="L4552" s="89"/>
      <c r="M4552" s="89"/>
      <c r="Q4552" s="105"/>
    </row>
    <row r="4553" spans="3:17" x14ac:dyDescent="0.3">
      <c r="C4553" s="87"/>
      <c r="H4553" s="86" t="e">
        <f>IF(I4553="fora",0%,G4553/QUÓRUM!$C$6)</f>
        <v>#DIV/0!</v>
      </c>
      <c r="I4553" s="87"/>
      <c r="J4553" s="88"/>
      <c r="K4553" s="88"/>
      <c r="L4553" s="89"/>
      <c r="M4553" s="89"/>
      <c r="Q4553" s="105"/>
    </row>
    <row r="4554" spans="3:17" x14ac:dyDescent="0.3">
      <c r="C4554" s="87"/>
      <c r="H4554" s="86" t="e">
        <f>IF(I4554="fora",0%,G4554/QUÓRUM!$C$6)</f>
        <v>#DIV/0!</v>
      </c>
      <c r="I4554" s="87"/>
      <c r="J4554" s="88"/>
      <c r="K4554" s="88"/>
      <c r="L4554" s="89"/>
      <c r="M4554" s="89"/>
      <c r="Q4554" s="105"/>
    </row>
    <row r="4555" spans="3:17" x14ac:dyDescent="0.3">
      <c r="C4555" s="87"/>
      <c r="H4555" s="86" t="e">
        <f>IF(I4555="fora",0%,G4555/QUÓRUM!$C$6)</f>
        <v>#DIV/0!</v>
      </c>
      <c r="I4555" s="87"/>
      <c r="J4555" s="88"/>
      <c r="K4555" s="88"/>
      <c r="L4555" s="89"/>
      <c r="M4555" s="89"/>
      <c r="Q4555" s="105"/>
    </row>
    <row r="4556" spans="3:17" x14ac:dyDescent="0.3">
      <c r="C4556" s="87"/>
      <c r="H4556" s="86" t="e">
        <f>IF(I4556="fora",0%,G4556/QUÓRUM!$C$6)</f>
        <v>#DIV/0!</v>
      </c>
      <c r="I4556" s="87"/>
      <c r="J4556" s="88"/>
      <c r="K4556" s="88"/>
      <c r="L4556" s="89"/>
      <c r="M4556" s="89"/>
      <c r="Q4556" s="105"/>
    </row>
    <row r="4557" spans="3:17" x14ac:dyDescent="0.3">
      <c r="C4557" s="87"/>
      <c r="H4557" s="86" t="e">
        <f>IF(I4557="fora",0%,G4557/QUÓRUM!$C$6)</f>
        <v>#DIV/0!</v>
      </c>
      <c r="I4557" s="87"/>
      <c r="J4557" s="88"/>
      <c r="K4557" s="88"/>
      <c r="L4557" s="89"/>
      <c r="M4557" s="89"/>
      <c r="Q4557" s="105"/>
    </row>
    <row r="4558" spans="3:17" x14ac:dyDescent="0.3">
      <c r="C4558" s="87"/>
      <c r="H4558" s="86" t="e">
        <f>IF(I4558="fora",0%,G4558/QUÓRUM!$C$6)</f>
        <v>#DIV/0!</v>
      </c>
      <c r="I4558" s="87"/>
      <c r="J4558" s="88"/>
      <c r="K4558" s="88"/>
      <c r="L4558" s="89"/>
      <c r="M4558" s="89"/>
      <c r="Q4558" s="105"/>
    </row>
    <row r="4559" spans="3:17" x14ac:dyDescent="0.3">
      <c r="C4559" s="87"/>
      <c r="H4559" s="86" t="e">
        <f>IF(I4559="fora",0%,G4559/QUÓRUM!$C$6)</f>
        <v>#DIV/0!</v>
      </c>
      <c r="I4559" s="87"/>
      <c r="J4559" s="88"/>
      <c r="K4559" s="88"/>
      <c r="L4559" s="89"/>
      <c r="M4559" s="89"/>
      <c r="Q4559" s="105"/>
    </row>
    <row r="4560" spans="3:17" x14ac:dyDescent="0.3">
      <c r="C4560" s="87"/>
      <c r="H4560" s="86" t="e">
        <f>IF(I4560="fora",0%,G4560/QUÓRUM!$C$6)</f>
        <v>#DIV/0!</v>
      </c>
      <c r="I4560" s="87"/>
      <c r="J4560" s="88"/>
      <c r="K4560" s="88"/>
      <c r="L4560" s="89"/>
      <c r="M4560" s="89"/>
      <c r="Q4560" s="105"/>
    </row>
    <row r="4561" spans="3:17" x14ac:dyDescent="0.3">
      <c r="C4561" s="87"/>
      <c r="H4561" s="86" t="e">
        <f>IF(I4561="fora",0%,G4561/QUÓRUM!$C$6)</f>
        <v>#DIV/0!</v>
      </c>
      <c r="I4561" s="87"/>
      <c r="J4561" s="88"/>
      <c r="K4561" s="88"/>
      <c r="L4561" s="89"/>
      <c r="M4561" s="89"/>
      <c r="Q4561" s="105"/>
    </row>
    <row r="4562" spans="3:17" x14ac:dyDescent="0.3">
      <c r="C4562" s="87"/>
      <c r="H4562" s="86" t="e">
        <f>IF(I4562="fora",0%,G4562/QUÓRUM!$C$6)</f>
        <v>#DIV/0!</v>
      </c>
      <c r="I4562" s="87"/>
      <c r="J4562" s="88"/>
      <c r="K4562" s="88"/>
      <c r="L4562" s="89"/>
      <c r="M4562" s="89"/>
      <c r="Q4562" s="105"/>
    </row>
    <row r="4563" spans="3:17" x14ac:dyDescent="0.3">
      <c r="C4563" s="87"/>
      <c r="H4563" s="86" t="e">
        <f>IF(I4563="fora",0%,G4563/QUÓRUM!$C$6)</f>
        <v>#DIV/0!</v>
      </c>
      <c r="I4563" s="87"/>
      <c r="J4563" s="88"/>
      <c r="K4563" s="88"/>
      <c r="L4563" s="89"/>
      <c r="M4563" s="89"/>
      <c r="Q4563" s="105"/>
    </row>
    <row r="4564" spans="3:17" x14ac:dyDescent="0.3">
      <c r="C4564" s="87"/>
      <c r="H4564" s="86" t="e">
        <f>IF(I4564="fora",0%,G4564/QUÓRUM!$C$6)</f>
        <v>#DIV/0!</v>
      </c>
      <c r="I4564" s="87"/>
      <c r="J4564" s="88"/>
      <c r="K4564" s="88"/>
      <c r="L4564" s="89"/>
      <c r="M4564" s="89"/>
      <c r="Q4564" s="105"/>
    </row>
    <row r="4565" spans="3:17" x14ac:dyDescent="0.3">
      <c r="C4565" s="87"/>
      <c r="H4565" s="86" t="e">
        <f>IF(I4565="fora",0%,G4565/QUÓRUM!$C$6)</f>
        <v>#DIV/0!</v>
      </c>
      <c r="I4565" s="87"/>
      <c r="J4565" s="88"/>
      <c r="K4565" s="88"/>
      <c r="L4565" s="89"/>
      <c r="M4565" s="89"/>
      <c r="Q4565" s="105"/>
    </row>
    <row r="4566" spans="3:17" x14ac:dyDescent="0.3">
      <c r="C4566" s="87"/>
      <c r="H4566" s="86" t="e">
        <f>IF(I4566="fora",0%,G4566/QUÓRUM!$C$6)</f>
        <v>#DIV/0!</v>
      </c>
      <c r="I4566" s="87"/>
      <c r="J4566" s="88"/>
      <c r="K4566" s="88"/>
      <c r="L4566" s="89"/>
      <c r="M4566" s="89"/>
      <c r="Q4566" s="105"/>
    </row>
    <row r="4567" spans="3:17" x14ac:dyDescent="0.3">
      <c r="C4567" s="87"/>
      <c r="H4567" s="86" t="e">
        <f>IF(I4567="fora",0%,G4567/QUÓRUM!$C$6)</f>
        <v>#DIV/0!</v>
      </c>
      <c r="I4567" s="87"/>
      <c r="J4567" s="88"/>
      <c r="K4567" s="88"/>
      <c r="L4567" s="89"/>
      <c r="M4567" s="89"/>
      <c r="Q4567" s="105"/>
    </row>
    <row r="4568" spans="3:17" x14ac:dyDescent="0.3">
      <c r="C4568" s="87"/>
      <c r="H4568" s="86" t="e">
        <f>IF(I4568="fora",0%,G4568/QUÓRUM!$C$6)</f>
        <v>#DIV/0!</v>
      </c>
      <c r="I4568" s="87"/>
      <c r="J4568" s="88"/>
      <c r="K4568" s="88"/>
      <c r="L4568" s="89"/>
      <c r="M4568" s="89"/>
      <c r="Q4568" s="105"/>
    </row>
    <row r="4569" spans="3:17" x14ac:dyDescent="0.3">
      <c r="C4569" s="87"/>
      <c r="H4569" s="86" t="e">
        <f>IF(I4569="fora",0%,G4569/QUÓRUM!$C$6)</f>
        <v>#DIV/0!</v>
      </c>
      <c r="I4569" s="87"/>
      <c r="J4569" s="88"/>
      <c r="K4569" s="88"/>
      <c r="L4569" s="89"/>
      <c r="M4569" s="89"/>
      <c r="Q4569" s="105"/>
    </row>
    <row r="4570" spans="3:17" x14ac:dyDescent="0.3">
      <c r="C4570" s="87"/>
      <c r="H4570" s="86" t="e">
        <f>IF(I4570="fora",0%,G4570/QUÓRUM!$C$6)</f>
        <v>#DIV/0!</v>
      </c>
      <c r="I4570" s="87"/>
      <c r="J4570" s="88"/>
      <c r="K4570" s="88"/>
      <c r="L4570" s="89"/>
      <c r="M4570" s="89"/>
      <c r="Q4570" s="105"/>
    </row>
    <row r="4571" spans="3:17" x14ac:dyDescent="0.3">
      <c r="C4571" s="87"/>
      <c r="H4571" s="86" t="e">
        <f>IF(I4571="fora",0%,G4571/QUÓRUM!$C$6)</f>
        <v>#DIV/0!</v>
      </c>
      <c r="I4571" s="87"/>
      <c r="J4571" s="88"/>
      <c r="K4571" s="88"/>
      <c r="L4571" s="89"/>
      <c r="M4571" s="89"/>
      <c r="Q4571" s="105"/>
    </row>
    <row r="4572" spans="3:17" x14ac:dyDescent="0.3">
      <c r="C4572" s="87"/>
      <c r="H4572" s="86" t="e">
        <f>IF(I4572="fora",0%,G4572/QUÓRUM!$C$6)</f>
        <v>#DIV/0!</v>
      </c>
      <c r="I4572" s="87"/>
      <c r="J4572" s="88"/>
      <c r="K4572" s="88"/>
      <c r="L4572" s="89"/>
      <c r="M4572" s="89"/>
      <c r="Q4572" s="105"/>
    </row>
    <row r="4573" spans="3:17" x14ac:dyDescent="0.3">
      <c r="C4573" s="87"/>
      <c r="H4573" s="86" t="e">
        <f>IF(I4573="fora",0%,G4573/QUÓRUM!$C$6)</f>
        <v>#DIV/0!</v>
      </c>
      <c r="I4573" s="87"/>
      <c r="J4573" s="88"/>
      <c r="K4573" s="88"/>
      <c r="L4573" s="89"/>
      <c r="M4573" s="89"/>
      <c r="Q4573" s="105"/>
    </row>
    <row r="4574" spans="3:17" x14ac:dyDescent="0.3">
      <c r="C4574" s="87"/>
      <c r="H4574" s="86" t="e">
        <f>IF(I4574="fora",0%,G4574/QUÓRUM!$C$6)</f>
        <v>#DIV/0!</v>
      </c>
      <c r="I4574" s="87"/>
      <c r="J4574" s="88"/>
      <c r="K4574" s="88"/>
      <c r="L4574" s="89"/>
      <c r="M4574" s="89"/>
      <c r="Q4574" s="105"/>
    </row>
    <row r="4575" spans="3:17" x14ac:dyDescent="0.3">
      <c r="C4575" s="87"/>
      <c r="H4575" s="86" t="e">
        <f>IF(I4575="fora",0%,G4575/QUÓRUM!$C$6)</f>
        <v>#DIV/0!</v>
      </c>
      <c r="I4575" s="87"/>
      <c r="J4575" s="88"/>
      <c r="K4575" s="88"/>
      <c r="L4575" s="89"/>
      <c r="M4575" s="89"/>
      <c r="Q4575" s="105"/>
    </row>
    <row r="4576" spans="3:17" x14ac:dyDescent="0.3">
      <c r="C4576" s="87"/>
      <c r="H4576" s="86" t="e">
        <f>IF(I4576="fora",0%,G4576/QUÓRUM!$C$6)</f>
        <v>#DIV/0!</v>
      </c>
      <c r="I4576" s="87"/>
      <c r="J4576" s="88"/>
      <c r="K4576" s="88"/>
      <c r="L4576" s="89"/>
      <c r="M4576" s="89"/>
      <c r="Q4576" s="105"/>
    </row>
    <row r="4577" spans="3:17" x14ac:dyDescent="0.3">
      <c r="C4577" s="87"/>
      <c r="H4577" s="86" t="e">
        <f>IF(I4577="fora",0%,G4577/QUÓRUM!$C$6)</f>
        <v>#DIV/0!</v>
      </c>
      <c r="I4577" s="87"/>
      <c r="J4577" s="88"/>
      <c r="K4577" s="88"/>
      <c r="L4577" s="89"/>
      <c r="M4577" s="89"/>
      <c r="Q4577" s="105"/>
    </row>
    <row r="4578" spans="3:17" x14ac:dyDescent="0.3">
      <c r="C4578" s="87"/>
      <c r="H4578" s="86" t="e">
        <f>IF(I4578="fora",0%,G4578/QUÓRUM!$C$6)</f>
        <v>#DIV/0!</v>
      </c>
      <c r="I4578" s="87"/>
      <c r="J4578" s="88"/>
      <c r="K4578" s="88"/>
      <c r="L4578" s="89"/>
      <c r="M4578" s="89"/>
      <c r="Q4578" s="105"/>
    </row>
    <row r="4579" spans="3:17" x14ac:dyDescent="0.3">
      <c r="C4579" s="87"/>
      <c r="H4579" s="86" t="e">
        <f>IF(I4579="fora",0%,G4579/QUÓRUM!$C$6)</f>
        <v>#DIV/0!</v>
      </c>
      <c r="I4579" s="87"/>
      <c r="J4579" s="88"/>
      <c r="K4579" s="88"/>
      <c r="L4579" s="89"/>
      <c r="M4579" s="89"/>
      <c r="Q4579" s="105"/>
    </row>
    <row r="4580" spans="3:17" x14ac:dyDescent="0.3">
      <c r="C4580" s="87"/>
      <c r="H4580" s="86" t="e">
        <f>IF(I4580="fora",0%,G4580/QUÓRUM!$C$6)</f>
        <v>#DIV/0!</v>
      </c>
      <c r="I4580" s="87"/>
      <c r="J4580" s="88"/>
      <c r="K4580" s="88"/>
      <c r="L4580" s="89"/>
      <c r="M4580" s="89"/>
      <c r="Q4580" s="105"/>
    </row>
    <row r="4581" spans="3:17" x14ac:dyDescent="0.3">
      <c r="C4581" s="87"/>
      <c r="H4581" s="86" t="e">
        <f>IF(I4581="fora",0%,G4581/QUÓRUM!$C$6)</f>
        <v>#DIV/0!</v>
      </c>
      <c r="I4581" s="87"/>
      <c r="J4581" s="88"/>
      <c r="K4581" s="88"/>
      <c r="L4581" s="89"/>
      <c r="M4581" s="89"/>
      <c r="Q4581" s="105"/>
    </row>
    <row r="4582" spans="3:17" x14ac:dyDescent="0.3">
      <c r="C4582" s="87"/>
      <c r="H4582" s="86" t="e">
        <f>IF(I4582="fora",0%,G4582/QUÓRUM!$C$6)</f>
        <v>#DIV/0!</v>
      </c>
      <c r="I4582" s="87"/>
      <c r="J4582" s="88"/>
      <c r="K4582" s="88"/>
      <c r="L4582" s="89"/>
      <c r="M4582" s="89"/>
      <c r="Q4582" s="105"/>
    </row>
    <row r="4583" spans="3:17" x14ac:dyDescent="0.3">
      <c r="C4583" s="87"/>
      <c r="H4583" s="86" t="e">
        <f>IF(I4583="fora",0%,G4583/QUÓRUM!$C$6)</f>
        <v>#DIV/0!</v>
      </c>
      <c r="I4583" s="87"/>
      <c r="J4583" s="88"/>
      <c r="K4583" s="88"/>
      <c r="L4583" s="89"/>
      <c r="M4583" s="89"/>
      <c r="Q4583" s="105"/>
    </row>
    <row r="4584" spans="3:17" x14ac:dyDescent="0.3">
      <c r="C4584" s="87"/>
      <c r="H4584" s="86" t="e">
        <f>IF(I4584="fora",0%,G4584/QUÓRUM!$C$6)</f>
        <v>#DIV/0!</v>
      </c>
      <c r="I4584" s="87"/>
      <c r="J4584" s="88"/>
      <c r="K4584" s="88"/>
      <c r="L4584" s="89"/>
      <c r="M4584" s="89"/>
      <c r="Q4584" s="105"/>
    </row>
    <row r="4585" spans="3:17" x14ac:dyDescent="0.3">
      <c r="C4585" s="87"/>
      <c r="H4585" s="86" t="e">
        <f>IF(I4585="fora",0%,G4585/QUÓRUM!$C$6)</f>
        <v>#DIV/0!</v>
      </c>
      <c r="I4585" s="87"/>
      <c r="J4585" s="88"/>
      <c r="K4585" s="88"/>
      <c r="L4585" s="89"/>
      <c r="M4585" s="89"/>
      <c r="Q4585" s="105"/>
    </row>
    <row r="4586" spans="3:17" x14ac:dyDescent="0.3">
      <c r="C4586" s="87"/>
      <c r="H4586" s="86" t="e">
        <f>IF(I4586="fora",0%,G4586/QUÓRUM!$C$6)</f>
        <v>#DIV/0!</v>
      </c>
      <c r="I4586" s="87"/>
      <c r="J4586" s="88"/>
      <c r="K4586" s="88"/>
      <c r="L4586" s="89"/>
      <c r="M4586" s="89"/>
      <c r="Q4586" s="105"/>
    </row>
    <row r="4587" spans="3:17" x14ac:dyDescent="0.3">
      <c r="C4587" s="87"/>
      <c r="H4587" s="86" t="e">
        <f>IF(I4587="fora",0%,G4587/QUÓRUM!$C$6)</f>
        <v>#DIV/0!</v>
      </c>
      <c r="I4587" s="87"/>
      <c r="J4587" s="88"/>
      <c r="K4587" s="88"/>
      <c r="L4587" s="89"/>
      <c r="M4587" s="89"/>
      <c r="Q4587" s="105"/>
    </row>
    <row r="4588" spans="3:17" x14ac:dyDescent="0.3">
      <c r="C4588" s="87"/>
      <c r="H4588" s="86" t="e">
        <f>IF(I4588="fora",0%,G4588/QUÓRUM!$C$6)</f>
        <v>#DIV/0!</v>
      </c>
      <c r="I4588" s="87"/>
      <c r="J4588" s="88"/>
      <c r="K4588" s="88"/>
      <c r="L4588" s="89"/>
      <c r="M4588" s="89"/>
      <c r="Q4588" s="105"/>
    </row>
    <row r="4589" spans="3:17" x14ac:dyDescent="0.3">
      <c r="C4589" s="87"/>
      <c r="H4589" s="86" t="e">
        <f>IF(I4589="fora",0%,G4589/QUÓRUM!$C$6)</f>
        <v>#DIV/0!</v>
      </c>
      <c r="I4589" s="87"/>
      <c r="J4589" s="88"/>
      <c r="K4589" s="88"/>
      <c r="L4589" s="89"/>
      <c r="M4589" s="89"/>
      <c r="Q4589" s="105"/>
    </row>
    <row r="4590" spans="3:17" x14ac:dyDescent="0.3">
      <c r="C4590" s="87"/>
      <c r="H4590" s="86" t="e">
        <f>IF(I4590="fora",0%,G4590/QUÓRUM!$C$6)</f>
        <v>#DIV/0!</v>
      </c>
      <c r="I4590" s="87"/>
      <c r="J4590" s="88"/>
      <c r="K4590" s="88"/>
      <c r="L4590" s="89"/>
      <c r="M4590" s="89"/>
      <c r="Q4590" s="105"/>
    </row>
    <row r="4591" spans="3:17" x14ac:dyDescent="0.3">
      <c r="C4591" s="87"/>
      <c r="H4591" s="86" t="e">
        <f>IF(I4591="fora",0%,G4591/QUÓRUM!$C$6)</f>
        <v>#DIV/0!</v>
      </c>
      <c r="I4591" s="87"/>
      <c r="J4591" s="88"/>
      <c r="K4591" s="88"/>
      <c r="L4591" s="89"/>
      <c r="M4591" s="89"/>
      <c r="Q4591" s="105"/>
    </row>
    <row r="4592" spans="3:17" x14ac:dyDescent="0.3">
      <c r="C4592" s="87"/>
      <c r="H4592" s="86" t="e">
        <f>IF(I4592="fora",0%,G4592/QUÓRUM!$C$6)</f>
        <v>#DIV/0!</v>
      </c>
      <c r="I4592" s="87"/>
      <c r="J4592" s="88"/>
      <c r="K4592" s="88"/>
      <c r="L4592" s="89"/>
      <c r="M4592" s="89"/>
      <c r="Q4592" s="105"/>
    </row>
    <row r="4593" spans="3:17" x14ac:dyDescent="0.3">
      <c r="C4593" s="87"/>
      <c r="H4593" s="86" t="e">
        <f>IF(I4593="fora",0%,G4593/QUÓRUM!$C$6)</f>
        <v>#DIV/0!</v>
      </c>
      <c r="I4593" s="87"/>
      <c r="J4593" s="88"/>
      <c r="K4593" s="88"/>
      <c r="L4593" s="89"/>
      <c r="M4593" s="89"/>
      <c r="Q4593" s="105"/>
    </row>
    <row r="4594" spans="3:17" x14ac:dyDescent="0.3">
      <c r="C4594" s="87"/>
      <c r="H4594" s="86" t="e">
        <f>IF(I4594="fora",0%,G4594/QUÓRUM!$C$6)</f>
        <v>#DIV/0!</v>
      </c>
      <c r="I4594" s="87"/>
      <c r="J4594" s="88"/>
      <c r="K4594" s="88"/>
      <c r="L4594" s="89"/>
      <c r="M4594" s="89"/>
      <c r="Q4594" s="105"/>
    </row>
    <row r="4595" spans="3:17" x14ac:dyDescent="0.3">
      <c r="C4595" s="87"/>
      <c r="H4595" s="86" t="e">
        <f>IF(I4595="fora",0%,G4595/QUÓRUM!$C$6)</f>
        <v>#DIV/0!</v>
      </c>
      <c r="I4595" s="87"/>
      <c r="J4595" s="88"/>
      <c r="K4595" s="88"/>
      <c r="L4595" s="89"/>
      <c r="M4595" s="89"/>
      <c r="Q4595" s="105"/>
    </row>
    <row r="4596" spans="3:17" x14ac:dyDescent="0.3">
      <c r="C4596" s="87"/>
      <c r="H4596" s="86" t="e">
        <f>IF(I4596="fora",0%,G4596/QUÓRUM!$C$6)</f>
        <v>#DIV/0!</v>
      </c>
      <c r="I4596" s="87"/>
      <c r="J4596" s="88"/>
      <c r="K4596" s="88"/>
      <c r="L4596" s="89"/>
      <c r="M4596" s="89"/>
      <c r="Q4596" s="105"/>
    </row>
    <row r="4597" spans="3:17" x14ac:dyDescent="0.3">
      <c r="C4597" s="87"/>
      <c r="H4597" s="86" t="e">
        <f>IF(I4597="fora",0%,G4597/QUÓRUM!$C$6)</f>
        <v>#DIV/0!</v>
      </c>
      <c r="I4597" s="87"/>
      <c r="J4597" s="88"/>
      <c r="K4597" s="88"/>
      <c r="L4597" s="89"/>
      <c r="M4597" s="89"/>
      <c r="Q4597" s="105"/>
    </row>
    <row r="4598" spans="3:17" x14ac:dyDescent="0.3">
      <c r="C4598" s="87"/>
      <c r="H4598" s="86" t="e">
        <f>IF(I4598="fora",0%,G4598/QUÓRUM!$C$6)</f>
        <v>#DIV/0!</v>
      </c>
      <c r="I4598" s="87"/>
      <c r="J4598" s="88"/>
      <c r="K4598" s="88"/>
      <c r="L4598" s="89"/>
      <c r="M4598" s="89"/>
      <c r="Q4598" s="105"/>
    </row>
    <row r="4599" spans="3:17" x14ac:dyDescent="0.3">
      <c r="C4599" s="87"/>
      <c r="H4599" s="86" t="e">
        <f>IF(I4599="fora",0%,G4599/QUÓRUM!$C$6)</f>
        <v>#DIV/0!</v>
      </c>
      <c r="I4599" s="87"/>
      <c r="J4599" s="88"/>
      <c r="K4599" s="88"/>
      <c r="L4599" s="89"/>
      <c r="M4599" s="89"/>
      <c r="Q4599" s="105"/>
    </row>
    <row r="4600" spans="3:17" x14ac:dyDescent="0.3">
      <c r="C4600" s="87"/>
      <c r="H4600" s="86" t="e">
        <f>IF(I4600="fora",0%,G4600/QUÓRUM!$C$6)</f>
        <v>#DIV/0!</v>
      </c>
      <c r="I4600" s="87"/>
      <c r="J4600" s="88"/>
      <c r="K4600" s="88"/>
      <c r="L4600" s="89"/>
      <c r="M4600" s="89"/>
      <c r="Q4600" s="105"/>
    </row>
    <row r="4601" spans="3:17" x14ac:dyDescent="0.3">
      <c r="C4601" s="87"/>
      <c r="H4601" s="86" t="e">
        <f>IF(I4601="fora",0%,G4601/QUÓRUM!$C$6)</f>
        <v>#DIV/0!</v>
      </c>
      <c r="I4601" s="87"/>
      <c r="J4601" s="88"/>
      <c r="K4601" s="88"/>
      <c r="L4601" s="89"/>
      <c r="M4601" s="89"/>
      <c r="Q4601" s="105"/>
    </row>
    <row r="4602" spans="3:17" x14ac:dyDescent="0.3">
      <c r="C4602" s="87"/>
      <c r="H4602" s="86" t="e">
        <f>IF(I4602="fora",0%,G4602/QUÓRUM!$C$6)</f>
        <v>#DIV/0!</v>
      </c>
      <c r="I4602" s="87"/>
      <c r="J4602" s="88"/>
      <c r="K4602" s="88"/>
      <c r="L4602" s="89"/>
      <c r="M4602" s="89"/>
      <c r="Q4602" s="105"/>
    </row>
    <row r="4603" spans="3:17" x14ac:dyDescent="0.3">
      <c r="C4603" s="87"/>
      <c r="H4603" s="86" t="e">
        <f>IF(I4603="fora",0%,G4603/QUÓRUM!$C$6)</f>
        <v>#DIV/0!</v>
      </c>
      <c r="I4603" s="87"/>
      <c r="J4603" s="88"/>
      <c r="K4603" s="88"/>
      <c r="L4603" s="89"/>
      <c r="M4603" s="89"/>
      <c r="Q4603" s="105"/>
    </row>
    <row r="4604" spans="3:17" x14ac:dyDescent="0.3">
      <c r="C4604" s="87"/>
      <c r="H4604" s="86" t="e">
        <f>IF(I4604="fora",0%,G4604/QUÓRUM!$C$6)</f>
        <v>#DIV/0!</v>
      </c>
      <c r="I4604" s="87"/>
      <c r="J4604" s="88"/>
      <c r="K4604" s="88"/>
      <c r="L4604" s="89"/>
      <c r="M4604" s="89"/>
      <c r="Q4604" s="105"/>
    </row>
    <row r="4605" spans="3:17" x14ac:dyDescent="0.3">
      <c r="C4605" s="87"/>
      <c r="H4605" s="86" t="e">
        <f>IF(I4605="fora",0%,G4605/QUÓRUM!$C$6)</f>
        <v>#DIV/0!</v>
      </c>
      <c r="I4605" s="87"/>
      <c r="J4605" s="88"/>
      <c r="K4605" s="88"/>
      <c r="L4605" s="89"/>
      <c r="M4605" s="89"/>
      <c r="Q4605" s="105"/>
    </row>
    <row r="4606" spans="3:17" x14ac:dyDescent="0.3">
      <c r="C4606" s="87"/>
      <c r="H4606" s="86" t="e">
        <f>IF(I4606="fora",0%,G4606/QUÓRUM!$C$6)</f>
        <v>#DIV/0!</v>
      </c>
      <c r="I4606" s="87"/>
      <c r="J4606" s="88"/>
      <c r="K4606" s="88"/>
      <c r="L4606" s="89"/>
      <c r="M4606" s="89"/>
      <c r="Q4606" s="105"/>
    </row>
    <row r="4607" spans="3:17" x14ac:dyDescent="0.3">
      <c r="C4607" s="87"/>
      <c r="H4607" s="86" t="e">
        <f>IF(I4607="fora",0%,G4607/QUÓRUM!$C$6)</f>
        <v>#DIV/0!</v>
      </c>
      <c r="I4607" s="87"/>
      <c r="J4607" s="88"/>
      <c r="K4607" s="88"/>
      <c r="L4607" s="89"/>
      <c r="M4607" s="89"/>
      <c r="Q4607" s="105"/>
    </row>
    <row r="4608" spans="3:17" x14ac:dyDescent="0.3">
      <c r="C4608" s="87"/>
      <c r="H4608" s="86" t="e">
        <f>IF(I4608="fora",0%,G4608/QUÓRUM!$C$6)</f>
        <v>#DIV/0!</v>
      </c>
      <c r="I4608" s="87"/>
      <c r="J4608" s="88"/>
      <c r="K4608" s="88"/>
      <c r="L4608" s="89"/>
      <c r="M4608" s="89"/>
      <c r="Q4608" s="105"/>
    </row>
    <row r="4609" spans="3:17" x14ac:dyDescent="0.3">
      <c r="C4609" s="87"/>
      <c r="H4609" s="86" t="e">
        <f>IF(I4609="fora",0%,G4609/QUÓRUM!$C$6)</f>
        <v>#DIV/0!</v>
      </c>
      <c r="I4609" s="87"/>
      <c r="J4609" s="88"/>
      <c r="K4609" s="88"/>
      <c r="L4609" s="89"/>
      <c r="M4609" s="89"/>
      <c r="Q4609" s="105"/>
    </row>
    <row r="4610" spans="3:17" x14ac:dyDescent="0.3">
      <c r="C4610" s="87"/>
      <c r="H4610" s="86" t="e">
        <f>IF(I4610="fora",0%,G4610/QUÓRUM!$C$6)</f>
        <v>#DIV/0!</v>
      </c>
      <c r="I4610" s="87"/>
      <c r="J4610" s="88"/>
      <c r="K4610" s="88"/>
      <c r="L4610" s="89"/>
      <c r="M4610" s="89"/>
      <c r="Q4610" s="105"/>
    </row>
    <row r="4611" spans="3:17" x14ac:dyDescent="0.3">
      <c r="C4611" s="87"/>
      <c r="H4611" s="86" t="e">
        <f>IF(I4611="fora",0%,G4611/QUÓRUM!$C$6)</f>
        <v>#DIV/0!</v>
      </c>
      <c r="I4611" s="87"/>
      <c r="J4611" s="88"/>
      <c r="K4611" s="88"/>
      <c r="L4611" s="89"/>
      <c r="M4611" s="89"/>
      <c r="Q4611" s="105"/>
    </row>
    <row r="4612" spans="3:17" x14ac:dyDescent="0.3">
      <c r="C4612" s="87"/>
      <c r="H4612" s="86" t="e">
        <f>IF(I4612="fora",0%,G4612/QUÓRUM!$C$6)</f>
        <v>#DIV/0!</v>
      </c>
      <c r="I4612" s="87"/>
      <c r="J4612" s="88"/>
      <c r="K4612" s="88"/>
      <c r="L4612" s="89"/>
      <c r="M4612" s="89"/>
      <c r="Q4612" s="105"/>
    </row>
    <row r="4613" spans="3:17" x14ac:dyDescent="0.3">
      <c r="C4613" s="87"/>
      <c r="H4613" s="86" t="e">
        <f>IF(I4613="fora",0%,G4613/QUÓRUM!$C$6)</f>
        <v>#DIV/0!</v>
      </c>
      <c r="I4613" s="87"/>
      <c r="J4613" s="88"/>
      <c r="K4613" s="88"/>
      <c r="L4613" s="89"/>
      <c r="M4613" s="89"/>
      <c r="Q4613" s="105"/>
    </row>
    <row r="4614" spans="3:17" x14ac:dyDescent="0.3">
      <c r="C4614" s="87"/>
      <c r="H4614" s="86" t="e">
        <f>IF(I4614="fora",0%,G4614/QUÓRUM!$C$6)</f>
        <v>#DIV/0!</v>
      </c>
      <c r="I4614" s="87"/>
      <c r="J4614" s="88"/>
      <c r="K4614" s="88"/>
      <c r="L4614" s="89"/>
      <c r="M4614" s="89"/>
      <c r="Q4614" s="105"/>
    </row>
    <row r="4615" spans="3:17" x14ac:dyDescent="0.3">
      <c r="C4615" s="87"/>
      <c r="H4615" s="86" t="e">
        <f>IF(I4615="fora",0%,G4615/QUÓRUM!$C$6)</f>
        <v>#DIV/0!</v>
      </c>
      <c r="I4615" s="87"/>
      <c r="J4615" s="88"/>
      <c r="K4615" s="88"/>
      <c r="L4615" s="89"/>
      <c r="M4615" s="89"/>
      <c r="Q4615" s="105"/>
    </row>
    <row r="4616" spans="3:17" x14ac:dyDescent="0.3">
      <c r="C4616" s="87"/>
      <c r="H4616" s="86" t="e">
        <f>IF(I4616="fora",0%,G4616/QUÓRUM!$C$6)</f>
        <v>#DIV/0!</v>
      </c>
      <c r="I4616" s="87"/>
      <c r="J4616" s="88"/>
      <c r="K4616" s="88"/>
      <c r="L4616" s="89"/>
      <c r="M4616" s="89"/>
      <c r="Q4616" s="105"/>
    </row>
    <row r="4617" spans="3:17" x14ac:dyDescent="0.3">
      <c r="C4617" s="87"/>
      <c r="H4617" s="86" t="e">
        <f>IF(I4617="fora",0%,G4617/QUÓRUM!$C$6)</f>
        <v>#DIV/0!</v>
      </c>
      <c r="I4617" s="87"/>
      <c r="J4617" s="88"/>
      <c r="K4617" s="88"/>
      <c r="L4617" s="89"/>
      <c r="M4617" s="89"/>
      <c r="Q4617" s="105"/>
    </row>
    <row r="4618" spans="3:17" x14ac:dyDescent="0.3">
      <c r="C4618" s="87"/>
      <c r="H4618" s="86" t="e">
        <f>IF(I4618="fora",0%,G4618/QUÓRUM!$C$6)</f>
        <v>#DIV/0!</v>
      </c>
      <c r="I4618" s="87"/>
      <c r="J4618" s="88"/>
      <c r="K4618" s="88"/>
      <c r="L4618" s="89"/>
      <c r="M4618" s="89"/>
      <c r="Q4618" s="105"/>
    </row>
    <row r="4619" spans="3:17" x14ac:dyDescent="0.3">
      <c r="C4619" s="87"/>
      <c r="H4619" s="86" t="e">
        <f>IF(I4619="fora",0%,G4619/QUÓRUM!$C$6)</f>
        <v>#DIV/0!</v>
      </c>
      <c r="I4619" s="87"/>
      <c r="J4619" s="88"/>
      <c r="K4619" s="88"/>
      <c r="L4619" s="89"/>
      <c r="M4619" s="89"/>
      <c r="Q4619" s="105"/>
    </row>
    <row r="4620" spans="3:17" x14ac:dyDescent="0.3">
      <c r="C4620" s="87"/>
      <c r="H4620" s="86" t="e">
        <f>IF(I4620="fora",0%,G4620/QUÓRUM!$C$6)</f>
        <v>#DIV/0!</v>
      </c>
      <c r="I4620" s="87"/>
      <c r="J4620" s="88"/>
      <c r="K4620" s="88"/>
      <c r="L4620" s="89"/>
      <c r="M4620" s="89"/>
      <c r="Q4620" s="105"/>
    </row>
    <row r="4621" spans="3:17" x14ac:dyDescent="0.3">
      <c r="C4621" s="87"/>
      <c r="H4621" s="86" t="e">
        <f>IF(I4621="fora",0%,G4621/QUÓRUM!$C$6)</f>
        <v>#DIV/0!</v>
      </c>
      <c r="I4621" s="87"/>
      <c r="J4621" s="88"/>
      <c r="K4621" s="88"/>
      <c r="L4621" s="89"/>
      <c r="M4621" s="89"/>
      <c r="Q4621" s="105"/>
    </row>
    <row r="4622" spans="3:17" x14ac:dyDescent="0.3">
      <c r="C4622" s="87"/>
      <c r="H4622" s="86" t="e">
        <f>IF(I4622="fora",0%,G4622/QUÓRUM!$C$6)</f>
        <v>#DIV/0!</v>
      </c>
      <c r="I4622" s="87"/>
      <c r="J4622" s="88"/>
      <c r="K4622" s="88"/>
      <c r="L4622" s="89"/>
      <c r="M4622" s="89"/>
      <c r="Q4622" s="105"/>
    </row>
    <row r="4623" spans="3:17" x14ac:dyDescent="0.3">
      <c r="C4623" s="87"/>
      <c r="H4623" s="86" t="e">
        <f>IF(I4623="fora",0%,G4623/QUÓRUM!$C$6)</f>
        <v>#DIV/0!</v>
      </c>
      <c r="I4623" s="87"/>
      <c r="J4623" s="88"/>
      <c r="K4623" s="88"/>
      <c r="L4623" s="89"/>
      <c r="M4623" s="89"/>
      <c r="Q4623" s="105"/>
    </row>
    <row r="4624" spans="3:17" x14ac:dyDescent="0.3">
      <c r="C4624" s="87"/>
      <c r="H4624" s="86" t="e">
        <f>IF(I4624="fora",0%,G4624/QUÓRUM!$C$6)</f>
        <v>#DIV/0!</v>
      </c>
      <c r="I4624" s="87"/>
      <c r="J4624" s="88"/>
      <c r="K4624" s="88"/>
      <c r="L4624" s="89"/>
      <c r="M4624" s="89"/>
      <c r="Q4624" s="105"/>
    </row>
    <row r="4625" spans="3:17" x14ac:dyDescent="0.3">
      <c r="C4625" s="87"/>
      <c r="H4625" s="86" t="e">
        <f>IF(I4625="fora",0%,G4625/QUÓRUM!$C$6)</f>
        <v>#DIV/0!</v>
      </c>
      <c r="I4625" s="87"/>
      <c r="J4625" s="88"/>
      <c r="K4625" s="88"/>
      <c r="L4625" s="89"/>
      <c r="M4625" s="89"/>
      <c r="Q4625" s="105"/>
    </row>
    <row r="4626" spans="3:17" x14ac:dyDescent="0.3">
      <c r="C4626" s="87"/>
      <c r="H4626" s="86" t="e">
        <f>IF(I4626="fora",0%,G4626/QUÓRUM!$C$6)</f>
        <v>#DIV/0!</v>
      </c>
      <c r="I4626" s="87"/>
      <c r="J4626" s="88"/>
      <c r="K4626" s="88"/>
      <c r="L4626" s="89"/>
      <c r="M4626" s="89"/>
      <c r="Q4626" s="105"/>
    </row>
    <row r="4627" spans="3:17" x14ac:dyDescent="0.3">
      <c r="C4627" s="87"/>
      <c r="H4627" s="86" t="e">
        <f>IF(I4627="fora",0%,G4627/QUÓRUM!$C$6)</f>
        <v>#DIV/0!</v>
      </c>
      <c r="I4627" s="87"/>
      <c r="J4627" s="88"/>
      <c r="K4627" s="88"/>
      <c r="L4627" s="89"/>
      <c r="M4627" s="89"/>
      <c r="Q4627" s="105"/>
    </row>
    <row r="4628" spans="3:17" x14ac:dyDescent="0.3">
      <c r="C4628" s="87"/>
      <c r="H4628" s="86" t="e">
        <f>IF(I4628="fora",0%,G4628/QUÓRUM!$C$6)</f>
        <v>#DIV/0!</v>
      </c>
      <c r="I4628" s="87"/>
      <c r="J4628" s="88"/>
      <c r="K4628" s="88"/>
      <c r="L4628" s="89"/>
      <c r="M4628" s="89"/>
      <c r="Q4628" s="105"/>
    </row>
    <row r="4629" spans="3:17" x14ac:dyDescent="0.3">
      <c r="C4629" s="87"/>
      <c r="H4629" s="86" t="e">
        <f>IF(I4629="fora",0%,G4629/QUÓRUM!$C$6)</f>
        <v>#DIV/0!</v>
      </c>
      <c r="I4629" s="87"/>
      <c r="J4629" s="88"/>
      <c r="K4629" s="88"/>
      <c r="L4629" s="89"/>
      <c r="M4629" s="89"/>
      <c r="Q4629" s="105"/>
    </row>
    <row r="4630" spans="3:17" x14ac:dyDescent="0.3">
      <c r="C4630" s="87"/>
      <c r="H4630" s="86" t="e">
        <f>IF(I4630="fora",0%,G4630/QUÓRUM!$C$6)</f>
        <v>#DIV/0!</v>
      </c>
      <c r="I4630" s="87"/>
      <c r="J4630" s="88"/>
      <c r="K4630" s="88"/>
      <c r="L4630" s="89"/>
      <c r="M4630" s="89"/>
      <c r="Q4630" s="105"/>
    </row>
    <row r="4631" spans="3:17" x14ac:dyDescent="0.3">
      <c r="C4631" s="87"/>
      <c r="H4631" s="86" t="e">
        <f>IF(I4631="fora",0%,G4631/QUÓRUM!$C$6)</f>
        <v>#DIV/0!</v>
      </c>
      <c r="I4631" s="87"/>
      <c r="J4631" s="88"/>
      <c r="K4631" s="88"/>
      <c r="L4631" s="89"/>
      <c r="M4631" s="89"/>
      <c r="Q4631" s="105"/>
    </row>
    <row r="4632" spans="3:17" x14ac:dyDescent="0.3">
      <c r="C4632" s="87"/>
      <c r="H4632" s="86" t="e">
        <f>IF(I4632="fora",0%,G4632/QUÓRUM!$C$6)</f>
        <v>#DIV/0!</v>
      </c>
      <c r="I4632" s="87"/>
      <c r="J4632" s="88"/>
      <c r="K4632" s="88"/>
      <c r="L4632" s="89"/>
      <c r="M4632" s="89"/>
      <c r="Q4632" s="105"/>
    </row>
    <row r="4633" spans="3:17" x14ac:dyDescent="0.3">
      <c r="C4633" s="87"/>
      <c r="H4633" s="86" t="e">
        <f>IF(I4633="fora",0%,G4633/QUÓRUM!$C$6)</f>
        <v>#DIV/0!</v>
      </c>
      <c r="I4633" s="87"/>
      <c r="J4633" s="88"/>
      <c r="K4633" s="88"/>
      <c r="L4633" s="89"/>
      <c r="M4633" s="89"/>
      <c r="Q4633" s="105"/>
    </row>
    <row r="4634" spans="3:17" x14ac:dyDescent="0.3">
      <c r="C4634" s="87"/>
      <c r="H4634" s="86" t="e">
        <f>IF(I4634="fora",0%,G4634/QUÓRUM!$C$6)</f>
        <v>#DIV/0!</v>
      </c>
      <c r="I4634" s="87"/>
      <c r="J4634" s="88"/>
      <c r="K4634" s="88"/>
      <c r="L4634" s="89"/>
      <c r="M4634" s="89"/>
      <c r="Q4634" s="105"/>
    </row>
    <row r="4635" spans="3:17" x14ac:dyDescent="0.3">
      <c r="C4635" s="87"/>
      <c r="H4635" s="86" t="e">
        <f>IF(I4635="fora",0%,G4635/QUÓRUM!$C$6)</f>
        <v>#DIV/0!</v>
      </c>
      <c r="I4635" s="87"/>
      <c r="J4635" s="88"/>
      <c r="K4635" s="88"/>
      <c r="L4635" s="89"/>
      <c r="M4635" s="89"/>
      <c r="Q4635" s="105"/>
    </row>
    <row r="4636" spans="3:17" x14ac:dyDescent="0.3">
      <c r="C4636" s="87"/>
      <c r="H4636" s="86" t="e">
        <f>IF(I4636="fora",0%,G4636/QUÓRUM!$C$6)</f>
        <v>#DIV/0!</v>
      </c>
      <c r="I4636" s="87"/>
      <c r="J4636" s="88"/>
      <c r="K4636" s="88"/>
      <c r="L4636" s="89"/>
      <c r="M4636" s="89"/>
      <c r="Q4636" s="105"/>
    </row>
    <row r="4637" spans="3:17" x14ac:dyDescent="0.3">
      <c r="C4637" s="87"/>
      <c r="H4637" s="86" t="e">
        <f>IF(I4637="fora",0%,G4637/QUÓRUM!$C$6)</f>
        <v>#DIV/0!</v>
      </c>
      <c r="I4637" s="87"/>
      <c r="J4637" s="88"/>
      <c r="K4637" s="88"/>
      <c r="L4637" s="89"/>
      <c r="M4637" s="89"/>
      <c r="Q4637" s="105"/>
    </row>
    <row r="4638" spans="3:17" x14ac:dyDescent="0.3">
      <c r="C4638" s="87"/>
      <c r="H4638" s="86" t="e">
        <f>IF(I4638="fora",0%,G4638/QUÓRUM!$C$6)</f>
        <v>#DIV/0!</v>
      </c>
      <c r="I4638" s="87"/>
      <c r="J4638" s="88"/>
      <c r="K4638" s="88"/>
      <c r="L4638" s="89"/>
      <c r="M4638" s="89"/>
      <c r="Q4638" s="105"/>
    </row>
    <row r="4639" spans="3:17" x14ac:dyDescent="0.3">
      <c r="C4639" s="87"/>
      <c r="H4639" s="86" t="e">
        <f>IF(I4639="fora",0%,G4639/QUÓRUM!$C$6)</f>
        <v>#DIV/0!</v>
      </c>
      <c r="I4639" s="87"/>
      <c r="J4639" s="88"/>
      <c r="K4639" s="88"/>
      <c r="L4639" s="89"/>
      <c r="M4639" s="89"/>
      <c r="Q4639" s="105"/>
    </row>
    <row r="4640" spans="3:17" x14ac:dyDescent="0.3">
      <c r="C4640" s="87"/>
      <c r="H4640" s="86" t="e">
        <f>IF(I4640="fora",0%,G4640/QUÓRUM!$C$6)</f>
        <v>#DIV/0!</v>
      </c>
      <c r="I4640" s="87"/>
      <c r="J4640" s="88"/>
      <c r="K4640" s="88"/>
      <c r="L4640" s="89"/>
      <c r="M4640" s="89"/>
      <c r="Q4640" s="105"/>
    </row>
    <row r="4641" spans="3:17" x14ac:dyDescent="0.3">
      <c r="C4641" s="87"/>
      <c r="H4641" s="86" t="e">
        <f>IF(I4641="fora",0%,G4641/QUÓRUM!$C$6)</f>
        <v>#DIV/0!</v>
      </c>
      <c r="I4641" s="87"/>
      <c r="J4641" s="88"/>
      <c r="K4641" s="88"/>
      <c r="L4641" s="89"/>
      <c r="M4641" s="89"/>
      <c r="Q4641" s="105"/>
    </row>
    <row r="4642" spans="3:17" x14ac:dyDescent="0.3">
      <c r="C4642" s="87"/>
      <c r="H4642" s="86" t="e">
        <f>IF(I4642="fora",0%,G4642/QUÓRUM!$C$6)</f>
        <v>#DIV/0!</v>
      </c>
      <c r="I4642" s="87"/>
      <c r="J4642" s="88"/>
      <c r="K4642" s="88"/>
      <c r="L4642" s="89"/>
      <c r="M4642" s="89"/>
      <c r="Q4642" s="105"/>
    </row>
    <row r="4643" spans="3:17" x14ac:dyDescent="0.3">
      <c r="C4643" s="87"/>
      <c r="G4643" s="115"/>
      <c r="H4643" s="86" t="e">
        <f>IF(I4643="fora",0%,G4643/QUÓRUM!$C$6)</f>
        <v>#DIV/0!</v>
      </c>
      <c r="I4643" s="87"/>
      <c r="J4643" s="88"/>
      <c r="K4643" s="88"/>
      <c r="L4643" s="89"/>
      <c r="M4643" s="89"/>
      <c r="Q4643" s="105"/>
    </row>
    <row r="4644" spans="3:17" x14ac:dyDescent="0.3">
      <c r="C4644" s="87"/>
      <c r="H4644" s="86" t="e">
        <f>IF(I4644="fora",0%,G4644/QUÓRUM!$C$6)</f>
        <v>#DIV/0!</v>
      </c>
      <c r="I4644" s="87"/>
      <c r="J4644" s="88"/>
      <c r="K4644" s="88"/>
      <c r="L4644" s="89"/>
      <c r="M4644" s="89"/>
      <c r="Q4644" s="105"/>
    </row>
    <row r="4645" spans="3:17" x14ac:dyDescent="0.3">
      <c r="C4645" s="87"/>
      <c r="H4645" s="86" t="e">
        <f>IF(I4645="fora",0%,G4645/QUÓRUM!$C$6)</f>
        <v>#DIV/0!</v>
      </c>
      <c r="I4645" s="87"/>
      <c r="J4645" s="88"/>
      <c r="K4645" s="88"/>
      <c r="L4645" s="89"/>
      <c r="M4645" s="89"/>
      <c r="Q4645" s="105"/>
    </row>
    <row r="4646" spans="3:17" x14ac:dyDescent="0.3">
      <c r="C4646" s="87"/>
      <c r="H4646" s="86" t="e">
        <f>IF(I4646="fora",0%,G4646/QUÓRUM!$C$6)</f>
        <v>#DIV/0!</v>
      </c>
      <c r="I4646" s="87"/>
      <c r="J4646" s="88"/>
      <c r="K4646" s="88"/>
      <c r="L4646" s="89"/>
      <c r="M4646" s="89"/>
      <c r="Q4646" s="105"/>
    </row>
    <row r="4647" spans="3:17" x14ac:dyDescent="0.3">
      <c r="C4647" s="87"/>
      <c r="H4647" s="86" t="e">
        <f>IF(I4647="fora",0%,G4647/QUÓRUM!$C$6)</f>
        <v>#DIV/0!</v>
      </c>
      <c r="I4647" s="87"/>
      <c r="J4647" s="88"/>
      <c r="K4647" s="88"/>
      <c r="L4647" s="89"/>
      <c r="M4647" s="89"/>
      <c r="Q4647" s="105"/>
    </row>
    <row r="4648" spans="3:17" x14ac:dyDescent="0.3">
      <c r="C4648" s="87"/>
      <c r="H4648" s="86" t="e">
        <f>IF(I4648="fora",0%,G4648/QUÓRUM!$C$6)</f>
        <v>#DIV/0!</v>
      </c>
      <c r="I4648" s="87"/>
      <c r="J4648" s="88"/>
      <c r="K4648" s="88"/>
      <c r="L4648" s="89"/>
      <c r="M4648" s="89"/>
      <c r="Q4648" s="105"/>
    </row>
    <row r="4649" spans="3:17" x14ac:dyDescent="0.3">
      <c r="C4649" s="87"/>
      <c r="H4649" s="86" t="e">
        <f>IF(I4649="fora",0%,G4649/QUÓRUM!$C$6)</f>
        <v>#DIV/0!</v>
      </c>
      <c r="I4649" s="87"/>
      <c r="J4649" s="88"/>
      <c r="K4649" s="88"/>
      <c r="L4649" s="89"/>
      <c r="M4649" s="89"/>
      <c r="Q4649" s="105"/>
    </row>
    <row r="4650" spans="3:17" x14ac:dyDescent="0.3">
      <c r="C4650" s="87"/>
      <c r="G4650" s="115"/>
      <c r="H4650" s="86" t="e">
        <f>IF(I4650="fora",0%,G4650/QUÓRUM!$C$6)</f>
        <v>#DIV/0!</v>
      </c>
      <c r="I4650" s="87"/>
      <c r="J4650" s="88"/>
      <c r="K4650" s="88"/>
      <c r="L4650" s="89"/>
      <c r="M4650" s="89"/>
      <c r="Q4650" s="105"/>
    </row>
    <row r="4651" spans="3:17" x14ac:dyDescent="0.3">
      <c r="C4651" s="87"/>
      <c r="H4651" s="86" t="e">
        <f>IF(I4651="fora",0%,G4651/QUÓRUM!$C$6)</f>
        <v>#DIV/0!</v>
      </c>
      <c r="I4651" s="87"/>
      <c r="J4651" s="88"/>
      <c r="K4651" s="88"/>
      <c r="L4651" s="89"/>
      <c r="M4651" s="89"/>
      <c r="Q4651" s="105"/>
    </row>
    <row r="4652" spans="3:17" x14ac:dyDescent="0.3">
      <c r="C4652" s="87"/>
      <c r="H4652" s="86" t="e">
        <f>IF(I4652="fora",0%,G4652/QUÓRUM!$C$6)</f>
        <v>#DIV/0!</v>
      </c>
      <c r="I4652" s="87"/>
      <c r="J4652" s="88"/>
      <c r="K4652" s="88"/>
      <c r="L4652" s="89"/>
      <c r="M4652" s="89"/>
      <c r="Q4652" s="105"/>
    </row>
    <row r="4653" spans="3:17" x14ac:dyDescent="0.3">
      <c r="C4653" s="87"/>
      <c r="H4653" s="86" t="e">
        <f>IF(I4653="fora",0%,G4653/QUÓRUM!$C$6)</f>
        <v>#DIV/0!</v>
      </c>
      <c r="I4653" s="87"/>
      <c r="J4653" s="88"/>
      <c r="K4653" s="88"/>
      <c r="L4653" s="89"/>
      <c r="M4653" s="89"/>
      <c r="Q4653" s="105"/>
    </row>
    <row r="4654" spans="3:17" x14ac:dyDescent="0.3">
      <c r="C4654" s="87"/>
      <c r="H4654" s="86" t="e">
        <f>IF(I4654="fora",0%,G4654/QUÓRUM!$C$6)</f>
        <v>#DIV/0!</v>
      </c>
      <c r="I4654" s="87"/>
      <c r="J4654" s="88"/>
      <c r="K4654" s="88"/>
      <c r="L4654" s="89"/>
      <c r="M4654" s="89"/>
      <c r="Q4654" s="105"/>
    </row>
    <row r="4655" spans="3:17" x14ac:dyDescent="0.3">
      <c r="C4655" s="87"/>
      <c r="H4655" s="86" t="e">
        <f>IF(I4655="fora",0%,G4655/QUÓRUM!$C$6)</f>
        <v>#DIV/0!</v>
      </c>
      <c r="I4655" s="87"/>
      <c r="J4655" s="88"/>
      <c r="K4655" s="88"/>
      <c r="L4655" s="89"/>
      <c r="M4655" s="89"/>
      <c r="Q4655" s="105"/>
    </row>
    <row r="4656" spans="3:17" x14ac:dyDescent="0.3">
      <c r="C4656" s="87"/>
      <c r="H4656" s="86" t="e">
        <f>IF(I4656="fora",0%,G4656/QUÓRUM!$C$6)</f>
        <v>#DIV/0!</v>
      </c>
      <c r="I4656" s="87"/>
      <c r="J4656" s="88"/>
      <c r="K4656" s="88"/>
      <c r="L4656" s="89"/>
      <c r="M4656" s="89"/>
      <c r="Q4656" s="105"/>
    </row>
    <row r="4657" spans="3:17" x14ac:dyDescent="0.3">
      <c r="C4657" s="87"/>
      <c r="H4657" s="86" t="e">
        <f>IF(I4657="fora",0%,G4657/QUÓRUM!$C$6)</f>
        <v>#DIV/0!</v>
      </c>
      <c r="I4657" s="87"/>
      <c r="J4657" s="88"/>
      <c r="K4657" s="88"/>
      <c r="L4657" s="89"/>
      <c r="M4657" s="89"/>
      <c r="Q4657" s="105"/>
    </row>
    <row r="4658" spans="3:17" x14ac:dyDescent="0.3">
      <c r="C4658" s="87"/>
      <c r="H4658" s="86" t="e">
        <f>IF(I4658="fora",0%,G4658/QUÓRUM!$C$6)</f>
        <v>#DIV/0!</v>
      </c>
      <c r="I4658" s="87"/>
      <c r="J4658" s="88"/>
      <c r="K4658" s="88"/>
      <c r="L4658" s="89"/>
      <c r="M4658" s="89"/>
      <c r="Q4658" s="105"/>
    </row>
    <row r="4659" spans="3:17" x14ac:dyDescent="0.3">
      <c r="C4659" s="87"/>
      <c r="H4659" s="86" t="e">
        <f>IF(I4659="fora",0%,G4659/QUÓRUM!$C$6)</f>
        <v>#DIV/0!</v>
      </c>
      <c r="I4659" s="87"/>
      <c r="J4659" s="88"/>
      <c r="K4659" s="88"/>
      <c r="L4659" s="89"/>
      <c r="M4659" s="89"/>
      <c r="Q4659" s="105"/>
    </row>
    <row r="4660" spans="3:17" x14ac:dyDescent="0.3">
      <c r="C4660" s="87"/>
      <c r="H4660" s="86" t="e">
        <f>IF(I4660="fora",0%,G4660/QUÓRUM!$C$6)</f>
        <v>#DIV/0!</v>
      </c>
      <c r="I4660" s="87"/>
      <c r="J4660" s="88"/>
      <c r="K4660" s="88"/>
      <c r="L4660" s="89"/>
      <c r="M4660" s="89"/>
      <c r="Q4660" s="105"/>
    </row>
    <row r="4661" spans="3:17" x14ac:dyDescent="0.3">
      <c r="C4661" s="87"/>
      <c r="H4661" s="86" t="e">
        <f>IF(I4661="fora",0%,G4661/QUÓRUM!$C$6)</f>
        <v>#DIV/0!</v>
      </c>
      <c r="I4661" s="87"/>
      <c r="J4661" s="88"/>
      <c r="K4661" s="88"/>
      <c r="L4661" s="89"/>
      <c r="M4661" s="89"/>
      <c r="Q4661" s="105"/>
    </row>
    <row r="4662" spans="3:17" x14ac:dyDescent="0.3">
      <c r="C4662" s="87"/>
      <c r="H4662" s="86" t="e">
        <f>IF(I4662="fora",0%,G4662/QUÓRUM!$C$6)</f>
        <v>#DIV/0!</v>
      </c>
      <c r="I4662" s="87"/>
      <c r="J4662" s="88"/>
      <c r="K4662" s="88"/>
      <c r="L4662" s="89"/>
      <c r="M4662" s="89"/>
      <c r="Q4662" s="105"/>
    </row>
    <row r="4663" spans="3:17" x14ac:dyDescent="0.3">
      <c r="C4663" s="87"/>
      <c r="H4663" s="86" t="e">
        <f>IF(I4663="fora",0%,G4663/QUÓRUM!$C$6)</f>
        <v>#DIV/0!</v>
      </c>
      <c r="I4663" s="87"/>
      <c r="J4663" s="88"/>
      <c r="K4663" s="88"/>
      <c r="L4663" s="89"/>
      <c r="M4663" s="89"/>
      <c r="Q4663" s="105"/>
    </row>
    <row r="4664" spans="3:17" x14ac:dyDescent="0.3">
      <c r="C4664" s="87"/>
      <c r="H4664" s="86" t="e">
        <f>IF(I4664="fora",0%,G4664/QUÓRUM!$C$6)</f>
        <v>#DIV/0!</v>
      </c>
      <c r="I4664" s="87"/>
      <c r="J4664" s="88"/>
      <c r="K4664" s="88"/>
      <c r="L4664" s="89"/>
      <c r="M4664" s="89"/>
      <c r="Q4664" s="105"/>
    </row>
    <row r="4665" spans="3:17" x14ac:dyDescent="0.3">
      <c r="C4665" s="87"/>
      <c r="H4665" s="86" t="e">
        <f>IF(I4665="fora",0%,G4665/QUÓRUM!$C$6)</f>
        <v>#DIV/0!</v>
      </c>
      <c r="I4665" s="87"/>
      <c r="J4665" s="88"/>
      <c r="K4665" s="88"/>
      <c r="L4665" s="89"/>
      <c r="M4665" s="89"/>
      <c r="Q4665" s="105"/>
    </row>
    <row r="4666" spans="3:17" x14ac:dyDescent="0.3">
      <c r="C4666" s="87"/>
      <c r="H4666" s="86" t="e">
        <f>IF(I4666="fora",0%,G4666/QUÓRUM!$C$6)</f>
        <v>#DIV/0!</v>
      </c>
      <c r="I4666" s="87"/>
      <c r="J4666" s="88"/>
      <c r="K4666" s="88"/>
      <c r="L4666" s="89"/>
      <c r="M4666" s="89"/>
      <c r="Q4666" s="105"/>
    </row>
    <row r="4667" spans="3:17" x14ac:dyDescent="0.3">
      <c r="C4667" s="87"/>
      <c r="H4667" s="86" t="e">
        <f>IF(I4667="fora",0%,G4667/QUÓRUM!$C$6)</f>
        <v>#DIV/0!</v>
      </c>
      <c r="I4667" s="87"/>
      <c r="J4667" s="88"/>
      <c r="K4667" s="88"/>
      <c r="L4667" s="89"/>
      <c r="M4667" s="89"/>
      <c r="Q4667" s="105"/>
    </row>
    <row r="4668" spans="3:17" x14ac:dyDescent="0.3">
      <c r="C4668" s="87"/>
      <c r="H4668" s="86" t="e">
        <f>IF(I4668="fora",0%,G4668/QUÓRUM!$C$6)</f>
        <v>#DIV/0!</v>
      </c>
      <c r="I4668" s="87"/>
      <c r="J4668" s="88"/>
      <c r="K4668" s="88"/>
      <c r="L4668" s="89"/>
      <c r="M4668" s="89"/>
      <c r="Q4668" s="105"/>
    </row>
    <row r="4669" spans="3:17" x14ac:dyDescent="0.3">
      <c r="C4669" s="87"/>
      <c r="H4669" s="86" t="e">
        <f>IF(I4669="fora",0%,G4669/QUÓRUM!$C$6)</f>
        <v>#DIV/0!</v>
      </c>
      <c r="I4669" s="87"/>
      <c r="J4669" s="88"/>
      <c r="K4669" s="88"/>
      <c r="L4669" s="89"/>
      <c r="M4669" s="89"/>
      <c r="Q4669" s="105"/>
    </row>
    <row r="4670" spans="3:17" x14ac:dyDescent="0.3">
      <c r="C4670" s="87"/>
      <c r="H4670" s="86" t="e">
        <f>IF(I4670="fora",0%,G4670/QUÓRUM!$C$6)</f>
        <v>#DIV/0!</v>
      </c>
      <c r="I4670" s="87"/>
      <c r="J4670" s="88"/>
      <c r="K4670" s="88"/>
      <c r="L4670" s="89"/>
      <c r="M4670" s="89"/>
      <c r="Q4670" s="105"/>
    </row>
    <row r="4671" spans="3:17" x14ac:dyDescent="0.3">
      <c r="C4671" s="87"/>
      <c r="H4671" s="86" t="e">
        <f>IF(I4671="fora",0%,G4671/QUÓRUM!$C$6)</f>
        <v>#DIV/0!</v>
      </c>
      <c r="I4671" s="87"/>
      <c r="J4671" s="88"/>
      <c r="K4671" s="88"/>
      <c r="L4671" s="89"/>
      <c r="M4671" s="89"/>
      <c r="Q4671" s="105"/>
    </row>
    <row r="4672" spans="3:17" x14ac:dyDescent="0.3">
      <c r="C4672" s="87"/>
      <c r="H4672" s="86" t="e">
        <f>IF(I4672="fora",0%,G4672/QUÓRUM!$C$6)</f>
        <v>#DIV/0!</v>
      </c>
      <c r="I4672" s="87"/>
      <c r="J4672" s="88"/>
      <c r="K4672" s="88"/>
      <c r="L4672" s="89"/>
      <c r="M4672" s="89"/>
      <c r="Q4672" s="105"/>
    </row>
    <row r="4673" spans="3:17" x14ac:dyDescent="0.3">
      <c r="C4673" s="87"/>
      <c r="H4673" s="86" t="e">
        <f>IF(I4673="fora",0%,G4673/QUÓRUM!$C$6)</f>
        <v>#DIV/0!</v>
      </c>
      <c r="I4673" s="87"/>
      <c r="J4673" s="88"/>
      <c r="K4673" s="88"/>
      <c r="L4673" s="89"/>
      <c r="M4673" s="89"/>
      <c r="Q4673" s="105"/>
    </row>
    <row r="4674" spans="3:17" x14ac:dyDescent="0.3">
      <c r="C4674" s="87"/>
      <c r="H4674" s="86" t="e">
        <f>IF(I4674="fora",0%,G4674/QUÓRUM!$C$6)</f>
        <v>#DIV/0!</v>
      </c>
      <c r="I4674" s="87"/>
      <c r="J4674" s="88"/>
      <c r="K4674" s="88"/>
      <c r="L4674" s="89"/>
      <c r="M4674" s="89"/>
      <c r="Q4674" s="105"/>
    </row>
    <row r="4675" spans="3:17" x14ac:dyDescent="0.3">
      <c r="C4675" s="87"/>
      <c r="H4675" s="86" t="e">
        <f>IF(I4675="fora",0%,G4675/QUÓRUM!$C$6)</f>
        <v>#DIV/0!</v>
      </c>
      <c r="I4675" s="87"/>
      <c r="J4675" s="88"/>
      <c r="K4675" s="88"/>
      <c r="L4675" s="89"/>
      <c r="M4675" s="89"/>
      <c r="Q4675" s="105"/>
    </row>
    <row r="4676" spans="3:17" x14ac:dyDescent="0.3">
      <c r="C4676" s="87"/>
      <c r="H4676" s="86" t="e">
        <f>IF(I4676="fora",0%,G4676/QUÓRUM!$C$6)</f>
        <v>#DIV/0!</v>
      </c>
      <c r="I4676" s="87"/>
      <c r="J4676" s="88"/>
      <c r="K4676" s="88"/>
      <c r="L4676" s="89"/>
      <c r="M4676" s="89"/>
      <c r="Q4676" s="105"/>
    </row>
    <row r="4677" spans="3:17" x14ac:dyDescent="0.3">
      <c r="C4677" s="87"/>
      <c r="H4677" s="86" t="e">
        <f>IF(I4677="fora",0%,G4677/QUÓRUM!$C$6)</f>
        <v>#DIV/0!</v>
      </c>
      <c r="I4677" s="87"/>
      <c r="J4677" s="88"/>
      <c r="K4677" s="88"/>
      <c r="L4677" s="89"/>
      <c r="M4677" s="89"/>
      <c r="Q4677" s="105"/>
    </row>
    <row r="4678" spans="3:17" x14ac:dyDescent="0.3">
      <c r="C4678" s="87"/>
      <c r="H4678" s="86" t="e">
        <f>IF(I4678="fora",0%,G4678/QUÓRUM!$C$6)</f>
        <v>#DIV/0!</v>
      </c>
      <c r="I4678" s="87"/>
      <c r="J4678" s="88"/>
      <c r="K4678" s="88"/>
      <c r="L4678" s="89"/>
      <c r="M4678" s="89"/>
      <c r="Q4678" s="105"/>
    </row>
    <row r="4679" spans="3:17" x14ac:dyDescent="0.3">
      <c r="C4679" s="87"/>
      <c r="H4679" s="86" t="e">
        <f>IF(I4679="fora",0%,G4679/QUÓRUM!$C$6)</f>
        <v>#DIV/0!</v>
      </c>
      <c r="I4679" s="87"/>
      <c r="J4679" s="88"/>
      <c r="K4679" s="88"/>
      <c r="L4679" s="89"/>
      <c r="M4679" s="89"/>
      <c r="Q4679" s="105"/>
    </row>
    <row r="4680" spans="3:17" x14ac:dyDescent="0.3">
      <c r="C4680" s="87"/>
      <c r="H4680" s="86" t="e">
        <f>IF(I4680="fora",0%,G4680/QUÓRUM!$C$6)</f>
        <v>#DIV/0!</v>
      </c>
      <c r="I4680" s="87"/>
      <c r="J4680" s="88"/>
      <c r="K4680" s="88"/>
      <c r="L4680" s="89"/>
      <c r="M4680" s="89"/>
      <c r="Q4680" s="105"/>
    </row>
    <row r="4681" spans="3:17" x14ac:dyDescent="0.3">
      <c r="C4681" s="87"/>
      <c r="H4681" s="86" t="e">
        <f>IF(I4681="fora",0%,G4681/QUÓRUM!$C$6)</f>
        <v>#DIV/0!</v>
      </c>
      <c r="I4681" s="87"/>
      <c r="J4681" s="88"/>
      <c r="K4681" s="88"/>
      <c r="L4681" s="89"/>
      <c r="M4681" s="89"/>
      <c r="Q4681" s="105"/>
    </row>
    <row r="4682" spans="3:17" x14ac:dyDescent="0.3">
      <c r="C4682" s="87"/>
      <c r="H4682" s="86" t="e">
        <f>IF(I4682="fora",0%,G4682/QUÓRUM!$C$6)</f>
        <v>#DIV/0!</v>
      </c>
      <c r="I4682" s="87"/>
      <c r="J4682" s="88"/>
      <c r="K4682" s="88"/>
      <c r="L4682" s="89"/>
      <c r="M4682" s="89"/>
      <c r="Q4682" s="105"/>
    </row>
    <row r="4683" spans="3:17" x14ac:dyDescent="0.3">
      <c r="C4683" s="87"/>
      <c r="H4683" s="86" t="e">
        <f>IF(I4683="fora",0%,G4683/QUÓRUM!$C$6)</f>
        <v>#DIV/0!</v>
      </c>
      <c r="I4683" s="87"/>
      <c r="J4683" s="88"/>
      <c r="K4683" s="88"/>
      <c r="L4683" s="89"/>
      <c r="M4683" s="89"/>
      <c r="Q4683" s="105"/>
    </row>
    <row r="4684" spans="3:17" x14ac:dyDescent="0.3">
      <c r="C4684" s="87"/>
      <c r="H4684" s="86" t="e">
        <f>IF(I4684="fora",0%,G4684/QUÓRUM!$C$6)</f>
        <v>#DIV/0!</v>
      </c>
      <c r="I4684" s="87"/>
      <c r="J4684" s="88"/>
      <c r="K4684" s="88"/>
      <c r="L4684" s="89"/>
      <c r="M4684" s="89"/>
      <c r="Q4684" s="105"/>
    </row>
    <row r="4685" spans="3:17" x14ac:dyDescent="0.3">
      <c r="C4685" s="87"/>
      <c r="H4685" s="86" t="e">
        <f>IF(I4685="fora",0%,G4685/QUÓRUM!$C$6)</f>
        <v>#DIV/0!</v>
      </c>
      <c r="I4685" s="87"/>
      <c r="J4685" s="88"/>
      <c r="K4685" s="88"/>
      <c r="L4685" s="89"/>
      <c r="M4685" s="89"/>
      <c r="Q4685" s="105"/>
    </row>
    <row r="4686" spans="3:17" x14ac:dyDescent="0.3">
      <c r="C4686" s="87"/>
      <c r="H4686" s="86" t="e">
        <f>IF(I4686="fora",0%,G4686/QUÓRUM!$C$6)</f>
        <v>#DIV/0!</v>
      </c>
      <c r="I4686" s="87"/>
      <c r="J4686" s="88"/>
      <c r="K4686" s="88"/>
      <c r="L4686" s="89"/>
      <c r="M4686" s="89"/>
      <c r="Q4686" s="105"/>
    </row>
    <row r="4687" spans="3:17" x14ac:dyDescent="0.3">
      <c r="C4687" s="87"/>
      <c r="H4687" s="86" t="e">
        <f>IF(I4687="fora",0%,G4687/QUÓRUM!$C$6)</f>
        <v>#DIV/0!</v>
      </c>
      <c r="I4687" s="87"/>
      <c r="J4687" s="88"/>
      <c r="K4687" s="88"/>
      <c r="L4687" s="89"/>
      <c r="M4687" s="89"/>
      <c r="Q4687" s="105"/>
    </row>
    <row r="4688" spans="3:17" x14ac:dyDescent="0.3">
      <c r="C4688" s="87"/>
      <c r="H4688" s="86" t="e">
        <f>IF(I4688="fora",0%,G4688/QUÓRUM!$C$6)</f>
        <v>#DIV/0!</v>
      </c>
      <c r="I4688" s="87"/>
      <c r="J4688" s="88"/>
      <c r="K4688" s="88"/>
      <c r="L4688" s="89"/>
      <c r="M4688" s="89"/>
      <c r="Q4688" s="105"/>
    </row>
    <row r="4689" spans="3:17" x14ac:dyDescent="0.3">
      <c r="C4689" s="87"/>
      <c r="H4689" s="86" t="e">
        <f>IF(I4689="fora",0%,G4689/QUÓRUM!$C$6)</f>
        <v>#DIV/0!</v>
      </c>
      <c r="I4689" s="87"/>
      <c r="J4689" s="88"/>
      <c r="K4689" s="88"/>
      <c r="L4689" s="89"/>
      <c r="M4689" s="89"/>
      <c r="Q4689" s="105"/>
    </row>
    <row r="4690" spans="3:17" x14ac:dyDescent="0.3">
      <c r="C4690" s="87"/>
      <c r="H4690" s="86" t="e">
        <f>IF(I4690="fora",0%,G4690/QUÓRUM!$C$6)</f>
        <v>#DIV/0!</v>
      </c>
      <c r="I4690" s="87"/>
      <c r="J4690" s="88"/>
      <c r="K4690" s="88"/>
      <c r="L4690" s="89"/>
      <c r="M4690" s="89"/>
      <c r="Q4690" s="105"/>
    </row>
    <row r="4691" spans="3:17" x14ac:dyDescent="0.3">
      <c r="C4691" s="87"/>
      <c r="H4691" s="86" t="e">
        <f>IF(I4691="fora",0%,G4691/QUÓRUM!$C$6)</f>
        <v>#DIV/0!</v>
      </c>
      <c r="I4691" s="87"/>
      <c r="J4691" s="88"/>
      <c r="K4691" s="88"/>
      <c r="L4691" s="89"/>
      <c r="M4691" s="89"/>
      <c r="Q4691" s="105"/>
    </row>
    <row r="4692" spans="3:17" x14ac:dyDescent="0.3">
      <c r="C4692" s="87"/>
      <c r="H4692" s="86" t="e">
        <f>IF(I4692="fora",0%,G4692/QUÓRUM!$C$6)</f>
        <v>#DIV/0!</v>
      </c>
      <c r="I4692" s="87"/>
      <c r="J4692" s="88"/>
      <c r="K4692" s="88"/>
      <c r="L4692" s="89"/>
      <c r="M4692" s="89"/>
      <c r="Q4692" s="105"/>
    </row>
    <row r="4693" spans="3:17" x14ac:dyDescent="0.3">
      <c r="C4693" s="87"/>
      <c r="H4693" s="86" t="e">
        <f>IF(I4693="fora",0%,G4693/QUÓRUM!$C$6)</f>
        <v>#DIV/0!</v>
      </c>
      <c r="I4693" s="87"/>
      <c r="J4693" s="88"/>
      <c r="K4693" s="88"/>
      <c r="L4693" s="89"/>
      <c r="M4693" s="89"/>
      <c r="Q4693" s="105"/>
    </row>
    <row r="4694" spans="3:17" x14ac:dyDescent="0.3">
      <c r="C4694" s="87"/>
      <c r="H4694" s="86" t="e">
        <f>IF(I4694="fora",0%,G4694/QUÓRUM!$C$6)</f>
        <v>#DIV/0!</v>
      </c>
      <c r="I4694" s="87"/>
      <c r="J4694" s="88"/>
      <c r="K4694" s="88"/>
      <c r="L4694" s="89"/>
      <c r="M4694" s="89"/>
      <c r="Q4694" s="105"/>
    </row>
    <row r="4695" spans="3:17" x14ac:dyDescent="0.3">
      <c r="C4695" s="87"/>
      <c r="H4695" s="86" t="e">
        <f>IF(I4695="fora",0%,G4695/QUÓRUM!$C$6)</f>
        <v>#DIV/0!</v>
      </c>
      <c r="I4695" s="87"/>
      <c r="J4695" s="88"/>
      <c r="K4695" s="88"/>
      <c r="L4695" s="89"/>
      <c r="M4695" s="89"/>
      <c r="Q4695" s="105"/>
    </row>
    <row r="4696" spans="3:17" x14ac:dyDescent="0.3">
      <c r="C4696" s="87"/>
      <c r="H4696" s="86" t="e">
        <f>IF(I4696="fora",0%,G4696/QUÓRUM!$C$6)</f>
        <v>#DIV/0!</v>
      </c>
      <c r="I4696" s="87"/>
      <c r="J4696" s="88"/>
      <c r="K4696" s="88"/>
      <c r="L4696" s="89"/>
      <c r="M4696" s="89"/>
      <c r="Q4696" s="105"/>
    </row>
    <row r="4697" spans="3:17" x14ac:dyDescent="0.3">
      <c r="C4697" s="87"/>
      <c r="H4697" s="86" t="e">
        <f>IF(I4697="fora",0%,G4697/QUÓRUM!$C$6)</f>
        <v>#DIV/0!</v>
      </c>
      <c r="I4697" s="87"/>
      <c r="J4697" s="88"/>
      <c r="K4697" s="88"/>
      <c r="L4697" s="89"/>
      <c r="M4697" s="89"/>
      <c r="Q4697" s="105"/>
    </row>
    <row r="4698" spans="3:17" x14ac:dyDescent="0.3">
      <c r="C4698" s="87"/>
      <c r="H4698" s="86" t="e">
        <f>IF(I4698="fora",0%,G4698/QUÓRUM!$C$6)</f>
        <v>#DIV/0!</v>
      </c>
      <c r="I4698" s="87"/>
      <c r="J4698" s="88"/>
      <c r="K4698" s="88"/>
      <c r="L4698" s="89"/>
      <c r="M4698" s="89"/>
      <c r="Q4698" s="105"/>
    </row>
    <row r="4699" spans="3:17" x14ac:dyDescent="0.3">
      <c r="C4699" s="87"/>
      <c r="H4699" s="86" t="e">
        <f>IF(I4699="fora",0%,G4699/QUÓRUM!$C$6)</f>
        <v>#DIV/0!</v>
      </c>
      <c r="I4699" s="87"/>
      <c r="J4699" s="88"/>
      <c r="K4699" s="88"/>
      <c r="L4699" s="89"/>
      <c r="M4699" s="89"/>
      <c r="Q4699" s="105"/>
    </row>
    <row r="4700" spans="3:17" x14ac:dyDescent="0.3">
      <c r="C4700" s="87"/>
      <c r="H4700" s="86" t="e">
        <f>IF(I4700="fora",0%,G4700/QUÓRUM!$C$6)</f>
        <v>#DIV/0!</v>
      </c>
      <c r="I4700" s="87"/>
      <c r="J4700" s="88"/>
      <c r="K4700" s="88"/>
      <c r="L4700" s="89"/>
      <c r="M4700" s="89"/>
      <c r="Q4700" s="105"/>
    </row>
    <row r="4701" spans="3:17" x14ac:dyDescent="0.3">
      <c r="C4701" s="87"/>
      <c r="H4701" s="86" t="e">
        <f>IF(I4701="fora",0%,G4701/QUÓRUM!$C$6)</f>
        <v>#DIV/0!</v>
      </c>
      <c r="I4701" s="87"/>
      <c r="J4701" s="88"/>
      <c r="K4701" s="88"/>
      <c r="L4701" s="89"/>
      <c r="M4701" s="89"/>
      <c r="Q4701" s="105"/>
    </row>
    <row r="4702" spans="3:17" x14ac:dyDescent="0.3">
      <c r="C4702" s="87"/>
      <c r="H4702" s="86" t="e">
        <f>IF(I4702="fora",0%,G4702/QUÓRUM!$C$6)</f>
        <v>#DIV/0!</v>
      </c>
      <c r="I4702" s="87"/>
      <c r="J4702" s="88"/>
      <c r="K4702" s="88"/>
      <c r="L4702" s="89"/>
      <c r="M4702" s="89"/>
      <c r="Q4702" s="105"/>
    </row>
    <row r="4703" spans="3:17" x14ac:dyDescent="0.3">
      <c r="C4703" s="87"/>
      <c r="H4703" s="86" t="e">
        <f>IF(I4703="fora",0%,G4703/QUÓRUM!$C$6)</f>
        <v>#DIV/0!</v>
      </c>
      <c r="I4703" s="87"/>
      <c r="J4703" s="88"/>
      <c r="K4703" s="88"/>
      <c r="L4703" s="89"/>
      <c r="M4703" s="89"/>
      <c r="Q4703" s="105"/>
    </row>
    <row r="4704" spans="3:17" x14ac:dyDescent="0.3">
      <c r="C4704" s="87"/>
      <c r="H4704" s="86" t="e">
        <f>IF(I4704="fora",0%,G4704/QUÓRUM!$C$6)</f>
        <v>#DIV/0!</v>
      </c>
      <c r="I4704" s="87"/>
      <c r="J4704" s="88"/>
      <c r="K4704" s="88"/>
      <c r="L4704" s="89"/>
      <c r="M4704" s="89"/>
      <c r="Q4704" s="105"/>
    </row>
    <row r="4705" spans="3:17" x14ac:dyDescent="0.3">
      <c r="C4705" s="87"/>
      <c r="H4705" s="86" t="e">
        <f>IF(I4705="fora",0%,G4705/QUÓRUM!$C$6)</f>
        <v>#DIV/0!</v>
      </c>
      <c r="I4705" s="87"/>
      <c r="J4705" s="88"/>
      <c r="K4705" s="88"/>
      <c r="L4705" s="89"/>
      <c r="M4705" s="89"/>
      <c r="Q4705" s="105"/>
    </row>
    <row r="4706" spans="3:17" x14ac:dyDescent="0.3">
      <c r="C4706" s="87"/>
      <c r="H4706" s="86" t="e">
        <f>IF(I4706="fora",0%,G4706/QUÓRUM!$C$6)</f>
        <v>#DIV/0!</v>
      </c>
      <c r="I4706" s="87"/>
      <c r="J4706" s="88"/>
      <c r="K4706" s="88"/>
      <c r="L4706" s="89"/>
      <c r="M4706" s="89"/>
      <c r="Q4706" s="105"/>
    </row>
    <row r="4707" spans="3:17" x14ac:dyDescent="0.3">
      <c r="C4707" s="87"/>
      <c r="H4707" s="86" t="e">
        <f>IF(I4707="fora",0%,G4707/QUÓRUM!$C$6)</f>
        <v>#DIV/0!</v>
      </c>
      <c r="I4707" s="87"/>
      <c r="J4707" s="88"/>
      <c r="K4707" s="88"/>
      <c r="L4707" s="89"/>
      <c r="M4707" s="89"/>
      <c r="Q4707" s="105"/>
    </row>
    <row r="4708" spans="3:17" x14ac:dyDescent="0.3">
      <c r="C4708" s="87"/>
      <c r="H4708" s="86" t="e">
        <f>IF(I4708="fora",0%,G4708/QUÓRUM!$C$6)</f>
        <v>#DIV/0!</v>
      </c>
      <c r="I4708" s="87"/>
      <c r="J4708" s="88"/>
      <c r="K4708" s="88"/>
      <c r="L4708" s="89"/>
      <c r="M4708" s="89"/>
      <c r="Q4708" s="105"/>
    </row>
    <row r="4709" spans="3:17" x14ac:dyDescent="0.3">
      <c r="C4709" s="87"/>
      <c r="H4709" s="86" t="e">
        <f>IF(I4709="fora",0%,G4709/QUÓRUM!$C$6)</f>
        <v>#DIV/0!</v>
      </c>
      <c r="I4709" s="87"/>
      <c r="J4709" s="88"/>
      <c r="K4709" s="88"/>
      <c r="L4709" s="89"/>
      <c r="M4709" s="89"/>
      <c r="Q4709" s="105"/>
    </row>
    <row r="4710" spans="3:17" x14ac:dyDescent="0.3">
      <c r="C4710" s="87"/>
      <c r="H4710" s="86" t="e">
        <f>IF(I4710="fora",0%,G4710/QUÓRUM!$C$6)</f>
        <v>#DIV/0!</v>
      </c>
      <c r="I4710" s="87"/>
      <c r="J4710" s="88"/>
      <c r="K4710" s="88"/>
      <c r="L4710" s="89"/>
      <c r="M4710" s="89"/>
      <c r="Q4710" s="105"/>
    </row>
    <row r="4711" spans="3:17" x14ac:dyDescent="0.3">
      <c r="C4711" s="87"/>
      <c r="H4711" s="86" t="e">
        <f>IF(I4711="fora",0%,G4711/QUÓRUM!$C$6)</f>
        <v>#DIV/0!</v>
      </c>
      <c r="I4711" s="87"/>
      <c r="J4711" s="88"/>
      <c r="K4711" s="88"/>
      <c r="L4711" s="89"/>
      <c r="M4711" s="89"/>
      <c r="Q4711" s="105"/>
    </row>
    <row r="4712" spans="3:17" x14ac:dyDescent="0.3">
      <c r="C4712" s="87"/>
      <c r="H4712" s="86" t="e">
        <f>IF(I4712="fora",0%,G4712/QUÓRUM!$C$6)</f>
        <v>#DIV/0!</v>
      </c>
      <c r="I4712" s="87"/>
      <c r="J4712" s="88"/>
      <c r="K4712" s="88"/>
      <c r="L4712" s="89"/>
      <c r="M4712" s="89"/>
      <c r="Q4712" s="105"/>
    </row>
    <row r="4713" spans="3:17" x14ac:dyDescent="0.3">
      <c r="C4713" s="87"/>
      <c r="H4713" s="86" t="e">
        <f>IF(I4713="fora",0%,G4713/QUÓRUM!$C$6)</f>
        <v>#DIV/0!</v>
      </c>
      <c r="I4713" s="87"/>
      <c r="J4713" s="88"/>
      <c r="K4713" s="88"/>
      <c r="L4713" s="89"/>
      <c r="M4713" s="89"/>
      <c r="Q4713" s="105"/>
    </row>
    <row r="4714" spans="3:17" x14ac:dyDescent="0.3">
      <c r="C4714" s="87"/>
      <c r="H4714" s="86" t="e">
        <f>IF(I4714="fora",0%,G4714/QUÓRUM!$C$6)</f>
        <v>#DIV/0!</v>
      </c>
      <c r="I4714" s="87"/>
      <c r="J4714" s="88"/>
      <c r="K4714" s="88"/>
      <c r="L4714" s="89"/>
      <c r="M4714" s="89"/>
      <c r="Q4714" s="105"/>
    </row>
    <row r="4715" spans="3:17" x14ac:dyDescent="0.3">
      <c r="C4715" s="87"/>
      <c r="H4715" s="86" t="e">
        <f>IF(I4715="fora",0%,G4715/QUÓRUM!$C$6)</f>
        <v>#DIV/0!</v>
      </c>
      <c r="I4715" s="87"/>
      <c r="J4715" s="88"/>
      <c r="K4715" s="88"/>
      <c r="L4715" s="89"/>
      <c r="M4715" s="89"/>
      <c r="Q4715" s="105"/>
    </row>
    <row r="4716" spans="3:17" x14ac:dyDescent="0.3">
      <c r="C4716" s="87"/>
      <c r="H4716" s="86" t="e">
        <f>IF(I4716="fora",0%,G4716/QUÓRUM!$C$6)</f>
        <v>#DIV/0!</v>
      </c>
      <c r="I4716" s="87"/>
      <c r="J4716" s="88"/>
      <c r="K4716" s="88"/>
      <c r="L4716" s="89"/>
      <c r="M4716" s="89"/>
      <c r="Q4716" s="105"/>
    </row>
    <row r="4717" spans="3:17" x14ac:dyDescent="0.3">
      <c r="C4717" s="87"/>
      <c r="H4717" s="86" t="e">
        <f>IF(I4717="fora",0%,G4717/QUÓRUM!$C$6)</f>
        <v>#DIV/0!</v>
      </c>
      <c r="I4717" s="87"/>
      <c r="J4717" s="88"/>
      <c r="K4717" s="88"/>
      <c r="L4717" s="89"/>
      <c r="M4717" s="89"/>
      <c r="Q4717" s="105"/>
    </row>
    <row r="4718" spans="3:17" x14ac:dyDescent="0.3">
      <c r="C4718" s="87"/>
      <c r="H4718" s="86" t="e">
        <f>IF(I4718="fora",0%,G4718/QUÓRUM!$C$6)</f>
        <v>#DIV/0!</v>
      </c>
      <c r="I4718" s="87"/>
      <c r="J4718" s="88"/>
      <c r="K4718" s="88"/>
      <c r="L4718" s="89"/>
      <c r="M4718" s="89"/>
      <c r="Q4718" s="105"/>
    </row>
    <row r="4719" spans="3:17" x14ac:dyDescent="0.3">
      <c r="C4719" s="87"/>
      <c r="H4719" s="86" t="e">
        <f>IF(I4719="fora",0%,G4719/QUÓRUM!$C$6)</f>
        <v>#DIV/0!</v>
      </c>
      <c r="I4719" s="87"/>
      <c r="J4719" s="88"/>
      <c r="K4719" s="88"/>
      <c r="L4719" s="89"/>
      <c r="M4719" s="89"/>
      <c r="Q4719" s="105"/>
    </row>
    <row r="4720" spans="3:17" x14ac:dyDescent="0.3">
      <c r="C4720" s="87"/>
      <c r="H4720" s="86" t="e">
        <f>IF(I4720="fora",0%,G4720/QUÓRUM!$C$6)</f>
        <v>#DIV/0!</v>
      </c>
      <c r="I4720" s="87"/>
      <c r="J4720" s="88"/>
      <c r="K4720" s="88"/>
      <c r="L4720" s="89"/>
      <c r="M4720" s="89"/>
      <c r="Q4720" s="105"/>
    </row>
    <row r="4721" spans="3:17" x14ac:dyDescent="0.3">
      <c r="C4721" s="87"/>
      <c r="H4721" s="86" t="e">
        <f>IF(I4721="fora",0%,G4721/QUÓRUM!$C$6)</f>
        <v>#DIV/0!</v>
      </c>
      <c r="I4721" s="87"/>
      <c r="J4721" s="88"/>
      <c r="K4721" s="88"/>
      <c r="L4721" s="89"/>
      <c r="M4721" s="89"/>
      <c r="Q4721" s="105"/>
    </row>
    <row r="4722" spans="3:17" x14ac:dyDescent="0.3">
      <c r="C4722" s="87"/>
      <c r="H4722" s="86" t="e">
        <f>IF(I4722="fora",0%,G4722/QUÓRUM!$C$6)</f>
        <v>#DIV/0!</v>
      </c>
      <c r="I4722" s="87"/>
      <c r="J4722" s="88"/>
      <c r="K4722" s="88"/>
      <c r="L4722" s="89"/>
      <c r="M4722" s="89"/>
      <c r="Q4722" s="105"/>
    </row>
    <row r="4723" spans="3:17" x14ac:dyDescent="0.3">
      <c r="C4723" s="87"/>
      <c r="H4723" s="86" t="e">
        <f>IF(I4723="fora",0%,G4723/QUÓRUM!$C$6)</f>
        <v>#DIV/0!</v>
      </c>
      <c r="I4723" s="87"/>
      <c r="J4723" s="88"/>
      <c r="K4723" s="88"/>
      <c r="L4723" s="89"/>
      <c r="M4723" s="89"/>
      <c r="Q4723" s="105"/>
    </row>
    <row r="4724" spans="3:17" x14ac:dyDescent="0.3">
      <c r="C4724" s="87"/>
      <c r="H4724" s="86" t="e">
        <f>IF(I4724="fora",0%,G4724/QUÓRUM!$C$6)</f>
        <v>#DIV/0!</v>
      </c>
      <c r="I4724" s="87"/>
      <c r="J4724" s="88"/>
      <c r="K4724" s="88"/>
      <c r="L4724" s="89"/>
      <c r="M4724" s="89"/>
      <c r="Q4724" s="105"/>
    </row>
    <row r="4725" spans="3:17" x14ac:dyDescent="0.3">
      <c r="C4725" s="87"/>
      <c r="H4725" s="86" t="e">
        <f>IF(I4725="fora",0%,G4725/QUÓRUM!$C$6)</f>
        <v>#DIV/0!</v>
      </c>
      <c r="I4725" s="87"/>
      <c r="J4725" s="88"/>
      <c r="K4725" s="88"/>
      <c r="L4725" s="89"/>
      <c r="M4725" s="89"/>
      <c r="Q4725" s="105"/>
    </row>
    <row r="4726" spans="3:17" x14ac:dyDescent="0.3">
      <c r="C4726" s="87"/>
      <c r="H4726" s="86" t="e">
        <f>IF(I4726="fora",0%,G4726/QUÓRUM!$C$6)</f>
        <v>#DIV/0!</v>
      </c>
      <c r="I4726" s="87"/>
      <c r="J4726" s="88"/>
      <c r="K4726" s="88"/>
      <c r="L4726" s="89"/>
      <c r="M4726" s="89"/>
      <c r="Q4726" s="105"/>
    </row>
    <row r="4727" spans="3:17" x14ac:dyDescent="0.3">
      <c r="C4727" s="87"/>
      <c r="H4727" s="86" t="e">
        <f>IF(I4727="fora",0%,G4727/QUÓRUM!$C$6)</f>
        <v>#DIV/0!</v>
      </c>
      <c r="I4727" s="87"/>
      <c r="J4727" s="88"/>
      <c r="K4727" s="88"/>
      <c r="L4727" s="89"/>
      <c r="M4727" s="89"/>
      <c r="Q4727" s="105"/>
    </row>
    <row r="4728" spans="3:17" x14ac:dyDescent="0.3">
      <c r="C4728" s="87"/>
      <c r="H4728" s="86" t="e">
        <f>IF(I4728="fora",0%,G4728/QUÓRUM!$C$6)</f>
        <v>#DIV/0!</v>
      </c>
      <c r="I4728" s="87"/>
      <c r="J4728" s="88"/>
      <c r="K4728" s="88"/>
      <c r="L4728" s="89"/>
      <c r="M4728" s="89"/>
      <c r="Q4728" s="105"/>
    </row>
    <row r="4729" spans="3:17" x14ac:dyDescent="0.3">
      <c r="C4729" s="87"/>
      <c r="H4729" s="86" t="e">
        <f>IF(I4729="fora",0%,G4729/QUÓRUM!$C$6)</f>
        <v>#DIV/0!</v>
      </c>
      <c r="I4729" s="87"/>
      <c r="J4729" s="88"/>
      <c r="K4729" s="88"/>
      <c r="L4729" s="89"/>
      <c r="M4729" s="89"/>
      <c r="Q4729" s="105"/>
    </row>
    <row r="4730" spans="3:17" x14ac:dyDescent="0.3">
      <c r="C4730" s="87"/>
      <c r="H4730" s="86" t="e">
        <f>IF(I4730="fora",0%,G4730/QUÓRUM!$C$6)</f>
        <v>#DIV/0!</v>
      </c>
      <c r="I4730" s="87"/>
      <c r="J4730" s="88"/>
      <c r="K4730" s="88"/>
      <c r="L4730" s="89"/>
      <c r="M4730" s="89"/>
      <c r="Q4730" s="105"/>
    </row>
    <row r="4731" spans="3:17" x14ac:dyDescent="0.3">
      <c r="C4731" s="87"/>
      <c r="H4731" s="86" t="e">
        <f>IF(I4731="fora",0%,G4731/QUÓRUM!$C$6)</f>
        <v>#DIV/0!</v>
      </c>
      <c r="I4731" s="87"/>
      <c r="J4731" s="88"/>
      <c r="K4731" s="88"/>
      <c r="L4731" s="89"/>
      <c r="M4731" s="89"/>
      <c r="Q4731" s="105"/>
    </row>
    <row r="4732" spans="3:17" x14ac:dyDescent="0.3">
      <c r="C4732" s="87"/>
      <c r="H4732" s="86" t="e">
        <f>IF(I4732="fora",0%,G4732/QUÓRUM!$C$6)</f>
        <v>#DIV/0!</v>
      </c>
      <c r="I4732" s="87"/>
      <c r="J4732" s="88"/>
      <c r="K4732" s="88"/>
      <c r="L4732" s="89"/>
      <c r="M4732" s="89"/>
      <c r="Q4732" s="105"/>
    </row>
    <row r="4733" spans="3:17" x14ac:dyDescent="0.3">
      <c r="C4733" s="87"/>
      <c r="H4733" s="86" t="e">
        <f>IF(I4733="fora",0%,G4733/QUÓRUM!$C$6)</f>
        <v>#DIV/0!</v>
      </c>
      <c r="I4733" s="87"/>
      <c r="J4733" s="88"/>
      <c r="K4733" s="88"/>
      <c r="L4733" s="89"/>
      <c r="M4733" s="89"/>
      <c r="Q4733" s="105"/>
    </row>
    <row r="4734" spans="3:17" x14ac:dyDescent="0.3">
      <c r="C4734" s="87"/>
      <c r="H4734" s="86" t="e">
        <f>IF(I4734="fora",0%,G4734/QUÓRUM!$C$6)</f>
        <v>#DIV/0!</v>
      </c>
      <c r="I4734" s="87"/>
      <c r="J4734" s="88"/>
      <c r="K4734" s="88"/>
      <c r="L4734" s="89"/>
      <c r="M4734" s="89"/>
      <c r="Q4734" s="105"/>
    </row>
    <row r="4735" spans="3:17" x14ac:dyDescent="0.3">
      <c r="C4735" s="87"/>
      <c r="H4735" s="86" t="e">
        <f>IF(I4735="fora",0%,G4735/QUÓRUM!$C$6)</f>
        <v>#DIV/0!</v>
      </c>
      <c r="I4735" s="87"/>
      <c r="J4735" s="88"/>
      <c r="K4735" s="88"/>
      <c r="L4735" s="89"/>
      <c r="M4735" s="89"/>
      <c r="Q4735" s="105"/>
    </row>
    <row r="4736" spans="3:17" x14ac:dyDescent="0.3">
      <c r="C4736" s="87"/>
      <c r="H4736" s="86" t="e">
        <f>IF(I4736="fora",0%,G4736/QUÓRUM!$C$6)</f>
        <v>#DIV/0!</v>
      </c>
      <c r="I4736" s="87"/>
      <c r="J4736" s="88"/>
      <c r="K4736" s="88"/>
      <c r="L4736" s="89"/>
      <c r="M4736" s="89"/>
      <c r="Q4736" s="105"/>
    </row>
    <row r="4737" spans="3:17" x14ac:dyDescent="0.3">
      <c r="C4737" s="87"/>
      <c r="H4737" s="86" t="e">
        <f>IF(I4737="fora",0%,G4737/QUÓRUM!$C$6)</f>
        <v>#DIV/0!</v>
      </c>
      <c r="I4737" s="87"/>
      <c r="J4737" s="88"/>
      <c r="K4737" s="88"/>
      <c r="L4737" s="89"/>
      <c r="M4737" s="89"/>
      <c r="Q4737" s="105"/>
    </row>
    <row r="4738" spans="3:17" x14ac:dyDescent="0.3">
      <c r="C4738" s="87"/>
      <c r="H4738" s="86" t="e">
        <f>IF(I4738="fora",0%,G4738/QUÓRUM!$C$6)</f>
        <v>#DIV/0!</v>
      </c>
      <c r="I4738" s="87"/>
      <c r="J4738" s="88"/>
      <c r="K4738" s="88"/>
      <c r="L4738" s="89"/>
      <c r="M4738" s="89"/>
      <c r="Q4738" s="105"/>
    </row>
    <row r="4739" spans="3:17" x14ac:dyDescent="0.3">
      <c r="C4739" s="87"/>
      <c r="H4739" s="86" t="e">
        <f>IF(I4739="fora",0%,G4739/QUÓRUM!$C$6)</f>
        <v>#DIV/0!</v>
      </c>
      <c r="I4739" s="87"/>
      <c r="J4739" s="88"/>
      <c r="K4739" s="88"/>
      <c r="L4739" s="89"/>
      <c r="M4739" s="89"/>
      <c r="Q4739" s="105"/>
    </row>
    <row r="4740" spans="3:17" x14ac:dyDescent="0.3">
      <c r="C4740" s="87"/>
      <c r="H4740" s="86" t="e">
        <f>IF(I4740="fora",0%,G4740/QUÓRUM!$C$6)</f>
        <v>#DIV/0!</v>
      </c>
      <c r="I4740" s="87"/>
      <c r="J4740" s="88"/>
      <c r="K4740" s="88"/>
      <c r="L4740" s="89"/>
      <c r="M4740" s="89"/>
      <c r="Q4740" s="105"/>
    </row>
    <row r="4741" spans="3:17" x14ac:dyDescent="0.3">
      <c r="C4741" s="87"/>
      <c r="H4741" s="86" t="e">
        <f>IF(I4741="fora",0%,G4741/QUÓRUM!$C$6)</f>
        <v>#DIV/0!</v>
      </c>
      <c r="I4741" s="87"/>
      <c r="J4741" s="88"/>
      <c r="K4741" s="88"/>
      <c r="L4741" s="89"/>
      <c r="M4741" s="89"/>
      <c r="Q4741" s="105"/>
    </row>
    <row r="4742" spans="3:17" x14ac:dyDescent="0.3">
      <c r="C4742" s="87"/>
      <c r="H4742" s="86" t="e">
        <f>IF(I4742="fora",0%,G4742/QUÓRUM!$C$6)</f>
        <v>#DIV/0!</v>
      </c>
      <c r="I4742" s="87"/>
      <c r="J4742" s="88"/>
      <c r="K4742" s="88"/>
      <c r="L4742" s="89"/>
      <c r="M4742" s="89"/>
      <c r="Q4742" s="105"/>
    </row>
    <row r="4743" spans="3:17" x14ac:dyDescent="0.3">
      <c r="C4743" s="87"/>
      <c r="H4743" s="86" t="e">
        <f>IF(I4743="fora",0%,G4743/QUÓRUM!$C$6)</f>
        <v>#DIV/0!</v>
      </c>
      <c r="I4743" s="87"/>
      <c r="J4743" s="88"/>
      <c r="K4743" s="88"/>
      <c r="L4743" s="89"/>
      <c r="M4743" s="89"/>
      <c r="Q4743" s="105"/>
    </row>
    <row r="4744" spans="3:17" x14ac:dyDescent="0.3">
      <c r="C4744" s="87"/>
      <c r="H4744" s="86" t="e">
        <f>IF(I4744="fora",0%,G4744/QUÓRUM!$C$6)</f>
        <v>#DIV/0!</v>
      </c>
      <c r="I4744" s="87"/>
      <c r="J4744" s="88"/>
      <c r="K4744" s="88"/>
      <c r="L4744" s="89"/>
      <c r="M4744" s="89"/>
      <c r="Q4744" s="105"/>
    </row>
    <row r="4745" spans="3:17" x14ac:dyDescent="0.3">
      <c r="C4745" s="87"/>
      <c r="H4745" s="86" t="e">
        <f>IF(I4745="fora",0%,G4745/QUÓRUM!$C$6)</f>
        <v>#DIV/0!</v>
      </c>
      <c r="I4745" s="87"/>
      <c r="J4745" s="88"/>
      <c r="K4745" s="88"/>
      <c r="L4745" s="89"/>
      <c r="M4745" s="89"/>
      <c r="Q4745" s="105"/>
    </row>
    <row r="4746" spans="3:17" x14ac:dyDescent="0.3">
      <c r="C4746" s="87"/>
      <c r="H4746" s="86" t="e">
        <f>IF(I4746="fora",0%,G4746/QUÓRUM!$C$6)</f>
        <v>#DIV/0!</v>
      </c>
      <c r="I4746" s="87"/>
      <c r="J4746" s="88"/>
      <c r="K4746" s="88"/>
      <c r="L4746" s="89"/>
      <c r="M4746" s="89"/>
      <c r="Q4746" s="105"/>
    </row>
    <row r="4747" spans="3:17" x14ac:dyDescent="0.3">
      <c r="C4747" s="87"/>
      <c r="H4747" s="86" t="e">
        <f>IF(I4747="fora",0%,G4747/QUÓRUM!$C$6)</f>
        <v>#DIV/0!</v>
      </c>
      <c r="I4747" s="87"/>
      <c r="J4747" s="88"/>
      <c r="K4747" s="88"/>
      <c r="L4747" s="89"/>
      <c r="M4747" s="89"/>
      <c r="Q4747" s="105"/>
    </row>
    <row r="4748" spans="3:17" x14ac:dyDescent="0.3">
      <c r="C4748" s="87"/>
      <c r="H4748" s="86" t="e">
        <f>IF(I4748="fora",0%,G4748/QUÓRUM!$C$6)</f>
        <v>#DIV/0!</v>
      </c>
      <c r="I4748" s="87"/>
      <c r="J4748" s="88"/>
      <c r="K4748" s="88"/>
      <c r="L4748" s="89"/>
      <c r="M4748" s="89"/>
      <c r="Q4748" s="105"/>
    </row>
    <row r="4749" spans="3:17" x14ac:dyDescent="0.3">
      <c r="C4749" s="87"/>
      <c r="H4749" s="86" t="e">
        <f>IF(I4749="fora",0%,G4749/QUÓRUM!$C$6)</f>
        <v>#DIV/0!</v>
      </c>
      <c r="I4749" s="87"/>
      <c r="J4749" s="88"/>
      <c r="K4749" s="88"/>
      <c r="L4749" s="89"/>
      <c r="M4749" s="89"/>
      <c r="Q4749" s="105"/>
    </row>
    <row r="4750" spans="3:17" x14ac:dyDescent="0.3">
      <c r="C4750" s="87"/>
      <c r="H4750" s="86" t="e">
        <f>IF(I4750="fora",0%,G4750/QUÓRUM!$C$6)</f>
        <v>#DIV/0!</v>
      </c>
      <c r="I4750" s="87"/>
      <c r="J4750" s="88"/>
      <c r="K4750" s="88"/>
      <c r="L4750" s="89"/>
      <c r="M4750" s="89"/>
      <c r="Q4750" s="105"/>
    </row>
    <row r="4751" spans="3:17" x14ac:dyDescent="0.3">
      <c r="C4751" s="87"/>
      <c r="H4751" s="86" t="e">
        <f>IF(I4751="fora",0%,G4751/QUÓRUM!$C$6)</f>
        <v>#DIV/0!</v>
      </c>
      <c r="I4751" s="87"/>
      <c r="J4751" s="88"/>
      <c r="K4751" s="88"/>
      <c r="L4751" s="89"/>
      <c r="M4751" s="89"/>
      <c r="Q4751" s="105"/>
    </row>
    <row r="4752" spans="3:17" x14ac:dyDescent="0.3">
      <c r="C4752" s="87"/>
      <c r="H4752" s="86" t="e">
        <f>IF(I4752="fora",0%,G4752/QUÓRUM!$C$6)</f>
        <v>#DIV/0!</v>
      </c>
      <c r="I4752" s="87"/>
      <c r="J4752" s="88"/>
      <c r="K4752" s="88"/>
      <c r="L4752" s="89"/>
      <c r="M4752" s="89"/>
      <c r="Q4752" s="105"/>
    </row>
    <row r="4753" spans="3:17" x14ac:dyDescent="0.3">
      <c r="C4753" s="87"/>
      <c r="H4753" s="86" t="e">
        <f>IF(I4753="fora",0%,G4753/QUÓRUM!$C$6)</f>
        <v>#DIV/0!</v>
      </c>
      <c r="I4753" s="87"/>
      <c r="J4753" s="88"/>
      <c r="K4753" s="88"/>
      <c r="L4753" s="89"/>
      <c r="M4753" s="89"/>
      <c r="Q4753" s="105"/>
    </row>
    <row r="4754" spans="3:17" x14ac:dyDescent="0.3">
      <c r="C4754" s="87"/>
      <c r="H4754" s="86" t="e">
        <f>IF(I4754="fora",0%,G4754/QUÓRUM!$C$6)</f>
        <v>#DIV/0!</v>
      </c>
      <c r="I4754" s="87"/>
      <c r="J4754" s="88"/>
      <c r="K4754" s="88"/>
      <c r="L4754" s="89"/>
      <c r="M4754" s="89"/>
      <c r="Q4754" s="105"/>
    </row>
    <row r="4755" spans="3:17" x14ac:dyDescent="0.3">
      <c r="C4755" s="87"/>
      <c r="H4755" s="86" t="e">
        <f>IF(I4755="fora",0%,G4755/QUÓRUM!$C$6)</f>
        <v>#DIV/0!</v>
      </c>
      <c r="I4755" s="87"/>
      <c r="J4755" s="88"/>
      <c r="K4755" s="88"/>
      <c r="L4755" s="89"/>
      <c r="M4755" s="89"/>
      <c r="Q4755" s="105"/>
    </row>
    <row r="4756" spans="3:17" x14ac:dyDescent="0.3">
      <c r="C4756" s="87"/>
      <c r="H4756" s="86" t="e">
        <f>IF(I4756="fora",0%,G4756/QUÓRUM!$C$6)</f>
        <v>#DIV/0!</v>
      </c>
      <c r="I4756" s="87"/>
      <c r="J4756" s="88"/>
      <c r="K4756" s="88"/>
      <c r="L4756" s="89"/>
      <c r="M4756" s="89"/>
      <c r="Q4756" s="105"/>
    </row>
    <row r="4757" spans="3:17" x14ac:dyDescent="0.3">
      <c r="C4757" s="87"/>
      <c r="H4757" s="86" t="e">
        <f>IF(I4757="fora",0%,G4757/QUÓRUM!$C$6)</f>
        <v>#DIV/0!</v>
      </c>
      <c r="I4757" s="87"/>
      <c r="J4757" s="88"/>
      <c r="K4757" s="88"/>
      <c r="L4757" s="89"/>
      <c r="M4757" s="89"/>
      <c r="Q4757" s="105"/>
    </row>
    <row r="4758" spans="3:17" x14ac:dyDescent="0.3">
      <c r="C4758" s="87"/>
      <c r="G4758" s="115"/>
      <c r="H4758" s="86" t="e">
        <f>IF(I4758="fora",0%,G4758/QUÓRUM!$C$6)</f>
        <v>#DIV/0!</v>
      </c>
      <c r="I4758" s="87"/>
      <c r="J4758" s="88"/>
      <c r="K4758" s="88"/>
      <c r="L4758" s="89"/>
      <c r="M4758" s="89"/>
      <c r="Q4758" s="105"/>
    </row>
    <row r="4759" spans="3:17" x14ac:dyDescent="0.3">
      <c r="C4759" s="87"/>
      <c r="H4759" s="86" t="e">
        <f>IF(I4759="fora",0%,G4759/QUÓRUM!$C$6)</f>
        <v>#DIV/0!</v>
      </c>
      <c r="I4759" s="87"/>
      <c r="J4759" s="88"/>
      <c r="K4759" s="88"/>
      <c r="L4759" s="89"/>
      <c r="M4759" s="89"/>
      <c r="Q4759" s="105"/>
    </row>
    <row r="4760" spans="3:17" x14ac:dyDescent="0.3">
      <c r="C4760" s="87"/>
      <c r="H4760" s="86" t="e">
        <f>IF(I4760="fora",0%,G4760/QUÓRUM!$C$6)</f>
        <v>#DIV/0!</v>
      </c>
      <c r="I4760" s="87"/>
      <c r="J4760" s="88"/>
      <c r="K4760" s="88"/>
      <c r="L4760" s="89"/>
      <c r="M4760" s="89"/>
      <c r="Q4760" s="105"/>
    </row>
    <row r="4761" spans="3:17" x14ac:dyDescent="0.3">
      <c r="C4761" s="87"/>
      <c r="H4761" s="86" t="e">
        <f>IF(I4761="fora",0%,G4761/QUÓRUM!$C$6)</f>
        <v>#DIV/0!</v>
      </c>
      <c r="I4761" s="87"/>
      <c r="J4761" s="88"/>
      <c r="K4761" s="88"/>
      <c r="L4761" s="89"/>
      <c r="M4761" s="89"/>
      <c r="Q4761" s="105"/>
    </row>
    <row r="4762" spans="3:17" x14ac:dyDescent="0.3">
      <c r="C4762" s="87"/>
      <c r="H4762" s="86" t="e">
        <f>IF(I4762="fora",0%,G4762/QUÓRUM!$C$6)</f>
        <v>#DIV/0!</v>
      </c>
      <c r="I4762" s="87"/>
      <c r="J4762" s="88"/>
      <c r="K4762" s="88"/>
      <c r="L4762" s="89"/>
      <c r="M4762" s="89"/>
      <c r="Q4762" s="105"/>
    </row>
    <row r="4763" spans="3:17" x14ac:dyDescent="0.3">
      <c r="C4763" s="87"/>
      <c r="H4763" s="86" t="e">
        <f>IF(I4763="fora",0%,G4763/QUÓRUM!$C$6)</f>
        <v>#DIV/0!</v>
      </c>
      <c r="I4763" s="87"/>
      <c r="J4763" s="88"/>
      <c r="K4763" s="88"/>
      <c r="L4763" s="89"/>
      <c r="M4763" s="89"/>
      <c r="Q4763" s="105"/>
    </row>
    <row r="4764" spans="3:17" x14ac:dyDescent="0.3">
      <c r="C4764" s="87"/>
      <c r="H4764" s="86" t="e">
        <f>IF(I4764="fora",0%,G4764/QUÓRUM!$C$6)</f>
        <v>#DIV/0!</v>
      </c>
      <c r="I4764" s="87"/>
      <c r="J4764" s="88"/>
      <c r="K4764" s="88"/>
      <c r="L4764" s="89"/>
      <c r="M4764" s="89"/>
      <c r="Q4764" s="105"/>
    </row>
    <row r="4765" spans="3:17" x14ac:dyDescent="0.3">
      <c r="C4765" s="87"/>
      <c r="H4765" s="86" t="e">
        <f>IF(I4765="fora",0%,G4765/QUÓRUM!$C$6)</f>
        <v>#DIV/0!</v>
      </c>
      <c r="I4765" s="87"/>
      <c r="J4765" s="88"/>
      <c r="K4765" s="88"/>
      <c r="L4765" s="89"/>
      <c r="M4765" s="89"/>
      <c r="Q4765" s="105"/>
    </row>
    <row r="4766" spans="3:17" x14ac:dyDescent="0.3">
      <c r="C4766" s="87"/>
      <c r="H4766" s="86" t="e">
        <f>IF(I4766="fora",0%,G4766/QUÓRUM!$C$6)</f>
        <v>#DIV/0!</v>
      </c>
      <c r="I4766" s="87"/>
      <c r="J4766" s="88"/>
      <c r="K4766" s="88"/>
      <c r="L4766" s="89"/>
      <c r="M4766" s="89"/>
      <c r="Q4766" s="105"/>
    </row>
    <row r="4767" spans="3:17" x14ac:dyDescent="0.3">
      <c r="C4767" s="87"/>
      <c r="H4767" s="86" t="e">
        <f>IF(I4767="fora",0%,G4767/QUÓRUM!$C$6)</f>
        <v>#DIV/0!</v>
      </c>
      <c r="I4767" s="87"/>
      <c r="J4767" s="88"/>
      <c r="K4767" s="88"/>
      <c r="L4767" s="89"/>
      <c r="M4767" s="89"/>
      <c r="Q4767" s="105"/>
    </row>
    <row r="4768" spans="3:17" x14ac:dyDescent="0.3">
      <c r="C4768" s="87"/>
      <c r="H4768" s="86" t="e">
        <f>IF(I4768="fora",0%,G4768/QUÓRUM!$C$6)</f>
        <v>#DIV/0!</v>
      </c>
      <c r="I4768" s="87"/>
      <c r="J4768" s="88"/>
      <c r="K4768" s="88"/>
      <c r="L4768" s="89"/>
      <c r="M4768" s="89"/>
      <c r="Q4768" s="105"/>
    </row>
    <row r="4769" spans="3:17" x14ac:dyDescent="0.3">
      <c r="C4769" s="87"/>
      <c r="H4769" s="86" t="e">
        <f>IF(I4769="fora",0%,G4769/QUÓRUM!$C$6)</f>
        <v>#DIV/0!</v>
      </c>
      <c r="I4769" s="87"/>
      <c r="J4769" s="88"/>
      <c r="K4769" s="88"/>
      <c r="L4769" s="89"/>
      <c r="M4769" s="89"/>
      <c r="Q4769" s="105"/>
    </row>
    <row r="4770" spans="3:17" x14ac:dyDescent="0.3">
      <c r="C4770" s="87"/>
      <c r="H4770" s="86" t="e">
        <f>IF(I4770="fora",0%,G4770/QUÓRUM!$C$6)</f>
        <v>#DIV/0!</v>
      </c>
      <c r="I4770" s="87"/>
      <c r="J4770" s="88"/>
      <c r="K4770" s="88"/>
      <c r="L4770" s="89"/>
      <c r="M4770" s="89"/>
      <c r="Q4770" s="105"/>
    </row>
    <row r="4771" spans="3:17" x14ac:dyDescent="0.3">
      <c r="C4771" s="87"/>
      <c r="H4771" s="86" t="e">
        <f>IF(I4771="fora",0%,G4771/QUÓRUM!$C$6)</f>
        <v>#DIV/0!</v>
      </c>
      <c r="I4771" s="87"/>
      <c r="J4771" s="88"/>
      <c r="K4771" s="88"/>
      <c r="L4771" s="89"/>
      <c r="M4771" s="89"/>
      <c r="Q4771" s="105"/>
    </row>
    <row r="4772" spans="3:17" x14ac:dyDescent="0.3">
      <c r="C4772" s="87"/>
      <c r="H4772" s="86" t="e">
        <f>IF(I4772="fora",0%,G4772/QUÓRUM!$C$6)</f>
        <v>#DIV/0!</v>
      </c>
      <c r="I4772" s="87"/>
      <c r="J4772" s="88"/>
      <c r="K4772" s="88"/>
      <c r="L4772" s="89"/>
      <c r="M4772" s="89"/>
      <c r="Q4772" s="105"/>
    </row>
    <row r="4773" spans="3:17" x14ac:dyDescent="0.3">
      <c r="C4773" s="87"/>
      <c r="H4773" s="86" t="e">
        <f>IF(I4773="fora",0%,G4773/QUÓRUM!$C$6)</f>
        <v>#DIV/0!</v>
      </c>
      <c r="I4773" s="87"/>
      <c r="J4773" s="88"/>
      <c r="K4773" s="88"/>
      <c r="L4773" s="89"/>
      <c r="M4773" s="89"/>
      <c r="Q4773" s="105"/>
    </row>
    <row r="4774" spans="3:17" x14ac:dyDescent="0.3">
      <c r="C4774" s="87"/>
      <c r="H4774" s="86" t="e">
        <f>IF(I4774="fora",0%,G4774/QUÓRUM!$C$6)</f>
        <v>#DIV/0!</v>
      </c>
      <c r="I4774" s="87"/>
      <c r="J4774" s="88"/>
      <c r="K4774" s="88"/>
      <c r="L4774" s="89"/>
      <c r="M4774" s="89"/>
      <c r="Q4774" s="105"/>
    </row>
    <row r="4775" spans="3:17" x14ac:dyDescent="0.3">
      <c r="C4775" s="87"/>
      <c r="H4775" s="86" t="e">
        <f>IF(I4775="fora",0%,G4775/QUÓRUM!$C$6)</f>
        <v>#DIV/0!</v>
      </c>
      <c r="I4775" s="87"/>
      <c r="J4775" s="88"/>
      <c r="K4775" s="88"/>
      <c r="L4775" s="89"/>
      <c r="M4775" s="89"/>
      <c r="Q4775" s="105"/>
    </row>
    <row r="4776" spans="3:17" x14ac:dyDescent="0.3">
      <c r="C4776" s="87"/>
      <c r="H4776" s="86" t="e">
        <f>IF(I4776="fora",0%,G4776/QUÓRUM!$C$6)</f>
        <v>#DIV/0!</v>
      </c>
      <c r="I4776" s="87"/>
      <c r="J4776" s="88"/>
      <c r="K4776" s="88"/>
      <c r="L4776" s="89"/>
      <c r="M4776" s="89"/>
      <c r="Q4776" s="105"/>
    </row>
    <row r="4777" spans="3:17" x14ac:dyDescent="0.3">
      <c r="C4777" s="87"/>
      <c r="H4777" s="86" t="e">
        <f>IF(I4777="fora",0%,G4777/QUÓRUM!$C$6)</f>
        <v>#DIV/0!</v>
      </c>
      <c r="I4777" s="87"/>
      <c r="J4777" s="88"/>
      <c r="K4777" s="88"/>
      <c r="L4777" s="89"/>
      <c r="M4777" s="89"/>
      <c r="Q4777" s="105"/>
    </row>
    <row r="4778" spans="3:17" x14ac:dyDescent="0.3">
      <c r="C4778" s="87"/>
      <c r="H4778" s="86" t="e">
        <f>IF(I4778="fora",0%,G4778/QUÓRUM!$C$6)</f>
        <v>#DIV/0!</v>
      </c>
      <c r="I4778" s="87"/>
      <c r="J4778" s="88"/>
      <c r="K4778" s="88"/>
      <c r="L4778" s="89"/>
      <c r="M4778" s="89"/>
      <c r="Q4778" s="105"/>
    </row>
    <row r="4779" spans="3:17" x14ac:dyDescent="0.3">
      <c r="C4779" s="87"/>
      <c r="H4779" s="86" t="e">
        <f>IF(I4779="fora",0%,G4779/QUÓRUM!$C$6)</f>
        <v>#DIV/0!</v>
      </c>
      <c r="I4779" s="87"/>
      <c r="J4779" s="88"/>
      <c r="K4779" s="88"/>
      <c r="L4779" s="89"/>
      <c r="M4779" s="89"/>
      <c r="Q4779" s="105"/>
    </row>
    <row r="4780" spans="3:17" x14ac:dyDescent="0.3">
      <c r="C4780" s="87"/>
      <c r="H4780" s="86" t="e">
        <f>IF(I4780="fora",0%,G4780/QUÓRUM!$C$6)</f>
        <v>#DIV/0!</v>
      </c>
      <c r="I4780" s="87"/>
      <c r="J4780" s="88"/>
      <c r="K4780" s="88"/>
      <c r="L4780" s="89"/>
      <c r="M4780" s="89"/>
      <c r="Q4780" s="105"/>
    </row>
    <row r="4781" spans="3:17" x14ac:dyDescent="0.3">
      <c r="C4781" s="87"/>
      <c r="H4781" s="86" t="e">
        <f>IF(I4781="fora",0%,G4781/QUÓRUM!$C$6)</f>
        <v>#DIV/0!</v>
      </c>
      <c r="I4781" s="87"/>
      <c r="J4781" s="88"/>
      <c r="K4781" s="88"/>
      <c r="L4781" s="89"/>
      <c r="M4781" s="89"/>
      <c r="Q4781" s="105"/>
    </row>
    <row r="4782" spans="3:17" x14ac:dyDescent="0.3">
      <c r="C4782" s="87"/>
      <c r="H4782" s="86" t="e">
        <f>IF(I4782="fora",0%,G4782/QUÓRUM!$C$6)</f>
        <v>#DIV/0!</v>
      </c>
      <c r="I4782" s="87"/>
      <c r="J4782" s="88"/>
      <c r="K4782" s="88"/>
      <c r="L4782" s="89"/>
      <c r="M4782" s="89"/>
      <c r="Q4782" s="105"/>
    </row>
    <row r="4783" spans="3:17" x14ac:dyDescent="0.3">
      <c r="C4783" s="87"/>
      <c r="H4783" s="86" t="e">
        <f>IF(I4783="fora",0%,G4783/QUÓRUM!$C$6)</f>
        <v>#DIV/0!</v>
      </c>
      <c r="I4783" s="87"/>
      <c r="J4783" s="88"/>
      <c r="K4783" s="88"/>
      <c r="L4783" s="89"/>
      <c r="M4783" s="89"/>
      <c r="Q4783" s="105"/>
    </row>
    <row r="4784" spans="3:17" x14ac:dyDescent="0.3">
      <c r="C4784" s="87"/>
      <c r="H4784" s="86" t="e">
        <f>IF(I4784="fora",0%,G4784/QUÓRUM!$C$6)</f>
        <v>#DIV/0!</v>
      </c>
      <c r="I4784" s="87"/>
      <c r="J4784" s="88"/>
      <c r="K4784" s="88"/>
      <c r="L4784" s="89"/>
      <c r="M4784" s="89"/>
      <c r="Q4784" s="105"/>
    </row>
    <row r="4785" spans="3:17" x14ac:dyDescent="0.3">
      <c r="C4785" s="87"/>
      <c r="H4785" s="86" t="e">
        <f>IF(I4785="fora",0%,G4785/QUÓRUM!$C$6)</f>
        <v>#DIV/0!</v>
      </c>
      <c r="I4785" s="87"/>
      <c r="J4785" s="88"/>
      <c r="K4785" s="88"/>
      <c r="L4785" s="89"/>
      <c r="M4785" s="89"/>
      <c r="Q4785" s="105"/>
    </row>
    <row r="4786" spans="3:17" x14ac:dyDescent="0.3">
      <c r="C4786" s="87"/>
      <c r="H4786" s="86" t="e">
        <f>IF(I4786="fora",0%,G4786/QUÓRUM!$C$6)</f>
        <v>#DIV/0!</v>
      </c>
      <c r="I4786" s="87"/>
      <c r="J4786" s="88"/>
      <c r="K4786" s="88"/>
      <c r="L4786" s="89"/>
      <c r="M4786" s="89"/>
      <c r="Q4786" s="105"/>
    </row>
    <row r="4787" spans="3:17" x14ac:dyDescent="0.3">
      <c r="C4787" s="87"/>
      <c r="H4787" s="86" t="e">
        <f>IF(I4787="fora",0%,G4787/QUÓRUM!$C$6)</f>
        <v>#DIV/0!</v>
      </c>
      <c r="I4787" s="87"/>
      <c r="J4787" s="88"/>
      <c r="K4787" s="88"/>
      <c r="L4787" s="89"/>
      <c r="M4787" s="89"/>
      <c r="Q4787" s="105"/>
    </row>
    <row r="4788" spans="3:17" x14ac:dyDescent="0.3">
      <c r="C4788" s="87"/>
      <c r="H4788" s="86" t="e">
        <f>IF(I4788="fora",0%,G4788/QUÓRUM!$C$6)</f>
        <v>#DIV/0!</v>
      </c>
      <c r="I4788" s="87"/>
      <c r="J4788" s="88"/>
      <c r="K4788" s="88"/>
      <c r="L4788" s="89"/>
      <c r="M4788" s="89"/>
      <c r="Q4788" s="105"/>
    </row>
    <row r="4789" spans="3:17" x14ac:dyDescent="0.3">
      <c r="C4789" s="87"/>
      <c r="H4789" s="86" t="e">
        <f>IF(I4789="fora",0%,G4789/QUÓRUM!$C$6)</f>
        <v>#DIV/0!</v>
      </c>
      <c r="I4789" s="87"/>
      <c r="J4789" s="88"/>
      <c r="K4789" s="88"/>
      <c r="L4789" s="89"/>
      <c r="M4789" s="89"/>
      <c r="Q4789" s="105"/>
    </row>
    <row r="4790" spans="3:17" x14ac:dyDescent="0.3">
      <c r="C4790" s="87"/>
      <c r="H4790" s="86" t="e">
        <f>IF(I4790="fora",0%,G4790/QUÓRUM!$C$6)</f>
        <v>#DIV/0!</v>
      </c>
      <c r="I4790" s="87"/>
      <c r="J4790" s="88"/>
      <c r="K4790" s="88"/>
      <c r="L4790" s="89"/>
      <c r="M4790" s="89"/>
      <c r="Q4790" s="105"/>
    </row>
    <row r="4791" spans="3:17" x14ac:dyDescent="0.3">
      <c r="C4791" s="87"/>
      <c r="H4791" s="86" t="e">
        <f>IF(I4791="fora",0%,G4791/QUÓRUM!$C$6)</f>
        <v>#DIV/0!</v>
      </c>
      <c r="I4791" s="87"/>
      <c r="J4791" s="88"/>
      <c r="K4791" s="88"/>
      <c r="L4791" s="89"/>
      <c r="M4791" s="89"/>
      <c r="Q4791" s="105"/>
    </row>
    <row r="4792" spans="3:17" x14ac:dyDescent="0.3">
      <c r="C4792" s="87"/>
      <c r="H4792" s="86" t="e">
        <f>IF(I4792="fora",0%,G4792/QUÓRUM!$C$6)</f>
        <v>#DIV/0!</v>
      </c>
      <c r="I4792" s="87"/>
      <c r="J4792" s="88"/>
      <c r="K4792" s="88"/>
      <c r="L4792" s="89"/>
      <c r="M4792" s="89"/>
      <c r="Q4792" s="105"/>
    </row>
    <row r="4793" spans="3:17" x14ac:dyDescent="0.3">
      <c r="C4793" s="87"/>
      <c r="H4793" s="86" t="e">
        <f>IF(I4793="fora",0%,G4793/QUÓRUM!$C$6)</f>
        <v>#DIV/0!</v>
      </c>
      <c r="I4793" s="87"/>
      <c r="J4793" s="88"/>
      <c r="K4793" s="88"/>
      <c r="L4793" s="89"/>
      <c r="M4793" s="89"/>
      <c r="Q4793" s="105"/>
    </row>
    <row r="4794" spans="3:17" x14ac:dyDescent="0.3">
      <c r="C4794" s="87"/>
      <c r="H4794" s="86" t="e">
        <f>IF(I4794="fora",0%,G4794/QUÓRUM!$C$6)</f>
        <v>#DIV/0!</v>
      </c>
      <c r="I4794" s="87"/>
      <c r="J4794" s="88"/>
      <c r="K4794" s="88"/>
      <c r="L4794" s="89"/>
      <c r="M4794" s="89"/>
      <c r="Q4794" s="105"/>
    </row>
    <row r="4795" spans="3:17" x14ac:dyDescent="0.3">
      <c r="C4795" s="87"/>
      <c r="H4795" s="86" t="e">
        <f>IF(I4795="fora",0%,G4795/QUÓRUM!$C$6)</f>
        <v>#DIV/0!</v>
      </c>
      <c r="I4795" s="87"/>
      <c r="J4795" s="88"/>
      <c r="K4795" s="88"/>
      <c r="L4795" s="89"/>
      <c r="M4795" s="89"/>
      <c r="Q4795" s="105"/>
    </row>
    <row r="4796" spans="3:17" x14ac:dyDescent="0.3">
      <c r="C4796" s="87"/>
      <c r="H4796" s="86" t="e">
        <f>IF(I4796="fora",0%,G4796/QUÓRUM!$C$6)</f>
        <v>#DIV/0!</v>
      </c>
      <c r="I4796" s="87"/>
      <c r="J4796" s="88"/>
      <c r="K4796" s="88"/>
      <c r="L4796" s="89"/>
      <c r="M4796" s="89"/>
      <c r="Q4796" s="105"/>
    </row>
    <row r="4797" spans="3:17" x14ac:dyDescent="0.3">
      <c r="C4797" s="87"/>
      <c r="H4797" s="86" t="e">
        <f>IF(I4797="fora",0%,G4797/QUÓRUM!$C$6)</f>
        <v>#DIV/0!</v>
      </c>
      <c r="I4797" s="87"/>
      <c r="J4797" s="88"/>
      <c r="K4797" s="88"/>
      <c r="L4797" s="89"/>
      <c r="M4797" s="89"/>
      <c r="Q4797" s="105"/>
    </row>
    <row r="4798" spans="3:17" x14ac:dyDescent="0.3">
      <c r="C4798" s="87"/>
      <c r="H4798" s="86" t="e">
        <f>IF(I4798="fora",0%,G4798/QUÓRUM!$C$6)</f>
        <v>#DIV/0!</v>
      </c>
      <c r="I4798" s="87"/>
      <c r="J4798" s="88"/>
      <c r="K4798" s="88"/>
      <c r="L4798" s="89"/>
      <c r="M4798" s="89"/>
      <c r="Q4798" s="105"/>
    </row>
    <row r="4799" spans="3:17" x14ac:dyDescent="0.3">
      <c r="C4799" s="87"/>
      <c r="H4799" s="86" t="e">
        <f>IF(I4799="fora",0%,G4799/QUÓRUM!$C$6)</f>
        <v>#DIV/0!</v>
      </c>
      <c r="I4799" s="87"/>
      <c r="J4799" s="88"/>
      <c r="K4799" s="88"/>
      <c r="L4799" s="89"/>
      <c r="M4799" s="89"/>
      <c r="Q4799" s="105"/>
    </row>
    <row r="4800" spans="3:17" x14ac:dyDescent="0.3">
      <c r="C4800" s="87"/>
      <c r="H4800" s="86" t="e">
        <f>IF(I4800="fora",0%,G4800/QUÓRUM!$C$6)</f>
        <v>#DIV/0!</v>
      </c>
      <c r="I4800" s="87"/>
      <c r="J4800" s="88"/>
      <c r="K4800" s="88"/>
      <c r="L4800" s="89"/>
      <c r="M4800" s="89"/>
      <c r="Q4800" s="105"/>
    </row>
    <row r="4801" spans="3:17" x14ac:dyDescent="0.3">
      <c r="C4801" s="87"/>
      <c r="H4801" s="86" t="e">
        <f>IF(I4801="fora",0%,G4801/QUÓRUM!$C$6)</f>
        <v>#DIV/0!</v>
      </c>
      <c r="I4801" s="87"/>
      <c r="J4801" s="88"/>
      <c r="K4801" s="88"/>
      <c r="L4801" s="89"/>
      <c r="M4801" s="89"/>
      <c r="Q4801" s="105"/>
    </row>
    <row r="4802" spans="3:17" x14ac:dyDescent="0.3">
      <c r="C4802" s="87"/>
      <c r="H4802" s="86" t="e">
        <f>IF(I4802="fora",0%,G4802/QUÓRUM!$C$6)</f>
        <v>#DIV/0!</v>
      </c>
      <c r="I4802" s="87"/>
      <c r="J4802" s="88"/>
      <c r="K4802" s="88"/>
      <c r="L4802" s="89"/>
      <c r="M4802" s="89"/>
      <c r="Q4802" s="105"/>
    </row>
    <row r="4803" spans="3:17" x14ac:dyDescent="0.3">
      <c r="C4803" s="87"/>
      <c r="H4803" s="86" t="e">
        <f>IF(I4803="fora",0%,G4803/QUÓRUM!$C$6)</f>
        <v>#DIV/0!</v>
      </c>
      <c r="I4803" s="87"/>
      <c r="J4803" s="88"/>
      <c r="K4803" s="88"/>
      <c r="L4803" s="89"/>
      <c r="M4803" s="89"/>
      <c r="Q4803" s="105"/>
    </row>
    <row r="4804" spans="3:17" x14ac:dyDescent="0.3">
      <c r="C4804" s="87"/>
      <c r="H4804" s="86" t="e">
        <f>IF(I4804="fora",0%,G4804/QUÓRUM!$C$6)</f>
        <v>#DIV/0!</v>
      </c>
      <c r="I4804" s="87"/>
      <c r="J4804" s="88"/>
      <c r="K4804" s="88"/>
      <c r="L4804" s="89"/>
      <c r="M4804" s="89"/>
      <c r="Q4804" s="105"/>
    </row>
    <row r="4805" spans="3:17" x14ac:dyDescent="0.3">
      <c r="C4805" s="87"/>
      <c r="H4805" s="86" t="e">
        <f>IF(I4805="fora",0%,G4805/QUÓRUM!$C$6)</f>
        <v>#DIV/0!</v>
      </c>
      <c r="I4805" s="87"/>
      <c r="J4805" s="88"/>
      <c r="K4805" s="88"/>
      <c r="L4805" s="89"/>
      <c r="M4805" s="89"/>
      <c r="Q4805" s="105"/>
    </row>
    <row r="4806" spans="3:17" x14ac:dyDescent="0.3">
      <c r="C4806" s="87"/>
      <c r="H4806" s="86" t="e">
        <f>IF(I4806="fora",0%,G4806/QUÓRUM!$C$6)</f>
        <v>#DIV/0!</v>
      </c>
      <c r="I4806" s="87"/>
      <c r="J4806" s="88"/>
      <c r="K4806" s="88"/>
      <c r="L4806" s="89"/>
      <c r="M4806" s="89"/>
      <c r="Q4806" s="105"/>
    </row>
    <row r="4807" spans="3:17" x14ac:dyDescent="0.3">
      <c r="C4807" s="87"/>
      <c r="H4807" s="86" t="e">
        <f>IF(I4807="fora",0%,G4807/QUÓRUM!$C$6)</f>
        <v>#DIV/0!</v>
      </c>
      <c r="I4807" s="87"/>
      <c r="J4807" s="88"/>
      <c r="K4807" s="88"/>
      <c r="L4807" s="89"/>
      <c r="M4807" s="89"/>
      <c r="Q4807" s="105"/>
    </row>
    <row r="4808" spans="3:17" x14ac:dyDescent="0.3">
      <c r="C4808" s="87"/>
      <c r="H4808" s="86" t="e">
        <f>IF(I4808="fora",0%,G4808/QUÓRUM!$C$6)</f>
        <v>#DIV/0!</v>
      </c>
      <c r="I4808" s="87"/>
      <c r="J4808" s="88"/>
      <c r="K4808" s="88"/>
      <c r="L4808" s="89"/>
      <c r="M4808" s="89"/>
      <c r="Q4808" s="105"/>
    </row>
    <row r="4809" spans="3:17" x14ac:dyDescent="0.3">
      <c r="C4809" s="87"/>
      <c r="H4809" s="86" t="e">
        <f>IF(I4809="fora",0%,G4809/QUÓRUM!$C$6)</f>
        <v>#DIV/0!</v>
      </c>
      <c r="I4809" s="87"/>
      <c r="J4809" s="88"/>
      <c r="K4809" s="88"/>
      <c r="L4809" s="89"/>
      <c r="M4809" s="89"/>
      <c r="Q4809" s="105"/>
    </row>
    <row r="4810" spans="3:17" x14ac:dyDescent="0.3">
      <c r="C4810" s="87"/>
      <c r="H4810" s="86" t="e">
        <f>IF(I4810="fora",0%,G4810/QUÓRUM!$C$6)</f>
        <v>#DIV/0!</v>
      </c>
      <c r="I4810" s="87"/>
      <c r="J4810" s="88"/>
      <c r="K4810" s="88"/>
      <c r="L4810" s="89"/>
      <c r="M4810" s="89"/>
      <c r="Q4810" s="105"/>
    </row>
    <row r="4811" spans="3:17" x14ac:dyDescent="0.3">
      <c r="C4811" s="87"/>
      <c r="H4811" s="86" t="e">
        <f>IF(I4811="fora",0%,G4811/QUÓRUM!$C$6)</f>
        <v>#DIV/0!</v>
      </c>
      <c r="I4811" s="87"/>
      <c r="J4811" s="88"/>
      <c r="K4811" s="88"/>
      <c r="L4811" s="89"/>
      <c r="M4811" s="89"/>
      <c r="Q4811" s="105"/>
    </row>
    <row r="4812" spans="3:17" x14ac:dyDescent="0.3">
      <c r="C4812" s="87"/>
      <c r="H4812" s="86" t="e">
        <f>IF(I4812="fora",0%,G4812/QUÓRUM!$C$6)</f>
        <v>#DIV/0!</v>
      </c>
      <c r="I4812" s="87"/>
      <c r="J4812" s="88"/>
      <c r="K4812" s="88"/>
      <c r="L4812" s="89"/>
      <c r="M4812" s="89"/>
      <c r="Q4812" s="105"/>
    </row>
    <row r="4813" spans="3:17" x14ac:dyDescent="0.3">
      <c r="C4813" s="87"/>
      <c r="H4813" s="86" t="e">
        <f>IF(I4813="fora",0%,G4813/QUÓRUM!$C$6)</f>
        <v>#DIV/0!</v>
      </c>
      <c r="I4813" s="87"/>
      <c r="J4813" s="88"/>
      <c r="K4813" s="88"/>
      <c r="L4813" s="89"/>
      <c r="M4813" s="89"/>
      <c r="Q4813" s="105"/>
    </row>
    <row r="4814" spans="3:17" x14ac:dyDescent="0.3">
      <c r="C4814" s="87"/>
      <c r="H4814" s="86" t="e">
        <f>IF(I4814="fora",0%,G4814/QUÓRUM!$C$6)</f>
        <v>#DIV/0!</v>
      </c>
      <c r="I4814" s="87"/>
      <c r="J4814" s="88"/>
      <c r="K4814" s="88"/>
      <c r="L4814" s="89"/>
      <c r="M4814" s="89"/>
      <c r="Q4814" s="105"/>
    </row>
    <row r="4815" spans="3:17" x14ac:dyDescent="0.3">
      <c r="C4815" s="87"/>
      <c r="H4815" s="86" t="e">
        <f>IF(I4815="fora",0%,G4815/QUÓRUM!$C$6)</f>
        <v>#DIV/0!</v>
      </c>
      <c r="I4815" s="87"/>
      <c r="J4815" s="88"/>
      <c r="K4815" s="88"/>
      <c r="L4815" s="89"/>
      <c r="M4815" s="89"/>
      <c r="Q4815" s="105"/>
    </row>
    <row r="4816" spans="3:17" x14ac:dyDescent="0.3">
      <c r="C4816" s="87"/>
      <c r="H4816" s="86" t="e">
        <f>IF(I4816="fora",0%,G4816/QUÓRUM!$C$6)</f>
        <v>#DIV/0!</v>
      </c>
      <c r="I4816" s="87"/>
      <c r="J4816" s="88"/>
      <c r="K4816" s="88"/>
      <c r="L4816" s="89"/>
      <c r="M4816" s="89"/>
      <c r="Q4816" s="105"/>
    </row>
    <row r="4817" spans="3:17" x14ac:dyDescent="0.3">
      <c r="C4817" s="87"/>
      <c r="H4817" s="86" t="e">
        <f>IF(I4817="fora",0%,G4817/QUÓRUM!$C$6)</f>
        <v>#DIV/0!</v>
      </c>
      <c r="I4817" s="87"/>
      <c r="J4817" s="88"/>
      <c r="K4817" s="88"/>
      <c r="L4817" s="89"/>
      <c r="M4817" s="89"/>
      <c r="Q4817" s="105"/>
    </row>
    <row r="4818" spans="3:17" x14ac:dyDescent="0.3">
      <c r="C4818" s="87"/>
      <c r="H4818" s="86" t="e">
        <f>IF(I4818="fora",0%,G4818/QUÓRUM!$C$6)</f>
        <v>#DIV/0!</v>
      </c>
      <c r="I4818" s="87"/>
      <c r="J4818" s="88"/>
      <c r="K4818" s="88"/>
      <c r="L4818" s="89"/>
      <c r="M4818" s="89"/>
      <c r="Q4818" s="105"/>
    </row>
    <row r="4819" spans="3:17" x14ac:dyDescent="0.3">
      <c r="C4819" s="87"/>
      <c r="H4819" s="86" t="e">
        <f>IF(I4819="fora",0%,G4819/QUÓRUM!$C$6)</f>
        <v>#DIV/0!</v>
      </c>
      <c r="I4819" s="87"/>
      <c r="J4819" s="88"/>
      <c r="K4819" s="88"/>
      <c r="L4819" s="89"/>
      <c r="M4819" s="89"/>
      <c r="Q4819" s="105"/>
    </row>
    <row r="4820" spans="3:17" x14ac:dyDescent="0.3">
      <c r="C4820" s="87"/>
      <c r="H4820" s="86" t="e">
        <f>IF(I4820="fora",0%,G4820/QUÓRUM!$C$6)</f>
        <v>#DIV/0!</v>
      </c>
      <c r="I4820" s="87"/>
      <c r="J4820" s="88"/>
      <c r="K4820" s="88"/>
      <c r="L4820" s="89"/>
      <c r="M4820" s="89"/>
      <c r="Q4820" s="105"/>
    </row>
    <row r="4821" spans="3:17" x14ac:dyDescent="0.3">
      <c r="C4821" s="87"/>
      <c r="H4821" s="86" t="e">
        <f>IF(I4821="fora",0%,G4821/QUÓRUM!$C$6)</f>
        <v>#DIV/0!</v>
      </c>
      <c r="I4821" s="87"/>
      <c r="J4821" s="88"/>
      <c r="K4821" s="88"/>
      <c r="L4821" s="89"/>
      <c r="M4821" s="89"/>
      <c r="Q4821" s="105"/>
    </row>
    <row r="4822" spans="3:17" x14ac:dyDescent="0.3">
      <c r="C4822" s="87"/>
      <c r="H4822" s="86" t="e">
        <f>IF(I4822="fora",0%,G4822/QUÓRUM!$C$6)</f>
        <v>#DIV/0!</v>
      </c>
      <c r="I4822" s="87"/>
      <c r="J4822" s="88"/>
      <c r="K4822" s="88"/>
      <c r="L4822" s="89"/>
      <c r="M4822" s="89"/>
      <c r="Q4822" s="105"/>
    </row>
    <row r="4823" spans="3:17" x14ac:dyDescent="0.3">
      <c r="C4823" s="87"/>
      <c r="H4823" s="86" t="e">
        <f>IF(I4823="fora",0%,G4823/QUÓRUM!$C$6)</f>
        <v>#DIV/0!</v>
      </c>
      <c r="I4823" s="87"/>
      <c r="J4823" s="88"/>
      <c r="K4823" s="88"/>
      <c r="L4823" s="89"/>
      <c r="M4823" s="89"/>
      <c r="Q4823" s="105"/>
    </row>
    <row r="4824" spans="3:17" x14ac:dyDescent="0.3">
      <c r="C4824" s="87"/>
      <c r="H4824" s="86" t="e">
        <f>IF(I4824="fora",0%,G4824/QUÓRUM!$C$6)</f>
        <v>#DIV/0!</v>
      </c>
      <c r="I4824" s="87"/>
      <c r="J4824" s="88"/>
      <c r="K4824" s="88"/>
      <c r="L4824" s="89"/>
      <c r="M4824" s="89"/>
      <c r="Q4824" s="105"/>
    </row>
    <row r="4825" spans="3:17" x14ac:dyDescent="0.3">
      <c r="C4825" s="87"/>
      <c r="H4825" s="86" t="e">
        <f>IF(I4825="fora",0%,G4825/QUÓRUM!$C$6)</f>
        <v>#DIV/0!</v>
      </c>
      <c r="I4825" s="87"/>
      <c r="J4825" s="88"/>
      <c r="K4825" s="88"/>
      <c r="L4825" s="89"/>
      <c r="M4825" s="89"/>
      <c r="Q4825" s="105"/>
    </row>
    <row r="4826" spans="3:17" x14ac:dyDescent="0.3">
      <c r="C4826" s="87"/>
      <c r="H4826" s="86" t="e">
        <f>IF(I4826="fora",0%,G4826/QUÓRUM!$C$6)</f>
        <v>#DIV/0!</v>
      </c>
      <c r="I4826" s="87"/>
      <c r="J4826" s="88"/>
      <c r="K4826" s="88"/>
      <c r="L4826" s="89"/>
      <c r="M4826" s="89"/>
      <c r="Q4826" s="105"/>
    </row>
    <row r="4827" spans="3:17" x14ac:dyDescent="0.3">
      <c r="C4827" s="87"/>
      <c r="H4827" s="86" t="e">
        <f>IF(I4827="fora",0%,G4827/QUÓRUM!$C$6)</f>
        <v>#DIV/0!</v>
      </c>
      <c r="I4827" s="87"/>
      <c r="J4827" s="88"/>
      <c r="K4827" s="88"/>
      <c r="L4827" s="89"/>
      <c r="M4827" s="89"/>
      <c r="Q4827" s="105"/>
    </row>
    <row r="4828" spans="3:17" x14ac:dyDescent="0.3">
      <c r="C4828" s="87"/>
      <c r="H4828" s="86" t="e">
        <f>IF(I4828="fora",0%,G4828/QUÓRUM!$C$6)</f>
        <v>#DIV/0!</v>
      </c>
      <c r="I4828" s="87"/>
      <c r="J4828" s="88"/>
      <c r="K4828" s="88"/>
      <c r="L4828" s="89"/>
      <c r="M4828" s="89"/>
      <c r="Q4828" s="105"/>
    </row>
    <row r="4829" spans="3:17" x14ac:dyDescent="0.3">
      <c r="C4829" s="87"/>
      <c r="H4829" s="86" t="e">
        <f>IF(I4829="fora",0%,G4829/QUÓRUM!$C$6)</f>
        <v>#DIV/0!</v>
      </c>
      <c r="I4829" s="87"/>
      <c r="J4829" s="88"/>
      <c r="K4829" s="88"/>
      <c r="L4829" s="89"/>
      <c r="M4829" s="89"/>
      <c r="Q4829" s="105"/>
    </row>
    <row r="4830" spans="3:17" x14ac:dyDescent="0.3">
      <c r="C4830" s="87"/>
      <c r="H4830" s="86" t="e">
        <f>IF(I4830="fora",0%,G4830/QUÓRUM!$C$6)</f>
        <v>#DIV/0!</v>
      </c>
      <c r="I4830" s="87"/>
      <c r="J4830" s="88"/>
      <c r="K4830" s="88"/>
      <c r="L4830" s="89"/>
      <c r="M4830" s="89"/>
      <c r="Q4830" s="105"/>
    </row>
    <row r="4831" spans="3:17" x14ac:dyDescent="0.3">
      <c r="C4831" s="87"/>
      <c r="H4831" s="86" t="e">
        <f>IF(I4831="fora",0%,G4831/QUÓRUM!$C$6)</f>
        <v>#DIV/0!</v>
      </c>
      <c r="I4831" s="87"/>
      <c r="J4831" s="88"/>
      <c r="K4831" s="88"/>
      <c r="L4831" s="89"/>
      <c r="M4831" s="89"/>
      <c r="Q4831" s="105"/>
    </row>
    <row r="4832" spans="3:17" x14ac:dyDescent="0.3">
      <c r="C4832" s="87"/>
      <c r="H4832" s="86" t="e">
        <f>IF(I4832="fora",0%,G4832/QUÓRUM!$C$6)</f>
        <v>#DIV/0!</v>
      </c>
      <c r="I4832" s="87"/>
      <c r="J4832" s="88"/>
      <c r="K4832" s="88"/>
      <c r="L4832" s="89"/>
      <c r="M4832" s="89"/>
      <c r="Q4832" s="105"/>
    </row>
    <row r="4833" spans="3:17" x14ac:dyDescent="0.3">
      <c r="C4833" s="87"/>
      <c r="H4833" s="86" t="e">
        <f>IF(I4833="fora",0%,G4833/QUÓRUM!$C$6)</f>
        <v>#DIV/0!</v>
      </c>
      <c r="I4833" s="87"/>
      <c r="J4833" s="88"/>
      <c r="K4833" s="88"/>
      <c r="L4833" s="89"/>
      <c r="M4833" s="89"/>
      <c r="Q4833" s="105"/>
    </row>
    <row r="4834" spans="3:17" x14ac:dyDescent="0.3">
      <c r="C4834" s="87"/>
      <c r="H4834" s="86" t="e">
        <f>IF(I4834="fora",0%,G4834/QUÓRUM!$C$6)</f>
        <v>#DIV/0!</v>
      </c>
      <c r="I4834" s="87"/>
      <c r="J4834" s="88"/>
      <c r="K4834" s="88"/>
      <c r="L4834" s="89"/>
      <c r="M4834" s="89"/>
      <c r="Q4834" s="105"/>
    </row>
    <row r="4835" spans="3:17" x14ac:dyDescent="0.3">
      <c r="C4835" s="87"/>
      <c r="H4835" s="86" t="e">
        <f>IF(I4835="fora",0%,G4835/QUÓRUM!$C$6)</f>
        <v>#DIV/0!</v>
      </c>
      <c r="I4835" s="87"/>
      <c r="J4835" s="88"/>
      <c r="K4835" s="88"/>
      <c r="L4835" s="89"/>
      <c r="M4835" s="89"/>
      <c r="Q4835" s="105"/>
    </row>
    <row r="4836" spans="3:17" x14ac:dyDescent="0.3">
      <c r="C4836" s="87"/>
      <c r="H4836" s="86" t="e">
        <f>IF(I4836="fora",0%,G4836/QUÓRUM!$C$6)</f>
        <v>#DIV/0!</v>
      </c>
      <c r="I4836" s="87"/>
      <c r="J4836" s="88"/>
      <c r="K4836" s="88"/>
      <c r="L4836" s="89"/>
      <c r="M4836" s="89"/>
      <c r="Q4836" s="105"/>
    </row>
    <row r="4837" spans="3:17" x14ac:dyDescent="0.3">
      <c r="C4837" s="87"/>
      <c r="H4837" s="86" t="e">
        <f>IF(I4837="fora",0%,G4837/QUÓRUM!$C$6)</f>
        <v>#DIV/0!</v>
      </c>
      <c r="I4837" s="87"/>
      <c r="J4837" s="88"/>
      <c r="K4837" s="88"/>
      <c r="L4837" s="89"/>
      <c r="M4837" s="89"/>
      <c r="Q4837" s="105"/>
    </row>
    <row r="4838" spans="3:17" x14ac:dyDescent="0.3">
      <c r="C4838" s="87"/>
      <c r="H4838" s="86" t="e">
        <f>IF(I4838="fora",0%,G4838/QUÓRUM!$C$6)</f>
        <v>#DIV/0!</v>
      </c>
      <c r="I4838" s="87"/>
      <c r="J4838" s="88"/>
      <c r="K4838" s="88"/>
      <c r="L4838" s="89"/>
      <c r="M4838" s="89"/>
      <c r="Q4838" s="105"/>
    </row>
    <row r="4839" spans="3:17" x14ac:dyDescent="0.3">
      <c r="C4839" s="87"/>
      <c r="H4839" s="86" t="e">
        <f>IF(I4839="fora",0%,G4839/QUÓRUM!$C$6)</f>
        <v>#DIV/0!</v>
      </c>
      <c r="I4839" s="87"/>
      <c r="J4839" s="88"/>
      <c r="K4839" s="88"/>
      <c r="L4839" s="89"/>
      <c r="M4839" s="89"/>
      <c r="Q4839" s="105"/>
    </row>
    <row r="4840" spans="3:17" x14ac:dyDescent="0.3">
      <c r="C4840" s="87"/>
      <c r="H4840" s="86" t="e">
        <f>IF(I4840="fora",0%,G4840/QUÓRUM!$C$6)</f>
        <v>#DIV/0!</v>
      </c>
      <c r="I4840" s="87"/>
      <c r="J4840" s="88"/>
      <c r="K4840" s="88"/>
      <c r="L4840" s="89"/>
      <c r="M4840" s="89"/>
      <c r="Q4840" s="105"/>
    </row>
    <row r="4841" spans="3:17" x14ac:dyDescent="0.3">
      <c r="C4841" s="87"/>
      <c r="H4841" s="86" t="e">
        <f>IF(I4841="fora",0%,G4841/QUÓRUM!$C$6)</f>
        <v>#DIV/0!</v>
      </c>
      <c r="I4841" s="87"/>
      <c r="J4841" s="88"/>
      <c r="K4841" s="88"/>
      <c r="L4841" s="89"/>
      <c r="M4841" s="89"/>
      <c r="Q4841" s="105"/>
    </row>
    <row r="4842" spans="3:17" x14ac:dyDescent="0.3">
      <c r="C4842" s="87"/>
      <c r="H4842" s="86" t="e">
        <f>IF(I4842="fora",0%,G4842/QUÓRUM!$C$6)</f>
        <v>#DIV/0!</v>
      </c>
      <c r="I4842" s="87"/>
      <c r="J4842" s="88"/>
      <c r="K4842" s="88"/>
      <c r="L4842" s="89"/>
      <c r="M4842" s="89"/>
      <c r="Q4842" s="105"/>
    </row>
    <row r="4843" spans="3:17" x14ac:dyDescent="0.3">
      <c r="C4843" s="87"/>
      <c r="H4843" s="86" t="e">
        <f>IF(I4843="fora",0%,G4843/QUÓRUM!$C$6)</f>
        <v>#DIV/0!</v>
      </c>
      <c r="I4843" s="87"/>
      <c r="J4843" s="88"/>
      <c r="K4843" s="88"/>
      <c r="L4843" s="89"/>
      <c r="M4843" s="89"/>
      <c r="Q4843" s="105"/>
    </row>
    <row r="4844" spans="3:17" x14ac:dyDescent="0.3">
      <c r="C4844" s="87"/>
      <c r="H4844" s="86" t="e">
        <f>IF(I4844="fora",0%,G4844/QUÓRUM!$C$6)</f>
        <v>#DIV/0!</v>
      </c>
      <c r="I4844" s="87"/>
      <c r="J4844" s="88"/>
      <c r="K4844" s="88"/>
      <c r="L4844" s="89"/>
      <c r="M4844" s="89"/>
      <c r="Q4844" s="105"/>
    </row>
    <row r="4845" spans="3:17" x14ac:dyDescent="0.3">
      <c r="C4845" s="87"/>
      <c r="H4845" s="86" t="e">
        <f>IF(I4845="fora",0%,G4845/QUÓRUM!$C$6)</f>
        <v>#DIV/0!</v>
      </c>
      <c r="I4845" s="87"/>
      <c r="J4845" s="88"/>
      <c r="K4845" s="88"/>
      <c r="L4845" s="89"/>
      <c r="M4845" s="89"/>
      <c r="Q4845" s="105"/>
    </row>
    <row r="4846" spans="3:17" x14ac:dyDescent="0.3">
      <c r="C4846" s="87"/>
      <c r="H4846" s="86" t="e">
        <f>IF(I4846="fora",0%,G4846/QUÓRUM!$C$6)</f>
        <v>#DIV/0!</v>
      </c>
      <c r="I4846" s="87"/>
      <c r="J4846" s="88"/>
      <c r="K4846" s="88"/>
      <c r="L4846" s="89"/>
      <c r="M4846" s="89"/>
      <c r="Q4846" s="105"/>
    </row>
    <row r="4847" spans="3:17" x14ac:dyDescent="0.3">
      <c r="C4847" s="87"/>
      <c r="H4847" s="86" t="e">
        <f>IF(I4847="fora",0%,G4847/QUÓRUM!$C$6)</f>
        <v>#DIV/0!</v>
      </c>
      <c r="I4847" s="87"/>
      <c r="J4847" s="88"/>
      <c r="K4847" s="88"/>
      <c r="L4847" s="89"/>
      <c r="M4847" s="89"/>
      <c r="Q4847" s="105"/>
    </row>
    <row r="4848" spans="3:17" x14ac:dyDescent="0.3">
      <c r="C4848" s="87"/>
      <c r="H4848" s="86" t="e">
        <f>IF(I4848="fora",0%,G4848/QUÓRUM!$C$6)</f>
        <v>#DIV/0!</v>
      </c>
      <c r="I4848" s="87"/>
      <c r="J4848" s="88"/>
      <c r="K4848" s="88"/>
      <c r="L4848" s="89"/>
      <c r="M4848" s="89"/>
      <c r="Q4848" s="105"/>
    </row>
    <row r="4849" spans="3:17" x14ac:dyDescent="0.3">
      <c r="C4849" s="87"/>
      <c r="H4849" s="86" t="e">
        <f>IF(I4849="fora",0%,G4849/QUÓRUM!$C$6)</f>
        <v>#DIV/0!</v>
      </c>
      <c r="I4849" s="87"/>
      <c r="J4849" s="88"/>
      <c r="K4849" s="88"/>
      <c r="L4849" s="89"/>
      <c r="M4849" s="89"/>
      <c r="Q4849" s="105"/>
    </row>
    <row r="4850" spans="3:17" x14ac:dyDescent="0.3">
      <c r="C4850" s="87"/>
      <c r="H4850" s="86" t="e">
        <f>IF(I4850="fora",0%,G4850/QUÓRUM!$C$6)</f>
        <v>#DIV/0!</v>
      </c>
      <c r="I4850" s="87"/>
      <c r="J4850" s="88"/>
      <c r="K4850" s="88"/>
      <c r="L4850" s="89"/>
      <c r="M4850" s="89"/>
      <c r="Q4850" s="105"/>
    </row>
    <row r="4851" spans="3:17" x14ac:dyDescent="0.3">
      <c r="C4851" s="87"/>
      <c r="H4851" s="86" t="e">
        <f>IF(I4851="fora",0%,G4851/QUÓRUM!$C$6)</f>
        <v>#DIV/0!</v>
      </c>
      <c r="I4851" s="87"/>
      <c r="J4851" s="88"/>
      <c r="K4851" s="88"/>
      <c r="L4851" s="89"/>
      <c r="M4851" s="89"/>
      <c r="Q4851" s="105"/>
    </row>
    <row r="4852" spans="3:17" x14ac:dyDescent="0.3">
      <c r="C4852" s="87"/>
      <c r="H4852" s="86" t="e">
        <f>IF(I4852="fora",0%,G4852/QUÓRUM!$C$6)</f>
        <v>#DIV/0!</v>
      </c>
      <c r="I4852" s="87"/>
      <c r="J4852" s="88"/>
      <c r="K4852" s="88"/>
      <c r="L4852" s="89"/>
      <c r="M4852" s="89"/>
      <c r="Q4852" s="105"/>
    </row>
    <row r="4853" spans="3:17" x14ac:dyDescent="0.3">
      <c r="C4853" s="87"/>
      <c r="H4853" s="86" t="e">
        <f>IF(I4853="fora",0%,G4853/QUÓRUM!$C$6)</f>
        <v>#DIV/0!</v>
      </c>
      <c r="I4853" s="87"/>
      <c r="J4853" s="88"/>
      <c r="K4853" s="88"/>
      <c r="L4853" s="89"/>
      <c r="M4853" s="89"/>
      <c r="Q4853" s="105"/>
    </row>
    <row r="4854" spans="3:17" x14ac:dyDescent="0.3">
      <c r="C4854" s="87"/>
      <c r="H4854" s="86" t="e">
        <f>IF(I4854="fora",0%,G4854/QUÓRUM!$C$6)</f>
        <v>#DIV/0!</v>
      </c>
      <c r="I4854" s="87"/>
      <c r="J4854" s="88"/>
      <c r="K4854" s="88"/>
      <c r="L4854" s="89"/>
      <c r="M4854" s="89"/>
      <c r="Q4854" s="105"/>
    </row>
    <row r="4855" spans="3:17" x14ac:dyDescent="0.3">
      <c r="C4855" s="87"/>
      <c r="H4855" s="86" t="e">
        <f>IF(I4855="fora",0%,G4855/QUÓRUM!$C$6)</f>
        <v>#DIV/0!</v>
      </c>
      <c r="I4855" s="87"/>
      <c r="J4855" s="88"/>
      <c r="K4855" s="88"/>
      <c r="L4855" s="89"/>
      <c r="M4855" s="89"/>
      <c r="Q4855" s="105"/>
    </row>
    <row r="4856" spans="3:17" x14ac:dyDescent="0.3">
      <c r="C4856" s="87"/>
      <c r="H4856" s="86" t="e">
        <f>IF(I4856="fora",0%,G4856/QUÓRUM!$C$6)</f>
        <v>#DIV/0!</v>
      </c>
      <c r="I4856" s="87"/>
      <c r="J4856" s="88"/>
      <c r="K4856" s="88"/>
      <c r="L4856" s="89"/>
      <c r="M4856" s="89"/>
      <c r="Q4856" s="105"/>
    </row>
    <row r="4857" spans="3:17" x14ac:dyDescent="0.3">
      <c r="C4857" s="87"/>
      <c r="H4857" s="86" t="e">
        <f>IF(I4857="fora",0%,G4857/QUÓRUM!$C$6)</f>
        <v>#DIV/0!</v>
      </c>
      <c r="I4857" s="87"/>
      <c r="J4857" s="88"/>
      <c r="K4857" s="88"/>
      <c r="L4857" s="89"/>
      <c r="M4857" s="89"/>
      <c r="Q4857" s="105"/>
    </row>
    <row r="4858" spans="3:17" x14ac:dyDescent="0.3">
      <c r="C4858" s="87"/>
      <c r="H4858" s="86" t="e">
        <f>IF(I4858="fora",0%,G4858/QUÓRUM!$C$6)</f>
        <v>#DIV/0!</v>
      </c>
      <c r="I4858" s="87"/>
      <c r="J4858" s="88"/>
      <c r="K4858" s="88"/>
      <c r="L4858" s="89"/>
      <c r="M4858" s="89"/>
      <c r="Q4858" s="105"/>
    </row>
    <row r="4859" spans="3:17" x14ac:dyDescent="0.3">
      <c r="C4859" s="87"/>
      <c r="H4859" s="86" t="e">
        <f>IF(I4859="fora",0%,G4859/QUÓRUM!$C$6)</f>
        <v>#DIV/0!</v>
      </c>
      <c r="I4859" s="87"/>
      <c r="J4859" s="88"/>
      <c r="K4859" s="88"/>
      <c r="L4859" s="89"/>
      <c r="M4859" s="89"/>
      <c r="Q4859" s="105"/>
    </row>
    <row r="4860" spans="3:17" x14ac:dyDescent="0.3">
      <c r="C4860" s="87"/>
      <c r="H4860" s="86" t="e">
        <f>IF(I4860="fora",0%,G4860/QUÓRUM!$C$6)</f>
        <v>#DIV/0!</v>
      </c>
      <c r="I4860" s="87"/>
      <c r="J4860" s="88"/>
      <c r="K4860" s="88"/>
      <c r="L4860" s="89"/>
      <c r="M4860" s="89"/>
      <c r="Q4860" s="105"/>
    </row>
    <row r="4861" spans="3:17" x14ac:dyDescent="0.3">
      <c r="C4861" s="87"/>
      <c r="H4861" s="86" t="e">
        <f>IF(I4861="fora",0%,G4861/QUÓRUM!$C$6)</f>
        <v>#DIV/0!</v>
      </c>
      <c r="I4861" s="87"/>
      <c r="J4861" s="88"/>
      <c r="K4861" s="88"/>
      <c r="L4861" s="89"/>
      <c r="M4861" s="89"/>
      <c r="Q4861" s="105"/>
    </row>
    <row r="4862" spans="3:17" x14ac:dyDescent="0.3">
      <c r="C4862" s="87"/>
      <c r="H4862" s="86" t="e">
        <f>IF(I4862="fora",0%,G4862/QUÓRUM!$C$6)</f>
        <v>#DIV/0!</v>
      </c>
      <c r="I4862" s="87"/>
      <c r="J4862" s="88"/>
      <c r="K4862" s="88"/>
      <c r="L4862" s="89"/>
      <c r="M4862" s="89"/>
      <c r="Q4862" s="105"/>
    </row>
    <row r="4863" spans="3:17" x14ac:dyDescent="0.3">
      <c r="C4863" s="87"/>
      <c r="H4863" s="86" t="e">
        <f>IF(I4863="fora",0%,G4863/QUÓRUM!$C$6)</f>
        <v>#DIV/0!</v>
      </c>
      <c r="I4863" s="87"/>
      <c r="J4863" s="88"/>
      <c r="K4863" s="88"/>
      <c r="L4863" s="89"/>
      <c r="M4863" s="89"/>
      <c r="Q4863" s="105"/>
    </row>
    <row r="4864" spans="3:17" x14ac:dyDescent="0.3">
      <c r="C4864" s="87"/>
      <c r="H4864" s="86" t="e">
        <f>IF(I4864="fora",0%,G4864/QUÓRUM!$C$6)</f>
        <v>#DIV/0!</v>
      </c>
      <c r="I4864" s="87"/>
      <c r="J4864" s="88"/>
      <c r="K4864" s="88"/>
      <c r="L4864" s="89"/>
      <c r="M4864" s="89"/>
      <c r="Q4864" s="105"/>
    </row>
    <row r="4865" spans="3:17" x14ac:dyDescent="0.3">
      <c r="C4865" s="87"/>
      <c r="H4865" s="86" t="e">
        <f>IF(I4865="fora",0%,G4865/QUÓRUM!$C$6)</f>
        <v>#DIV/0!</v>
      </c>
      <c r="I4865" s="87"/>
      <c r="J4865" s="88"/>
      <c r="K4865" s="88"/>
      <c r="L4865" s="89"/>
      <c r="M4865" s="89"/>
      <c r="Q4865" s="105"/>
    </row>
    <row r="4866" spans="3:17" x14ac:dyDescent="0.3">
      <c r="C4866" s="87"/>
      <c r="H4866" s="86" t="e">
        <f>IF(I4866="fora",0%,G4866/QUÓRUM!$C$6)</f>
        <v>#DIV/0!</v>
      </c>
      <c r="I4866" s="87"/>
      <c r="J4866" s="88"/>
      <c r="K4866" s="88"/>
      <c r="L4866" s="89"/>
      <c r="M4866" s="89"/>
      <c r="Q4866" s="105"/>
    </row>
    <row r="4867" spans="3:17" x14ac:dyDescent="0.3">
      <c r="C4867" s="87"/>
      <c r="H4867" s="86" t="e">
        <f>IF(I4867="fora",0%,G4867/QUÓRUM!$C$6)</f>
        <v>#DIV/0!</v>
      </c>
      <c r="I4867" s="87"/>
      <c r="J4867" s="88"/>
      <c r="K4867" s="88"/>
      <c r="L4867" s="89"/>
      <c r="M4867" s="89"/>
      <c r="Q4867" s="105"/>
    </row>
    <row r="4868" spans="3:17" x14ac:dyDescent="0.3">
      <c r="C4868" s="87"/>
      <c r="H4868" s="86" t="e">
        <f>IF(I4868="fora",0%,G4868/QUÓRUM!$C$6)</f>
        <v>#DIV/0!</v>
      </c>
      <c r="I4868" s="87"/>
      <c r="J4868" s="88"/>
      <c r="K4868" s="88"/>
      <c r="L4868" s="89"/>
      <c r="M4868" s="89"/>
      <c r="Q4868" s="105"/>
    </row>
    <row r="4869" spans="3:17" x14ac:dyDescent="0.3">
      <c r="C4869" s="87"/>
      <c r="H4869" s="86" t="e">
        <f>IF(I4869="fora",0%,G4869/QUÓRUM!$C$6)</f>
        <v>#DIV/0!</v>
      </c>
      <c r="I4869" s="87"/>
      <c r="J4869" s="88"/>
      <c r="K4869" s="88"/>
      <c r="L4869" s="89"/>
      <c r="M4869" s="89"/>
      <c r="Q4869" s="105"/>
    </row>
    <row r="4870" spans="3:17" x14ac:dyDescent="0.3">
      <c r="C4870" s="87"/>
      <c r="H4870" s="86" t="e">
        <f>IF(I4870="fora",0%,G4870/QUÓRUM!$C$6)</f>
        <v>#DIV/0!</v>
      </c>
      <c r="I4870" s="87"/>
      <c r="J4870" s="88"/>
      <c r="K4870" s="88"/>
      <c r="L4870" s="89"/>
      <c r="M4870" s="89"/>
      <c r="Q4870" s="105"/>
    </row>
    <row r="4871" spans="3:17" x14ac:dyDescent="0.3">
      <c r="C4871" s="87"/>
      <c r="H4871" s="86" t="e">
        <f>IF(I4871="fora",0%,G4871/QUÓRUM!$C$6)</f>
        <v>#DIV/0!</v>
      </c>
      <c r="I4871" s="87"/>
      <c r="J4871" s="88"/>
      <c r="K4871" s="88"/>
      <c r="L4871" s="89"/>
      <c r="M4871" s="89"/>
      <c r="Q4871" s="105"/>
    </row>
    <row r="4872" spans="3:17" x14ac:dyDescent="0.3">
      <c r="C4872" s="87"/>
      <c r="H4872" s="86" t="e">
        <f>IF(I4872="fora",0%,G4872/QUÓRUM!$C$6)</f>
        <v>#DIV/0!</v>
      </c>
      <c r="I4872" s="87"/>
      <c r="J4872" s="88"/>
      <c r="K4872" s="88"/>
      <c r="L4872" s="89"/>
      <c r="M4872" s="89"/>
      <c r="Q4872" s="105"/>
    </row>
    <row r="4873" spans="3:17" x14ac:dyDescent="0.3">
      <c r="C4873" s="87"/>
      <c r="H4873" s="86" t="e">
        <f>IF(I4873="fora",0%,G4873/QUÓRUM!$C$6)</f>
        <v>#DIV/0!</v>
      </c>
      <c r="I4873" s="87"/>
      <c r="J4873" s="88"/>
      <c r="K4873" s="88"/>
      <c r="L4873" s="89"/>
      <c r="M4873" s="89"/>
      <c r="Q4873" s="105"/>
    </row>
    <row r="4874" spans="3:17" x14ac:dyDescent="0.3">
      <c r="C4874" s="87"/>
      <c r="H4874" s="86" t="e">
        <f>IF(I4874="fora",0%,G4874/QUÓRUM!$C$6)</f>
        <v>#DIV/0!</v>
      </c>
      <c r="I4874" s="87"/>
      <c r="J4874" s="88"/>
      <c r="K4874" s="88"/>
      <c r="L4874" s="89"/>
      <c r="M4874" s="89"/>
      <c r="Q4874" s="105"/>
    </row>
    <row r="4875" spans="3:17" x14ac:dyDescent="0.3">
      <c r="C4875" s="87"/>
      <c r="H4875" s="86" t="e">
        <f>IF(I4875="fora",0%,G4875/QUÓRUM!$C$6)</f>
        <v>#DIV/0!</v>
      </c>
      <c r="I4875" s="87"/>
      <c r="J4875" s="88"/>
      <c r="K4875" s="88"/>
      <c r="L4875" s="89"/>
      <c r="M4875" s="89"/>
      <c r="Q4875" s="105"/>
    </row>
    <row r="4876" spans="3:17" x14ac:dyDescent="0.3">
      <c r="C4876" s="87"/>
      <c r="H4876" s="86" t="e">
        <f>IF(I4876="fora",0%,G4876/QUÓRUM!$C$6)</f>
        <v>#DIV/0!</v>
      </c>
      <c r="I4876" s="87"/>
      <c r="J4876" s="88"/>
      <c r="K4876" s="88"/>
      <c r="L4876" s="89"/>
      <c r="M4876" s="89"/>
      <c r="Q4876" s="105"/>
    </row>
    <row r="4877" spans="3:17" x14ac:dyDescent="0.3">
      <c r="C4877" s="87"/>
      <c r="H4877" s="86" t="e">
        <f>IF(I4877="fora",0%,G4877/QUÓRUM!$C$6)</f>
        <v>#DIV/0!</v>
      </c>
      <c r="I4877" s="87"/>
      <c r="J4877" s="88"/>
      <c r="K4877" s="88"/>
      <c r="L4877" s="89"/>
      <c r="M4877" s="89"/>
      <c r="Q4877" s="105"/>
    </row>
    <row r="4878" spans="3:17" x14ac:dyDescent="0.3">
      <c r="C4878" s="87"/>
      <c r="H4878" s="86" t="e">
        <f>IF(I4878="fora",0%,G4878/QUÓRUM!$C$6)</f>
        <v>#DIV/0!</v>
      </c>
      <c r="I4878" s="87"/>
      <c r="J4878" s="88"/>
      <c r="K4878" s="88"/>
      <c r="L4878" s="89"/>
      <c r="M4878" s="89"/>
      <c r="Q4878" s="105"/>
    </row>
    <row r="4879" spans="3:17" x14ac:dyDescent="0.3">
      <c r="C4879" s="87"/>
      <c r="H4879" s="86" t="e">
        <f>IF(I4879="fora",0%,G4879/QUÓRUM!$C$6)</f>
        <v>#DIV/0!</v>
      </c>
      <c r="I4879" s="87"/>
      <c r="J4879" s="88"/>
      <c r="K4879" s="88"/>
      <c r="L4879" s="89"/>
      <c r="M4879" s="89"/>
      <c r="Q4879" s="105"/>
    </row>
    <row r="4880" spans="3:17" x14ac:dyDescent="0.3">
      <c r="C4880" s="87"/>
      <c r="H4880" s="86" t="e">
        <f>IF(I4880="fora",0%,G4880/QUÓRUM!$C$6)</f>
        <v>#DIV/0!</v>
      </c>
      <c r="I4880" s="87"/>
      <c r="J4880" s="88"/>
      <c r="K4880" s="88"/>
      <c r="L4880" s="89"/>
      <c r="M4880" s="89"/>
      <c r="Q4880" s="105"/>
    </row>
    <row r="4881" spans="3:17" x14ac:dyDescent="0.3">
      <c r="C4881" s="87"/>
      <c r="H4881" s="86" t="e">
        <f>IF(I4881="fora",0%,G4881/QUÓRUM!$C$6)</f>
        <v>#DIV/0!</v>
      </c>
      <c r="I4881" s="87"/>
      <c r="J4881" s="88"/>
      <c r="K4881" s="88"/>
      <c r="L4881" s="89"/>
      <c r="M4881" s="89"/>
      <c r="Q4881" s="105"/>
    </row>
    <row r="4882" spans="3:17" x14ac:dyDescent="0.3">
      <c r="C4882" s="87"/>
      <c r="H4882" s="86" t="e">
        <f>IF(I4882="fora",0%,G4882/QUÓRUM!$C$6)</f>
        <v>#DIV/0!</v>
      </c>
      <c r="I4882" s="87"/>
      <c r="J4882" s="88"/>
      <c r="K4882" s="88"/>
      <c r="L4882" s="89"/>
      <c r="M4882" s="89"/>
      <c r="Q4882" s="105"/>
    </row>
    <row r="4883" spans="3:17" x14ac:dyDescent="0.3">
      <c r="C4883" s="87"/>
      <c r="H4883" s="86" t="e">
        <f>IF(I4883="fora",0%,G4883/QUÓRUM!$C$6)</f>
        <v>#DIV/0!</v>
      </c>
      <c r="I4883" s="87"/>
      <c r="J4883" s="88"/>
      <c r="K4883" s="88"/>
      <c r="L4883" s="89"/>
      <c r="M4883" s="89"/>
      <c r="Q4883" s="105"/>
    </row>
    <row r="4884" spans="3:17" x14ac:dyDescent="0.3">
      <c r="C4884" s="87"/>
      <c r="H4884" s="86" t="e">
        <f>IF(I4884="fora",0%,G4884/QUÓRUM!$C$6)</f>
        <v>#DIV/0!</v>
      </c>
      <c r="I4884" s="87"/>
      <c r="J4884" s="88"/>
      <c r="K4884" s="88"/>
      <c r="L4884" s="89"/>
      <c r="M4884" s="89"/>
      <c r="Q4884" s="105"/>
    </row>
    <row r="4885" spans="3:17" x14ac:dyDescent="0.3">
      <c r="C4885" s="87"/>
      <c r="H4885" s="86" t="e">
        <f>IF(I4885="fora",0%,G4885/QUÓRUM!$C$6)</f>
        <v>#DIV/0!</v>
      </c>
      <c r="I4885" s="87"/>
      <c r="J4885" s="88"/>
      <c r="K4885" s="88"/>
      <c r="L4885" s="89"/>
      <c r="M4885" s="89"/>
      <c r="Q4885" s="105"/>
    </row>
    <row r="4886" spans="3:17" x14ac:dyDescent="0.3">
      <c r="C4886" s="87"/>
      <c r="H4886" s="86" t="e">
        <f>IF(I4886="fora",0%,G4886/QUÓRUM!$C$6)</f>
        <v>#DIV/0!</v>
      </c>
      <c r="I4886" s="87"/>
      <c r="J4886" s="88"/>
      <c r="K4886" s="88"/>
      <c r="L4886" s="89"/>
      <c r="M4886" s="89"/>
      <c r="Q4886" s="105"/>
    </row>
    <row r="4887" spans="3:17" x14ac:dyDescent="0.3">
      <c r="C4887" s="87"/>
      <c r="H4887" s="86" t="e">
        <f>IF(I4887="fora",0%,G4887/QUÓRUM!$C$6)</f>
        <v>#DIV/0!</v>
      </c>
      <c r="I4887" s="87"/>
      <c r="J4887" s="88"/>
      <c r="K4887" s="88"/>
      <c r="L4887" s="89"/>
      <c r="M4887" s="89"/>
      <c r="Q4887" s="105"/>
    </row>
    <row r="4888" spans="3:17" x14ac:dyDescent="0.3">
      <c r="C4888" s="87"/>
      <c r="H4888" s="86" t="e">
        <f>IF(I4888="fora",0%,G4888/QUÓRUM!$C$6)</f>
        <v>#DIV/0!</v>
      </c>
      <c r="I4888" s="87"/>
      <c r="J4888" s="88"/>
      <c r="K4888" s="88"/>
      <c r="L4888" s="89"/>
      <c r="M4888" s="89"/>
      <c r="Q4888" s="105"/>
    </row>
    <row r="4889" spans="3:17" x14ac:dyDescent="0.3">
      <c r="C4889" s="87"/>
      <c r="H4889" s="86" t="e">
        <f>IF(I4889="fora",0%,G4889/QUÓRUM!$C$6)</f>
        <v>#DIV/0!</v>
      </c>
      <c r="I4889" s="87"/>
      <c r="J4889" s="88"/>
      <c r="K4889" s="88"/>
      <c r="L4889" s="89"/>
      <c r="M4889" s="89"/>
      <c r="Q4889" s="105"/>
    </row>
    <row r="4890" spans="3:17" x14ac:dyDescent="0.3">
      <c r="C4890" s="87"/>
      <c r="H4890" s="86" t="e">
        <f>IF(I4890="fora",0%,G4890/QUÓRUM!$C$6)</f>
        <v>#DIV/0!</v>
      </c>
      <c r="I4890" s="87"/>
      <c r="J4890" s="88"/>
      <c r="K4890" s="88"/>
      <c r="L4890" s="89"/>
      <c r="M4890" s="89"/>
      <c r="Q4890" s="105"/>
    </row>
    <row r="4891" spans="3:17" x14ac:dyDescent="0.3">
      <c r="C4891" s="87"/>
      <c r="H4891" s="86" t="e">
        <f>IF(I4891="fora",0%,G4891/QUÓRUM!$C$6)</f>
        <v>#DIV/0!</v>
      </c>
      <c r="I4891" s="87"/>
      <c r="J4891" s="88"/>
      <c r="K4891" s="88"/>
      <c r="L4891" s="89"/>
      <c r="M4891" s="89"/>
      <c r="Q4891" s="105"/>
    </row>
    <row r="4892" spans="3:17" x14ac:dyDescent="0.3">
      <c r="C4892" s="87"/>
      <c r="H4892" s="86" t="e">
        <f>IF(I4892="fora",0%,G4892/QUÓRUM!$C$6)</f>
        <v>#DIV/0!</v>
      </c>
      <c r="I4892" s="87"/>
      <c r="J4892" s="88"/>
      <c r="K4892" s="88"/>
      <c r="L4892" s="89"/>
      <c r="M4892" s="89"/>
      <c r="Q4892" s="105"/>
    </row>
    <row r="4893" spans="3:17" x14ac:dyDescent="0.3">
      <c r="C4893" s="87"/>
      <c r="H4893" s="86" t="e">
        <f>IF(I4893="fora",0%,G4893/QUÓRUM!$C$6)</f>
        <v>#DIV/0!</v>
      </c>
      <c r="I4893" s="87"/>
      <c r="J4893" s="88"/>
      <c r="K4893" s="88"/>
      <c r="L4893" s="89"/>
      <c r="M4893" s="89"/>
      <c r="Q4893" s="105"/>
    </row>
    <row r="4894" spans="3:17" x14ac:dyDescent="0.3">
      <c r="C4894" s="87"/>
      <c r="H4894" s="86" t="e">
        <f>IF(I4894="fora",0%,G4894/QUÓRUM!$C$6)</f>
        <v>#DIV/0!</v>
      </c>
      <c r="I4894" s="87"/>
      <c r="J4894" s="88"/>
      <c r="K4894" s="88"/>
      <c r="L4894" s="89"/>
      <c r="M4894" s="89"/>
      <c r="Q4894" s="105"/>
    </row>
    <row r="4895" spans="3:17" x14ac:dyDescent="0.3">
      <c r="C4895" s="87"/>
      <c r="H4895" s="86" t="e">
        <f>IF(I4895="fora",0%,G4895/QUÓRUM!$C$6)</f>
        <v>#DIV/0!</v>
      </c>
      <c r="I4895" s="87"/>
      <c r="J4895" s="88"/>
      <c r="K4895" s="88"/>
      <c r="L4895" s="89"/>
      <c r="M4895" s="89"/>
      <c r="Q4895" s="105"/>
    </row>
    <row r="4896" spans="3:17" x14ac:dyDescent="0.3">
      <c r="C4896" s="87"/>
      <c r="H4896" s="86" t="e">
        <f>IF(I4896="fora",0%,G4896/QUÓRUM!$C$6)</f>
        <v>#DIV/0!</v>
      </c>
      <c r="I4896" s="87"/>
      <c r="J4896" s="88"/>
      <c r="K4896" s="88"/>
      <c r="L4896" s="89"/>
      <c r="M4896" s="89"/>
      <c r="Q4896" s="105"/>
    </row>
    <row r="4897" spans="3:17" x14ac:dyDescent="0.3">
      <c r="C4897" s="87"/>
      <c r="H4897" s="86" t="e">
        <f>IF(I4897="fora",0%,G4897/QUÓRUM!$C$6)</f>
        <v>#DIV/0!</v>
      </c>
      <c r="I4897" s="87"/>
      <c r="J4897" s="88"/>
      <c r="K4897" s="88"/>
      <c r="L4897" s="89"/>
      <c r="M4897" s="89"/>
      <c r="Q4897" s="105"/>
    </row>
    <row r="4898" spans="3:17" x14ac:dyDescent="0.3">
      <c r="C4898" s="87"/>
      <c r="H4898" s="86" t="e">
        <f>IF(I4898="fora",0%,G4898/QUÓRUM!$C$6)</f>
        <v>#DIV/0!</v>
      </c>
      <c r="I4898" s="87"/>
      <c r="J4898" s="88"/>
      <c r="K4898" s="88"/>
      <c r="L4898" s="89"/>
      <c r="M4898" s="89"/>
      <c r="Q4898" s="105"/>
    </row>
    <row r="4899" spans="3:17" x14ac:dyDescent="0.3">
      <c r="C4899" s="87"/>
      <c r="H4899" s="86" t="e">
        <f>IF(I4899="fora",0%,G4899/QUÓRUM!$C$6)</f>
        <v>#DIV/0!</v>
      </c>
      <c r="I4899" s="87"/>
      <c r="J4899" s="88"/>
      <c r="K4899" s="88"/>
      <c r="L4899" s="89"/>
      <c r="M4899" s="89"/>
      <c r="Q4899" s="105"/>
    </row>
    <row r="4900" spans="3:17" x14ac:dyDescent="0.3">
      <c r="C4900" s="87"/>
      <c r="H4900" s="86" t="e">
        <f>IF(I4900="fora",0%,G4900/QUÓRUM!$C$6)</f>
        <v>#DIV/0!</v>
      </c>
      <c r="I4900" s="87"/>
      <c r="J4900" s="88"/>
      <c r="K4900" s="88"/>
      <c r="L4900" s="89"/>
      <c r="M4900" s="89"/>
      <c r="Q4900" s="105"/>
    </row>
    <row r="4901" spans="3:17" x14ac:dyDescent="0.3">
      <c r="C4901" s="87"/>
      <c r="H4901" s="86" t="e">
        <f>IF(I4901="fora",0%,G4901/QUÓRUM!$C$6)</f>
        <v>#DIV/0!</v>
      </c>
      <c r="I4901" s="87"/>
      <c r="J4901" s="88"/>
      <c r="K4901" s="88"/>
      <c r="L4901" s="89"/>
      <c r="M4901" s="89"/>
      <c r="Q4901" s="105"/>
    </row>
    <row r="4902" spans="3:17" x14ac:dyDescent="0.3">
      <c r="C4902" s="87"/>
      <c r="H4902" s="86" t="e">
        <f>IF(I4902="fora",0%,G4902/QUÓRUM!$C$6)</f>
        <v>#DIV/0!</v>
      </c>
      <c r="I4902" s="87"/>
      <c r="J4902" s="88"/>
      <c r="K4902" s="88"/>
      <c r="L4902" s="89"/>
      <c r="M4902" s="89"/>
      <c r="Q4902" s="105"/>
    </row>
    <row r="4903" spans="3:17" x14ac:dyDescent="0.3">
      <c r="C4903" s="87"/>
      <c r="H4903" s="86" t="e">
        <f>IF(I4903="fora",0%,G4903/QUÓRUM!$C$6)</f>
        <v>#DIV/0!</v>
      </c>
      <c r="I4903" s="87"/>
      <c r="J4903" s="88"/>
      <c r="K4903" s="88"/>
      <c r="L4903" s="89"/>
      <c r="M4903" s="89"/>
      <c r="Q4903" s="105"/>
    </row>
    <row r="4904" spans="3:17" x14ac:dyDescent="0.3">
      <c r="C4904" s="87"/>
      <c r="H4904" s="86" t="e">
        <f>IF(I4904="fora",0%,G4904/QUÓRUM!$C$6)</f>
        <v>#DIV/0!</v>
      </c>
      <c r="I4904" s="87"/>
      <c r="J4904" s="88"/>
      <c r="K4904" s="88"/>
      <c r="L4904" s="89"/>
      <c r="M4904" s="89"/>
      <c r="Q4904" s="105"/>
    </row>
    <row r="4905" spans="3:17" x14ac:dyDescent="0.3">
      <c r="C4905" s="87"/>
      <c r="H4905" s="86" t="e">
        <f>IF(I4905="fora",0%,G4905/QUÓRUM!$C$6)</f>
        <v>#DIV/0!</v>
      </c>
      <c r="I4905" s="87"/>
      <c r="J4905" s="88"/>
      <c r="K4905" s="88"/>
      <c r="L4905" s="89"/>
      <c r="M4905" s="89"/>
      <c r="Q4905" s="105"/>
    </row>
    <row r="4906" spans="3:17" x14ac:dyDescent="0.3">
      <c r="C4906" s="87"/>
      <c r="H4906" s="86" t="e">
        <f>IF(I4906="fora",0%,G4906/QUÓRUM!$C$6)</f>
        <v>#DIV/0!</v>
      </c>
      <c r="I4906" s="87"/>
      <c r="J4906" s="88"/>
      <c r="K4906" s="88"/>
      <c r="L4906" s="89"/>
      <c r="M4906" s="89"/>
      <c r="Q4906" s="105"/>
    </row>
    <row r="4907" spans="3:17" x14ac:dyDescent="0.3">
      <c r="C4907" s="87"/>
      <c r="H4907" s="86" t="e">
        <f>IF(I4907="fora",0%,G4907/QUÓRUM!$C$6)</f>
        <v>#DIV/0!</v>
      </c>
      <c r="I4907" s="87"/>
      <c r="J4907" s="88"/>
      <c r="K4907" s="88"/>
      <c r="L4907" s="89"/>
      <c r="M4907" s="89"/>
      <c r="Q4907" s="105"/>
    </row>
    <row r="4908" spans="3:17" x14ac:dyDescent="0.3">
      <c r="C4908" s="87"/>
      <c r="H4908" s="86" t="e">
        <f>IF(I4908="fora",0%,G4908/QUÓRUM!$C$6)</f>
        <v>#DIV/0!</v>
      </c>
      <c r="I4908" s="87"/>
      <c r="J4908" s="88"/>
      <c r="K4908" s="88"/>
      <c r="L4908" s="89"/>
      <c r="M4908" s="89"/>
      <c r="Q4908" s="105"/>
    </row>
    <row r="4909" spans="3:17" x14ac:dyDescent="0.3">
      <c r="C4909" s="87"/>
      <c r="H4909" s="86" t="e">
        <f>IF(I4909="fora",0%,G4909/QUÓRUM!$C$6)</f>
        <v>#DIV/0!</v>
      </c>
      <c r="I4909" s="87"/>
      <c r="J4909" s="88"/>
      <c r="K4909" s="88"/>
      <c r="L4909" s="89"/>
      <c r="M4909" s="89"/>
      <c r="Q4909" s="105"/>
    </row>
    <row r="4910" spans="3:17" x14ac:dyDescent="0.3">
      <c r="C4910" s="87"/>
      <c r="H4910" s="86" t="e">
        <f>IF(I4910="fora",0%,G4910/QUÓRUM!$C$6)</f>
        <v>#DIV/0!</v>
      </c>
      <c r="I4910" s="87"/>
      <c r="J4910" s="88"/>
      <c r="K4910" s="88"/>
      <c r="L4910" s="89"/>
      <c r="M4910" s="89"/>
      <c r="Q4910" s="105"/>
    </row>
    <row r="4911" spans="3:17" x14ac:dyDescent="0.3">
      <c r="C4911" s="87"/>
      <c r="H4911" s="86" t="e">
        <f>IF(I4911="fora",0%,G4911/QUÓRUM!$C$6)</f>
        <v>#DIV/0!</v>
      </c>
      <c r="I4911" s="87"/>
      <c r="J4911" s="88"/>
      <c r="K4911" s="88"/>
      <c r="L4911" s="89"/>
      <c r="M4911" s="89"/>
      <c r="Q4911" s="105"/>
    </row>
    <row r="4912" spans="3:17" x14ac:dyDescent="0.3">
      <c r="C4912" s="87"/>
      <c r="H4912" s="86" t="e">
        <f>IF(I4912="fora",0%,G4912/QUÓRUM!$C$6)</f>
        <v>#DIV/0!</v>
      </c>
      <c r="I4912" s="87"/>
      <c r="J4912" s="88"/>
      <c r="K4912" s="88"/>
      <c r="L4912" s="89"/>
      <c r="M4912" s="89"/>
      <c r="Q4912" s="105"/>
    </row>
    <row r="4913" spans="3:17" x14ac:dyDescent="0.3">
      <c r="C4913" s="87"/>
      <c r="H4913" s="86" t="e">
        <f>IF(I4913="fora",0%,G4913/QUÓRUM!$C$6)</f>
        <v>#DIV/0!</v>
      </c>
      <c r="I4913" s="87"/>
      <c r="J4913" s="88"/>
      <c r="K4913" s="88"/>
      <c r="L4913" s="89"/>
      <c r="M4913" s="89"/>
      <c r="Q4913" s="105"/>
    </row>
    <row r="4914" spans="3:17" x14ac:dyDescent="0.3">
      <c r="C4914" s="87"/>
      <c r="H4914" s="86" t="e">
        <f>IF(I4914="fora",0%,G4914/QUÓRUM!$C$6)</f>
        <v>#DIV/0!</v>
      </c>
      <c r="I4914" s="87"/>
      <c r="J4914" s="88"/>
      <c r="K4914" s="88"/>
      <c r="L4914" s="89"/>
      <c r="M4914" s="89"/>
      <c r="Q4914" s="105"/>
    </row>
    <row r="4915" spans="3:17" x14ac:dyDescent="0.3">
      <c r="C4915" s="87"/>
      <c r="H4915" s="86" t="e">
        <f>IF(I4915="fora",0%,G4915/QUÓRUM!$C$6)</f>
        <v>#DIV/0!</v>
      </c>
      <c r="I4915" s="87"/>
      <c r="J4915" s="88"/>
      <c r="K4915" s="88"/>
      <c r="L4915" s="89"/>
      <c r="M4915" s="89"/>
      <c r="Q4915" s="105"/>
    </row>
    <row r="4916" spans="3:17" x14ac:dyDescent="0.3">
      <c r="C4916" s="87"/>
      <c r="H4916" s="86" t="e">
        <f>IF(I4916="fora",0%,G4916/QUÓRUM!$C$6)</f>
        <v>#DIV/0!</v>
      </c>
      <c r="I4916" s="87"/>
      <c r="J4916" s="88"/>
      <c r="K4916" s="88"/>
      <c r="L4916" s="89"/>
      <c r="M4916" s="89"/>
      <c r="Q4916" s="105"/>
    </row>
    <row r="4917" spans="3:17" x14ac:dyDescent="0.3">
      <c r="C4917" s="87"/>
      <c r="H4917" s="86" t="e">
        <f>IF(I4917="fora",0%,G4917/QUÓRUM!$C$6)</f>
        <v>#DIV/0!</v>
      </c>
      <c r="I4917" s="87"/>
      <c r="J4917" s="88"/>
      <c r="K4917" s="88"/>
      <c r="L4917" s="89"/>
      <c r="M4917" s="89"/>
      <c r="Q4917" s="105"/>
    </row>
    <row r="4918" spans="3:17" x14ac:dyDescent="0.3">
      <c r="C4918" s="87"/>
      <c r="H4918" s="86" t="e">
        <f>IF(I4918="fora",0%,G4918/QUÓRUM!$C$6)</f>
        <v>#DIV/0!</v>
      </c>
      <c r="I4918" s="87"/>
      <c r="J4918" s="88"/>
      <c r="K4918" s="88"/>
      <c r="L4918" s="89"/>
      <c r="M4918" s="89"/>
      <c r="Q4918" s="105"/>
    </row>
    <row r="4919" spans="3:17" x14ac:dyDescent="0.3">
      <c r="C4919" s="87"/>
      <c r="H4919" s="86" t="e">
        <f>IF(I4919="fora",0%,G4919/QUÓRUM!$C$6)</f>
        <v>#DIV/0!</v>
      </c>
      <c r="I4919" s="87"/>
      <c r="J4919" s="88"/>
      <c r="K4919" s="88"/>
      <c r="L4919" s="89"/>
      <c r="M4919" s="89"/>
      <c r="Q4919" s="105"/>
    </row>
    <row r="4920" spans="3:17" x14ac:dyDescent="0.3">
      <c r="C4920" s="87"/>
      <c r="H4920" s="86" t="e">
        <f>IF(I4920="fora",0%,G4920/QUÓRUM!$C$6)</f>
        <v>#DIV/0!</v>
      </c>
      <c r="I4920" s="87"/>
      <c r="J4920" s="88"/>
      <c r="K4920" s="88"/>
      <c r="L4920" s="89"/>
      <c r="M4920" s="89"/>
      <c r="Q4920" s="105"/>
    </row>
    <row r="4921" spans="3:17" x14ac:dyDescent="0.3">
      <c r="C4921" s="87"/>
      <c r="H4921" s="86" t="e">
        <f>IF(I4921="fora",0%,G4921/QUÓRUM!$C$6)</f>
        <v>#DIV/0!</v>
      </c>
      <c r="I4921" s="87"/>
      <c r="J4921" s="88"/>
      <c r="K4921" s="88"/>
      <c r="L4921" s="89"/>
      <c r="M4921" s="89"/>
      <c r="Q4921" s="105"/>
    </row>
    <row r="4922" spans="3:17" x14ac:dyDescent="0.3">
      <c r="C4922" s="87"/>
      <c r="H4922" s="86" t="e">
        <f>IF(I4922="fora",0%,G4922/QUÓRUM!$C$6)</f>
        <v>#DIV/0!</v>
      </c>
      <c r="I4922" s="87"/>
      <c r="J4922" s="88"/>
      <c r="K4922" s="88"/>
      <c r="L4922" s="89"/>
      <c r="M4922" s="89"/>
      <c r="Q4922" s="105"/>
    </row>
    <row r="4923" spans="3:17" x14ac:dyDescent="0.3">
      <c r="C4923" s="87"/>
      <c r="H4923" s="86" t="e">
        <f>IF(I4923="fora",0%,G4923/QUÓRUM!$C$6)</f>
        <v>#DIV/0!</v>
      </c>
      <c r="I4923" s="87"/>
      <c r="J4923" s="88"/>
      <c r="K4923" s="88"/>
      <c r="L4923" s="89"/>
      <c r="M4923" s="89"/>
      <c r="Q4923" s="105"/>
    </row>
    <row r="4924" spans="3:17" x14ac:dyDescent="0.3">
      <c r="C4924" s="87"/>
      <c r="H4924" s="86" t="e">
        <f>IF(I4924="fora",0%,G4924/QUÓRUM!$C$6)</f>
        <v>#DIV/0!</v>
      </c>
      <c r="I4924" s="87"/>
      <c r="J4924" s="88"/>
      <c r="K4924" s="88"/>
      <c r="L4924" s="89"/>
      <c r="M4924" s="89"/>
      <c r="Q4924" s="105"/>
    </row>
    <row r="4925" spans="3:17" x14ac:dyDescent="0.3">
      <c r="C4925" s="87"/>
      <c r="H4925" s="86" t="e">
        <f>IF(I4925="fora",0%,G4925/QUÓRUM!$C$6)</f>
        <v>#DIV/0!</v>
      </c>
      <c r="I4925" s="87"/>
      <c r="J4925" s="88"/>
      <c r="K4925" s="88"/>
      <c r="L4925" s="89"/>
      <c r="M4925" s="89"/>
      <c r="Q4925" s="105"/>
    </row>
    <row r="4926" spans="3:17" x14ac:dyDescent="0.3">
      <c r="C4926" s="87"/>
      <c r="H4926" s="86" t="e">
        <f>IF(I4926="fora",0%,G4926/QUÓRUM!$C$6)</f>
        <v>#DIV/0!</v>
      </c>
      <c r="I4926" s="87"/>
      <c r="J4926" s="88"/>
      <c r="K4926" s="88"/>
      <c r="L4926" s="89"/>
      <c r="M4926" s="89"/>
      <c r="Q4926" s="105"/>
    </row>
    <row r="4927" spans="3:17" x14ac:dyDescent="0.3">
      <c r="C4927" s="87"/>
      <c r="H4927" s="86" t="e">
        <f>IF(I4927="fora",0%,G4927/QUÓRUM!$C$6)</f>
        <v>#DIV/0!</v>
      </c>
      <c r="I4927" s="87"/>
      <c r="J4927" s="88"/>
      <c r="K4927" s="88"/>
      <c r="L4927" s="89"/>
      <c r="M4927" s="89"/>
      <c r="Q4927" s="105"/>
    </row>
    <row r="4928" spans="3:17" x14ac:dyDescent="0.3">
      <c r="C4928" s="87"/>
      <c r="H4928" s="86" t="e">
        <f>IF(I4928="fora",0%,G4928/QUÓRUM!$C$6)</f>
        <v>#DIV/0!</v>
      </c>
      <c r="I4928" s="87"/>
      <c r="J4928" s="88"/>
      <c r="K4928" s="88"/>
      <c r="L4928" s="89"/>
      <c r="M4928" s="89"/>
      <c r="Q4928" s="105"/>
    </row>
    <row r="4929" spans="3:17" x14ac:dyDescent="0.3">
      <c r="C4929" s="87"/>
      <c r="H4929" s="86" t="e">
        <f>IF(I4929="fora",0%,G4929/QUÓRUM!$C$6)</f>
        <v>#DIV/0!</v>
      </c>
      <c r="I4929" s="87"/>
      <c r="J4929" s="88"/>
      <c r="K4929" s="88"/>
      <c r="L4929" s="89"/>
      <c r="M4929" s="89"/>
      <c r="Q4929" s="105"/>
    </row>
    <row r="4930" spans="3:17" x14ac:dyDescent="0.3">
      <c r="C4930" s="87"/>
      <c r="H4930" s="86" t="e">
        <f>IF(I4930="fora",0%,G4930/QUÓRUM!$C$6)</f>
        <v>#DIV/0!</v>
      </c>
      <c r="I4930" s="87"/>
      <c r="J4930" s="88"/>
      <c r="K4930" s="88"/>
      <c r="L4930" s="89"/>
      <c r="M4930" s="89"/>
      <c r="Q4930" s="105"/>
    </row>
    <row r="4931" spans="3:17" x14ac:dyDescent="0.3">
      <c r="C4931" s="87"/>
      <c r="H4931" s="86" t="e">
        <f>IF(I4931="fora",0%,G4931/QUÓRUM!$C$6)</f>
        <v>#DIV/0!</v>
      </c>
      <c r="I4931" s="87"/>
      <c r="J4931" s="88"/>
      <c r="K4931" s="88"/>
      <c r="L4931" s="89"/>
      <c r="M4931" s="89"/>
      <c r="Q4931" s="105"/>
    </row>
    <row r="4932" spans="3:17" x14ac:dyDescent="0.3">
      <c r="C4932" s="87"/>
      <c r="H4932" s="86" t="e">
        <f>IF(I4932="fora",0%,G4932/QUÓRUM!$C$6)</f>
        <v>#DIV/0!</v>
      </c>
      <c r="I4932" s="87"/>
      <c r="J4932" s="88"/>
      <c r="K4932" s="88"/>
      <c r="L4932" s="89"/>
      <c r="M4932" s="89"/>
      <c r="Q4932" s="105"/>
    </row>
    <row r="4933" spans="3:17" x14ac:dyDescent="0.3">
      <c r="C4933" s="87"/>
      <c r="H4933" s="86" t="e">
        <f>IF(I4933="fora",0%,G4933/QUÓRUM!$C$6)</f>
        <v>#DIV/0!</v>
      </c>
      <c r="I4933" s="87"/>
      <c r="J4933" s="88"/>
      <c r="K4933" s="88"/>
      <c r="L4933" s="89"/>
      <c r="M4933" s="89"/>
      <c r="Q4933" s="105"/>
    </row>
    <row r="4934" spans="3:17" x14ac:dyDescent="0.3">
      <c r="C4934" s="87"/>
      <c r="H4934" s="86" t="e">
        <f>IF(I4934="fora",0%,G4934/QUÓRUM!$C$6)</f>
        <v>#DIV/0!</v>
      </c>
      <c r="I4934" s="87"/>
      <c r="J4934" s="88"/>
      <c r="K4934" s="88"/>
      <c r="L4934" s="89"/>
      <c r="M4934" s="89"/>
      <c r="Q4934" s="105"/>
    </row>
    <row r="4935" spans="3:17" x14ac:dyDescent="0.3">
      <c r="C4935" s="87"/>
      <c r="H4935" s="86" t="e">
        <f>IF(I4935="fora",0%,G4935/QUÓRUM!$C$6)</f>
        <v>#DIV/0!</v>
      </c>
      <c r="I4935" s="87"/>
      <c r="J4935" s="88"/>
      <c r="K4935" s="88"/>
      <c r="L4935" s="89"/>
      <c r="M4935" s="89"/>
      <c r="Q4935" s="105"/>
    </row>
    <row r="4936" spans="3:17" x14ac:dyDescent="0.3">
      <c r="C4936" s="87"/>
      <c r="H4936" s="86" t="e">
        <f>IF(I4936="fora",0%,G4936/QUÓRUM!$C$6)</f>
        <v>#DIV/0!</v>
      </c>
      <c r="I4936" s="87"/>
      <c r="J4936" s="88"/>
      <c r="K4936" s="88"/>
      <c r="L4936" s="89"/>
      <c r="M4936" s="89"/>
      <c r="Q4936" s="105"/>
    </row>
    <row r="4937" spans="3:17" x14ac:dyDescent="0.3">
      <c r="C4937" s="87"/>
      <c r="H4937" s="86" t="e">
        <f>IF(I4937="fora",0%,G4937/QUÓRUM!$C$6)</f>
        <v>#DIV/0!</v>
      </c>
      <c r="I4937" s="87"/>
      <c r="J4937" s="88"/>
      <c r="K4937" s="88"/>
      <c r="L4937" s="89"/>
      <c r="M4937" s="89"/>
      <c r="Q4937" s="105"/>
    </row>
    <row r="4938" spans="3:17" x14ac:dyDescent="0.3">
      <c r="C4938" s="87"/>
      <c r="H4938" s="86" t="e">
        <f>IF(I4938="fora",0%,G4938/QUÓRUM!$C$6)</f>
        <v>#DIV/0!</v>
      </c>
      <c r="I4938" s="87"/>
      <c r="J4938" s="88"/>
      <c r="K4938" s="88"/>
      <c r="L4938" s="89"/>
      <c r="M4938" s="89"/>
      <c r="Q4938" s="105"/>
    </row>
    <row r="4939" spans="3:17" x14ac:dyDescent="0.3">
      <c r="C4939" s="87"/>
      <c r="H4939" s="86" t="e">
        <f>IF(I4939="fora",0%,G4939/QUÓRUM!$C$6)</f>
        <v>#DIV/0!</v>
      </c>
      <c r="I4939" s="87"/>
      <c r="J4939" s="88"/>
      <c r="K4939" s="88"/>
      <c r="L4939" s="89"/>
      <c r="M4939" s="89"/>
      <c r="Q4939" s="105"/>
    </row>
    <row r="4940" spans="3:17" x14ac:dyDescent="0.3">
      <c r="C4940" s="87"/>
      <c r="H4940" s="86" t="e">
        <f>IF(I4940="fora",0%,G4940/QUÓRUM!$C$6)</f>
        <v>#DIV/0!</v>
      </c>
      <c r="I4940" s="87"/>
      <c r="J4940" s="88"/>
      <c r="K4940" s="88"/>
      <c r="L4940" s="89"/>
      <c r="M4940" s="89"/>
      <c r="Q4940" s="105"/>
    </row>
    <row r="4941" spans="3:17" x14ac:dyDescent="0.3">
      <c r="C4941" s="87"/>
      <c r="H4941" s="86" t="e">
        <f>IF(I4941="fora",0%,G4941/QUÓRUM!$C$6)</f>
        <v>#DIV/0!</v>
      </c>
      <c r="I4941" s="87"/>
      <c r="J4941" s="88"/>
      <c r="K4941" s="88"/>
      <c r="L4941" s="89"/>
      <c r="M4941" s="89"/>
      <c r="Q4941" s="105"/>
    </row>
    <row r="4942" spans="3:17" x14ac:dyDescent="0.3">
      <c r="C4942" s="87"/>
      <c r="H4942" s="86" t="e">
        <f>IF(I4942="fora",0%,G4942/QUÓRUM!$C$6)</f>
        <v>#DIV/0!</v>
      </c>
      <c r="I4942" s="87"/>
      <c r="J4942" s="88"/>
      <c r="K4942" s="88"/>
      <c r="L4942" s="89"/>
      <c r="M4942" s="89"/>
      <c r="Q4942" s="105"/>
    </row>
    <row r="4943" spans="3:17" x14ac:dyDescent="0.3">
      <c r="C4943" s="87"/>
      <c r="H4943" s="86" t="e">
        <f>IF(I4943="fora",0%,G4943/QUÓRUM!$C$6)</f>
        <v>#DIV/0!</v>
      </c>
      <c r="I4943" s="87"/>
      <c r="J4943" s="88"/>
      <c r="K4943" s="88"/>
      <c r="L4943" s="89"/>
      <c r="M4943" s="89"/>
      <c r="Q4943" s="105"/>
    </row>
    <row r="4944" spans="3:17" x14ac:dyDescent="0.3">
      <c r="C4944" s="87"/>
      <c r="H4944" s="86" t="e">
        <f>IF(I4944="fora",0%,G4944/QUÓRUM!$C$6)</f>
        <v>#DIV/0!</v>
      </c>
      <c r="I4944" s="87"/>
      <c r="J4944" s="88"/>
      <c r="K4944" s="88"/>
      <c r="L4944" s="89"/>
      <c r="M4944" s="89"/>
      <c r="Q4944" s="105"/>
    </row>
    <row r="4945" spans="3:17" x14ac:dyDescent="0.3">
      <c r="C4945" s="87"/>
      <c r="H4945" s="86" t="e">
        <f>IF(I4945="fora",0%,G4945/QUÓRUM!$C$6)</f>
        <v>#DIV/0!</v>
      </c>
      <c r="I4945" s="87"/>
      <c r="J4945" s="88"/>
      <c r="K4945" s="88"/>
      <c r="L4945" s="89"/>
      <c r="M4945" s="89"/>
      <c r="Q4945" s="105"/>
    </row>
    <row r="4946" spans="3:17" x14ac:dyDescent="0.3">
      <c r="C4946" s="87"/>
      <c r="H4946" s="86" t="e">
        <f>IF(I4946="fora",0%,G4946/QUÓRUM!$C$6)</f>
        <v>#DIV/0!</v>
      </c>
      <c r="I4946" s="87"/>
      <c r="J4946" s="88"/>
      <c r="K4946" s="88"/>
      <c r="L4946" s="89"/>
      <c r="M4946" s="89"/>
      <c r="Q4946" s="105"/>
    </row>
    <row r="4947" spans="3:17" x14ac:dyDescent="0.3">
      <c r="C4947" s="87"/>
      <c r="H4947" s="86" t="e">
        <f>IF(I4947="fora",0%,G4947/QUÓRUM!$C$6)</f>
        <v>#DIV/0!</v>
      </c>
      <c r="I4947" s="87"/>
      <c r="J4947" s="88"/>
      <c r="K4947" s="88"/>
      <c r="L4947" s="89"/>
      <c r="M4947" s="89"/>
      <c r="Q4947" s="105"/>
    </row>
    <row r="4948" spans="3:17" x14ac:dyDescent="0.3">
      <c r="C4948" s="87"/>
      <c r="H4948" s="86" t="e">
        <f>IF(I4948="fora",0%,G4948/QUÓRUM!$C$6)</f>
        <v>#DIV/0!</v>
      </c>
      <c r="I4948" s="87"/>
      <c r="J4948" s="88"/>
      <c r="K4948" s="88"/>
      <c r="L4948" s="89"/>
      <c r="M4948" s="89"/>
      <c r="Q4948" s="105"/>
    </row>
    <row r="4949" spans="3:17" x14ac:dyDescent="0.3">
      <c r="C4949" s="87"/>
      <c r="H4949" s="86" t="e">
        <f>IF(I4949="fora",0%,G4949/QUÓRUM!$C$6)</f>
        <v>#DIV/0!</v>
      </c>
      <c r="I4949" s="87"/>
      <c r="J4949" s="88"/>
      <c r="K4949" s="88"/>
      <c r="L4949" s="89"/>
      <c r="M4949" s="89"/>
      <c r="Q4949" s="105"/>
    </row>
    <row r="4950" spans="3:17" x14ac:dyDescent="0.3">
      <c r="C4950" s="87"/>
      <c r="H4950" s="86" t="e">
        <f>IF(I4950="fora",0%,G4950/QUÓRUM!$C$6)</f>
        <v>#DIV/0!</v>
      </c>
      <c r="I4950" s="87"/>
      <c r="J4950" s="88"/>
      <c r="K4950" s="88"/>
      <c r="L4950" s="89"/>
      <c r="M4950" s="89"/>
      <c r="Q4950" s="105"/>
    </row>
    <row r="4951" spans="3:17" x14ac:dyDescent="0.3">
      <c r="C4951" s="87"/>
      <c r="H4951" s="86" t="e">
        <f>IF(I4951="fora",0%,G4951/QUÓRUM!$C$6)</f>
        <v>#DIV/0!</v>
      </c>
      <c r="I4951" s="87"/>
      <c r="J4951" s="88"/>
      <c r="K4951" s="88"/>
      <c r="L4951" s="89"/>
      <c r="M4951" s="89"/>
      <c r="Q4951" s="105"/>
    </row>
    <row r="4952" spans="3:17" x14ac:dyDescent="0.3">
      <c r="C4952" s="87"/>
      <c r="H4952" s="86" t="e">
        <f>IF(I4952="fora",0%,G4952/QUÓRUM!$C$6)</f>
        <v>#DIV/0!</v>
      </c>
      <c r="I4952" s="87"/>
      <c r="J4952" s="88"/>
      <c r="K4952" s="88"/>
      <c r="L4952" s="89"/>
      <c r="M4952" s="89"/>
      <c r="Q4952" s="105"/>
    </row>
    <row r="4953" spans="3:17" x14ac:dyDescent="0.3">
      <c r="C4953" s="87"/>
      <c r="H4953" s="86" t="e">
        <f>IF(I4953="fora",0%,G4953/QUÓRUM!$C$6)</f>
        <v>#DIV/0!</v>
      </c>
      <c r="I4953" s="87"/>
      <c r="J4953" s="88"/>
      <c r="K4953" s="88"/>
      <c r="L4953" s="89"/>
      <c r="M4953" s="89"/>
      <c r="Q4953" s="105"/>
    </row>
    <row r="4954" spans="3:17" x14ac:dyDescent="0.3">
      <c r="C4954" s="87"/>
      <c r="H4954" s="86" t="e">
        <f>IF(I4954="fora",0%,G4954/QUÓRUM!$C$6)</f>
        <v>#DIV/0!</v>
      </c>
      <c r="I4954" s="87"/>
      <c r="J4954" s="88"/>
      <c r="K4954" s="88"/>
      <c r="L4954" s="89"/>
      <c r="M4954" s="89"/>
      <c r="Q4954" s="105"/>
    </row>
    <row r="4955" spans="3:17" x14ac:dyDescent="0.3">
      <c r="C4955" s="87"/>
      <c r="H4955" s="86" t="e">
        <f>IF(I4955="fora",0%,G4955/QUÓRUM!$C$6)</f>
        <v>#DIV/0!</v>
      </c>
      <c r="I4955" s="87"/>
      <c r="J4955" s="88"/>
      <c r="K4955" s="88"/>
      <c r="L4955" s="89"/>
      <c r="M4955" s="89"/>
      <c r="Q4955" s="105"/>
    </row>
    <row r="4956" spans="3:17" x14ac:dyDescent="0.3">
      <c r="C4956" s="87"/>
      <c r="H4956" s="86" t="e">
        <f>IF(I4956="fora",0%,G4956/QUÓRUM!$C$6)</f>
        <v>#DIV/0!</v>
      </c>
      <c r="I4956" s="87"/>
      <c r="J4956" s="88"/>
      <c r="K4956" s="88"/>
      <c r="L4956" s="89"/>
      <c r="M4956" s="89"/>
      <c r="Q4956" s="105"/>
    </row>
    <row r="4957" spans="3:17" x14ac:dyDescent="0.3">
      <c r="C4957" s="87"/>
      <c r="H4957" s="86" t="e">
        <f>IF(I4957="fora",0%,G4957/QUÓRUM!$C$6)</f>
        <v>#DIV/0!</v>
      </c>
      <c r="I4957" s="87"/>
      <c r="J4957" s="88"/>
      <c r="K4957" s="88"/>
      <c r="L4957" s="89"/>
      <c r="M4957" s="89"/>
      <c r="Q4957" s="105"/>
    </row>
    <row r="4958" spans="3:17" x14ac:dyDescent="0.3">
      <c r="C4958" s="87"/>
      <c r="H4958" s="86" t="e">
        <f>IF(I4958="fora",0%,G4958/QUÓRUM!$C$6)</f>
        <v>#DIV/0!</v>
      </c>
      <c r="I4958" s="87"/>
      <c r="J4958" s="88"/>
      <c r="K4958" s="88"/>
      <c r="L4958" s="89"/>
      <c r="M4958" s="89"/>
      <c r="Q4958" s="105"/>
    </row>
    <row r="4959" spans="3:17" x14ac:dyDescent="0.3">
      <c r="C4959" s="87"/>
      <c r="H4959" s="86" t="e">
        <f>IF(I4959="fora",0%,G4959/QUÓRUM!$C$6)</f>
        <v>#DIV/0!</v>
      </c>
      <c r="I4959" s="87"/>
      <c r="J4959" s="88"/>
      <c r="K4959" s="88"/>
      <c r="L4959" s="89"/>
      <c r="M4959" s="89"/>
      <c r="Q4959" s="105"/>
    </row>
    <row r="4960" spans="3:17" x14ac:dyDescent="0.3">
      <c r="C4960" s="87"/>
      <c r="H4960" s="86" t="e">
        <f>IF(I4960="fora",0%,G4960/QUÓRUM!$C$6)</f>
        <v>#DIV/0!</v>
      </c>
      <c r="I4960" s="87"/>
      <c r="J4960" s="88"/>
      <c r="K4960" s="88"/>
      <c r="L4960" s="89"/>
      <c r="M4960" s="89"/>
      <c r="Q4960" s="105"/>
    </row>
    <row r="4961" spans="3:17" x14ac:dyDescent="0.3">
      <c r="C4961" s="87"/>
      <c r="H4961" s="86" t="e">
        <f>IF(I4961="fora",0%,G4961/QUÓRUM!$C$6)</f>
        <v>#DIV/0!</v>
      </c>
      <c r="I4961" s="87"/>
      <c r="J4961" s="88"/>
      <c r="K4961" s="88"/>
      <c r="L4961" s="89"/>
      <c r="M4961" s="89"/>
      <c r="Q4961" s="105"/>
    </row>
    <row r="4962" spans="3:17" x14ac:dyDescent="0.3">
      <c r="C4962" s="87"/>
      <c r="H4962" s="86" t="e">
        <f>IF(I4962="fora",0%,G4962/QUÓRUM!$C$6)</f>
        <v>#DIV/0!</v>
      </c>
      <c r="I4962" s="87"/>
      <c r="J4962" s="88"/>
      <c r="K4962" s="88"/>
      <c r="L4962" s="89"/>
      <c r="M4962" s="89"/>
      <c r="Q4962" s="105"/>
    </row>
    <row r="4963" spans="3:17" x14ac:dyDescent="0.3">
      <c r="C4963" s="87"/>
      <c r="H4963" s="86" t="e">
        <f>IF(I4963="fora",0%,G4963/QUÓRUM!$C$6)</f>
        <v>#DIV/0!</v>
      </c>
      <c r="I4963" s="87"/>
      <c r="J4963" s="88"/>
      <c r="K4963" s="88"/>
      <c r="L4963" s="89"/>
      <c r="M4963" s="89"/>
      <c r="Q4963" s="105"/>
    </row>
    <row r="4964" spans="3:17" x14ac:dyDescent="0.3">
      <c r="C4964" s="87"/>
      <c r="H4964" s="86" t="e">
        <f>IF(I4964="fora",0%,G4964/QUÓRUM!$C$6)</f>
        <v>#DIV/0!</v>
      </c>
      <c r="I4964" s="87"/>
      <c r="J4964" s="88"/>
      <c r="K4964" s="88"/>
      <c r="L4964" s="89"/>
      <c r="M4964" s="89"/>
      <c r="Q4964" s="105"/>
    </row>
    <row r="4965" spans="3:17" x14ac:dyDescent="0.3">
      <c r="C4965" s="87"/>
      <c r="H4965" s="86" t="e">
        <f>IF(I4965="fora",0%,G4965/QUÓRUM!$C$6)</f>
        <v>#DIV/0!</v>
      </c>
      <c r="I4965" s="87"/>
      <c r="J4965" s="88"/>
      <c r="K4965" s="88"/>
      <c r="L4965" s="89"/>
      <c r="M4965" s="89"/>
      <c r="Q4965" s="105"/>
    </row>
    <row r="4966" spans="3:17" x14ac:dyDescent="0.3">
      <c r="C4966" s="87"/>
      <c r="H4966" s="86" t="e">
        <f>IF(I4966="fora",0%,G4966/QUÓRUM!$C$6)</f>
        <v>#DIV/0!</v>
      </c>
      <c r="I4966" s="87"/>
      <c r="J4966" s="88"/>
      <c r="K4966" s="88"/>
      <c r="L4966" s="89"/>
      <c r="M4966" s="89"/>
      <c r="Q4966" s="105"/>
    </row>
    <row r="4967" spans="3:17" x14ac:dyDescent="0.3">
      <c r="C4967" s="87"/>
      <c r="H4967" s="86" t="e">
        <f>IF(I4967="fora",0%,G4967/QUÓRUM!$C$6)</f>
        <v>#DIV/0!</v>
      </c>
      <c r="I4967" s="87"/>
      <c r="J4967" s="88"/>
      <c r="K4967" s="88"/>
      <c r="L4967" s="89"/>
      <c r="M4967" s="89"/>
      <c r="Q4967" s="105"/>
    </row>
    <row r="4968" spans="3:17" x14ac:dyDescent="0.3">
      <c r="C4968" s="87"/>
      <c r="H4968" s="86" t="e">
        <f>IF(I4968="fora",0%,G4968/QUÓRUM!$C$6)</f>
        <v>#DIV/0!</v>
      </c>
      <c r="I4968" s="87"/>
      <c r="J4968" s="88"/>
      <c r="K4968" s="88"/>
      <c r="L4968" s="89"/>
      <c r="M4968" s="89"/>
      <c r="Q4968" s="105"/>
    </row>
    <row r="4969" spans="3:17" x14ac:dyDescent="0.3">
      <c r="C4969" s="87"/>
      <c r="H4969" s="86" t="e">
        <f>IF(I4969="fora",0%,G4969/QUÓRUM!$C$6)</f>
        <v>#DIV/0!</v>
      </c>
      <c r="I4969" s="87"/>
      <c r="J4969" s="88"/>
      <c r="K4969" s="88"/>
      <c r="L4969" s="89"/>
      <c r="M4969" s="89"/>
      <c r="Q4969" s="105"/>
    </row>
    <row r="4970" spans="3:17" x14ac:dyDescent="0.3">
      <c r="C4970" s="87"/>
      <c r="H4970" s="86" t="e">
        <f>IF(I4970="fora",0%,G4970/QUÓRUM!$C$6)</f>
        <v>#DIV/0!</v>
      </c>
      <c r="I4970" s="87"/>
      <c r="J4970" s="88"/>
      <c r="K4970" s="88"/>
      <c r="L4970" s="89"/>
      <c r="M4970" s="89"/>
      <c r="Q4970" s="105"/>
    </row>
    <row r="4971" spans="3:17" x14ac:dyDescent="0.3">
      <c r="C4971" s="87"/>
      <c r="H4971" s="86" t="e">
        <f>IF(I4971="fora",0%,G4971/QUÓRUM!$C$6)</f>
        <v>#DIV/0!</v>
      </c>
      <c r="I4971" s="87"/>
      <c r="J4971" s="88"/>
      <c r="K4971" s="88"/>
      <c r="L4971" s="89"/>
      <c r="M4971" s="89"/>
      <c r="Q4971" s="105"/>
    </row>
    <row r="4972" spans="3:17" x14ac:dyDescent="0.3">
      <c r="C4972" s="87"/>
      <c r="H4972" s="86" t="e">
        <f>IF(I4972="fora",0%,G4972/QUÓRUM!$C$6)</f>
        <v>#DIV/0!</v>
      </c>
      <c r="I4972" s="87"/>
      <c r="J4972" s="88"/>
      <c r="K4972" s="88"/>
      <c r="L4972" s="89"/>
      <c r="M4972" s="89"/>
      <c r="Q4972" s="105"/>
    </row>
    <row r="4973" spans="3:17" x14ac:dyDescent="0.3">
      <c r="C4973" s="87"/>
      <c r="H4973" s="86" t="e">
        <f>IF(I4973="fora",0%,G4973/QUÓRUM!$C$6)</f>
        <v>#DIV/0!</v>
      </c>
      <c r="I4973" s="87"/>
      <c r="J4973" s="88"/>
      <c r="K4973" s="88"/>
      <c r="L4973" s="89"/>
      <c r="M4973" s="89"/>
      <c r="Q4973" s="105"/>
    </row>
    <row r="4974" spans="3:17" x14ac:dyDescent="0.3">
      <c r="C4974" s="87"/>
      <c r="H4974" s="86" t="e">
        <f>IF(I4974="fora",0%,G4974/QUÓRUM!$C$6)</f>
        <v>#DIV/0!</v>
      </c>
      <c r="I4974" s="87"/>
      <c r="J4974" s="88"/>
      <c r="K4974" s="88"/>
      <c r="L4974" s="89"/>
      <c r="M4974" s="89"/>
      <c r="Q4974" s="105"/>
    </row>
    <row r="4975" spans="3:17" x14ac:dyDescent="0.3">
      <c r="C4975" s="87"/>
      <c r="H4975" s="86" t="e">
        <f>IF(I4975="fora",0%,G4975/QUÓRUM!$C$6)</f>
        <v>#DIV/0!</v>
      </c>
      <c r="I4975" s="87"/>
      <c r="J4975" s="88"/>
      <c r="K4975" s="88"/>
      <c r="L4975" s="89"/>
      <c r="M4975" s="89"/>
      <c r="Q4975" s="105"/>
    </row>
    <row r="4976" spans="3:17" x14ac:dyDescent="0.3">
      <c r="C4976" s="87"/>
      <c r="H4976" s="86" t="e">
        <f>IF(I4976="fora",0%,G4976/QUÓRUM!$C$6)</f>
        <v>#DIV/0!</v>
      </c>
      <c r="I4976" s="87"/>
      <c r="J4976" s="88"/>
      <c r="K4976" s="88"/>
      <c r="L4976" s="89"/>
      <c r="M4976" s="89"/>
      <c r="Q4976" s="105"/>
    </row>
    <row r="4977" spans="3:17" x14ac:dyDescent="0.3">
      <c r="C4977" s="87"/>
      <c r="H4977" s="86" t="e">
        <f>IF(I4977="fora",0%,G4977/QUÓRUM!$C$6)</f>
        <v>#DIV/0!</v>
      </c>
      <c r="I4977" s="87"/>
      <c r="J4977" s="88"/>
      <c r="K4977" s="88"/>
      <c r="L4977" s="89"/>
      <c r="M4977" s="89"/>
      <c r="Q4977" s="105"/>
    </row>
    <row r="4978" spans="3:17" x14ac:dyDescent="0.3">
      <c r="C4978" s="87"/>
      <c r="H4978" s="86" t="e">
        <f>IF(I4978="fora",0%,G4978/QUÓRUM!$C$6)</f>
        <v>#DIV/0!</v>
      </c>
      <c r="I4978" s="87"/>
      <c r="J4978" s="88"/>
      <c r="K4978" s="88"/>
      <c r="L4978" s="89"/>
      <c r="M4978" s="89"/>
      <c r="Q4978" s="105"/>
    </row>
    <row r="4979" spans="3:17" x14ac:dyDescent="0.3">
      <c r="C4979" s="87"/>
      <c r="H4979" s="86" t="e">
        <f>IF(I4979="fora",0%,G4979/QUÓRUM!$C$6)</f>
        <v>#DIV/0!</v>
      </c>
      <c r="I4979" s="87"/>
      <c r="J4979" s="88"/>
      <c r="K4979" s="88"/>
      <c r="L4979" s="89"/>
      <c r="M4979" s="89"/>
      <c r="Q4979" s="105"/>
    </row>
    <row r="4980" spans="3:17" x14ac:dyDescent="0.3">
      <c r="C4980" s="87"/>
      <c r="H4980" s="86" t="e">
        <f>IF(I4980="fora",0%,G4980/QUÓRUM!$C$6)</f>
        <v>#DIV/0!</v>
      </c>
      <c r="I4980" s="87"/>
      <c r="J4980" s="88"/>
      <c r="K4980" s="88"/>
      <c r="L4980" s="89"/>
      <c r="M4980" s="89"/>
      <c r="Q4980" s="105"/>
    </row>
    <row r="4981" spans="3:17" x14ac:dyDescent="0.3">
      <c r="C4981" s="87"/>
      <c r="H4981" s="86" t="e">
        <f>IF(I4981="fora",0%,G4981/QUÓRUM!$C$6)</f>
        <v>#DIV/0!</v>
      </c>
      <c r="I4981" s="87"/>
      <c r="J4981" s="88"/>
      <c r="K4981" s="88"/>
      <c r="L4981" s="89"/>
      <c r="M4981" s="89"/>
      <c r="Q4981" s="105"/>
    </row>
    <row r="4982" spans="3:17" x14ac:dyDescent="0.3">
      <c r="C4982" s="87"/>
      <c r="H4982" s="86" t="e">
        <f>IF(I4982="fora",0%,G4982/QUÓRUM!$C$6)</f>
        <v>#DIV/0!</v>
      </c>
      <c r="I4982" s="87"/>
      <c r="J4982" s="88"/>
      <c r="K4982" s="88"/>
      <c r="L4982" s="89"/>
      <c r="M4982" s="89"/>
      <c r="Q4982" s="105"/>
    </row>
    <row r="4983" spans="3:17" x14ac:dyDescent="0.3">
      <c r="C4983" s="87"/>
      <c r="H4983" s="86" t="e">
        <f>IF(I4983="fora",0%,G4983/QUÓRUM!$C$6)</f>
        <v>#DIV/0!</v>
      </c>
      <c r="I4983" s="87"/>
      <c r="J4983" s="88"/>
      <c r="K4983" s="88"/>
      <c r="L4983" s="89"/>
      <c r="M4983" s="89"/>
      <c r="Q4983" s="105"/>
    </row>
    <row r="4984" spans="3:17" x14ac:dyDescent="0.3">
      <c r="C4984" s="87"/>
      <c r="H4984" s="86" t="e">
        <f>IF(I4984="fora",0%,G4984/QUÓRUM!$C$6)</f>
        <v>#DIV/0!</v>
      </c>
      <c r="I4984" s="87"/>
      <c r="J4984" s="88"/>
      <c r="K4984" s="88"/>
      <c r="L4984" s="89"/>
      <c r="M4984" s="89"/>
      <c r="Q4984" s="105"/>
    </row>
    <row r="4985" spans="3:17" x14ac:dyDescent="0.3">
      <c r="C4985" s="87"/>
      <c r="H4985" s="86" t="e">
        <f>IF(I4985="fora",0%,G4985/QUÓRUM!$C$6)</f>
        <v>#DIV/0!</v>
      </c>
      <c r="I4985" s="87"/>
      <c r="J4985" s="88"/>
      <c r="K4985" s="88"/>
      <c r="L4985" s="89"/>
      <c r="M4985" s="89"/>
      <c r="Q4985" s="105"/>
    </row>
    <row r="4986" spans="3:17" x14ac:dyDescent="0.3">
      <c r="C4986" s="87"/>
      <c r="H4986" s="86" t="e">
        <f>IF(I4986="fora",0%,G4986/QUÓRUM!$C$6)</f>
        <v>#DIV/0!</v>
      </c>
      <c r="I4986" s="87"/>
      <c r="J4986" s="88"/>
      <c r="K4986" s="88"/>
      <c r="L4986" s="89"/>
      <c r="M4986" s="89"/>
      <c r="Q4986" s="105"/>
    </row>
    <row r="4987" spans="3:17" x14ac:dyDescent="0.3">
      <c r="C4987" s="87"/>
      <c r="H4987" s="86" t="e">
        <f>IF(I4987="fora",0%,G4987/QUÓRUM!$C$6)</f>
        <v>#DIV/0!</v>
      </c>
      <c r="I4987" s="87"/>
      <c r="J4987" s="88"/>
      <c r="K4987" s="88"/>
      <c r="L4987" s="89"/>
      <c r="M4987" s="89"/>
      <c r="Q4987" s="105"/>
    </row>
    <row r="4988" spans="3:17" x14ac:dyDescent="0.3">
      <c r="C4988" s="87"/>
      <c r="H4988" s="86" t="e">
        <f>IF(I4988="fora",0%,G4988/QUÓRUM!$C$6)</f>
        <v>#DIV/0!</v>
      </c>
      <c r="I4988" s="87"/>
      <c r="J4988" s="88"/>
      <c r="K4988" s="88"/>
      <c r="L4988" s="89"/>
      <c r="M4988" s="89"/>
      <c r="Q4988" s="105"/>
    </row>
    <row r="4989" spans="3:17" x14ac:dyDescent="0.3">
      <c r="C4989" s="87"/>
      <c r="H4989" s="86" t="e">
        <f>IF(I4989="fora",0%,G4989/QUÓRUM!$C$6)</f>
        <v>#DIV/0!</v>
      </c>
      <c r="I4989" s="87"/>
      <c r="J4989" s="88"/>
      <c r="K4989" s="88"/>
      <c r="L4989" s="89"/>
      <c r="M4989" s="89"/>
      <c r="Q4989" s="105"/>
    </row>
    <row r="4990" spans="3:17" x14ac:dyDescent="0.3">
      <c r="C4990" s="87"/>
      <c r="H4990" s="86" t="e">
        <f>IF(I4990="fora",0%,G4990/QUÓRUM!$C$6)</f>
        <v>#DIV/0!</v>
      </c>
      <c r="I4990" s="87"/>
      <c r="J4990" s="88"/>
      <c r="K4990" s="88"/>
      <c r="L4990" s="89"/>
      <c r="M4990" s="89"/>
      <c r="Q4990" s="105"/>
    </row>
    <row r="4991" spans="3:17" x14ac:dyDescent="0.3">
      <c r="C4991" s="87"/>
      <c r="H4991" s="86" t="e">
        <f>IF(I4991="fora",0%,G4991/QUÓRUM!$C$6)</f>
        <v>#DIV/0!</v>
      </c>
      <c r="I4991" s="87"/>
      <c r="J4991" s="88"/>
      <c r="K4991" s="88"/>
      <c r="L4991" s="89"/>
      <c r="M4991" s="89"/>
      <c r="Q4991" s="105"/>
    </row>
    <row r="4992" spans="3:17" x14ac:dyDescent="0.3">
      <c r="C4992" s="87"/>
      <c r="H4992" s="86" t="e">
        <f>IF(I4992="fora",0%,G4992/QUÓRUM!$C$6)</f>
        <v>#DIV/0!</v>
      </c>
      <c r="I4992" s="87"/>
      <c r="J4992" s="88"/>
      <c r="K4992" s="88"/>
      <c r="L4992" s="89"/>
      <c r="M4992" s="89"/>
      <c r="Q4992" s="105"/>
    </row>
    <row r="4993" spans="3:17" x14ac:dyDescent="0.3">
      <c r="C4993" s="87"/>
      <c r="H4993" s="86" t="e">
        <f>IF(I4993="fora",0%,G4993/QUÓRUM!$C$6)</f>
        <v>#DIV/0!</v>
      </c>
      <c r="I4993" s="87"/>
      <c r="J4993" s="88"/>
      <c r="K4993" s="88"/>
      <c r="L4993" s="89"/>
      <c r="M4993" s="89"/>
      <c r="Q4993" s="105"/>
    </row>
    <row r="4994" spans="3:17" x14ac:dyDescent="0.3">
      <c r="C4994" s="87"/>
      <c r="H4994" s="86" t="e">
        <f>IF(I4994="fora",0%,G4994/QUÓRUM!$C$6)</f>
        <v>#DIV/0!</v>
      </c>
      <c r="I4994" s="87"/>
      <c r="J4994" s="88"/>
      <c r="K4994" s="88"/>
      <c r="L4994" s="89"/>
      <c r="M4994" s="89"/>
      <c r="Q4994" s="105"/>
    </row>
    <row r="4995" spans="3:17" x14ac:dyDescent="0.3">
      <c r="C4995" s="87"/>
      <c r="H4995" s="86" t="e">
        <f>IF(I4995="fora",0%,G4995/QUÓRUM!$C$6)</f>
        <v>#DIV/0!</v>
      </c>
      <c r="I4995" s="87"/>
      <c r="J4995" s="88"/>
      <c r="K4995" s="88"/>
      <c r="L4995" s="89"/>
      <c r="M4995" s="89"/>
      <c r="Q4995" s="105"/>
    </row>
    <row r="4996" spans="3:17" x14ac:dyDescent="0.3">
      <c r="C4996" s="87"/>
      <c r="H4996" s="86" t="e">
        <f>IF(I4996="fora",0%,G4996/QUÓRUM!$C$6)</f>
        <v>#DIV/0!</v>
      </c>
      <c r="I4996" s="87"/>
      <c r="J4996" s="88"/>
      <c r="K4996" s="88"/>
      <c r="L4996" s="89"/>
      <c r="M4996" s="89"/>
      <c r="Q4996" s="105"/>
    </row>
    <row r="4997" spans="3:17" x14ac:dyDescent="0.3">
      <c r="C4997" s="87"/>
      <c r="H4997" s="86" t="e">
        <f>IF(I4997="fora",0%,G4997/QUÓRUM!$C$6)</f>
        <v>#DIV/0!</v>
      </c>
      <c r="I4997" s="87"/>
      <c r="J4997" s="88"/>
      <c r="K4997" s="88"/>
      <c r="L4997" s="89"/>
      <c r="M4997" s="89"/>
      <c r="Q4997" s="105"/>
    </row>
    <row r="4998" spans="3:17" x14ac:dyDescent="0.3">
      <c r="C4998" s="87"/>
      <c r="H4998" s="86" t="e">
        <f>IF(I4998="fora",0%,G4998/QUÓRUM!$C$6)</f>
        <v>#DIV/0!</v>
      </c>
      <c r="I4998" s="87"/>
      <c r="J4998" s="88"/>
      <c r="K4998" s="88"/>
      <c r="L4998" s="89"/>
      <c r="M4998" s="89"/>
      <c r="Q4998" s="105"/>
    </row>
    <row r="4999" spans="3:17" x14ac:dyDescent="0.3">
      <c r="C4999" s="87"/>
      <c r="H4999" s="86" t="e">
        <f>IF(I4999="fora",0%,G4999/QUÓRUM!$C$6)</f>
        <v>#DIV/0!</v>
      </c>
      <c r="I4999" s="87"/>
      <c r="J4999" s="88"/>
      <c r="K4999" s="88"/>
      <c r="L4999" s="89"/>
      <c r="M4999" s="89"/>
      <c r="Q4999" s="105"/>
    </row>
    <row r="5000" spans="3:17" x14ac:dyDescent="0.3">
      <c r="C5000" s="87"/>
      <c r="H5000" s="86" t="e">
        <f>IF(I5000="fora",0%,G5000/QUÓRUM!$C$6)</f>
        <v>#DIV/0!</v>
      </c>
      <c r="I5000" s="87"/>
      <c r="J5000" s="88"/>
      <c r="K5000" s="88"/>
      <c r="L5000" s="89"/>
      <c r="M5000" s="89"/>
      <c r="Q5000" s="105"/>
    </row>
    <row r="5001" spans="3:17" x14ac:dyDescent="0.3">
      <c r="C5001" s="87"/>
      <c r="H5001" s="86" t="e">
        <f>IF(I5001="fora",0%,G5001/QUÓRUM!$C$6)</f>
        <v>#DIV/0!</v>
      </c>
      <c r="I5001" s="87"/>
      <c r="J5001" s="88"/>
      <c r="K5001" s="88"/>
      <c r="L5001" s="89"/>
      <c r="M5001" s="89"/>
      <c r="Q5001" s="105"/>
    </row>
    <row r="5002" spans="3:17" x14ac:dyDescent="0.3">
      <c r="C5002" s="87"/>
      <c r="H5002" s="86" t="e">
        <f>IF(I5002="fora",0%,G5002/QUÓRUM!$C$6)</f>
        <v>#DIV/0!</v>
      </c>
      <c r="I5002" s="87"/>
      <c r="J5002" s="88"/>
      <c r="K5002" s="88"/>
      <c r="L5002" s="89"/>
      <c r="M5002" s="89"/>
      <c r="Q5002" s="105"/>
    </row>
    <row r="5003" spans="3:17" x14ac:dyDescent="0.3">
      <c r="C5003" s="87"/>
      <c r="H5003" s="86" t="e">
        <f>IF(I5003="fora",0%,G5003/QUÓRUM!$C$6)</f>
        <v>#DIV/0!</v>
      </c>
      <c r="I5003" s="87"/>
      <c r="J5003" s="88"/>
      <c r="K5003" s="88"/>
      <c r="L5003" s="89"/>
      <c r="M5003" s="89"/>
      <c r="Q5003" s="105"/>
    </row>
    <row r="5004" spans="3:17" x14ac:dyDescent="0.3">
      <c r="C5004" s="87"/>
      <c r="H5004" s="86" t="e">
        <f>IF(I5004="fora",0%,G5004/QUÓRUM!$C$6)</f>
        <v>#DIV/0!</v>
      </c>
      <c r="I5004" s="87"/>
      <c r="J5004" s="88"/>
      <c r="K5004" s="88"/>
      <c r="L5004" s="89"/>
      <c r="M5004" s="89"/>
      <c r="Q5004" s="105"/>
    </row>
    <row r="5005" spans="3:17" x14ac:dyDescent="0.3">
      <c r="C5005" s="87"/>
      <c r="H5005" s="86" t="e">
        <f>IF(I5005="fora",0%,G5005/QUÓRUM!$C$6)</f>
        <v>#DIV/0!</v>
      </c>
      <c r="I5005" s="87"/>
      <c r="J5005" s="88"/>
      <c r="K5005" s="88"/>
      <c r="L5005" s="89"/>
      <c r="M5005" s="89"/>
      <c r="Q5005" s="105"/>
    </row>
    <row r="5006" spans="3:17" x14ac:dyDescent="0.3">
      <c r="C5006" s="87"/>
      <c r="H5006" s="86" t="e">
        <f>IF(I5006="fora",0%,G5006/QUÓRUM!$C$6)</f>
        <v>#DIV/0!</v>
      </c>
      <c r="I5006" s="87"/>
      <c r="J5006" s="88"/>
      <c r="K5006" s="88"/>
      <c r="L5006" s="89"/>
      <c r="M5006" s="89"/>
      <c r="Q5006" s="105"/>
    </row>
    <row r="5007" spans="3:17" x14ac:dyDescent="0.3">
      <c r="C5007" s="87"/>
      <c r="H5007" s="86" t="e">
        <f>IF(I5007="fora",0%,G5007/QUÓRUM!$C$6)</f>
        <v>#DIV/0!</v>
      </c>
      <c r="I5007" s="87"/>
      <c r="J5007" s="88"/>
      <c r="K5007" s="88"/>
      <c r="L5007" s="89"/>
      <c r="M5007" s="89"/>
      <c r="Q5007" s="105"/>
    </row>
    <row r="5008" spans="3:17" x14ac:dyDescent="0.3">
      <c r="C5008" s="87"/>
      <c r="H5008" s="86" t="e">
        <f>IF(I5008="fora",0%,G5008/QUÓRUM!$C$6)</f>
        <v>#DIV/0!</v>
      </c>
      <c r="I5008" s="87"/>
      <c r="J5008" s="88"/>
      <c r="K5008" s="88"/>
      <c r="L5008" s="89"/>
      <c r="M5008" s="89"/>
      <c r="Q5008" s="105"/>
    </row>
    <row r="5009" spans="3:17" x14ac:dyDescent="0.3">
      <c r="C5009" s="87"/>
      <c r="H5009" s="86" t="e">
        <f>IF(I5009="fora",0%,G5009/QUÓRUM!$C$6)</f>
        <v>#DIV/0!</v>
      </c>
      <c r="I5009" s="87"/>
      <c r="J5009" s="88"/>
      <c r="K5009" s="88"/>
      <c r="L5009" s="89"/>
      <c r="M5009" s="89"/>
      <c r="Q5009" s="105"/>
    </row>
    <row r="5010" spans="3:17" x14ac:dyDescent="0.3">
      <c r="C5010" s="87"/>
      <c r="H5010" s="86" t="e">
        <f>IF(I5010="fora",0%,G5010/QUÓRUM!$C$6)</f>
        <v>#DIV/0!</v>
      </c>
      <c r="I5010" s="87"/>
      <c r="J5010" s="88"/>
      <c r="K5010" s="88"/>
      <c r="L5010" s="89"/>
      <c r="M5010" s="89"/>
      <c r="Q5010" s="105"/>
    </row>
    <row r="5011" spans="3:17" x14ac:dyDescent="0.3">
      <c r="C5011" s="87"/>
      <c r="H5011" s="86" t="e">
        <f>IF(I5011="fora",0%,G5011/QUÓRUM!$C$6)</f>
        <v>#DIV/0!</v>
      </c>
      <c r="I5011" s="87"/>
      <c r="J5011" s="88"/>
      <c r="K5011" s="88"/>
      <c r="L5011" s="89"/>
      <c r="M5011" s="89"/>
      <c r="Q5011" s="105"/>
    </row>
    <row r="5012" spans="3:17" x14ac:dyDescent="0.3">
      <c r="C5012" s="87"/>
      <c r="H5012" s="86" t="e">
        <f>IF(I5012="fora",0%,G5012/QUÓRUM!$C$6)</f>
        <v>#DIV/0!</v>
      </c>
      <c r="I5012" s="87"/>
      <c r="J5012" s="88"/>
      <c r="K5012" s="88"/>
      <c r="L5012" s="89"/>
      <c r="M5012" s="89"/>
      <c r="Q5012" s="105"/>
    </row>
    <row r="5013" spans="3:17" x14ac:dyDescent="0.3">
      <c r="C5013" s="87"/>
      <c r="H5013" s="86" t="e">
        <f>IF(I5013="fora",0%,G5013/QUÓRUM!$C$6)</f>
        <v>#DIV/0!</v>
      </c>
      <c r="I5013" s="87"/>
      <c r="J5013" s="88"/>
      <c r="K5013" s="88"/>
      <c r="L5013" s="89"/>
      <c r="M5013" s="89"/>
      <c r="Q5013" s="105"/>
    </row>
    <row r="5014" spans="3:17" x14ac:dyDescent="0.3">
      <c r="C5014" s="87"/>
      <c r="H5014" s="86" t="e">
        <f>IF(I5014="fora",0%,G5014/QUÓRUM!$C$6)</f>
        <v>#DIV/0!</v>
      </c>
      <c r="I5014" s="87"/>
      <c r="J5014" s="88"/>
      <c r="K5014" s="88"/>
      <c r="L5014" s="89"/>
      <c r="M5014" s="89"/>
      <c r="Q5014" s="105"/>
    </row>
    <row r="5015" spans="3:17" x14ac:dyDescent="0.3">
      <c r="C5015" s="87"/>
      <c r="H5015" s="86" t="e">
        <f>IF(I5015="fora",0%,G5015/QUÓRUM!$C$6)</f>
        <v>#DIV/0!</v>
      </c>
      <c r="I5015" s="87"/>
      <c r="J5015" s="88"/>
      <c r="K5015" s="88"/>
      <c r="L5015" s="89"/>
      <c r="M5015" s="89"/>
      <c r="Q5015" s="105"/>
    </row>
    <row r="5016" spans="3:17" x14ac:dyDescent="0.3">
      <c r="C5016" s="87"/>
      <c r="H5016" s="86" t="e">
        <f>IF(I5016="fora",0%,G5016/QUÓRUM!$C$6)</f>
        <v>#DIV/0!</v>
      </c>
      <c r="I5016" s="87"/>
      <c r="J5016" s="88"/>
      <c r="K5016" s="88"/>
      <c r="L5016" s="89"/>
      <c r="M5016" s="89"/>
      <c r="Q5016" s="105"/>
    </row>
    <row r="5017" spans="3:17" x14ac:dyDescent="0.3">
      <c r="C5017" s="87"/>
      <c r="H5017" s="86" t="e">
        <f>IF(I5017="fora",0%,G5017/QUÓRUM!$C$6)</f>
        <v>#DIV/0!</v>
      </c>
      <c r="I5017" s="87"/>
      <c r="J5017" s="88"/>
      <c r="K5017" s="88"/>
      <c r="L5017" s="89"/>
      <c r="M5017" s="89"/>
      <c r="Q5017" s="105"/>
    </row>
    <row r="5018" spans="3:17" x14ac:dyDescent="0.3">
      <c r="C5018" s="87"/>
      <c r="H5018" s="86" t="e">
        <f>IF(I5018="fora",0%,G5018/QUÓRUM!$C$6)</f>
        <v>#DIV/0!</v>
      </c>
      <c r="I5018" s="87"/>
      <c r="J5018" s="88"/>
      <c r="K5018" s="88"/>
      <c r="L5018" s="89"/>
      <c r="M5018" s="89"/>
      <c r="Q5018" s="105"/>
    </row>
    <row r="5019" spans="3:17" x14ac:dyDescent="0.3">
      <c r="C5019" s="87"/>
      <c r="H5019" s="86" t="e">
        <f>IF(I5019="fora",0%,G5019/QUÓRUM!$C$6)</f>
        <v>#DIV/0!</v>
      </c>
      <c r="I5019" s="87"/>
      <c r="J5019" s="88"/>
      <c r="K5019" s="88"/>
      <c r="L5019" s="89"/>
      <c r="M5019" s="89"/>
      <c r="Q5019" s="105"/>
    </row>
    <row r="5020" spans="3:17" x14ac:dyDescent="0.3">
      <c r="C5020" s="87"/>
      <c r="H5020" s="86" t="e">
        <f>IF(I5020="fora",0%,G5020/QUÓRUM!$C$6)</f>
        <v>#DIV/0!</v>
      </c>
      <c r="I5020" s="87"/>
      <c r="J5020" s="88"/>
      <c r="K5020" s="88"/>
      <c r="L5020" s="89"/>
      <c r="M5020" s="89"/>
      <c r="Q5020" s="105"/>
    </row>
    <row r="5021" spans="3:17" x14ac:dyDescent="0.3">
      <c r="C5021" s="87"/>
      <c r="H5021" s="86" t="e">
        <f>IF(I5021="fora",0%,G5021/QUÓRUM!$C$6)</f>
        <v>#DIV/0!</v>
      </c>
      <c r="I5021" s="87"/>
      <c r="J5021" s="88"/>
      <c r="K5021" s="88"/>
      <c r="L5021" s="89"/>
      <c r="M5021" s="89"/>
      <c r="Q5021" s="105"/>
    </row>
    <row r="5022" spans="3:17" x14ac:dyDescent="0.3">
      <c r="C5022" s="87"/>
      <c r="H5022" s="86" t="e">
        <f>IF(I5022="fora",0%,G5022/QUÓRUM!$C$6)</f>
        <v>#DIV/0!</v>
      </c>
      <c r="I5022" s="87"/>
      <c r="J5022" s="88"/>
      <c r="K5022" s="88"/>
      <c r="L5022" s="89"/>
      <c r="M5022" s="89"/>
      <c r="Q5022" s="105"/>
    </row>
    <row r="5023" spans="3:17" x14ac:dyDescent="0.3">
      <c r="C5023" s="87"/>
      <c r="H5023" s="86" t="e">
        <f>IF(I5023="fora",0%,G5023/QUÓRUM!$C$6)</f>
        <v>#DIV/0!</v>
      </c>
      <c r="I5023" s="87"/>
      <c r="J5023" s="88"/>
      <c r="K5023" s="88"/>
      <c r="L5023" s="89"/>
      <c r="M5023" s="89"/>
      <c r="Q5023" s="105"/>
    </row>
    <row r="5024" spans="3:17" x14ac:dyDescent="0.3">
      <c r="C5024" s="87"/>
      <c r="H5024" s="86" t="e">
        <f>IF(I5024="fora",0%,G5024/QUÓRUM!$C$6)</f>
        <v>#DIV/0!</v>
      </c>
      <c r="I5024" s="87"/>
      <c r="J5024" s="88"/>
      <c r="K5024" s="88"/>
      <c r="L5024" s="89"/>
      <c r="M5024" s="89"/>
      <c r="Q5024" s="105"/>
    </row>
    <row r="5025" spans="3:17" x14ac:dyDescent="0.3">
      <c r="C5025" s="87"/>
      <c r="H5025" s="86" t="e">
        <f>IF(I5025="fora",0%,G5025/QUÓRUM!$C$6)</f>
        <v>#DIV/0!</v>
      </c>
      <c r="I5025" s="87"/>
      <c r="J5025" s="88"/>
      <c r="K5025" s="88"/>
      <c r="L5025" s="89"/>
      <c r="M5025" s="89"/>
      <c r="Q5025" s="105"/>
    </row>
    <row r="5026" spans="3:17" x14ac:dyDescent="0.3">
      <c r="C5026" s="87"/>
      <c r="H5026" s="86" t="e">
        <f>IF(I5026="fora",0%,G5026/QUÓRUM!$C$6)</f>
        <v>#DIV/0!</v>
      </c>
      <c r="I5026" s="87"/>
      <c r="J5026" s="88"/>
      <c r="K5026" s="88"/>
      <c r="L5026" s="89"/>
      <c r="M5026" s="89"/>
      <c r="Q5026" s="105"/>
    </row>
    <row r="5027" spans="3:17" x14ac:dyDescent="0.3">
      <c r="C5027" s="87"/>
      <c r="H5027" s="86" t="e">
        <f>IF(I5027="fora",0%,G5027/QUÓRUM!$C$6)</f>
        <v>#DIV/0!</v>
      </c>
      <c r="I5027" s="87"/>
      <c r="J5027" s="88"/>
      <c r="K5027" s="88"/>
      <c r="L5027" s="89"/>
      <c r="M5027" s="89"/>
      <c r="Q5027" s="105"/>
    </row>
    <row r="5028" spans="3:17" x14ac:dyDescent="0.3">
      <c r="C5028" s="87"/>
      <c r="H5028" s="86" t="e">
        <f>IF(I5028="fora",0%,G5028/QUÓRUM!$C$6)</f>
        <v>#DIV/0!</v>
      </c>
      <c r="I5028" s="87"/>
      <c r="J5028" s="88"/>
      <c r="K5028" s="88"/>
      <c r="L5028" s="89"/>
      <c r="M5028" s="89"/>
      <c r="Q5028" s="105"/>
    </row>
    <row r="5029" spans="3:17" x14ac:dyDescent="0.3">
      <c r="C5029" s="87"/>
      <c r="H5029" s="86" t="e">
        <f>IF(I5029="fora",0%,G5029/QUÓRUM!$C$6)</f>
        <v>#DIV/0!</v>
      </c>
      <c r="I5029" s="87"/>
      <c r="J5029" s="88"/>
      <c r="K5029" s="88"/>
      <c r="L5029" s="89"/>
      <c r="M5029" s="89"/>
      <c r="Q5029" s="105"/>
    </row>
    <row r="5030" spans="3:17" x14ac:dyDescent="0.3">
      <c r="C5030" s="87"/>
      <c r="H5030" s="86" t="e">
        <f>IF(I5030="fora",0%,G5030/QUÓRUM!$C$6)</f>
        <v>#DIV/0!</v>
      </c>
      <c r="I5030" s="87"/>
      <c r="J5030" s="88"/>
      <c r="K5030" s="88"/>
      <c r="L5030" s="89"/>
      <c r="M5030" s="89"/>
      <c r="Q5030" s="105"/>
    </row>
    <row r="5031" spans="3:17" x14ac:dyDescent="0.3">
      <c r="C5031" s="87"/>
      <c r="H5031" s="86" t="e">
        <f>IF(I5031="fora",0%,G5031/QUÓRUM!$C$6)</f>
        <v>#DIV/0!</v>
      </c>
      <c r="I5031" s="87"/>
      <c r="J5031" s="88"/>
      <c r="K5031" s="88"/>
      <c r="L5031" s="89"/>
      <c r="M5031" s="89"/>
      <c r="Q5031" s="105"/>
    </row>
    <row r="5032" spans="3:17" x14ac:dyDescent="0.3">
      <c r="C5032" s="87"/>
      <c r="H5032" s="86" t="e">
        <f>IF(I5032="fora",0%,G5032/QUÓRUM!$C$6)</f>
        <v>#DIV/0!</v>
      </c>
      <c r="I5032" s="87"/>
      <c r="J5032" s="88"/>
      <c r="K5032" s="88"/>
      <c r="L5032" s="89"/>
      <c r="M5032" s="89"/>
      <c r="Q5032" s="105"/>
    </row>
    <row r="5033" spans="3:17" x14ac:dyDescent="0.3">
      <c r="C5033" s="87"/>
      <c r="H5033" s="86" t="e">
        <f>IF(I5033="fora",0%,G5033/QUÓRUM!$C$6)</f>
        <v>#DIV/0!</v>
      </c>
      <c r="I5033" s="87"/>
      <c r="J5033" s="88"/>
      <c r="K5033" s="88"/>
      <c r="L5033" s="89"/>
      <c r="M5033" s="89"/>
      <c r="Q5033" s="105"/>
    </row>
    <row r="5034" spans="3:17" x14ac:dyDescent="0.3">
      <c r="C5034" s="87"/>
      <c r="H5034" s="86" t="e">
        <f>IF(I5034="fora",0%,G5034/QUÓRUM!$C$6)</f>
        <v>#DIV/0!</v>
      </c>
      <c r="I5034" s="87"/>
      <c r="J5034" s="88"/>
      <c r="K5034" s="88"/>
      <c r="L5034" s="89"/>
      <c r="M5034" s="89"/>
      <c r="Q5034" s="105"/>
    </row>
    <row r="5035" spans="3:17" x14ac:dyDescent="0.3">
      <c r="C5035" s="87"/>
      <c r="H5035" s="86" t="e">
        <f>IF(I5035="fora",0%,G5035/QUÓRUM!$C$6)</f>
        <v>#DIV/0!</v>
      </c>
      <c r="I5035" s="87"/>
      <c r="J5035" s="88"/>
      <c r="K5035" s="88"/>
      <c r="L5035" s="89"/>
      <c r="M5035" s="89"/>
      <c r="Q5035" s="105"/>
    </row>
    <row r="5036" spans="3:17" x14ac:dyDescent="0.3">
      <c r="C5036" s="87"/>
      <c r="H5036" s="86" t="e">
        <f>IF(I5036="fora",0%,G5036/QUÓRUM!$C$6)</f>
        <v>#DIV/0!</v>
      </c>
      <c r="I5036" s="87"/>
      <c r="J5036" s="88"/>
      <c r="K5036" s="88"/>
      <c r="L5036" s="89"/>
      <c r="M5036" s="89"/>
      <c r="Q5036" s="105"/>
    </row>
    <row r="5037" spans="3:17" x14ac:dyDescent="0.3">
      <c r="C5037" s="87"/>
      <c r="H5037" s="86" t="e">
        <f>IF(I5037="fora",0%,G5037/QUÓRUM!$C$6)</f>
        <v>#DIV/0!</v>
      </c>
      <c r="I5037" s="87"/>
      <c r="J5037" s="88"/>
      <c r="K5037" s="88"/>
      <c r="L5037" s="89"/>
      <c r="M5037" s="89"/>
      <c r="Q5037" s="105"/>
    </row>
    <row r="5038" spans="3:17" x14ac:dyDescent="0.3">
      <c r="C5038" s="87"/>
      <c r="H5038" s="86" t="e">
        <f>IF(I5038="fora",0%,G5038/QUÓRUM!$C$6)</f>
        <v>#DIV/0!</v>
      </c>
      <c r="I5038" s="87"/>
      <c r="J5038" s="88"/>
      <c r="K5038" s="88"/>
      <c r="L5038" s="89"/>
      <c r="M5038" s="89"/>
      <c r="Q5038" s="105"/>
    </row>
    <row r="5039" spans="3:17" x14ac:dyDescent="0.3">
      <c r="C5039" s="87"/>
      <c r="H5039" s="86" t="e">
        <f>IF(I5039="fora",0%,G5039/QUÓRUM!$C$6)</f>
        <v>#DIV/0!</v>
      </c>
      <c r="I5039" s="87"/>
      <c r="J5039" s="88"/>
      <c r="K5039" s="88"/>
      <c r="L5039" s="89"/>
      <c r="M5039" s="89"/>
      <c r="Q5039" s="105"/>
    </row>
    <row r="5040" spans="3:17" x14ac:dyDescent="0.3">
      <c r="C5040" s="87"/>
      <c r="H5040" s="86" t="e">
        <f>IF(I5040="fora",0%,G5040/QUÓRUM!$C$6)</f>
        <v>#DIV/0!</v>
      </c>
      <c r="I5040" s="87"/>
      <c r="J5040" s="88"/>
      <c r="K5040" s="88"/>
      <c r="L5040" s="89"/>
      <c r="M5040" s="89"/>
      <c r="Q5040" s="105"/>
    </row>
    <row r="5041" spans="3:17" x14ac:dyDescent="0.3">
      <c r="C5041" s="87"/>
      <c r="H5041" s="86" t="e">
        <f>IF(I5041="fora",0%,G5041/QUÓRUM!$C$6)</f>
        <v>#DIV/0!</v>
      </c>
      <c r="I5041" s="87"/>
      <c r="J5041" s="88"/>
      <c r="K5041" s="88"/>
      <c r="L5041" s="89"/>
      <c r="M5041" s="89"/>
      <c r="Q5041" s="105"/>
    </row>
    <row r="5042" spans="3:17" x14ac:dyDescent="0.3">
      <c r="C5042" s="87"/>
      <c r="H5042" s="86" t="e">
        <f>IF(I5042="fora",0%,G5042/QUÓRUM!$C$6)</f>
        <v>#DIV/0!</v>
      </c>
      <c r="I5042" s="87"/>
      <c r="J5042" s="88"/>
      <c r="K5042" s="88"/>
      <c r="L5042" s="89"/>
      <c r="M5042" s="89"/>
      <c r="Q5042" s="105"/>
    </row>
    <row r="5043" spans="3:17" x14ac:dyDescent="0.3">
      <c r="C5043" s="87"/>
      <c r="H5043" s="86" t="e">
        <f>IF(I5043="fora",0%,G5043/QUÓRUM!$C$6)</f>
        <v>#DIV/0!</v>
      </c>
      <c r="I5043" s="87"/>
      <c r="J5043" s="88"/>
      <c r="K5043" s="88"/>
      <c r="L5043" s="89"/>
      <c r="M5043" s="89"/>
      <c r="Q5043" s="105"/>
    </row>
    <row r="5044" spans="3:17" x14ac:dyDescent="0.3">
      <c r="C5044" s="87"/>
      <c r="H5044" s="86" t="e">
        <f>IF(I5044="fora",0%,G5044/QUÓRUM!$C$6)</f>
        <v>#DIV/0!</v>
      </c>
      <c r="I5044" s="87"/>
      <c r="J5044" s="88"/>
      <c r="K5044" s="88"/>
      <c r="L5044" s="89"/>
      <c r="M5044" s="89"/>
      <c r="Q5044" s="105"/>
    </row>
    <row r="5045" spans="3:17" x14ac:dyDescent="0.3">
      <c r="C5045" s="87"/>
      <c r="H5045" s="86" t="e">
        <f>IF(I5045="fora",0%,G5045/QUÓRUM!$C$6)</f>
        <v>#DIV/0!</v>
      </c>
      <c r="I5045" s="87"/>
      <c r="J5045" s="88"/>
      <c r="K5045" s="88"/>
      <c r="L5045" s="89"/>
      <c r="M5045" s="89"/>
      <c r="Q5045" s="105"/>
    </row>
    <row r="5046" spans="3:17" x14ac:dyDescent="0.3">
      <c r="C5046" s="87"/>
      <c r="H5046" s="86" t="e">
        <f>IF(I5046="fora",0%,G5046/QUÓRUM!$C$6)</f>
        <v>#DIV/0!</v>
      </c>
      <c r="I5046" s="87"/>
      <c r="J5046" s="88"/>
      <c r="K5046" s="88"/>
      <c r="L5046" s="89"/>
      <c r="M5046" s="89"/>
      <c r="Q5046" s="105"/>
    </row>
    <row r="5047" spans="3:17" x14ac:dyDescent="0.3">
      <c r="C5047" s="87"/>
      <c r="H5047" s="86" t="e">
        <f>IF(I5047="fora",0%,G5047/QUÓRUM!$C$6)</f>
        <v>#DIV/0!</v>
      </c>
      <c r="I5047" s="87"/>
      <c r="J5047" s="88"/>
      <c r="K5047" s="88"/>
      <c r="L5047" s="89"/>
      <c r="M5047" s="89"/>
      <c r="Q5047" s="105"/>
    </row>
    <row r="5048" spans="3:17" x14ac:dyDescent="0.3">
      <c r="C5048" s="87"/>
      <c r="H5048" s="86" t="e">
        <f>IF(I5048="fora",0%,G5048/QUÓRUM!$C$6)</f>
        <v>#DIV/0!</v>
      </c>
      <c r="I5048" s="87"/>
      <c r="J5048" s="88"/>
      <c r="K5048" s="88"/>
      <c r="L5048" s="89"/>
      <c r="M5048" s="89"/>
      <c r="Q5048" s="105"/>
    </row>
    <row r="5049" spans="3:17" x14ac:dyDescent="0.3">
      <c r="C5049" s="87"/>
      <c r="H5049" s="86" t="e">
        <f>IF(I5049="fora",0%,G5049/QUÓRUM!$C$6)</f>
        <v>#DIV/0!</v>
      </c>
      <c r="I5049" s="87"/>
      <c r="J5049" s="88"/>
      <c r="K5049" s="88"/>
      <c r="L5049" s="89"/>
      <c r="M5049" s="89"/>
      <c r="Q5049" s="105"/>
    </row>
    <row r="5050" spans="3:17" x14ac:dyDescent="0.3">
      <c r="C5050" s="87"/>
      <c r="H5050" s="86" t="e">
        <f>IF(I5050="fora",0%,G5050/QUÓRUM!$C$6)</f>
        <v>#DIV/0!</v>
      </c>
      <c r="I5050" s="87"/>
      <c r="J5050" s="88"/>
      <c r="K5050" s="88"/>
      <c r="L5050" s="89"/>
      <c r="M5050" s="89"/>
      <c r="Q5050" s="105"/>
    </row>
    <row r="5051" spans="3:17" x14ac:dyDescent="0.3">
      <c r="C5051" s="87"/>
      <c r="H5051" s="86" t="e">
        <f>IF(I5051="fora",0%,G5051/QUÓRUM!$C$6)</f>
        <v>#DIV/0!</v>
      </c>
      <c r="I5051" s="87"/>
      <c r="J5051" s="88"/>
      <c r="K5051" s="88"/>
      <c r="L5051" s="89"/>
      <c r="M5051" s="89"/>
      <c r="Q5051" s="105"/>
    </row>
    <row r="5052" spans="3:17" x14ac:dyDescent="0.3">
      <c r="C5052" s="87"/>
      <c r="H5052" s="86" t="e">
        <f>IF(I5052="fora",0%,G5052/QUÓRUM!$C$6)</f>
        <v>#DIV/0!</v>
      </c>
      <c r="I5052" s="87"/>
      <c r="J5052" s="88"/>
      <c r="K5052" s="88"/>
      <c r="L5052" s="89"/>
      <c r="M5052" s="89"/>
      <c r="Q5052" s="105"/>
    </row>
    <row r="5053" spans="3:17" x14ac:dyDescent="0.3">
      <c r="C5053" s="87"/>
      <c r="H5053" s="86" t="e">
        <f>IF(I5053="fora",0%,G5053/QUÓRUM!$C$6)</f>
        <v>#DIV/0!</v>
      </c>
      <c r="I5053" s="87"/>
      <c r="J5053" s="88"/>
      <c r="K5053" s="88"/>
      <c r="L5053" s="89"/>
      <c r="M5053" s="89"/>
      <c r="Q5053" s="105"/>
    </row>
    <row r="5054" spans="3:17" x14ac:dyDescent="0.3">
      <c r="C5054" s="87"/>
      <c r="H5054" s="86" t="e">
        <f>IF(I5054="fora",0%,G5054/QUÓRUM!$C$6)</f>
        <v>#DIV/0!</v>
      </c>
      <c r="I5054" s="87"/>
      <c r="J5054" s="88"/>
      <c r="K5054" s="88"/>
      <c r="L5054" s="89"/>
      <c r="M5054" s="89"/>
      <c r="Q5054" s="105"/>
    </row>
    <row r="5055" spans="3:17" x14ac:dyDescent="0.3">
      <c r="C5055" s="87"/>
      <c r="H5055" s="86" t="e">
        <f>IF(I5055="fora",0%,G5055/QUÓRUM!$C$6)</f>
        <v>#DIV/0!</v>
      </c>
      <c r="I5055" s="87"/>
      <c r="J5055" s="88"/>
      <c r="K5055" s="88"/>
      <c r="L5055" s="89"/>
      <c r="M5055" s="89"/>
      <c r="Q5055" s="105"/>
    </row>
    <row r="5056" spans="3:17" x14ac:dyDescent="0.3">
      <c r="C5056" s="87"/>
      <c r="H5056" s="86" t="e">
        <f>IF(I5056="fora",0%,G5056/QUÓRUM!$C$6)</f>
        <v>#DIV/0!</v>
      </c>
      <c r="I5056" s="87"/>
      <c r="J5056" s="88"/>
      <c r="K5056" s="88"/>
      <c r="L5056" s="89"/>
      <c r="M5056" s="89"/>
      <c r="Q5056" s="105"/>
    </row>
    <row r="5057" spans="3:17" x14ac:dyDescent="0.3">
      <c r="C5057" s="87"/>
      <c r="H5057" s="86" t="e">
        <f>IF(I5057="fora",0%,G5057/QUÓRUM!$C$6)</f>
        <v>#DIV/0!</v>
      </c>
      <c r="I5057" s="87"/>
      <c r="J5057" s="88"/>
      <c r="K5057" s="88"/>
      <c r="L5057" s="89"/>
      <c r="M5057" s="89"/>
      <c r="Q5057" s="105"/>
    </row>
    <row r="5058" spans="3:17" x14ac:dyDescent="0.3">
      <c r="C5058" s="87"/>
      <c r="H5058" s="86" t="e">
        <f>IF(I5058="fora",0%,G5058/QUÓRUM!$C$6)</f>
        <v>#DIV/0!</v>
      </c>
      <c r="I5058" s="87"/>
      <c r="J5058" s="88"/>
      <c r="K5058" s="88"/>
      <c r="L5058" s="89"/>
      <c r="M5058" s="89"/>
      <c r="Q5058" s="105"/>
    </row>
    <row r="5059" spans="3:17" x14ac:dyDescent="0.3">
      <c r="C5059" s="87"/>
      <c r="H5059" s="86" t="e">
        <f>IF(I5059="fora",0%,G5059/QUÓRUM!$C$6)</f>
        <v>#DIV/0!</v>
      </c>
      <c r="I5059" s="87"/>
      <c r="J5059" s="88"/>
      <c r="K5059" s="88"/>
      <c r="L5059" s="89"/>
      <c r="M5059" s="89"/>
      <c r="Q5059" s="105"/>
    </row>
    <row r="5060" spans="3:17" x14ac:dyDescent="0.3">
      <c r="C5060" s="87"/>
      <c r="H5060" s="86" t="e">
        <f>IF(I5060="fora",0%,G5060/QUÓRUM!$C$6)</f>
        <v>#DIV/0!</v>
      </c>
      <c r="I5060" s="87"/>
      <c r="J5060" s="88"/>
      <c r="K5060" s="88"/>
      <c r="L5060" s="89"/>
      <c r="M5060" s="89"/>
      <c r="Q5060" s="105"/>
    </row>
    <row r="5061" spans="3:17" x14ac:dyDescent="0.3">
      <c r="C5061" s="87"/>
      <c r="H5061" s="86" t="e">
        <f>IF(I5061="fora",0%,G5061/QUÓRUM!$C$6)</f>
        <v>#DIV/0!</v>
      </c>
      <c r="I5061" s="87"/>
      <c r="J5061" s="88"/>
      <c r="K5061" s="88"/>
      <c r="L5061" s="89"/>
      <c r="M5061" s="89"/>
      <c r="Q5061" s="105"/>
    </row>
    <row r="5062" spans="3:17" x14ac:dyDescent="0.3">
      <c r="C5062" s="87"/>
      <c r="H5062" s="86" t="e">
        <f>IF(I5062="fora",0%,G5062/QUÓRUM!$C$6)</f>
        <v>#DIV/0!</v>
      </c>
      <c r="I5062" s="87"/>
      <c r="J5062" s="88"/>
      <c r="K5062" s="88"/>
      <c r="L5062" s="89"/>
      <c r="M5062" s="89"/>
      <c r="Q5062" s="105"/>
    </row>
    <row r="5063" spans="3:17" x14ac:dyDescent="0.3">
      <c r="C5063" s="87"/>
      <c r="H5063" s="86" t="e">
        <f>IF(I5063="fora",0%,G5063/QUÓRUM!$C$6)</f>
        <v>#DIV/0!</v>
      </c>
      <c r="I5063" s="87"/>
      <c r="J5063" s="88"/>
      <c r="K5063" s="88"/>
      <c r="L5063" s="89"/>
      <c r="M5063" s="89"/>
      <c r="Q5063" s="105"/>
    </row>
    <row r="5064" spans="3:17" x14ac:dyDescent="0.3">
      <c r="C5064" s="87"/>
      <c r="H5064" s="86" t="e">
        <f>IF(I5064="fora",0%,G5064/QUÓRUM!$C$6)</f>
        <v>#DIV/0!</v>
      </c>
      <c r="I5064" s="87"/>
      <c r="J5064" s="88"/>
      <c r="K5064" s="88"/>
      <c r="L5064" s="89"/>
      <c r="M5064" s="89"/>
      <c r="Q5064" s="105"/>
    </row>
    <row r="5065" spans="3:17" x14ac:dyDescent="0.3">
      <c r="C5065" s="87"/>
      <c r="H5065" s="86" t="e">
        <f>IF(I5065="fora",0%,G5065/QUÓRUM!$C$6)</f>
        <v>#DIV/0!</v>
      </c>
      <c r="I5065" s="87"/>
      <c r="J5065" s="88"/>
      <c r="K5065" s="88"/>
      <c r="L5065" s="89"/>
      <c r="M5065" s="89"/>
      <c r="Q5065" s="105"/>
    </row>
    <row r="5066" spans="3:17" x14ac:dyDescent="0.3">
      <c r="C5066" s="87"/>
      <c r="H5066" s="86" t="e">
        <f>IF(I5066="fora",0%,G5066/QUÓRUM!$C$6)</f>
        <v>#DIV/0!</v>
      </c>
      <c r="I5066" s="87"/>
      <c r="J5066" s="88"/>
      <c r="K5066" s="88"/>
      <c r="L5066" s="89"/>
      <c r="M5066" s="89"/>
      <c r="Q5066" s="105"/>
    </row>
    <row r="5067" spans="3:17" x14ac:dyDescent="0.3">
      <c r="C5067" s="87"/>
      <c r="H5067" s="86" t="e">
        <f>IF(I5067="fora",0%,G5067/QUÓRUM!$C$6)</f>
        <v>#DIV/0!</v>
      </c>
      <c r="I5067" s="87"/>
      <c r="J5067" s="88"/>
      <c r="K5067" s="88"/>
      <c r="L5067" s="89"/>
      <c r="M5067" s="89"/>
      <c r="Q5067" s="105"/>
    </row>
    <row r="5068" spans="3:17" x14ac:dyDescent="0.3">
      <c r="C5068" s="87"/>
      <c r="H5068" s="86" t="e">
        <f>IF(I5068="fora",0%,G5068/QUÓRUM!$C$6)</f>
        <v>#DIV/0!</v>
      </c>
      <c r="I5068" s="87"/>
      <c r="J5068" s="88"/>
      <c r="K5068" s="88"/>
      <c r="L5068" s="89"/>
      <c r="M5068" s="89"/>
      <c r="Q5068" s="105"/>
    </row>
    <row r="5069" spans="3:17" x14ac:dyDescent="0.3">
      <c r="C5069" s="87"/>
      <c r="H5069" s="86" t="e">
        <f>IF(I5069="fora",0%,G5069/QUÓRUM!$C$6)</f>
        <v>#DIV/0!</v>
      </c>
      <c r="I5069" s="87"/>
      <c r="J5069" s="88"/>
      <c r="K5069" s="88"/>
      <c r="L5069" s="89"/>
      <c r="M5069" s="89"/>
      <c r="Q5069" s="105"/>
    </row>
    <row r="5070" spans="3:17" x14ac:dyDescent="0.3">
      <c r="C5070" s="87"/>
      <c r="H5070" s="86" t="e">
        <f>IF(I5070="fora",0%,G5070/QUÓRUM!$C$6)</f>
        <v>#DIV/0!</v>
      </c>
      <c r="I5070" s="87"/>
      <c r="J5070" s="88"/>
      <c r="K5070" s="88"/>
      <c r="L5070" s="89"/>
      <c r="M5070" s="89"/>
      <c r="Q5070" s="105"/>
    </row>
    <row r="5071" spans="3:17" x14ac:dyDescent="0.3">
      <c r="C5071" s="87"/>
      <c r="H5071" s="86" t="e">
        <f>IF(I5071="fora",0%,G5071/QUÓRUM!$C$6)</f>
        <v>#DIV/0!</v>
      </c>
      <c r="I5071" s="87"/>
      <c r="J5071" s="88"/>
      <c r="K5071" s="88"/>
      <c r="L5071" s="89"/>
      <c r="M5071" s="89"/>
      <c r="Q5071" s="105"/>
    </row>
    <row r="5072" spans="3:17" x14ac:dyDescent="0.3">
      <c r="C5072" s="87"/>
      <c r="H5072" s="86" t="e">
        <f>IF(I5072="fora",0%,G5072/QUÓRUM!$C$6)</f>
        <v>#DIV/0!</v>
      </c>
      <c r="I5072" s="87"/>
      <c r="J5072" s="88"/>
      <c r="K5072" s="88"/>
      <c r="L5072" s="89"/>
      <c r="M5072" s="89"/>
      <c r="Q5072" s="105"/>
    </row>
    <row r="5073" spans="3:17" x14ac:dyDescent="0.3">
      <c r="C5073" s="87"/>
      <c r="H5073" s="86" t="e">
        <f>IF(I5073="fora",0%,G5073/QUÓRUM!$C$6)</f>
        <v>#DIV/0!</v>
      </c>
      <c r="I5073" s="87"/>
      <c r="J5073" s="88"/>
      <c r="K5073" s="88"/>
      <c r="L5073" s="89"/>
      <c r="M5073" s="89"/>
      <c r="Q5073" s="105"/>
    </row>
    <row r="5074" spans="3:17" x14ac:dyDescent="0.3">
      <c r="C5074" s="87"/>
      <c r="H5074" s="86" t="e">
        <f>IF(I5074="fora",0%,G5074/QUÓRUM!$C$6)</f>
        <v>#DIV/0!</v>
      </c>
      <c r="I5074" s="87"/>
      <c r="J5074" s="88"/>
      <c r="K5074" s="88"/>
      <c r="L5074" s="89"/>
      <c r="M5074" s="89"/>
      <c r="Q5074" s="105"/>
    </row>
    <row r="5075" spans="3:17" x14ac:dyDescent="0.3">
      <c r="C5075" s="87"/>
      <c r="H5075" s="86" t="e">
        <f>IF(I5075="fora",0%,G5075/QUÓRUM!$C$6)</f>
        <v>#DIV/0!</v>
      </c>
      <c r="I5075" s="87"/>
      <c r="J5075" s="88"/>
      <c r="K5075" s="88"/>
      <c r="L5075" s="89"/>
      <c r="M5075" s="89"/>
      <c r="Q5075" s="105"/>
    </row>
    <row r="5076" spans="3:17" x14ac:dyDescent="0.3">
      <c r="C5076" s="87"/>
      <c r="H5076" s="86" t="e">
        <f>IF(I5076="fora",0%,G5076/QUÓRUM!$C$6)</f>
        <v>#DIV/0!</v>
      </c>
      <c r="I5076" s="87"/>
      <c r="J5076" s="88"/>
      <c r="K5076" s="88"/>
      <c r="L5076" s="89"/>
      <c r="M5076" s="89"/>
      <c r="Q5076" s="105"/>
    </row>
    <row r="5077" spans="3:17" x14ac:dyDescent="0.3">
      <c r="C5077" s="87"/>
      <c r="H5077" s="86" t="e">
        <f>IF(I5077="fora",0%,G5077/QUÓRUM!$C$6)</f>
        <v>#DIV/0!</v>
      </c>
      <c r="I5077" s="87"/>
      <c r="J5077" s="88"/>
      <c r="K5077" s="88"/>
      <c r="L5077" s="89"/>
      <c r="M5077" s="89"/>
      <c r="Q5077" s="105"/>
    </row>
    <row r="5078" spans="3:17" x14ac:dyDescent="0.3">
      <c r="C5078" s="87"/>
      <c r="H5078" s="86" t="e">
        <f>IF(I5078="fora",0%,G5078/QUÓRUM!$C$6)</f>
        <v>#DIV/0!</v>
      </c>
      <c r="I5078" s="87"/>
      <c r="J5078" s="88"/>
      <c r="K5078" s="88"/>
      <c r="L5078" s="89"/>
      <c r="M5078" s="89"/>
      <c r="Q5078" s="105"/>
    </row>
    <row r="5079" spans="3:17" x14ac:dyDescent="0.3">
      <c r="C5079" s="87"/>
      <c r="H5079" s="86" t="e">
        <f>IF(I5079="fora",0%,G5079/QUÓRUM!$C$6)</f>
        <v>#DIV/0!</v>
      </c>
      <c r="I5079" s="87"/>
      <c r="J5079" s="88"/>
      <c r="K5079" s="88"/>
      <c r="L5079" s="89"/>
      <c r="M5079" s="89"/>
      <c r="Q5079" s="105"/>
    </row>
    <row r="5080" spans="3:17" x14ac:dyDescent="0.3">
      <c r="C5080" s="87"/>
      <c r="H5080" s="86" t="e">
        <f>IF(I5080="fora",0%,G5080/QUÓRUM!$C$6)</f>
        <v>#DIV/0!</v>
      </c>
      <c r="I5080" s="87"/>
      <c r="J5080" s="88"/>
      <c r="K5080" s="88"/>
      <c r="L5080" s="89"/>
      <c r="M5080" s="89"/>
      <c r="Q5080" s="105"/>
    </row>
    <row r="5081" spans="3:17" x14ac:dyDescent="0.3">
      <c r="C5081" s="87"/>
      <c r="H5081" s="86" t="e">
        <f>IF(I5081="fora",0%,G5081/QUÓRUM!$C$6)</f>
        <v>#DIV/0!</v>
      </c>
      <c r="I5081" s="87"/>
      <c r="J5081" s="88"/>
      <c r="K5081" s="88"/>
      <c r="L5081" s="89"/>
      <c r="M5081" s="89"/>
      <c r="Q5081" s="105"/>
    </row>
    <row r="5082" spans="3:17" x14ac:dyDescent="0.3">
      <c r="C5082" s="87"/>
      <c r="H5082" s="86" t="e">
        <f>IF(I5082="fora",0%,G5082/QUÓRUM!$C$6)</f>
        <v>#DIV/0!</v>
      </c>
      <c r="I5082" s="87"/>
      <c r="J5082" s="88"/>
      <c r="K5082" s="88"/>
      <c r="L5082" s="89"/>
      <c r="M5082" s="89"/>
      <c r="Q5082" s="105"/>
    </row>
    <row r="5083" spans="3:17" x14ac:dyDescent="0.3">
      <c r="C5083" s="87"/>
      <c r="H5083" s="86" t="e">
        <f>IF(I5083="fora",0%,G5083/QUÓRUM!$C$6)</f>
        <v>#DIV/0!</v>
      </c>
      <c r="I5083" s="87"/>
      <c r="J5083" s="88"/>
      <c r="K5083" s="88"/>
      <c r="L5083" s="89"/>
      <c r="M5083" s="89"/>
      <c r="Q5083" s="105"/>
    </row>
    <row r="5084" spans="3:17" x14ac:dyDescent="0.3">
      <c r="C5084" s="87"/>
      <c r="H5084" s="86" t="e">
        <f>IF(I5084="fora",0%,G5084/QUÓRUM!$C$6)</f>
        <v>#DIV/0!</v>
      </c>
      <c r="I5084" s="87"/>
      <c r="J5084" s="88"/>
      <c r="K5084" s="88"/>
      <c r="L5084" s="89"/>
      <c r="M5084" s="89"/>
      <c r="Q5084" s="105"/>
    </row>
    <row r="5085" spans="3:17" x14ac:dyDescent="0.3">
      <c r="C5085" s="87"/>
      <c r="H5085" s="86" t="e">
        <f>IF(I5085="fora",0%,G5085/QUÓRUM!$C$6)</f>
        <v>#DIV/0!</v>
      </c>
      <c r="I5085" s="87"/>
      <c r="J5085" s="88"/>
      <c r="K5085" s="88"/>
      <c r="L5085" s="89"/>
      <c r="M5085" s="89"/>
      <c r="Q5085" s="105"/>
    </row>
    <row r="5086" spans="3:17" x14ac:dyDescent="0.3">
      <c r="C5086" s="87"/>
      <c r="H5086" s="86" t="e">
        <f>IF(I5086="fora",0%,G5086/QUÓRUM!$C$6)</f>
        <v>#DIV/0!</v>
      </c>
      <c r="I5086" s="87"/>
      <c r="J5086" s="88"/>
      <c r="K5086" s="88"/>
      <c r="L5086" s="89"/>
      <c r="M5086" s="89"/>
      <c r="Q5086" s="105"/>
    </row>
    <row r="5087" spans="3:17" x14ac:dyDescent="0.3">
      <c r="C5087" s="87"/>
      <c r="H5087" s="86" t="e">
        <f>IF(I5087="fora",0%,G5087/QUÓRUM!$C$6)</f>
        <v>#DIV/0!</v>
      </c>
      <c r="I5087" s="87"/>
      <c r="J5087" s="88"/>
      <c r="K5087" s="88"/>
      <c r="L5087" s="89"/>
      <c r="M5087" s="89"/>
      <c r="Q5087" s="105"/>
    </row>
    <row r="5088" spans="3:17" x14ac:dyDescent="0.3">
      <c r="C5088" s="87"/>
      <c r="H5088" s="86" t="e">
        <f>IF(I5088="fora",0%,G5088/QUÓRUM!$C$6)</f>
        <v>#DIV/0!</v>
      </c>
      <c r="I5088" s="87"/>
      <c r="J5088" s="88"/>
      <c r="K5088" s="88"/>
      <c r="L5088" s="89"/>
      <c r="M5088" s="89"/>
      <c r="Q5088" s="105"/>
    </row>
    <row r="5089" spans="3:17" x14ac:dyDescent="0.3">
      <c r="C5089" s="87"/>
      <c r="H5089" s="86" t="e">
        <f>IF(I5089="fora",0%,G5089/QUÓRUM!$C$6)</f>
        <v>#DIV/0!</v>
      </c>
      <c r="I5089" s="87"/>
      <c r="J5089" s="88"/>
      <c r="K5089" s="88"/>
      <c r="L5089" s="89"/>
      <c r="M5089" s="89"/>
      <c r="Q5089" s="105"/>
    </row>
    <row r="5090" spans="3:17" x14ac:dyDescent="0.3">
      <c r="C5090" s="87"/>
      <c r="H5090" s="86" t="e">
        <f>IF(I5090="fora",0%,G5090/QUÓRUM!$C$6)</f>
        <v>#DIV/0!</v>
      </c>
      <c r="I5090" s="87"/>
      <c r="J5090" s="88"/>
      <c r="K5090" s="88"/>
      <c r="L5090" s="89"/>
      <c r="M5090" s="89"/>
      <c r="Q5090" s="105"/>
    </row>
    <row r="5091" spans="3:17" x14ac:dyDescent="0.3">
      <c r="C5091" s="87"/>
      <c r="H5091" s="86" t="e">
        <f>IF(I5091="fora",0%,G5091/QUÓRUM!$C$6)</f>
        <v>#DIV/0!</v>
      </c>
      <c r="I5091" s="87"/>
      <c r="J5091" s="88"/>
      <c r="K5091" s="88"/>
      <c r="L5091" s="89"/>
      <c r="M5091" s="89"/>
      <c r="Q5091" s="105"/>
    </row>
    <row r="5092" spans="3:17" x14ac:dyDescent="0.3">
      <c r="C5092" s="87"/>
      <c r="H5092" s="86" t="e">
        <f>IF(I5092="fora",0%,G5092/QUÓRUM!$C$6)</f>
        <v>#DIV/0!</v>
      </c>
      <c r="I5092" s="87"/>
      <c r="J5092" s="88"/>
      <c r="K5092" s="88"/>
      <c r="L5092" s="89"/>
      <c r="M5092" s="89"/>
      <c r="Q5092" s="105"/>
    </row>
    <row r="5093" spans="3:17" x14ac:dyDescent="0.3">
      <c r="C5093" s="87"/>
      <c r="H5093" s="86" t="e">
        <f>IF(I5093="fora",0%,G5093/QUÓRUM!$C$6)</f>
        <v>#DIV/0!</v>
      </c>
      <c r="I5093" s="87"/>
      <c r="J5093" s="88"/>
      <c r="K5093" s="88"/>
      <c r="L5093" s="89"/>
      <c r="M5093" s="89"/>
      <c r="Q5093" s="105"/>
    </row>
    <row r="5094" spans="3:17" x14ac:dyDescent="0.3">
      <c r="C5094" s="87"/>
      <c r="H5094" s="86" t="e">
        <f>IF(I5094="fora",0%,G5094/QUÓRUM!$C$6)</f>
        <v>#DIV/0!</v>
      </c>
      <c r="I5094" s="87"/>
      <c r="J5094" s="88"/>
      <c r="K5094" s="88"/>
      <c r="L5094" s="89"/>
      <c r="M5094" s="89"/>
      <c r="Q5094" s="105"/>
    </row>
    <row r="5095" spans="3:17" x14ac:dyDescent="0.3">
      <c r="C5095" s="87"/>
      <c r="H5095" s="86" t="e">
        <f>IF(I5095="fora",0%,G5095/QUÓRUM!$C$6)</f>
        <v>#DIV/0!</v>
      </c>
      <c r="I5095" s="87"/>
      <c r="J5095" s="88"/>
      <c r="K5095" s="88"/>
      <c r="L5095" s="89"/>
      <c r="M5095" s="89"/>
      <c r="Q5095" s="105"/>
    </row>
    <row r="5096" spans="3:17" x14ac:dyDescent="0.3">
      <c r="C5096" s="87"/>
      <c r="H5096" s="86" t="e">
        <f>IF(I5096="fora",0%,G5096/QUÓRUM!$C$6)</f>
        <v>#DIV/0!</v>
      </c>
      <c r="I5096" s="87"/>
      <c r="J5096" s="88"/>
      <c r="K5096" s="88"/>
      <c r="L5096" s="89"/>
      <c r="M5096" s="89"/>
      <c r="Q5096" s="105"/>
    </row>
    <row r="5097" spans="3:17" x14ac:dyDescent="0.3">
      <c r="C5097" s="87"/>
      <c r="H5097" s="86" t="e">
        <f>IF(I5097="fora",0%,G5097/QUÓRUM!$C$6)</f>
        <v>#DIV/0!</v>
      </c>
      <c r="I5097" s="87"/>
      <c r="J5097" s="88"/>
      <c r="K5097" s="88"/>
      <c r="L5097" s="89"/>
      <c r="M5097" s="89"/>
      <c r="Q5097" s="105"/>
    </row>
    <row r="5098" spans="3:17" x14ac:dyDescent="0.3">
      <c r="C5098" s="87"/>
      <c r="H5098" s="86" t="e">
        <f>IF(I5098="fora",0%,G5098/QUÓRUM!$C$6)</f>
        <v>#DIV/0!</v>
      </c>
      <c r="I5098" s="87"/>
      <c r="J5098" s="88"/>
      <c r="K5098" s="88"/>
      <c r="L5098" s="89"/>
      <c r="M5098" s="89"/>
      <c r="Q5098" s="105"/>
    </row>
    <row r="5099" spans="3:17" x14ac:dyDescent="0.3">
      <c r="C5099" s="87"/>
      <c r="H5099" s="86" t="e">
        <f>IF(I5099="fora",0%,G5099/QUÓRUM!$C$6)</f>
        <v>#DIV/0!</v>
      </c>
      <c r="I5099" s="87"/>
      <c r="J5099" s="88"/>
      <c r="K5099" s="88"/>
      <c r="L5099" s="89"/>
      <c r="M5099" s="89"/>
      <c r="Q5099" s="105"/>
    </row>
    <row r="5100" spans="3:17" x14ac:dyDescent="0.3">
      <c r="C5100" s="87"/>
      <c r="H5100" s="86" t="e">
        <f>IF(I5100="fora",0%,G5100/QUÓRUM!$C$6)</f>
        <v>#DIV/0!</v>
      </c>
      <c r="I5100" s="87"/>
      <c r="J5100" s="88"/>
      <c r="K5100" s="88"/>
      <c r="L5100" s="89"/>
      <c r="M5100" s="89"/>
      <c r="Q5100" s="105"/>
    </row>
    <row r="5101" spans="3:17" x14ac:dyDescent="0.3">
      <c r="C5101" s="87"/>
      <c r="H5101" s="86" t="e">
        <f>IF(I5101="fora",0%,G5101/QUÓRUM!$C$6)</f>
        <v>#DIV/0!</v>
      </c>
      <c r="I5101" s="87"/>
      <c r="J5101" s="88"/>
      <c r="K5101" s="88"/>
      <c r="L5101" s="89"/>
      <c r="M5101" s="89"/>
      <c r="Q5101" s="105"/>
    </row>
    <row r="5102" spans="3:17" x14ac:dyDescent="0.3">
      <c r="C5102" s="87"/>
      <c r="H5102" s="86" t="e">
        <f>IF(I5102="fora",0%,G5102/QUÓRUM!$C$6)</f>
        <v>#DIV/0!</v>
      </c>
      <c r="I5102" s="87"/>
      <c r="J5102" s="88"/>
      <c r="K5102" s="88"/>
      <c r="L5102" s="89"/>
      <c r="M5102" s="89"/>
      <c r="Q5102" s="105"/>
    </row>
    <row r="5103" spans="3:17" x14ac:dyDescent="0.3">
      <c r="C5103" s="87"/>
      <c r="H5103" s="86" t="e">
        <f>IF(I5103="fora",0%,G5103/QUÓRUM!$C$6)</f>
        <v>#DIV/0!</v>
      </c>
      <c r="I5103" s="87"/>
      <c r="J5103" s="88"/>
      <c r="K5103" s="88"/>
      <c r="L5103" s="89"/>
      <c r="M5103" s="89"/>
      <c r="Q5103" s="105"/>
    </row>
    <row r="5104" spans="3:17" x14ac:dyDescent="0.3">
      <c r="C5104" s="87"/>
      <c r="H5104" s="86" t="e">
        <f>IF(I5104="fora",0%,G5104/QUÓRUM!$C$6)</f>
        <v>#DIV/0!</v>
      </c>
      <c r="I5104" s="87"/>
      <c r="J5104" s="88"/>
      <c r="K5104" s="88"/>
      <c r="L5104" s="89"/>
      <c r="M5104" s="89"/>
      <c r="Q5104" s="105"/>
    </row>
    <row r="5105" spans="3:17" x14ac:dyDescent="0.3">
      <c r="C5105" s="87"/>
      <c r="H5105" s="86" t="e">
        <f>IF(I5105="fora",0%,G5105/QUÓRUM!$C$6)</f>
        <v>#DIV/0!</v>
      </c>
      <c r="I5105" s="87"/>
      <c r="J5105" s="88"/>
      <c r="K5105" s="88"/>
      <c r="L5105" s="89"/>
      <c r="M5105" s="89"/>
      <c r="Q5105" s="105"/>
    </row>
    <row r="5106" spans="3:17" x14ac:dyDescent="0.3">
      <c r="C5106" s="87"/>
      <c r="H5106" s="86" t="e">
        <f>IF(I5106="fora",0%,G5106/QUÓRUM!$C$6)</f>
        <v>#DIV/0!</v>
      </c>
      <c r="I5106" s="87"/>
      <c r="J5106" s="88"/>
      <c r="K5106" s="88"/>
      <c r="L5106" s="89"/>
      <c r="M5106" s="89"/>
      <c r="Q5106" s="105"/>
    </row>
    <row r="5107" spans="3:17" x14ac:dyDescent="0.3">
      <c r="C5107" s="87"/>
      <c r="H5107" s="86" t="e">
        <f>IF(I5107="fora",0%,G5107/QUÓRUM!$C$6)</f>
        <v>#DIV/0!</v>
      </c>
      <c r="I5107" s="87"/>
      <c r="J5107" s="88"/>
      <c r="K5107" s="88"/>
      <c r="L5107" s="89"/>
      <c r="M5107" s="89"/>
      <c r="Q5107" s="105"/>
    </row>
    <row r="5108" spans="3:17" x14ac:dyDescent="0.3">
      <c r="C5108" s="87"/>
      <c r="H5108" s="86" t="e">
        <f>IF(I5108="fora",0%,G5108/QUÓRUM!$C$6)</f>
        <v>#DIV/0!</v>
      </c>
      <c r="I5108" s="87"/>
      <c r="J5108" s="88"/>
      <c r="K5108" s="88"/>
      <c r="L5108" s="89"/>
      <c r="M5108" s="89"/>
      <c r="Q5108" s="105"/>
    </row>
    <row r="5109" spans="3:17" x14ac:dyDescent="0.3">
      <c r="C5109" s="87"/>
      <c r="H5109" s="86" t="e">
        <f>IF(I5109="fora",0%,G5109/QUÓRUM!$C$6)</f>
        <v>#DIV/0!</v>
      </c>
      <c r="I5109" s="87"/>
      <c r="J5109" s="88"/>
      <c r="K5109" s="88"/>
      <c r="L5109" s="89"/>
      <c r="M5109" s="89"/>
      <c r="Q5109" s="105"/>
    </row>
    <row r="5110" spans="3:17" x14ac:dyDescent="0.3">
      <c r="C5110" s="87"/>
      <c r="H5110" s="86" t="e">
        <f>IF(I5110="fora",0%,G5110/QUÓRUM!$C$6)</f>
        <v>#DIV/0!</v>
      </c>
      <c r="I5110" s="87"/>
      <c r="J5110" s="88"/>
      <c r="K5110" s="88"/>
      <c r="L5110" s="89"/>
      <c r="M5110" s="89"/>
      <c r="Q5110" s="105"/>
    </row>
    <row r="5111" spans="3:17" x14ac:dyDescent="0.3">
      <c r="C5111" s="87"/>
      <c r="H5111" s="86" t="e">
        <f>IF(I5111="fora",0%,G5111/QUÓRUM!$C$6)</f>
        <v>#DIV/0!</v>
      </c>
      <c r="I5111" s="87"/>
      <c r="J5111" s="88"/>
      <c r="K5111" s="88"/>
      <c r="L5111" s="89"/>
      <c r="M5111" s="89"/>
      <c r="Q5111" s="105"/>
    </row>
    <row r="5112" spans="3:17" x14ac:dyDescent="0.3">
      <c r="C5112" s="87"/>
      <c r="H5112" s="86" t="e">
        <f>IF(I5112="fora",0%,G5112/QUÓRUM!$C$6)</f>
        <v>#DIV/0!</v>
      </c>
      <c r="I5112" s="87"/>
      <c r="J5112" s="88"/>
      <c r="K5112" s="88"/>
      <c r="L5112" s="89"/>
      <c r="M5112" s="89"/>
      <c r="Q5112" s="105"/>
    </row>
    <row r="5113" spans="3:17" x14ac:dyDescent="0.3">
      <c r="C5113" s="87"/>
      <c r="H5113" s="86" t="e">
        <f>IF(I5113="fora",0%,G5113/QUÓRUM!$C$6)</f>
        <v>#DIV/0!</v>
      </c>
      <c r="I5113" s="87"/>
      <c r="J5113" s="88"/>
      <c r="K5113" s="88"/>
      <c r="L5113" s="89"/>
      <c r="M5113" s="89"/>
      <c r="Q5113" s="105"/>
    </row>
    <row r="5114" spans="3:17" x14ac:dyDescent="0.3">
      <c r="C5114" s="87"/>
      <c r="H5114" s="86" t="e">
        <f>IF(I5114="fora",0%,G5114/QUÓRUM!$C$6)</f>
        <v>#DIV/0!</v>
      </c>
      <c r="I5114" s="87"/>
      <c r="J5114" s="88"/>
      <c r="K5114" s="88"/>
      <c r="L5114" s="89"/>
      <c r="M5114" s="89"/>
      <c r="Q5114" s="105"/>
    </row>
    <row r="5115" spans="3:17" x14ac:dyDescent="0.3">
      <c r="C5115" s="87"/>
      <c r="H5115" s="86" t="e">
        <f>IF(I5115="fora",0%,G5115/QUÓRUM!$C$6)</f>
        <v>#DIV/0!</v>
      </c>
      <c r="I5115" s="87"/>
      <c r="J5115" s="88"/>
      <c r="K5115" s="88"/>
      <c r="L5115" s="89"/>
      <c r="M5115" s="89"/>
      <c r="Q5115" s="105"/>
    </row>
    <row r="5116" spans="3:17" x14ac:dyDescent="0.3">
      <c r="C5116" s="87"/>
      <c r="H5116" s="86" t="e">
        <f>IF(I5116="fora",0%,G5116/QUÓRUM!$C$6)</f>
        <v>#DIV/0!</v>
      </c>
      <c r="I5116" s="87"/>
      <c r="J5116" s="88"/>
      <c r="K5116" s="88"/>
      <c r="L5116" s="89"/>
      <c r="M5116" s="89"/>
      <c r="Q5116" s="105"/>
    </row>
    <row r="5117" spans="3:17" x14ac:dyDescent="0.3">
      <c r="C5117" s="87"/>
      <c r="H5117" s="86" t="e">
        <f>IF(I5117="fora",0%,G5117/QUÓRUM!$C$6)</f>
        <v>#DIV/0!</v>
      </c>
      <c r="I5117" s="87"/>
      <c r="J5117" s="88"/>
      <c r="K5117" s="88"/>
      <c r="L5117" s="89"/>
      <c r="M5117" s="89"/>
      <c r="Q5117" s="105"/>
    </row>
    <row r="5118" spans="3:17" x14ac:dyDescent="0.3">
      <c r="C5118" s="87"/>
      <c r="H5118" s="86" t="e">
        <f>IF(I5118="fora",0%,G5118/QUÓRUM!$C$6)</f>
        <v>#DIV/0!</v>
      </c>
      <c r="I5118" s="87"/>
      <c r="J5118" s="88"/>
      <c r="K5118" s="88"/>
      <c r="L5118" s="89"/>
      <c r="M5118" s="89"/>
      <c r="Q5118" s="105"/>
    </row>
    <row r="5119" spans="3:17" x14ac:dyDescent="0.3">
      <c r="C5119" s="87"/>
      <c r="H5119" s="86" t="e">
        <f>IF(I5119="fora",0%,G5119/QUÓRUM!$C$6)</f>
        <v>#DIV/0!</v>
      </c>
      <c r="I5119" s="87"/>
      <c r="J5119" s="88"/>
      <c r="K5119" s="88"/>
      <c r="L5119" s="89"/>
      <c r="M5119" s="89"/>
      <c r="Q5119" s="105"/>
    </row>
    <row r="5120" spans="3:17" x14ac:dyDescent="0.3">
      <c r="C5120" s="87"/>
      <c r="H5120" s="86" t="e">
        <f>IF(I5120="fora",0%,G5120/QUÓRUM!$C$6)</f>
        <v>#DIV/0!</v>
      </c>
      <c r="I5120" s="87"/>
      <c r="J5120" s="88"/>
      <c r="K5120" s="88"/>
      <c r="L5120" s="89"/>
      <c r="M5120" s="89"/>
      <c r="Q5120" s="105"/>
    </row>
    <row r="5121" spans="3:17" x14ac:dyDescent="0.3">
      <c r="C5121" s="87"/>
      <c r="H5121" s="86" t="e">
        <f>IF(I5121="fora",0%,G5121/QUÓRUM!$C$6)</f>
        <v>#DIV/0!</v>
      </c>
      <c r="I5121" s="87"/>
      <c r="J5121" s="88"/>
      <c r="K5121" s="88"/>
      <c r="L5121" s="89"/>
      <c r="M5121" s="89"/>
      <c r="Q5121" s="105"/>
    </row>
    <row r="5122" spans="3:17" x14ac:dyDescent="0.3">
      <c r="C5122" s="87"/>
      <c r="H5122" s="86" t="e">
        <f>IF(I5122="fora",0%,G5122/QUÓRUM!$C$6)</f>
        <v>#DIV/0!</v>
      </c>
      <c r="I5122" s="87"/>
      <c r="J5122" s="88"/>
      <c r="K5122" s="88"/>
      <c r="L5122" s="89"/>
      <c r="M5122" s="89"/>
      <c r="Q5122" s="105"/>
    </row>
    <row r="5123" spans="3:17" x14ac:dyDescent="0.3">
      <c r="C5123" s="87"/>
      <c r="H5123" s="86" t="e">
        <f>IF(I5123="fora",0%,G5123/QUÓRUM!$C$6)</f>
        <v>#DIV/0!</v>
      </c>
      <c r="I5123" s="87"/>
      <c r="J5123" s="88"/>
      <c r="K5123" s="88"/>
      <c r="L5123" s="89"/>
      <c r="M5123" s="89"/>
      <c r="Q5123" s="105"/>
    </row>
    <row r="5124" spans="3:17" x14ac:dyDescent="0.3">
      <c r="C5124" s="87"/>
      <c r="H5124" s="86" t="e">
        <f>IF(I5124="fora",0%,G5124/QUÓRUM!$C$6)</f>
        <v>#DIV/0!</v>
      </c>
      <c r="I5124" s="87"/>
      <c r="J5124" s="88"/>
      <c r="K5124" s="88"/>
      <c r="L5124" s="89"/>
      <c r="M5124" s="89"/>
      <c r="Q5124" s="105"/>
    </row>
    <row r="5125" spans="3:17" x14ac:dyDescent="0.3">
      <c r="C5125" s="87"/>
      <c r="H5125" s="86" t="e">
        <f>IF(I5125="fora",0%,G5125/QUÓRUM!$C$6)</f>
        <v>#DIV/0!</v>
      </c>
      <c r="I5125" s="87"/>
      <c r="J5125" s="88"/>
      <c r="K5125" s="88"/>
      <c r="L5125" s="89"/>
      <c r="M5125" s="89"/>
      <c r="Q5125" s="105"/>
    </row>
    <row r="5126" spans="3:17" x14ac:dyDescent="0.3">
      <c r="C5126" s="87"/>
      <c r="H5126" s="86" t="e">
        <f>IF(I5126="fora",0%,G5126/QUÓRUM!$C$6)</f>
        <v>#DIV/0!</v>
      </c>
      <c r="I5126" s="87"/>
      <c r="J5126" s="88"/>
      <c r="K5126" s="88"/>
      <c r="L5126" s="89"/>
      <c r="M5126" s="89"/>
      <c r="Q5126" s="105"/>
    </row>
    <row r="5127" spans="3:17" x14ac:dyDescent="0.3">
      <c r="C5127" s="87"/>
      <c r="H5127" s="86" t="e">
        <f>IF(I5127="fora",0%,G5127/QUÓRUM!$C$6)</f>
        <v>#DIV/0!</v>
      </c>
      <c r="I5127" s="87"/>
      <c r="J5127" s="88"/>
      <c r="K5127" s="88"/>
      <c r="L5127" s="89"/>
      <c r="M5127" s="89"/>
      <c r="Q5127" s="105"/>
    </row>
    <row r="5128" spans="3:17" x14ac:dyDescent="0.3">
      <c r="C5128" s="87"/>
      <c r="H5128" s="86" t="e">
        <f>IF(I5128="fora",0%,G5128/QUÓRUM!$C$6)</f>
        <v>#DIV/0!</v>
      </c>
      <c r="I5128" s="87"/>
      <c r="J5128" s="88"/>
      <c r="K5128" s="88"/>
      <c r="L5128" s="89"/>
      <c r="M5128" s="89"/>
      <c r="Q5128" s="105"/>
    </row>
    <row r="5129" spans="3:17" x14ac:dyDescent="0.3">
      <c r="C5129" s="87"/>
      <c r="H5129" s="86" t="e">
        <f>IF(I5129="fora",0%,G5129/QUÓRUM!$C$6)</f>
        <v>#DIV/0!</v>
      </c>
      <c r="I5129" s="87"/>
      <c r="J5129" s="88"/>
      <c r="K5129" s="88"/>
      <c r="L5129" s="89"/>
      <c r="M5129" s="89"/>
      <c r="Q5129" s="105"/>
    </row>
    <row r="5130" spans="3:17" x14ac:dyDescent="0.3">
      <c r="C5130" s="87"/>
      <c r="H5130" s="86" t="e">
        <f>IF(I5130="fora",0%,G5130/QUÓRUM!$C$6)</f>
        <v>#DIV/0!</v>
      </c>
      <c r="I5130" s="87"/>
      <c r="J5130" s="88"/>
      <c r="K5130" s="88"/>
      <c r="L5130" s="89"/>
      <c r="M5130" s="89"/>
      <c r="Q5130" s="105"/>
    </row>
    <row r="5131" spans="3:17" x14ac:dyDescent="0.3">
      <c r="C5131" s="87"/>
      <c r="H5131" s="86" t="e">
        <f>IF(I5131="fora",0%,G5131/QUÓRUM!$C$6)</f>
        <v>#DIV/0!</v>
      </c>
      <c r="I5131" s="87"/>
      <c r="J5131" s="88"/>
      <c r="K5131" s="88"/>
      <c r="L5131" s="89"/>
      <c r="M5131" s="89"/>
      <c r="Q5131" s="105"/>
    </row>
    <row r="5132" spans="3:17" x14ac:dyDescent="0.3">
      <c r="C5132" s="87"/>
      <c r="H5132" s="86" t="e">
        <f>IF(I5132="fora",0%,G5132/QUÓRUM!$C$6)</f>
        <v>#DIV/0!</v>
      </c>
      <c r="I5132" s="87"/>
      <c r="J5132" s="88"/>
      <c r="K5132" s="88"/>
      <c r="L5132" s="89"/>
      <c r="M5132" s="89"/>
      <c r="Q5132" s="105"/>
    </row>
    <row r="5133" spans="3:17" x14ac:dyDescent="0.3">
      <c r="C5133" s="87"/>
      <c r="H5133" s="86" t="e">
        <f>IF(I5133="fora",0%,G5133/QUÓRUM!$C$6)</f>
        <v>#DIV/0!</v>
      </c>
      <c r="I5133" s="87"/>
      <c r="J5133" s="88"/>
      <c r="K5133" s="88"/>
      <c r="L5133" s="89"/>
      <c r="M5133" s="89"/>
      <c r="Q5133" s="105"/>
    </row>
    <row r="5134" spans="3:17" x14ac:dyDescent="0.3">
      <c r="C5134" s="87"/>
      <c r="H5134" s="86" t="e">
        <f>IF(I5134="fora",0%,G5134/QUÓRUM!$C$6)</f>
        <v>#DIV/0!</v>
      </c>
      <c r="I5134" s="87"/>
      <c r="J5134" s="88"/>
      <c r="K5134" s="88"/>
      <c r="L5134" s="89"/>
      <c r="M5134" s="89"/>
      <c r="Q5134" s="105"/>
    </row>
    <row r="5135" spans="3:17" x14ac:dyDescent="0.3">
      <c r="C5135" s="87"/>
      <c r="H5135" s="86" t="e">
        <f>IF(I5135="fora",0%,G5135/QUÓRUM!$C$6)</f>
        <v>#DIV/0!</v>
      </c>
      <c r="I5135" s="87"/>
      <c r="J5135" s="88"/>
      <c r="K5135" s="88"/>
      <c r="L5135" s="89"/>
      <c r="M5135" s="89"/>
      <c r="Q5135" s="105"/>
    </row>
    <row r="5136" spans="3:17" x14ac:dyDescent="0.3">
      <c r="C5136" s="87"/>
      <c r="H5136" s="86" t="e">
        <f>IF(I5136="fora",0%,G5136/QUÓRUM!$C$6)</f>
        <v>#DIV/0!</v>
      </c>
      <c r="I5136" s="87"/>
      <c r="J5136" s="88"/>
      <c r="K5136" s="88"/>
      <c r="L5136" s="89"/>
      <c r="M5136" s="89"/>
      <c r="Q5136" s="105"/>
    </row>
    <row r="5137" spans="3:17" x14ac:dyDescent="0.3">
      <c r="C5137" s="87"/>
      <c r="H5137" s="86" t="e">
        <f>IF(I5137="fora",0%,G5137/QUÓRUM!$C$6)</f>
        <v>#DIV/0!</v>
      </c>
      <c r="I5137" s="87"/>
      <c r="J5137" s="88"/>
      <c r="K5137" s="88"/>
      <c r="L5137" s="89"/>
      <c r="M5137" s="89"/>
      <c r="Q5137" s="105"/>
    </row>
    <row r="5138" spans="3:17" x14ac:dyDescent="0.3">
      <c r="C5138" s="87"/>
      <c r="H5138" s="86" t="e">
        <f>IF(I5138="fora",0%,G5138/QUÓRUM!$C$6)</f>
        <v>#DIV/0!</v>
      </c>
      <c r="I5138" s="87"/>
      <c r="J5138" s="88"/>
      <c r="K5138" s="88"/>
      <c r="L5138" s="89"/>
      <c r="M5138" s="89"/>
      <c r="Q5138" s="105"/>
    </row>
    <row r="5139" spans="3:17" x14ac:dyDescent="0.3">
      <c r="C5139" s="87"/>
      <c r="H5139" s="86" t="e">
        <f>IF(I5139="fora",0%,G5139/QUÓRUM!$C$6)</f>
        <v>#DIV/0!</v>
      </c>
      <c r="I5139" s="87"/>
      <c r="J5139" s="88"/>
      <c r="K5139" s="88"/>
      <c r="L5139" s="89"/>
      <c r="M5139" s="89"/>
      <c r="Q5139" s="105"/>
    </row>
    <row r="5140" spans="3:17" x14ac:dyDescent="0.3">
      <c r="C5140" s="87"/>
      <c r="H5140" s="86" t="e">
        <f>IF(I5140="fora",0%,G5140/QUÓRUM!$C$6)</f>
        <v>#DIV/0!</v>
      </c>
      <c r="I5140" s="87"/>
      <c r="J5140" s="88"/>
      <c r="K5140" s="88"/>
      <c r="L5140" s="89"/>
      <c r="M5140" s="89"/>
      <c r="Q5140" s="105"/>
    </row>
    <row r="5141" spans="3:17" x14ac:dyDescent="0.3">
      <c r="C5141" s="87"/>
      <c r="H5141" s="86" t="e">
        <f>IF(I5141="fora",0%,G5141/QUÓRUM!$C$6)</f>
        <v>#DIV/0!</v>
      </c>
      <c r="I5141" s="87"/>
      <c r="J5141" s="88"/>
      <c r="K5141" s="88"/>
      <c r="L5141" s="89"/>
      <c r="M5141" s="89"/>
      <c r="Q5141" s="105"/>
    </row>
    <row r="5142" spans="3:17" x14ac:dyDescent="0.3">
      <c r="C5142" s="87"/>
      <c r="H5142" s="86" t="e">
        <f>IF(I5142="fora",0%,G5142/QUÓRUM!$C$6)</f>
        <v>#DIV/0!</v>
      </c>
      <c r="I5142" s="87"/>
      <c r="J5142" s="88"/>
      <c r="K5142" s="88"/>
      <c r="L5142" s="89"/>
      <c r="M5142" s="89"/>
      <c r="Q5142" s="105"/>
    </row>
    <row r="5143" spans="3:17" x14ac:dyDescent="0.3">
      <c r="C5143" s="87"/>
      <c r="H5143" s="86" t="e">
        <f>IF(I5143="fora",0%,G5143/QUÓRUM!$C$6)</f>
        <v>#DIV/0!</v>
      </c>
      <c r="I5143" s="87"/>
      <c r="J5143" s="88"/>
      <c r="K5143" s="88"/>
      <c r="L5143" s="89"/>
      <c r="M5143" s="89"/>
      <c r="Q5143" s="105"/>
    </row>
    <row r="5144" spans="3:17" x14ac:dyDescent="0.3">
      <c r="C5144" s="87"/>
      <c r="H5144" s="86" t="e">
        <f>IF(I5144="fora",0%,G5144/QUÓRUM!$C$6)</f>
        <v>#DIV/0!</v>
      </c>
      <c r="I5144" s="87"/>
      <c r="J5144" s="88"/>
      <c r="K5144" s="88"/>
      <c r="L5144" s="89"/>
      <c r="M5144" s="89"/>
      <c r="Q5144" s="105"/>
    </row>
    <row r="5145" spans="3:17" x14ac:dyDescent="0.3">
      <c r="C5145" s="87"/>
      <c r="H5145" s="86" t="e">
        <f>IF(I5145="fora",0%,G5145/QUÓRUM!$C$6)</f>
        <v>#DIV/0!</v>
      </c>
      <c r="I5145" s="87"/>
      <c r="J5145" s="88"/>
      <c r="K5145" s="88"/>
      <c r="L5145" s="89"/>
      <c r="M5145" s="89"/>
      <c r="Q5145" s="105"/>
    </row>
    <row r="5146" spans="3:17" x14ac:dyDescent="0.3">
      <c r="C5146" s="87"/>
      <c r="H5146" s="86" t="e">
        <f>IF(I5146="fora",0%,G5146/QUÓRUM!$C$6)</f>
        <v>#DIV/0!</v>
      </c>
      <c r="I5146" s="87"/>
      <c r="J5146" s="88"/>
      <c r="K5146" s="88"/>
      <c r="L5146" s="89"/>
      <c r="M5146" s="89"/>
      <c r="Q5146" s="105"/>
    </row>
    <row r="5147" spans="3:17" x14ac:dyDescent="0.3">
      <c r="C5147" s="87"/>
      <c r="H5147" s="86" t="e">
        <f>IF(I5147="fora",0%,G5147/QUÓRUM!$C$6)</f>
        <v>#DIV/0!</v>
      </c>
      <c r="I5147" s="87"/>
      <c r="J5147" s="88"/>
      <c r="K5147" s="88"/>
      <c r="L5147" s="89"/>
      <c r="M5147" s="89"/>
      <c r="Q5147" s="105"/>
    </row>
    <row r="5148" spans="3:17" x14ac:dyDescent="0.3">
      <c r="C5148" s="87"/>
      <c r="H5148" s="86" t="e">
        <f>IF(I5148="fora",0%,G5148/QUÓRUM!$C$6)</f>
        <v>#DIV/0!</v>
      </c>
      <c r="I5148" s="87"/>
      <c r="J5148" s="88"/>
      <c r="K5148" s="88"/>
      <c r="L5148" s="89"/>
      <c r="M5148" s="89"/>
      <c r="Q5148" s="105"/>
    </row>
    <row r="5149" spans="3:17" x14ac:dyDescent="0.3">
      <c r="C5149" s="87"/>
      <c r="H5149" s="86" t="e">
        <f>IF(I5149="fora",0%,G5149/QUÓRUM!$C$6)</f>
        <v>#DIV/0!</v>
      </c>
      <c r="I5149" s="87"/>
      <c r="J5149" s="88"/>
      <c r="K5149" s="88"/>
      <c r="L5149" s="89"/>
      <c r="M5149" s="89"/>
      <c r="Q5149" s="105"/>
    </row>
    <row r="5150" spans="3:17" x14ac:dyDescent="0.3">
      <c r="C5150" s="87"/>
      <c r="H5150" s="86" t="e">
        <f>IF(I5150="fora",0%,G5150/QUÓRUM!$C$6)</f>
        <v>#DIV/0!</v>
      </c>
      <c r="I5150" s="87"/>
      <c r="J5150" s="88"/>
      <c r="K5150" s="88"/>
      <c r="L5150" s="89"/>
      <c r="M5150" s="89"/>
      <c r="Q5150" s="105"/>
    </row>
    <row r="5151" spans="3:17" x14ac:dyDescent="0.3">
      <c r="C5151" s="87"/>
      <c r="H5151" s="86" t="e">
        <f>IF(I5151="fora",0%,G5151/QUÓRUM!$C$6)</f>
        <v>#DIV/0!</v>
      </c>
      <c r="I5151" s="87"/>
      <c r="J5151" s="88"/>
      <c r="K5151" s="88"/>
      <c r="L5151" s="89"/>
      <c r="M5151" s="89"/>
      <c r="Q5151" s="105"/>
    </row>
    <row r="5152" spans="3:17" x14ac:dyDescent="0.3">
      <c r="C5152" s="87"/>
      <c r="H5152" s="86" t="e">
        <f>IF(I5152="fora",0%,G5152/QUÓRUM!$C$6)</f>
        <v>#DIV/0!</v>
      </c>
      <c r="I5152" s="87"/>
      <c r="J5152" s="88"/>
      <c r="K5152" s="88"/>
      <c r="L5152" s="89"/>
      <c r="M5152" s="89"/>
      <c r="Q5152" s="105"/>
    </row>
    <row r="5153" spans="3:17" x14ac:dyDescent="0.3">
      <c r="C5153" s="87"/>
      <c r="H5153" s="86" t="e">
        <f>IF(I5153="fora",0%,G5153/QUÓRUM!$C$6)</f>
        <v>#DIV/0!</v>
      </c>
      <c r="I5153" s="87"/>
      <c r="J5153" s="88"/>
      <c r="K5153" s="88"/>
      <c r="L5153" s="89"/>
      <c r="M5153" s="89"/>
      <c r="Q5153" s="105"/>
    </row>
    <row r="5154" spans="3:17" x14ac:dyDescent="0.3">
      <c r="C5154" s="87"/>
      <c r="H5154" s="86" t="e">
        <f>IF(I5154="fora",0%,G5154/QUÓRUM!$C$6)</f>
        <v>#DIV/0!</v>
      </c>
      <c r="I5154" s="87"/>
      <c r="J5154" s="88"/>
      <c r="K5154" s="88"/>
      <c r="L5154" s="89"/>
      <c r="M5154" s="89"/>
      <c r="Q5154" s="105"/>
    </row>
    <row r="5155" spans="3:17" x14ac:dyDescent="0.3">
      <c r="C5155" s="87"/>
      <c r="H5155" s="86" t="e">
        <f>IF(I5155="fora",0%,G5155/QUÓRUM!$C$6)</f>
        <v>#DIV/0!</v>
      </c>
      <c r="I5155" s="87"/>
      <c r="J5155" s="88"/>
      <c r="K5155" s="88"/>
      <c r="L5155" s="89"/>
      <c r="M5155" s="89"/>
      <c r="Q5155" s="105"/>
    </row>
    <row r="5156" spans="3:17" x14ac:dyDescent="0.3">
      <c r="C5156" s="87"/>
      <c r="H5156" s="86" t="e">
        <f>IF(I5156="fora",0%,G5156/QUÓRUM!$C$6)</f>
        <v>#DIV/0!</v>
      </c>
      <c r="I5156" s="87"/>
      <c r="J5156" s="88"/>
      <c r="K5156" s="88"/>
      <c r="L5156" s="89"/>
      <c r="M5156" s="89"/>
      <c r="Q5156" s="105"/>
    </row>
    <row r="5157" spans="3:17" x14ac:dyDescent="0.3">
      <c r="C5157" s="87"/>
      <c r="H5157" s="86" t="e">
        <f>IF(I5157="fora",0%,G5157/QUÓRUM!$C$6)</f>
        <v>#DIV/0!</v>
      </c>
      <c r="I5157" s="87"/>
      <c r="J5157" s="88"/>
      <c r="K5157" s="88"/>
      <c r="L5157" s="89"/>
      <c r="M5157" s="89"/>
      <c r="Q5157" s="105"/>
    </row>
    <row r="5158" spans="3:17" x14ac:dyDescent="0.3">
      <c r="C5158" s="87"/>
      <c r="H5158" s="86" t="e">
        <f>IF(I5158="fora",0%,G5158/QUÓRUM!$C$6)</f>
        <v>#DIV/0!</v>
      </c>
      <c r="I5158" s="87"/>
      <c r="J5158" s="88"/>
      <c r="K5158" s="88"/>
      <c r="L5158" s="89"/>
      <c r="M5158" s="89"/>
      <c r="Q5158" s="105"/>
    </row>
    <row r="5159" spans="3:17" x14ac:dyDescent="0.3">
      <c r="C5159" s="87"/>
      <c r="H5159" s="86" t="e">
        <f>IF(I5159="fora",0%,G5159/QUÓRUM!$C$6)</f>
        <v>#DIV/0!</v>
      </c>
      <c r="I5159" s="87"/>
      <c r="J5159" s="88"/>
      <c r="K5159" s="88"/>
      <c r="L5159" s="89"/>
      <c r="M5159" s="89"/>
      <c r="Q5159" s="105"/>
    </row>
    <row r="5160" spans="3:17" x14ac:dyDescent="0.3">
      <c r="C5160" s="87"/>
      <c r="H5160" s="86" t="e">
        <f>IF(I5160="fora",0%,G5160/QUÓRUM!$C$6)</f>
        <v>#DIV/0!</v>
      </c>
      <c r="I5160" s="87"/>
      <c r="J5160" s="88"/>
      <c r="K5160" s="88"/>
      <c r="L5160" s="89"/>
      <c r="M5160" s="89"/>
      <c r="Q5160" s="105"/>
    </row>
    <row r="5161" spans="3:17" x14ac:dyDescent="0.3">
      <c r="C5161" s="87"/>
      <c r="H5161" s="86" t="e">
        <f>IF(I5161="fora",0%,G5161/QUÓRUM!$C$6)</f>
        <v>#DIV/0!</v>
      </c>
      <c r="I5161" s="87"/>
      <c r="J5161" s="88"/>
      <c r="K5161" s="88"/>
      <c r="L5161" s="89"/>
      <c r="M5161" s="89"/>
      <c r="Q5161" s="105"/>
    </row>
    <row r="5162" spans="3:17" x14ac:dyDescent="0.3">
      <c r="C5162" s="87"/>
      <c r="H5162" s="86" t="e">
        <f>IF(I5162="fora",0%,G5162/QUÓRUM!$C$6)</f>
        <v>#DIV/0!</v>
      </c>
      <c r="I5162" s="87"/>
      <c r="J5162" s="88"/>
      <c r="K5162" s="88"/>
      <c r="L5162" s="89"/>
      <c r="M5162" s="89"/>
      <c r="Q5162" s="105"/>
    </row>
    <row r="5163" spans="3:17" x14ac:dyDescent="0.3">
      <c r="C5163" s="87"/>
      <c r="H5163" s="86" t="e">
        <f>IF(I5163="fora",0%,G5163/QUÓRUM!$C$6)</f>
        <v>#DIV/0!</v>
      </c>
      <c r="I5163" s="87"/>
      <c r="J5163" s="88"/>
      <c r="K5163" s="88"/>
      <c r="L5163" s="89"/>
      <c r="M5163" s="89"/>
      <c r="Q5163" s="105"/>
    </row>
    <row r="5164" spans="3:17" x14ac:dyDescent="0.3">
      <c r="C5164" s="87"/>
      <c r="H5164" s="86" t="e">
        <f>IF(I5164="fora",0%,G5164/QUÓRUM!$C$6)</f>
        <v>#DIV/0!</v>
      </c>
      <c r="I5164" s="87"/>
      <c r="J5164" s="88"/>
      <c r="K5164" s="88"/>
      <c r="L5164" s="89"/>
      <c r="M5164" s="89"/>
      <c r="Q5164" s="105"/>
    </row>
    <row r="5165" spans="3:17" x14ac:dyDescent="0.3">
      <c r="C5165" s="87"/>
      <c r="H5165" s="86" t="e">
        <f>IF(I5165="fora",0%,G5165/QUÓRUM!$C$6)</f>
        <v>#DIV/0!</v>
      </c>
      <c r="I5165" s="87"/>
      <c r="J5165" s="88"/>
      <c r="K5165" s="88"/>
      <c r="L5165" s="89"/>
      <c r="M5165" s="89"/>
      <c r="Q5165" s="105"/>
    </row>
    <row r="5166" spans="3:17" x14ac:dyDescent="0.3">
      <c r="C5166" s="87"/>
      <c r="H5166" s="86" t="e">
        <f>IF(I5166="fora",0%,G5166/QUÓRUM!$C$6)</f>
        <v>#DIV/0!</v>
      </c>
      <c r="I5166" s="87"/>
      <c r="J5166" s="88"/>
      <c r="K5166" s="88"/>
      <c r="L5166" s="89"/>
      <c r="M5166" s="89"/>
      <c r="Q5166" s="105"/>
    </row>
    <row r="5167" spans="3:17" x14ac:dyDescent="0.3">
      <c r="C5167" s="87"/>
      <c r="H5167" s="86" t="e">
        <f>IF(I5167="fora",0%,G5167/QUÓRUM!$C$6)</f>
        <v>#DIV/0!</v>
      </c>
      <c r="I5167" s="87"/>
      <c r="J5167" s="88"/>
      <c r="K5167" s="88"/>
      <c r="L5167" s="89"/>
      <c r="M5167" s="89"/>
      <c r="Q5167" s="105"/>
    </row>
    <row r="5168" spans="3:17" x14ac:dyDescent="0.3">
      <c r="C5168" s="87"/>
      <c r="H5168" s="86" t="e">
        <f>IF(I5168="fora",0%,G5168/QUÓRUM!$C$6)</f>
        <v>#DIV/0!</v>
      </c>
      <c r="I5168" s="87"/>
      <c r="J5168" s="88"/>
      <c r="K5168" s="88"/>
      <c r="L5168" s="89"/>
      <c r="M5168" s="89"/>
      <c r="Q5168" s="105"/>
    </row>
    <row r="5169" spans="3:17" x14ac:dyDescent="0.3">
      <c r="C5169" s="87"/>
      <c r="H5169" s="86" t="e">
        <f>IF(I5169="fora",0%,G5169/QUÓRUM!$C$6)</f>
        <v>#DIV/0!</v>
      </c>
      <c r="I5169" s="87"/>
      <c r="J5169" s="88"/>
      <c r="K5169" s="88"/>
      <c r="L5169" s="89"/>
      <c r="M5169" s="89"/>
      <c r="Q5169" s="105"/>
    </row>
    <row r="5170" spans="3:17" x14ac:dyDescent="0.3">
      <c r="C5170" s="87"/>
      <c r="H5170" s="86" t="e">
        <f>IF(I5170="fora",0%,G5170/QUÓRUM!$C$6)</f>
        <v>#DIV/0!</v>
      </c>
      <c r="I5170" s="87"/>
      <c r="J5170" s="88"/>
      <c r="K5170" s="88"/>
      <c r="L5170" s="89"/>
      <c r="M5170" s="89"/>
      <c r="Q5170" s="105"/>
    </row>
    <row r="5171" spans="3:17" x14ac:dyDescent="0.3">
      <c r="C5171" s="87"/>
      <c r="H5171" s="86" t="e">
        <f>IF(I5171="fora",0%,G5171/QUÓRUM!$C$6)</f>
        <v>#DIV/0!</v>
      </c>
      <c r="I5171" s="87"/>
      <c r="J5171" s="88"/>
      <c r="K5171" s="88"/>
      <c r="L5171" s="89"/>
      <c r="M5171" s="89"/>
      <c r="Q5171" s="105"/>
    </row>
    <row r="5172" spans="3:17" x14ac:dyDescent="0.3">
      <c r="C5172" s="87"/>
      <c r="H5172" s="86" t="e">
        <f>IF(I5172="fora",0%,G5172/QUÓRUM!$C$6)</f>
        <v>#DIV/0!</v>
      </c>
      <c r="I5172" s="87"/>
      <c r="J5172" s="88"/>
      <c r="K5172" s="88"/>
      <c r="L5172" s="89"/>
      <c r="M5172" s="89"/>
      <c r="Q5172" s="105"/>
    </row>
    <row r="5173" spans="3:17" x14ac:dyDescent="0.3">
      <c r="C5173" s="87"/>
      <c r="H5173" s="86" t="e">
        <f>IF(I5173="fora",0%,G5173/QUÓRUM!$C$6)</f>
        <v>#DIV/0!</v>
      </c>
      <c r="I5173" s="87"/>
      <c r="J5173" s="88"/>
      <c r="K5173" s="88"/>
      <c r="L5173" s="89"/>
      <c r="M5173" s="89"/>
      <c r="Q5173" s="105"/>
    </row>
    <row r="5174" spans="3:17" x14ac:dyDescent="0.3">
      <c r="C5174" s="87"/>
      <c r="H5174" s="86" t="e">
        <f>IF(I5174="fora",0%,G5174/QUÓRUM!$C$6)</f>
        <v>#DIV/0!</v>
      </c>
      <c r="I5174" s="87"/>
      <c r="J5174" s="88"/>
      <c r="K5174" s="88"/>
      <c r="L5174" s="89"/>
      <c r="M5174" s="89"/>
      <c r="Q5174" s="105"/>
    </row>
    <row r="5175" spans="3:17" x14ac:dyDescent="0.3">
      <c r="C5175" s="87"/>
      <c r="H5175" s="86" t="e">
        <f>IF(I5175="fora",0%,G5175/QUÓRUM!$C$6)</f>
        <v>#DIV/0!</v>
      </c>
      <c r="I5175" s="87"/>
      <c r="J5175" s="88"/>
      <c r="K5175" s="88"/>
      <c r="L5175" s="89"/>
      <c r="M5175" s="89"/>
      <c r="Q5175" s="105"/>
    </row>
    <row r="5176" spans="3:17" x14ac:dyDescent="0.3">
      <c r="C5176" s="87"/>
      <c r="H5176" s="86" t="e">
        <f>IF(I5176="fora",0%,G5176/QUÓRUM!$C$6)</f>
        <v>#DIV/0!</v>
      </c>
      <c r="I5176" s="87"/>
      <c r="J5176" s="88"/>
      <c r="K5176" s="88"/>
      <c r="L5176" s="89"/>
      <c r="M5176" s="89"/>
      <c r="Q5176" s="105"/>
    </row>
    <row r="5177" spans="3:17" x14ac:dyDescent="0.3">
      <c r="C5177" s="87"/>
      <c r="H5177" s="86" t="e">
        <f>IF(I5177="fora",0%,G5177/QUÓRUM!$C$6)</f>
        <v>#DIV/0!</v>
      </c>
      <c r="I5177" s="87"/>
      <c r="J5177" s="88"/>
      <c r="K5177" s="88"/>
      <c r="L5177" s="89"/>
      <c r="M5177" s="89"/>
      <c r="Q5177" s="105"/>
    </row>
    <row r="5178" spans="3:17" x14ac:dyDescent="0.3">
      <c r="C5178" s="87"/>
      <c r="H5178" s="86" t="e">
        <f>IF(I5178="fora",0%,G5178/QUÓRUM!$C$6)</f>
        <v>#DIV/0!</v>
      </c>
      <c r="I5178" s="87"/>
      <c r="J5178" s="88"/>
      <c r="K5178" s="88"/>
      <c r="L5178" s="89"/>
      <c r="M5178" s="89"/>
      <c r="Q5178" s="105"/>
    </row>
    <row r="5179" spans="3:17" x14ac:dyDescent="0.3">
      <c r="C5179" s="87"/>
      <c r="H5179" s="86" t="e">
        <f>IF(I5179="fora",0%,G5179/QUÓRUM!$C$6)</f>
        <v>#DIV/0!</v>
      </c>
      <c r="I5179" s="87"/>
      <c r="J5179" s="88"/>
      <c r="K5179" s="88"/>
      <c r="L5179" s="89"/>
      <c r="M5179" s="89"/>
      <c r="Q5179" s="105"/>
    </row>
    <row r="5180" spans="3:17" x14ac:dyDescent="0.3">
      <c r="C5180" s="87"/>
      <c r="H5180" s="86" t="e">
        <f>IF(I5180="fora",0%,G5180/QUÓRUM!$C$6)</f>
        <v>#DIV/0!</v>
      </c>
      <c r="I5180" s="87"/>
      <c r="J5180" s="88"/>
      <c r="K5180" s="88"/>
      <c r="L5180" s="89"/>
      <c r="M5180" s="89"/>
      <c r="Q5180" s="105"/>
    </row>
    <row r="5181" spans="3:17" x14ac:dyDescent="0.3">
      <c r="C5181" s="87"/>
      <c r="H5181" s="86" t="e">
        <f>IF(I5181="fora",0%,G5181/QUÓRUM!$C$6)</f>
        <v>#DIV/0!</v>
      </c>
      <c r="I5181" s="87"/>
      <c r="J5181" s="88"/>
      <c r="K5181" s="88"/>
      <c r="L5181" s="89"/>
      <c r="M5181" s="89"/>
      <c r="Q5181" s="105"/>
    </row>
    <row r="5182" spans="3:17" x14ac:dyDescent="0.3">
      <c r="C5182" s="87"/>
      <c r="H5182" s="86" t="e">
        <f>IF(I5182="fora",0%,G5182/QUÓRUM!$C$6)</f>
        <v>#DIV/0!</v>
      </c>
      <c r="I5182" s="87"/>
      <c r="J5182" s="88"/>
      <c r="K5182" s="88"/>
      <c r="L5182" s="89"/>
      <c r="M5182" s="89"/>
      <c r="Q5182" s="105"/>
    </row>
    <row r="5183" spans="3:17" x14ac:dyDescent="0.3">
      <c r="C5183" s="87"/>
      <c r="H5183" s="86" t="e">
        <f>IF(I5183="fora",0%,G5183/QUÓRUM!$C$6)</f>
        <v>#DIV/0!</v>
      </c>
      <c r="I5183" s="87"/>
      <c r="J5183" s="88"/>
      <c r="K5183" s="88"/>
      <c r="L5183" s="89"/>
      <c r="M5183" s="89"/>
      <c r="Q5183" s="105"/>
    </row>
    <row r="5184" spans="3:17" x14ac:dyDescent="0.3">
      <c r="C5184" s="87"/>
      <c r="H5184" s="86" t="e">
        <f>IF(I5184="fora",0%,G5184/QUÓRUM!$C$6)</f>
        <v>#DIV/0!</v>
      </c>
      <c r="I5184" s="87"/>
      <c r="J5184" s="88"/>
      <c r="K5184" s="88"/>
      <c r="L5184" s="89"/>
      <c r="M5184" s="89"/>
      <c r="Q5184" s="105"/>
    </row>
    <row r="5185" spans="3:17" x14ac:dyDescent="0.3">
      <c r="C5185" s="87"/>
      <c r="H5185" s="86" t="e">
        <f>IF(I5185="fora",0%,G5185/QUÓRUM!$C$6)</f>
        <v>#DIV/0!</v>
      </c>
      <c r="I5185" s="87"/>
      <c r="J5185" s="88"/>
      <c r="K5185" s="88"/>
      <c r="L5185" s="89"/>
      <c r="M5185" s="89"/>
      <c r="Q5185" s="105"/>
    </row>
    <row r="5186" spans="3:17" x14ac:dyDescent="0.3">
      <c r="C5186" s="87"/>
      <c r="H5186" s="86" t="e">
        <f>IF(I5186="fora",0%,G5186/QUÓRUM!$C$6)</f>
        <v>#DIV/0!</v>
      </c>
      <c r="I5186" s="87"/>
      <c r="J5186" s="88"/>
      <c r="K5186" s="88"/>
      <c r="L5186" s="89"/>
      <c r="M5186" s="89"/>
      <c r="Q5186" s="105"/>
    </row>
    <row r="5187" spans="3:17" x14ac:dyDescent="0.3">
      <c r="C5187" s="87"/>
      <c r="H5187" s="86" t="e">
        <f>IF(I5187="fora",0%,G5187/QUÓRUM!$C$6)</f>
        <v>#DIV/0!</v>
      </c>
      <c r="I5187" s="87"/>
      <c r="J5187" s="88"/>
      <c r="K5187" s="88"/>
      <c r="L5187" s="89"/>
      <c r="M5187" s="89"/>
      <c r="Q5187" s="105"/>
    </row>
    <row r="5188" spans="3:17" x14ac:dyDescent="0.3">
      <c r="C5188" s="87"/>
      <c r="H5188" s="86" t="e">
        <f>IF(I5188="fora",0%,G5188/QUÓRUM!$C$6)</f>
        <v>#DIV/0!</v>
      </c>
      <c r="I5188" s="87"/>
      <c r="J5188" s="88"/>
      <c r="K5188" s="88"/>
      <c r="L5188" s="89"/>
      <c r="M5188" s="89"/>
      <c r="Q5188" s="105"/>
    </row>
    <row r="5189" spans="3:17" x14ac:dyDescent="0.3">
      <c r="C5189" s="87"/>
      <c r="H5189" s="86" t="e">
        <f>IF(I5189="fora",0%,G5189/QUÓRUM!$C$6)</f>
        <v>#DIV/0!</v>
      </c>
      <c r="I5189" s="87"/>
      <c r="J5189" s="88"/>
      <c r="K5189" s="88"/>
      <c r="L5189" s="89"/>
      <c r="M5189" s="89"/>
      <c r="Q5189" s="105"/>
    </row>
    <row r="5190" spans="3:17" x14ac:dyDescent="0.3">
      <c r="C5190" s="87"/>
      <c r="H5190" s="86" t="e">
        <f>IF(I5190="fora",0%,G5190/QUÓRUM!$C$6)</f>
        <v>#DIV/0!</v>
      </c>
      <c r="I5190" s="87"/>
      <c r="J5190" s="88"/>
      <c r="K5190" s="88"/>
      <c r="L5190" s="89"/>
      <c r="M5190" s="89"/>
      <c r="Q5190" s="105"/>
    </row>
    <row r="5191" spans="3:17" x14ac:dyDescent="0.3">
      <c r="C5191" s="87"/>
      <c r="H5191" s="86" t="e">
        <f>IF(I5191="fora",0%,G5191/QUÓRUM!$C$6)</f>
        <v>#DIV/0!</v>
      </c>
      <c r="I5191" s="87"/>
      <c r="J5191" s="88"/>
      <c r="K5191" s="88"/>
      <c r="L5191" s="89"/>
      <c r="M5191" s="89"/>
      <c r="Q5191" s="105"/>
    </row>
    <row r="5192" spans="3:17" x14ac:dyDescent="0.3">
      <c r="C5192" s="87"/>
      <c r="H5192" s="86" t="e">
        <f>IF(I5192="fora",0%,G5192/QUÓRUM!$C$6)</f>
        <v>#DIV/0!</v>
      </c>
      <c r="I5192" s="87"/>
      <c r="J5192" s="88"/>
      <c r="K5192" s="88"/>
      <c r="L5192" s="89"/>
      <c r="M5192" s="89"/>
      <c r="Q5192" s="105"/>
    </row>
    <row r="5193" spans="3:17" x14ac:dyDescent="0.3">
      <c r="C5193" s="87"/>
      <c r="H5193" s="86" t="e">
        <f>IF(I5193="fora",0%,G5193/QUÓRUM!$C$6)</f>
        <v>#DIV/0!</v>
      </c>
      <c r="I5193" s="87"/>
      <c r="J5193" s="88"/>
      <c r="K5193" s="88"/>
      <c r="L5193" s="89"/>
      <c r="M5193" s="89"/>
      <c r="Q5193" s="105"/>
    </row>
    <row r="5194" spans="3:17" x14ac:dyDescent="0.3">
      <c r="C5194" s="87"/>
      <c r="H5194" s="86" t="e">
        <f>IF(I5194="fora",0%,G5194/QUÓRUM!$C$6)</f>
        <v>#DIV/0!</v>
      </c>
      <c r="I5194" s="87"/>
      <c r="J5194" s="88"/>
      <c r="K5194" s="88"/>
      <c r="L5194" s="89"/>
      <c r="M5194" s="89"/>
      <c r="Q5194" s="105"/>
    </row>
    <row r="5195" spans="3:17" x14ac:dyDescent="0.3">
      <c r="C5195" s="87"/>
      <c r="H5195" s="86" t="e">
        <f>IF(I5195="fora",0%,G5195/QUÓRUM!$C$6)</f>
        <v>#DIV/0!</v>
      </c>
      <c r="I5195" s="87"/>
      <c r="J5195" s="88"/>
      <c r="K5195" s="88"/>
      <c r="L5195" s="89"/>
      <c r="M5195" s="89"/>
      <c r="Q5195" s="105"/>
    </row>
    <row r="5196" spans="3:17" x14ac:dyDescent="0.3">
      <c r="C5196" s="87"/>
      <c r="H5196" s="86" t="e">
        <f>IF(I5196="fora",0%,G5196/QUÓRUM!$C$6)</f>
        <v>#DIV/0!</v>
      </c>
      <c r="I5196" s="87"/>
      <c r="J5196" s="88"/>
      <c r="K5196" s="88"/>
      <c r="L5196" s="89"/>
      <c r="M5196" s="89"/>
      <c r="Q5196" s="105"/>
    </row>
    <row r="5197" spans="3:17" x14ac:dyDescent="0.3">
      <c r="C5197" s="87"/>
      <c r="H5197" s="86" t="e">
        <f>IF(I5197="fora",0%,G5197/QUÓRUM!$C$6)</f>
        <v>#DIV/0!</v>
      </c>
      <c r="I5197" s="87"/>
      <c r="J5197" s="88"/>
      <c r="K5197" s="88"/>
      <c r="L5197" s="89"/>
      <c r="M5197" s="89"/>
      <c r="Q5197" s="105"/>
    </row>
    <row r="5198" spans="3:17" x14ac:dyDescent="0.3">
      <c r="C5198" s="87"/>
      <c r="H5198" s="86" t="e">
        <f>IF(I5198="fora",0%,G5198/QUÓRUM!$C$6)</f>
        <v>#DIV/0!</v>
      </c>
      <c r="I5198" s="87"/>
      <c r="J5198" s="88"/>
      <c r="K5198" s="88"/>
      <c r="L5198" s="89"/>
      <c r="M5198" s="89"/>
      <c r="Q5198" s="105"/>
    </row>
    <row r="5199" spans="3:17" x14ac:dyDescent="0.3">
      <c r="C5199" s="87"/>
      <c r="H5199" s="86" t="e">
        <f>IF(I5199="fora",0%,G5199/QUÓRUM!$C$6)</f>
        <v>#DIV/0!</v>
      </c>
      <c r="I5199" s="87"/>
      <c r="J5199" s="88"/>
      <c r="K5199" s="88"/>
      <c r="L5199" s="89"/>
      <c r="M5199" s="89"/>
      <c r="Q5199" s="105"/>
    </row>
    <row r="5200" spans="3:17" x14ac:dyDescent="0.3">
      <c r="C5200" s="87"/>
      <c r="H5200" s="86" t="e">
        <f>IF(I5200="fora",0%,G5200/QUÓRUM!$C$6)</f>
        <v>#DIV/0!</v>
      </c>
      <c r="I5200" s="87"/>
      <c r="J5200" s="88"/>
      <c r="K5200" s="88"/>
      <c r="L5200" s="89"/>
      <c r="M5200" s="89"/>
      <c r="Q5200" s="105"/>
    </row>
    <row r="5201" spans="3:17" x14ac:dyDescent="0.3">
      <c r="C5201" s="87"/>
      <c r="H5201" s="86" t="e">
        <f>IF(I5201="fora",0%,G5201/QUÓRUM!$C$6)</f>
        <v>#DIV/0!</v>
      </c>
      <c r="I5201" s="87"/>
      <c r="J5201" s="88"/>
      <c r="K5201" s="88"/>
      <c r="L5201" s="89"/>
      <c r="M5201" s="89"/>
      <c r="Q5201" s="105"/>
    </row>
    <row r="5202" spans="3:17" x14ac:dyDescent="0.3">
      <c r="C5202" s="87"/>
      <c r="H5202" s="86" t="e">
        <f>IF(I5202="fora",0%,G5202/QUÓRUM!$C$6)</f>
        <v>#DIV/0!</v>
      </c>
      <c r="I5202" s="87"/>
      <c r="J5202" s="88"/>
      <c r="K5202" s="88"/>
      <c r="L5202" s="89"/>
      <c r="M5202" s="89"/>
      <c r="Q5202" s="105"/>
    </row>
    <row r="5203" spans="3:17" x14ac:dyDescent="0.3">
      <c r="C5203" s="87"/>
      <c r="H5203" s="86" t="e">
        <f>IF(I5203="fora",0%,G5203/QUÓRUM!$C$6)</f>
        <v>#DIV/0!</v>
      </c>
      <c r="I5203" s="87"/>
      <c r="J5203" s="88"/>
      <c r="K5203" s="88"/>
      <c r="L5203" s="89"/>
      <c r="M5203" s="89"/>
      <c r="Q5203" s="105"/>
    </row>
    <row r="5204" spans="3:17" x14ac:dyDescent="0.3">
      <c r="C5204" s="87"/>
      <c r="H5204" s="86" t="e">
        <f>IF(I5204="fora",0%,G5204/QUÓRUM!$C$6)</f>
        <v>#DIV/0!</v>
      </c>
      <c r="I5204" s="87"/>
      <c r="J5204" s="88"/>
      <c r="K5204" s="88"/>
      <c r="L5204" s="89"/>
      <c r="M5204" s="89"/>
      <c r="Q5204" s="105"/>
    </row>
    <row r="5205" spans="3:17" x14ac:dyDescent="0.3">
      <c r="C5205" s="87"/>
      <c r="H5205" s="86" t="e">
        <f>IF(I5205="fora",0%,G5205/QUÓRUM!$C$6)</f>
        <v>#DIV/0!</v>
      </c>
      <c r="I5205" s="87"/>
      <c r="J5205" s="88"/>
      <c r="K5205" s="88"/>
      <c r="L5205" s="89"/>
      <c r="M5205" s="89"/>
      <c r="Q5205" s="105"/>
    </row>
    <row r="5206" spans="3:17" x14ac:dyDescent="0.3">
      <c r="C5206" s="87"/>
      <c r="H5206" s="86" t="e">
        <f>IF(I5206="fora",0%,G5206/QUÓRUM!$C$6)</f>
        <v>#DIV/0!</v>
      </c>
      <c r="I5206" s="87"/>
      <c r="J5206" s="88"/>
      <c r="K5206" s="88"/>
      <c r="L5206" s="89"/>
      <c r="M5206" s="89"/>
      <c r="Q5206" s="105"/>
    </row>
    <row r="5207" spans="3:17" x14ac:dyDescent="0.3">
      <c r="C5207" s="87"/>
      <c r="H5207" s="86" t="e">
        <f>IF(I5207="fora",0%,G5207/QUÓRUM!$C$6)</f>
        <v>#DIV/0!</v>
      </c>
      <c r="I5207" s="87"/>
      <c r="J5207" s="88"/>
      <c r="K5207" s="88"/>
      <c r="L5207" s="89"/>
      <c r="M5207" s="89"/>
      <c r="Q5207" s="105"/>
    </row>
    <row r="5208" spans="3:17" x14ac:dyDescent="0.3">
      <c r="C5208" s="87"/>
      <c r="H5208" s="86" t="e">
        <f>IF(I5208="fora",0%,G5208/QUÓRUM!$C$6)</f>
        <v>#DIV/0!</v>
      </c>
      <c r="I5208" s="87"/>
      <c r="J5208" s="88"/>
      <c r="K5208" s="88"/>
      <c r="L5208" s="89"/>
      <c r="M5208" s="89"/>
      <c r="Q5208" s="105"/>
    </row>
    <row r="5209" spans="3:17" x14ac:dyDescent="0.3">
      <c r="C5209" s="87"/>
      <c r="H5209" s="86" t="e">
        <f>IF(I5209="fora",0%,G5209/QUÓRUM!$C$6)</f>
        <v>#DIV/0!</v>
      </c>
      <c r="I5209" s="87"/>
      <c r="J5209" s="88"/>
      <c r="K5209" s="88"/>
      <c r="L5209" s="89"/>
      <c r="M5209" s="89"/>
      <c r="Q5209" s="105"/>
    </row>
    <row r="5210" spans="3:17" x14ac:dyDescent="0.3">
      <c r="C5210" s="87"/>
      <c r="H5210" s="86" t="e">
        <f>IF(I5210="fora",0%,G5210/QUÓRUM!$C$6)</f>
        <v>#DIV/0!</v>
      </c>
      <c r="I5210" s="87"/>
      <c r="J5210" s="88"/>
      <c r="K5210" s="88"/>
      <c r="L5210" s="89"/>
      <c r="M5210" s="89"/>
      <c r="Q5210" s="105"/>
    </row>
    <row r="5211" spans="3:17" x14ac:dyDescent="0.3">
      <c r="C5211" s="87"/>
      <c r="H5211" s="86" t="e">
        <f>IF(I5211="fora",0%,G5211/QUÓRUM!$C$6)</f>
        <v>#DIV/0!</v>
      </c>
      <c r="I5211" s="87"/>
      <c r="J5211" s="88"/>
      <c r="K5211" s="88"/>
      <c r="L5211" s="89"/>
      <c r="M5211" s="89"/>
      <c r="Q5211" s="105"/>
    </row>
    <row r="5212" spans="3:17" x14ac:dyDescent="0.3">
      <c r="C5212" s="87"/>
      <c r="H5212" s="86" t="e">
        <f>IF(I5212="fora",0%,G5212/QUÓRUM!$C$6)</f>
        <v>#DIV/0!</v>
      </c>
      <c r="I5212" s="87"/>
      <c r="J5212" s="88"/>
      <c r="K5212" s="88"/>
      <c r="L5212" s="89"/>
      <c r="M5212" s="89"/>
      <c r="Q5212" s="105"/>
    </row>
    <row r="5213" spans="3:17" x14ac:dyDescent="0.3">
      <c r="C5213" s="87"/>
      <c r="H5213" s="86" t="e">
        <f>IF(I5213="fora",0%,G5213/QUÓRUM!$C$6)</f>
        <v>#DIV/0!</v>
      </c>
      <c r="I5213" s="87"/>
      <c r="J5213" s="88"/>
      <c r="K5213" s="88"/>
      <c r="L5213" s="89"/>
      <c r="M5213" s="89"/>
      <c r="Q5213" s="105"/>
    </row>
    <row r="5214" spans="3:17" x14ac:dyDescent="0.3">
      <c r="C5214" s="87"/>
      <c r="H5214" s="86" t="e">
        <f>IF(I5214="fora",0%,G5214/QUÓRUM!$C$6)</f>
        <v>#DIV/0!</v>
      </c>
      <c r="I5214" s="87"/>
      <c r="J5214" s="88"/>
      <c r="K5214" s="88"/>
      <c r="L5214" s="89"/>
      <c r="M5214" s="89"/>
      <c r="Q5214" s="105"/>
    </row>
    <row r="5215" spans="3:17" x14ac:dyDescent="0.3">
      <c r="C5215" s="87"/>
      <c r="H5215" s="86" t="e">
        <f>IF(I5215="fora",0%,G5215/QUÓRUM!$C$6)</f>
        <v>#DIV/0!</v>
      </c>
      <c r="I5215" s="87"/>
      <c r="J5215" s="88"/>
      <c r="K5215" s="88"/>
      <c r="L5215" s="89"/>
      <c r="M5215" s="89"/>
      <c r="Q5215" s="105"/>
    </row>
    <row r="5216" spans="3:17" x14ac:dyDescent="0.3">
      <c r="C5216" s="87"/>
      <c r="H5216" s="86" t="e">
        <f>IF(I5216="fora",0%,G5216/QUÓRUM!$C$6)</f>
        <v>#DIV/0!</v>
      </c>
      <c r="I5216" s="87"/>
      <c r="J5216" s="88"/>
      <c r="K5216" s="88"/>
      <c r="L5216" s="89"/>
      <c r="M5216" s="89"/>
      <c r="Q5216" s="105"/>
    </row>
    <row r="5217" spans="3:17" x14ac:dyDescent="0.3">
      <c r="C5217" s="87"/>
      <c r="H5217" s="86" t="e">
        <f>IF(I5217="fora",0%,G5217/QUÓRUM!$C$6)</f>
        <v>#DIV/0!</v>
      </c>
      <c r="I5217" s="87"/>
      <c r="J5217" s="88"/>
      <c r="K5217" s="88"/>
      <c r="L5217" s="89"/>
      <c r="M5217" s="89"/>
      <c r="Q5217" s="105"/>
    </row>
    <row r="5218" spans="3:17" x14ac:dyDescent="0.3">
      <c r="C5218" s="87"/>
      <c r="H5218" s="86" t="e">
        <f>IF(I5218="fora",0%,G5218/QUÓRUM!$C$6)</f>
        <v>#DIV/0!</v>
      </c>
      <c r="I5218" s="87"/>
      <c r="J5218" s="88"/>
      <c r="K5218" s="88"/>
      <c r="L5218" s="89"/>
      <c r="M5218" s="89"/>
      <c r="Q5218" s="105"/>
    </row>
    <row r="5219" spans="3:17" x14ac:dyDescent="0.3">
      <c r="C5219" s="87"/>
      <c r="H5219" s="86" t="e">
        <f>IF(I5219="fora",0%,G5219/QUÓRUM!$C$6)</f>
        <v>#DIV/0!</v>
      </c>
      <c r="I5219" s="87"/>
      <c r="J5219" s="88"/>
      <c r="K5219" s="88"/>
      <c r="L5219" s="89"/>
      <c r="M5219" s="89"/>
      <c r="Q5219" s="105"/>
    </row>
    <row r="5220" spans="3:17" x14ac:dyDescent="0.3">
      <c r="C5220" s="87"/>
      <c r="H5220" s="86" t="e">
        <f>IF(I5220="fora",0%,G5220/QUÓRUM!$C$6)</f>
        <v>#DIV/0!</v>
      </c>
      <c r="I5220" s="87"/>
      <c r="J5220" s="88"/>
      <c r="K5220" s="88"/>
      <c r="L5220" s="89"/>
      <c r="M5220" s="89"/>
      <c r="Q5220" s="105"/>
    </row>
    <row r="5221" spans="3:17" x14ac:dyDescent="0.3">
      <c r="C5221" s="87"/>
      <c r="H5221" s="86" t="e">
        <f>IF(I5221="fora",0%,G5221/QUÓRUM!$C$6)</f>
        <v>#DIV/0!</v>
      </c>
      <c r="I5221" s="87"/>
      <c r="J5221" s="88"/>
      <c r="K5221" s="88"/>
      <c r="L5221" s="89"/>
      <c r="M5221" s="89"/>
      <c r="Q5221" s="105"/>
    </row>
    <row r="5222" spans="3:17" x14ac:dyDescent="0.3">
      <c r="C5222" s="87"/>
      <c r="H5222" s="86" t="e">
        <f>IF(I5222="fora",0%,G5222/QUÓRUM!$C$6)</f>
        <v>#DIV/0!</v>
      </c>
      <c r="I5222" s="87"/>
      <c r="J5222" s="88"/>
      <c r="K5222" s="88"/>
      <c r="L5222" s="89"/>
      <c r="M5222" s="89"/>
      <c r="Q5222" s="105"/>
    </row>
    <row r="5223" spans="3:17" x14ac:dyDescent="0.3">
      <c r="C5223" s="87"/>
      <c r="H5223" s="86" t="e">
        <f>IF(I5223="fora",0%,G5223/QUÓRUM!$C$6)</f>
        <v>#DIV/0!</v>
      </c>
      <c r="I5223" s="87"/>
      <c r="J5223" s="88"/>
      <c r="K5223" s="88"/>
      <c r="L5223" s="89"/>
      <c r="M5223" s="89"/>
      <c r="Q5223" s="105"/>
    </row>
    <row r="5224" spans="3:17" x14ac:dyDescent="0.3">
      <c r="C5224" s="87"/>
      <c r="H5224" s="86" t="e">
        <f>IF(I5224="fora",0%,G5224/QUÓRUM!$C$6)</f>
        <v>#DIV/0!</v>
      </c>
      <c r="I5224" s="87"/>
      <c r="J5224" s="88"/>
      <c r="K5224" s="88"/>
      <c r="L5224" s="89"/>
      <c r="M5224" s="89"/>
      <c r="Q5224" s="105"/>
    </row>
    <row r="5225" spans="3:17" x14ac:dyDescent="0.3">
      <c r="C5225" s="87"/>
      <c r="H5225" s="86" t="e">
        <f>IF(I5225="fora",0%,G5225/QUÓRUM!$C$6)</f>
        <v>#DIV/0!</v>
      </c>
      <c r="I5225" s="87"/>
      <c r="J5225" s="88"/>
      <c r="K5225" s="88"/>
      <c r="L5225" s="89"/>
      <c r="M5225" s="89"/>
      <c r="Q5225" s="105"/>
    </row>
    <row r="5226" spans="3:17" x14ac:dyDescent="0.3">
      <c r="C5226" s="87"/>
      <c r="H5226" s="86" t="e">
        <f>IF(I5226="fora",0%,G5226/QUÓRUM!$C$6)</f>
        <v>#DIV/0!</v>
      </c>
      <c r="I5226" s="87"/>
      <c r="J5226" s="88"/>
      <c r="K5226" s="88"/>
      <c r="L5226" s="89"/>
      <c r="M5226" s="89"/>
      <c r="Q5226" s="105"/>
    </row>
    <row r="5227" spans="3:17" x14ac:dyDescent="0.3">
      <c r="C5227" s="87"/>
      <c r="H5227" s="86" t="e">
        <f>IF(I5227="fora",0%,G5227/QUÓRUM!$C$6)</f>
        <v>#DIV/0!</v>
      </c>
      <c r="I5227" s="87"/>
      <c r="J5227" s="88"/>
      <c r="K5227" s="88"/>
      <c r="L5227" s="89"/>
      <c r="M5227" s="89"/>
      <c r="Q5227" s="105"/>
    </row>
    <row r="5228" spans="3:17" x14ac:dyDescent="0.3">
      <c r="C5228" s="87"/>
      <c r="H5228" s="86" t="e">
        <f>IF(I5228="fora",0%,G5228/QUÓRUM!$C$6)</f>
        <v>#DIV/0!</v>
      </c>
      <c r="I5228" s="87"/>
      <c r="J5228" s="88"/>
      <c r="K5228" s="88"/>
      <c r="L5228" s="89"/>
      <c r="M5228" s="89"/>
      <c r="Q5228" s="105"/>
    </row>
    <row r="5229" spans="3:17" x14ac:dyDescent="0.3">
      <c r="C5229" s="87"/>
      <c r="H5229" s="86" t="e">
        <f>IF(I5229="fora",0%,G5229/QUÓRUM!$C$6)</f>
        <v>#DIV/0!</v>
      </c>
      <c r="I5229" s="87"/>
      <c r="J5229" s="88"/>
      <c r="K5229" s="88"/>
      <c r="L5229" s="89"/>
      <c r="M5229" s="89"/>
      <c r="Q5229" s="105"/>
    </row>
    <row r="5230" spans="3:17" x14ac:dyDescent="0.3">
      <c r="C5230" s="87"/>
      <c r="H5230" s="86" t="e">
        <f>IF(I5230="fora",0%,G5230/QUÓRUM!$C$6)</f>
        <v>#DIV/0!</v>
      </c>
      <c r="I5230" s="87"/>
      <c r="J5230" s="88"/>
      <c r="K5230" s="88"/>
      <c r="L5230" s="89"/>
      <c r="M5230" s="89"/>
      <c r="Q5230" s="105"/>
    </row>
    <row r="5231" spans="3:17" x14ac:dyDescent="0.3">
      <c r="C5231" s="87"/>
      <c r="H5231" s="86" t="e">
        <f>IF(I5231="fora",0%,G5231/QUÓRUM!$C$6)</f>
        <v>#DIV/0!</v>
      </c>
      <c r="I5231" s="87"/>
      <c r="J5231" s="88"/>
      <c r="K5231" s="88"/>
      <c r="L5231" s="89"/>
      <c r="M5231" s="89"/>
      <c r="Q5231" s="105"/>
    </row>
    <row r="5232" spans="3:17" x14ac:dyDescent="0.3">
      <c r="C5232" s="87"/>
      <c r="H5232" s="86" t="e">
        <f>IF(I5232="fora",0%,G5232/QUÓRUM!$C$6)</f>
        <v>#DIV/0!</v>
      </c>
      <c r="I5232" s="87"/>
      <c r="J5232" s="88"/>
      <c r="K5232" s="88"/>
      <c r="L5232" s="89"/>
      <c r="M5232" s="89"/>
      <c r="Q5232" s="105"/>
    </row>
    <row r="5233" spans="3:17" x14ac:dyDescent="0.3">
      <c r="C5233" s="87"/>
      <c r="H5233" s="86" t="e">
        <f>IF(I5233="fora",0%,G5233/QUÓRUM!$C$6)</f>
        <v>#DIV/0!</v>
      </c>
      <c r="I5233" s="87"/>
      <c r="J5233" s="88"/>
      <c r="K5233" s="88"/>
      <c r="L5233" s="89"/>
      <c r="M5233" s="89"/>
      <c r="Q5233" s="105"/>
    </row>
    <row r="5234" spans="3:17" x14ac:dyDescent="0.3">
      <c r="C5234" s="87"/>
      <c r="H5234" s="86" t="e">
        <f>IF(I5234="fora",0%,G5234/QUÓRUM!$C$6)</f>
        <v>#DIV/0!</v>
      </c>
      <c r="I5234" s="87"/>
      <c r="J5234" s="88"/>
      <c r="K5234" s="88"/>
      <c r="L5234" s="89"/>
      <c r="M5234" s="89"/>
      <c r="Q5234" s="105"/>
    </row>
    <row r="5235" spans="3:17" x14ac:dyDescent="0.3">
      <c r="C5235" s="87"/>
      <c r="H5235" s="86" t="e">
        <f>IF(I5235="fora",0%,G5235/QUÓRUM!$C$6)</f>
        <v>#DIV/0!</v>
      </c>
      <c r="I5235" s="87"/>
      <c r="J5235" s="88"/>
      <c r="K5235" s="88"/>
      <c r="L5235" s="89"/>
      <c r="M5235" s="89"/>
      <c r="Q5235" s="105"/>
    </row>
    <row r="5236" spans="3:17" x14ac:dyDescent="0.3">
      <c r="C5236" s="87"/>
      <c r="H5236" s="86" t="e">
        <f>IF(I5236="fora",0%,G5236/QUÓRUM!$C$6)</f>
        <v>#DIV/0!</v>
      </c>
      <c r="I5236" s="87"/>
      <c r="J5236" s="88"/>
      <c r="K5236" s="88"/>
      <c r="L5236" s="89"/>
      <c r="M5236" s="89"/>
      <c r="Q5236" s="105"/>
    </row>
    <row r="5237" spans="3:17" x14ac:dyDescent="0.3">
      <c r="C5237" s="87"/>
      <c r="H5237" s="86" t="e">
        <f>IF(I5237="fora",0%,G5237/QUÓRUM!$C$6)</f>
        <v>#DIV/0!</v>
      </c>
      <c r="I5237" s="87"/>
      <c r="J5237" s="88"/>
      <c r="K5237" s="88"/>
      <c r="L5237" s="89"/>
      <c r="M5237" s="89"/>
      <c r="Q5237" s="105"/>
    </row>
    <row r="5238" spans="3:17" x14ac:dyDescent="0.3">
      <c r="C5238" s="87"/>
      <c r="H5238" s="86" t="e">
        <f>IF(I5238="fora",0%,G5238/QUÓRUM!$C$6)</f>
        <v>#DIV/0!</v>
      </c>
      <c r="I5238" s="87"/>
      <c r="J5238" s="88"/>
      <c r="K5238" s="88"/>
      <c r="L5238" s="89"/>
      <c r="M5238" s="89"/>
      <c r="Q5238" s="105"/>
    </row>
    <row r="5239" spans="3:17" x14ac:dyDescent="0.3">
      <c r="C5239" s="87"/>
      <c r="H5239" s="86" t="e">
        <f>IF(I5239="fora",0%,G5239/QUÓRUM!$C$6)</f>
        <v>#DIV/0!</v>
      </c>
      <c r="I5239" s="87"/>
      <c r="J5239" s="88"/>
      <c r="K5239" s="88"/>
      <c r="L5239" s="89"/>
      <c r="M5239" s="89"/>
      <c r="Q5239" s="105"/>
    </row>
    <row r="5240" spans="3:17" x14ac:dyDescent="0.3">
      <c r="C5240" s="87"/>
      <c r="H5240" s="86" t="e">
        <f>IF(I5240="fora",0%,G5240/QUÓRUM!$C$6)</f>
        <v>#DIV/0!</v>
      </c>
      <c r="I5240" s="87"/>
      <c r="J5240" s="88"/>
      <c r="K5240" s="88"/>
      <c r="L5240" s="89"/>
      <c r="M5240" s="89"/>
      <c r="Q5240" s="105"/>
    </row>
    <row r="5241" spans="3:17" x14ac:dyDescent="0.3">
      <c r="C5241" s="87"/>
      <c r="H5241" s="86" t="e">
        <f>IF(I5241="fora",0%,G5241/QUÓRUM!$C$6)</f>
        <v>#DIV/0!</v>
      </c>
      <c r="I5241" s="87"/>
      <c r="J5241" s="88"/>
      <c r="K5241" s="88"/>
      <c r="L5241" s="89"/>
      <c r="M5241" s="89"/>
      <c r="Q5241" s="105"/>
    </row>
    <row r="5242" spans="3:17" x14ac:dyDescent="0.3">
      <c r="C5242" s="87"/>
      <c r="H5242" s="86" t="e">
        <f>IF(I5242="fora",0%,G5242/QUÓRUM!$C$6)</f>
        <v>#DIV/0!</v>
      </c>
      <c r="I5242" s="87"/>
      <c r="J5242" s="88"/>
      <c r="K5242" s="88"/>
      <c r="L5242" s="89"/>
      <c r="M5242" s="89"/>
      <c r="Q5242" s="105"/>
    </row>
    <row r="5243" spans="3:17" x14ac:dyDescent="0.3">
      <c r="C5243" s="87"/>
      <c r="H5243" s="86" t="e">
        <f>IF(I5243="fora",0%,G5243/QUÓRUM!$C$6)</f>
        <v>#DIV/0!</v>
      </c>
      <c r="I5243" s="87"/>
      <c r="J5243" s="88"/>
      <c r="K5243" s="88"/>
      <c r="L5243" s="89"/>
      <c r="M5243" s="89"/>
      <c r="Q5243" s="105"/>
    </row>
    <row r="5244" spans="3:17" x14ac:dyDescent="0.3">
      <c r="C5244" s="87"/>
      <c r="H5244" s="86" t="e">
        <f>IF(I5244="fora",0%,G5244/QUÓRUM!$C$6)</f>
        <v>#DIV/0!</v>
      </c>
      <c r="I5244" s="87"/>
      <c r="J5244" s="88"/>
      <c r="K5244" s="88"/>
      <c r="L5244" s="89"/>
      <c r="M5244" s="89"/>
      <c r="Q5244" s="105"/>
    </row>
    <row r="5245" spans="3:17" x14ac:dyDescent="0.3">
      <c r="C5245" s="87"/>
      <c r="H5245" s="86" t="e">
        <f>IF(I5245="fora",0%,G5245/QUÓRUM!$C$6)</f>
        <v>#DIV/0!</v>
      </c>
      <c r="I5245" s="87"/>
      <c r="J5245" s="88"/>
      <c r="K5245" s="88"/>
      <c r="L5245" s="89"/>
      <c r="M5245" s="89"/>
      <c r="Q5245" s="105"/>
    </row>
    <row r="5246" spans="3:17" x14ac:dyDescent="0.3">
      <c r="C5246" s="87"/>
      <c r="H5246" s="86" t="e">
        <f>IF(I5246="fora",0%,G5246/QUÓRUM!$C$6)</f>
        <v>#DIV/0!</v>
      </c>
      <c r="I5246" s="87"/>
      <c r="J5246" s="88"/>
      <c r="K5246" s="88"/>
      <c r="L5246" s="89"/>
      <c r="M5246" s="89"/>
      <c r="Q5246" s="105"/>
    </row>
    <row r="5247" spans="3:17" x14ac:dyDescent="0.3">
      <c r="C5247" s="87"/>
      <c r="H5247" s="86" t="e">
        <f>IF(I5247="fora",0%,G5247/QUÓRUM!$C$6)</f>
        <v>#DIV/0!</v>
      </c>
      <c r="I5247" s="87"/>
      <c r="J5247" s="88"/>
      <c r="K5247" s="88"/>
      <c r="L5247" s="89"/>
      <c r="M5247" s="89"/>
      <c r="Q5247" s="105"/>
    </row>
    <row r="5248" spans="3:17" x14ac:dyDescent="0.3">
      <c r="C5248" s="87"/>
      <c r="H5248" s="86" t="e">
        <f>IF(I5248="fora",0%,G5248/QUÓRUM!$C$6)</f>
        <v>#DIV/0!</v>
      </c>
      <c r="I5248" s="87"/>
      <c r="J5248" s="88"/>
      <c r="K5248" s="88"/>
      <c r="L5248" s="89"/>
      <c r="M5248" s="89"/>
      <c r="Q5248" s="105"/>
    </row>
    <row r="5249" spans="3:17" x14ac:dyDescent="0.3">
      <c r="C5249" s="87"/>
      <c r="H5249" s="86" t="e">
        <f>IF(I5249="fora",0%,G5249/QUÓRUM!$C$6)</f>
        <v>#DIV/0!</v>
      </c>
      <c r="I5249" s="87"/>
      <c r="J5249" s="88"/>
      <c r="K5249" s="88"/>
      <c r="L5249" s="89"/>
      <c r="M5249" s="89"/>
      <c r="Q5249" s="105"/>
    </row>
    <row r="5250" spans="3:17" x14ac:dyDescent="0.3">
      <c r="C5250" s="87"/>
      <c r="H5250" s="86" t="e">
        <f>IF(I5250="fora",0%,G5250/QUÓRUM!$C$6)</f>
        <v>#DIV/0!</v>
      </c>
      <c r="I5250" s="87"/>
      <c r="J5250" s="88"/>
      <c r="K5250" s="88"/>
      <c r="L5250" s="89"/>
      <c r="M5250" s="89"/>
      <c r="Q5250" s="105"/>
    </row>
    <row r="5251" spans="3:17" x14ac:dyDescent="0.3">
      <c r="C5251" s="87"/>
      <c r="H5251" s="86" t="e">
        <f>IF(I5251="fora",0%,G5251/QUÓRUM!$C$6)</f>
        <v>#DIV/0!</v>
      </c>
      <c r="I5251" s="87"/>
      <c r="J5251" s="88"/>
      <c r="K5251" s="88"/>
      <c r="L5251" s="89"/>
      <c r="M5251" s="89"/>
      <c r="Q5251" s="105"/>
    </row>
    <row r="5252" spans="3:17" x14ac:dyDescent="0.3">
      <c r="C5252" s="87"/>
      <c r="H5252" s="86" t="e">
        <f>IF(I5252="fora",0%,G5252/QUÓRUM!$C$6)</f>
        <v>#DIV/0!</v>
      </c>
      <c r="I5252" s="87"/>
      <c r="J5252" s="88"/>
      <c r="K5252" s="88"/>
      <c r="L5252" s="89"/>
      <c r="M5252" s="89"/>
      <c r="Q5252" s="105"/>
    </row>
    <row r="5253" spans="3:17" x14ac:dyDescent="0.3">
      <c r="C5253" s="87"/>
      <c r="H5253" s="86" t="e">
        <f>IF(I5253="fora",0%,G5253/QUÓRUM!$C$6)</f>
        <v>#DIV/0!</v>
      </c>
      <c r="I5253" s="87"/>
      <c r="J5253" s="88"/>
      <c r="K5253" s="88"/>
      <c r="L5253" s="89"/>
      <c r="M5253" s="89"/>
      <c r="Q5253" s="105"/>
    </row>
    <row r="5254" spans="3:17" x14ac:dyDescent="0.3">
      <c r="C5254" s="87"/>
      <c r="H5254" s="86" t="e">
        <f>IF(I5254="fora",0%,G5254/QUÓRUM!$C$6)</f>
        <v>#DIV/0!</v>
      </c>
      <c r="I5254" s="87"/>
      <c r="J5254" s="88"/>
      <c r="K5254" s="88"/>
      <c r="L5254" s="89"/>
      <c r="M5254" s="89"/>
      <c r="Q5254" s="105"/>
    </row>
    <row r="5255" spans="3:17" x14ac:dyDescent="0.3">
      <c r="C5255" s="87"/>
      <c r="H5255" s="86" t="e">
        <f>IF(I5255="fora",0%,G5255/QUÓRUM!$C$6)</f>
        <v>#DIV/0!</v>
      </c>
      <c r="I5255" s="87"/>
      <c r="J5255" s="88"/>
      <c r="K5255" s="88"/>
      <c r="L5255" s="89"/>
      <c r="M5255" s="89"/>
      <c r="Q5255" s="105"/>
    </row>
    <row r="5256" spans="3:17" x14ac:dyDescent="0.3">
      <c r="C5256" s="87"/>
      <c r="H5256" s="86" t="e">
        <f>IF(I5256="fora",0%,G5256/QUÓRUM!$C$6)</f>
        <v>#DIV/0!</v>
      </c>
      <c r="I5256" s="87"/>
      <c r="J5256" s="88"/>
      <c r="K5256" s="88"/>
      <c r="L5256" s="89"/>
      <c r="M5256" s="89"/>
      <c r="Q5256" s="105"/>
    </row>
    <row r="5257" spans="3:17" x14ac:dyDescent="0.3">
      <c r="C5257" s="87"/>
      <c r="H5257" s="86" t="e">
        <f>IF(I5257="fora",0%,G5257/QUÓRUM!$C$6)</f>
        <v>#DIV/0!</v>
      </c>
      <c r="I5257" s="87"/>
      <c r="J5257" s="88"/>
      <c r="K5257" s="88"/>
      <c r="L5257" s="89"/>
      <c r="M5257" s="89"/>
      <c r="Q5257" s="105"/>
    </row>
    <row r="5258" spans="3:17" x14ac:dyDescent="0.3">
      <c r="C5258" s="87"/>
      <c r="H5258" s="86" t="e">
        <f>IF(I5258="fora",0%,G5258/QUÓRUM!$C$6)</f>
        <v>#DIV/0!</v>
      </c>
      <c r="I5258" s="87"/>
      <c r="J5258" s="88"/>
      <c r="K5258" s="88"/>
      <c r="L5258" s="89"/>
      <c r="M5258" s="89"/>
      <c r="Q5258" s="105"/>
    </row>
    <row r="5259" spans="3:17" x14ac:dyDescent="0.3">
      <c r="C5259" s="87"/>
      <c r="H5259" s="86" t="e">
        <f>IF(I5259="fora",0%,G5259/QUÓRUM!$C$6)</f>
        <v>#DIV/0!</v>
      </c>
      <c r="I5259" s="87"/>
      <c r="J5259" s="88"/>
      <c r="K5259" s="88"/>
      <c r="L5259" s="89"/>
      <c r="M5259" s="89"/>
      <c r="Q5259" s="105"/>
    </row>
    <row r="5260" spans="3:17" x14ac:dyDescent="0.3">
      <c r="C5260" s="87"/>
      <c r="H5260" s="86" t="e">
        <f>IF(I5260="fora",0%,G5260/QUÓRUM!$C$6)</f>
        <v>#DIV/0!</v>
      </c>
      <c r="I5260" s="87"/>
      <c r="J5260" s="88"/>
      <c r="K5260" s="88"/>
      <c r="L5260" s="89"/>
      <c r="M5260" s="89"/>
      <c r="Q5260" s="105"/>
    </row>
    <row r="5261" spans="3:17" x14ac:dyDescent="0.3">
      <c r="C5261" s="87"/>
      <c r="H5261" s="86" t="e">
        <f>IF(I5261="fora",0%,G5261/QUÓRUM!$C$6)</f>
        <v>#DIV/0!</v>
      </c>
      <c r="I5261" s="87"/>
      <c r="J5261" s="88"/>
      <c r="K5261" s="88"/>
      <c r="L5261" s="89"/>
      <c r="M5261" s="89"/>
      <c r="Q5261" s="105"/>
    </row>
    <row r="5262" spans="3:17" x14ac:dyDescent="0.3">
      <c r="C5262" s="87"/>
      <c r="H5262" s="86" t="e">
        <f>IF(I5262="fora",0%,G5262/QUÓRUM!$C$6)</f>
        <v>#DIV/0!</v>
      </c>
      <c r="I5262" s="87"/>
      <c r="J5262" s="88"/>
      <c r="K5262" s="88"/>
      <c r="L5262" s="89"/>
      <c r="M5262" s="89"/>
      <c r="Q5262" s="105"/>
    </row>
    <row r="5263" spans="3:17" x14ac:dyDescent="0.3">
      <c r="C5263" s="87"/>
      <c r="H5263" s="86" t="e">
        <f>IF(I5263="fora",0%,G5263/QUÓRUM!$C$6)</f>
        <v>#DIV/0!</v>
      </c>
      <c r="I5263" s="87"/>
      <c r="J5263" s="88"/>
      <c r="K5263" s="88"/>
      <c r="L5263" s="89"/>
      <c r="M5263" s="89"/>
      <c r="Q5263" s="105"/>
    </row>
    <row r="5264" spans="3:17" x14ac:dyDescent="0.3">
      <c r="C5264" s="87"/>
      <c r="H5264" s="86" t="e">
        <f>IF(I5264="fora",0%,G5264/QUÓRUM!$C$6)</f>
        <v>#DIV/0!</v>
      </c>
      <c r="I5264" s="87"/>
      <c r="J5264" s="88"/>
      <c r="K5264" s="88"/>
      <c r="L5264" s="89"/>
      <c r="M5264" s="89"/>
      <c r="Q5264" s="105"/>
    </row>
    <row r="5265" spans="3:17" x14ac:dyDescent="0.3">
      <c r="C5265" s="87"/>
      <c r="H5265" s="86" t="e">
        <f>IF(I5265="fora",0%,G5265/QUÓRUM!$C$6)</f>
        <v>#DIV/0!</v>
      </c>
      <c r="I5265" s="87"/>
      <c r="J5265" s="88"/>
      <c r="K5265" s="88"/>
      <c r="L5265" s="89"/>
      <c r="M5265" s="89"/>
      <c r="Q5265" s="105"/>
    </row>
    <row r="5266" spans="3:17" x14ac:dyDescent="0.3">
      <c r="C5266" s="87"/>
      <c r="H5266" s="86" t="e">
        <f>IF(I5266="fora",0%,G5266/QUÓRUM!$C$6)</f>
        <v>#DIV/0!</v>
      </c>
      <c r="I5266" s="87"/>
      <c r="J5266" s="88"/>
      <c r="K5266" s="88"/>
      <c r="L5266" s="89"/>
      <c r="M5266" s="89"/>
      <c r="Q5266" s="105"/>
    </row>
    <row r="5267" spans="3:17" x14ac:dyDescent="0.3">
      <c r="C5267" s="87"/>
      <c r="H5267" s="86" t="e">
        <f>IF(I5267="fora",0%,G5267/QUÓRUM!$C$6)</f>
        <v>#DIV/0!</v>
      </c>
      <c r="I5267" s="87"/>
      <c r="J5267" s="88"/>
      <c r="K5267" s="88"/>
      <c r="L5267" s="89"/>
      <c r="M5267" s="89"/>
      <c r="Q5267" s="105"/>
    </row>
    <row r="5268" spans="3:17" x14ac:dyDescent="0.3">
      <c r="C5268" s="87"/>
      <c r="H5268" s="86" t="e">
        <f>IF(I5268="fora",0%,G5268/QUÓRUM!$C$6)</f>
        <v>#DIV/0!</v>
      </c>
      <c r="I5268" s="87"/>
      <c r="J5268" s="88"/>
      <c r="K5268" s="88"/>
      <c r="L5268" s="89"/>
      <c r="M5268" s="89"/>
      <c r="Q5268" s="105"/>
    </row>
    <row r="5269" spans="3:17" x14ac:dyDescent="0.3">
      <c r="C5269" s="87"/>
      <c r="H5269" s="86" t="e">
        <f>IF(I5269="fora",0%,G5269/QUÓRUM!$C$6)</f>
        <v>#DIV/0!</v>
      </c>
      <c r="I5269" s="87"/>
      <c r="J5269" s="88"/>
      <c r="K5269" s="88"/>
      <c r="L5269" s="89"/>
      <c r="M5269" s="89"/>
      <c r="Q5269" s="105"/>
    </row>
    <row r="5270" spans="3:17" x14ac:dyDescent="0.3">
      <c r="C5270" s="87"/>
      <c r="H5270" s="86" t="e">
        <f>IF(I5270="fora",0%,G5270/QUÓRUM!$C$6)</f>
        <v>#DIV/0!</v>
      </c>
      <c r="I5270" s="87"/>
      <c r="J5270" s="88"/>
      <c r="K5270" s="88"/>
      <c r="L5270" s="89"/>
      <c r="M5270" s="89"/>
      <c r="Q5270" s="105"/>
    </row>
    <row r="5271" spans="3:17" x14ac:dyDescent="0.3">
      <c r="C5271" s="87"/>
      <c r="H5271" s="86" t="e">
        <f>IF(I5271="fora",0%,G5271/QUÓRUM!$C$6)</f>
        <v>#DIV/0!</v>
      </c>
      <c r="I5271" s="87"/>
      <c r="J5271" s="88"/>
      <c r="K5271" s="88"/>
      <c r="L5271" s="89"/>
      <c r="M5271" s="89"/>
      <c r="Q5271" s="105"/>
    </row>
    <row r="5272" spans="3:17" x14ac:dyDescent="0.3">
      <c r="C5272" s="87"/>
      <c r="H5272" s="86" t="e">
        <f>IF(I5272="fora",0%,G5272/QUÓRUM!$C$6)</f>
        <v>#DIV/0!</v>
      </c>
      <c r="I5272" s="87"/>
      <c r="J5272" s="88"/>
      <c r="K5272" s="88"/>
      <c r="L5272" s="89"/>
      <c r="M5272" s="89"/>
      <c r="Q5272" s="105"/>
    </row>
    <row r="5273" spans="3:17" x14ac:dyDescent="0.3">
      <c r="C5273" s="87"/>
      <c r="H5273" s="86" t="e">
        <f>IF(I5273="fora",0%,G5273/QUÓRUM!$C$6)</f>
        <v>#DIV/0!</v>
      </c>
      <c r="I5273" s="87"/>
      <c r="J5273" s="88"/>
      <c r="K5273" s="88"/>
      <c r="L5273" s="89"/>
      <c r="M5273" s="89"/>
      <c r="Q5273" s="105"/>
    </row>
    <row r="5274" spans="3:17" x14ac:dyDescent="0.3">
      <c r="C5274" s="87"/>
      <c r="H5274" s="86" t="e">
        <f>IF(I5274="fora",0%,G5274/QUÓRUM!$C$6)</f>
        <v>#DIV/0!</v>
      </c>
      <c r="I5274" s="87"/>
      <c r="J5274" s="88"/>
      <c r="K5274" s="88"/>
      <c r="L5274" s="89"/>
      <c r="M5274" s="89"/>
      <c r="Q5274" s="105"/>
    </row>
    <row r="5275" spans="3:17" x14ac:dyDescent="0.3">
      <c r="C5275" s="87"/>
      <c r="H5275" s="86" t="e">
        <f>IF(I5275="fora",0%,G5275/QUÓRUM!$C$6)</f>
        <v>#DIV/0!</v>
      </c>
      <c r="I5275" s="87"/>
      <c r="J5275" s="88"/>
      <c r="K5275" s="88"/>
      <c r="L5275" s="89"/>
      <c r="M5275" s="89"/>
      <c r="Q5275" s="105"/>
    </row>
    <row r="5276" spans="3:17" x14ac:dyDescent="0.3">
      <c r="C5276" s="87"/>
      <c r="H5276" s="86" t="e">
        <f>IF(I5276="fora",0%,G5276/QUÓRUM!$C$6)</f>
        <v>#DIV/0!</v>
      </c>
      <c r="I5276" s="87"/>
      <c r="J5276" s="88"/>
      <c r="K5276" s="88"/>
      <c r="L5276" s="89"/>
      <c r="M5276" s="89"/>
      <c r="Q5276" s="105"/>
    </row>
    <row r="5277" spans="3:17" x14ac:dyDescent="0.3">
      <c r="C5277" s="87"/>
      <c r="H5277" s="86" t="e">
        <f>IF(I5277="fora",0%,G5277/QUÓRUM!$C$6)</f>
        <v>#DIV/0!</v>
      </c>
      <c r="I5277" s="87"/>
      <c r="J5277" s="88"/>
      <c r="K5277" s="88"/>
      <c r="L5277" s="89"/>
      <c r="M5277" s="89"/>
      <c r="Q5277" s="105"/>
    </row>
    <row r="5278" spans="3:17" x14ac:dyDescent="0.3">
      <c r="C5278" s="87"/>
      <c r="H5278" s="86" t="e">
        <f>IF(I5278="fora",0%,G5278/QUÓRUM!$C$6)</f>
        <v>#DIV/0!</v>
      </c>
      <c r="I5278" s="87"/>
      <c r="J5278" s="88"/>
      <c r="K5278" s="88"/>
      <c r="L5278" s="89"/>
      <c r="M5278" s="89"/>
      <c r="Q5278" s="105"/>
    </row>
    <row r="5279" spans="3:17" x14ac:dyDescent="0.3">
      <c r="C5279" s="87"/>
      <c r="H5279" s="86" t="e">
        <f>IF(I5279="fora",0%,G5279/QUÓRUM!$C$6)</f>
        <v>#DIV/0!</v>
      </c>
      <c r="I5279" s="87"/>
      <c r="J5279" s="88"/>
      <c r="K5279" s="88"/>
      <c r="L5279" s="89"/>
      <c r="M5279" s="89"/>
      <c r="Q5279" s="105"/>
    </row>
    <row r="5280" spans="3:17" x14ac:dyDescent="0.3">
      <c r="C5280" s="87"/>
      <c r="H5280" s="86" t="e">
        <f>IF(I5280="fora",0%,G5280/QUÓRUM!$C$6)</f>
        <v>#DIV/0!</v>
      </c>
      <c r="I5280" s="87"/>
      <c r="J5280" s="88"/>
      <c r="K5280" s="88"/>
      <c r="L5280" s="89"/>
      <c r="M5280" s="89"/>
      <c r="Q5280" s="105"/>
    </row>
    <row r="5281" spans="3:17" x14ac:dyDescent="0.3">
      <c r="C5281" s="87"/>
      <c r="H5281" s="86" t="e">
        <f>IF(I5281="fora",0%,G5281/QUÓRUM!$C$6)</f>
        <v>#DIV/0!</v>
      </c>
      <c r="I5281" s="87"/>
      <c r="J5281" s="88"/>
      <c r="K5281" s="88"/>
      <c r="L5281" s="89"/>
      <c r="M5281" s="89"/>
      <c r="Q5281" s="105"/>
    </row>
    <row r="5282" spans="3:17" x14ac:dyDescent="0.3">
      <c r="C5282" s="87"/>
      <c r="H5282" s="86" t="e">
        <f>IF(I5282="fora",0%,G5282/QUÓRUM!$C$6)</f>
        <v>#DIV/0!</v>
      </c>
      <c r="I5282" s="87"/>
      <c r="J5282" s="88"/>
      <c r="K5282" s="88"/>
      <c r="L5282" s="89"/>
      <c r="M5282" s="89"/>
      <c r="Q5282" s="105"/>
    </row>
    <row r="5283" spans="3:17" x14ac:dyDescent="0.3">
      <c r="C5283" s="87"/>
      <c r="H5283" s="86" t="e">
        <f>IF(I5283="fora",0%,G5283/QUÓRUM!$C$6)</f>
        <v>#DIV/0!</v>
      </c>
      <c r="I5283" s="87"/>
      <c r="J5283" s="88"/>
      <c r="K5283" s="88"/>
      <c r="L5283" s="89"/>
      <c r="M5283" s="89"/>
      <c r="Q5283" s="105"/>
    </row>
    <row r="5284" spans="3:17" x14ac:dyDescent="0.3">
      <c r="C5284" s="87"/>
      <c r="H5284" s="86" t="e">
        <f>IF(I5284="fora",0%,G5284/QUÓRUM!$C$6)</f>
        <v>#DIV/0!</v>
      </c>
      <c r="I5284" s="87"/>
      <c r="J5284" s="88"/>
      <c r="K5284" s="88"/>
      <c r="L5284" s="89"/>
      <c r="M5284" s="89"/>
      <c r="Q5284" s="105"/>
    </row>
    <row r="5285" spans="3:17" x14ac:dyDescent="0.3">
      <c r="C5285" s="87"/>
      <c r="H5285" s="86" t="e">
        <f>IF(I5285="fora",0%,G5285/QUÓRUM!$C$6)</f>
        <v>#DIV/0!</v>
      </c>
      <c r="I5285" s="87"/>
      <c r="J5285" s="88"/>
      <c r="K5285" s="88"/>
      <c r="L5285" s="89"/>
      <c r="M5285" s="89"/>
      <c r="Q5285" s="105"/>
    </row>
    <row r="5286" spans="3:17" x14ac:dyDescent="0.3">
      <c r="C5286" s="87"/>
      <c r="H5286" s="86" t="e">
        <f>IF(I5286="fora",0%,G5286/QUÓRUM!$C$6)</f>
        <v>#DIV/0!</v>
      </c>
      <c r="I5286" s="87"/>
      <c r="J5286" s="88"/>
      <c r="K5286" s="88"/>
      <c r="L5286" s="89"/>
      <c r="M5286" s="89"/>
      <c r="Q5286" s="105"/>
    </row>
    <row r="5287" spans="3:17" x14ac:dyDescent="0.3">
      <c r="C5287" s="87"/>
      <c r="H5287" s="86" t="e">
        <f>IF(I5287="fora",0%,G5287/QUÓRUM!$C$6)</f>
        <v>#DIV/0!</v>
      </c>
      <c r="I5287" s="87"/>
      <c r="J5287" s="88"/>
      <c r="K5287" s="88"/>
      <c r="L5287" s="89"/>
      <c r="M5287" s="89"/>
      <c r="Q5287" s="105"/>
    </row>
    <row r="5288" spans="3:17" x14ac:dyDescent="0.3">
      <c r="C5288" s="87"/>
      <c r="H5288" s="86" t="e">
        <f>IF(I5288="fora",0%,G5288/QUÓRUM!$C$6)</f>
        <v>#DIV/0!</v>
      </c>
      <c r="I5288" s="87"/>
      <c r="J5288" s="88"/>
      <c r="K5288" s="88"/>
      <c r="L5288" s="89"/>
      <c r="M5288" s="89"/>
      <c r="Q5288" s="105"/>
    </row>
    <row r="5289" spans="3:17" x14ac:dyDescent="0.3">
      <c r="C5289" s="87"/>
      <c r="H5289" s="86" t="e">
        <f>IF(I5289="fora",0%,G5289/QUÓRUM!$C$6)</f>
        <v>#DIV/0!</v>
      </c>
      <c r="I5289" s="87"/>
      <c r="J5289" s="88"/>
      <c r="K5289" s="88"/>
      <c r="L5289" s="89"/>
      <c r="M5289" s="89"/>
      <c r="Q5289" s="105"/>
    </row>
    <row r="5290" spans="3:17" x14ac:dyDescent="0.3">
      <c r="C5290" s="87"/>
      <c r="H5290" s="86" t="e">
        <f>IF(I5290="fora",0%,G5290/QUÓRUM!$C$6)</f>
        <v>#DIV/0!</v>
      </c>
      <c r="I5290" s="87"/>
      <c r="J5290" s="88"/>
      <c r="K5290" s="88"/>
      <c r="L5290" s="89"/>
      <c r="M5290" s="89"/>
      <c r="Q5290" s="105"/>
    </row>
    <row r="5291" spans="3:17" x14ac:dyDescent="0.3">
      <c r="C5291" s="87"/>
      <c r="H5291" s="86" t="e">
        <f>IF(I5291="fora",0%,G5291/QUÓRUM!$C$6)</f>
        <v>#DIV/0!</v>
      </c>
      <c r="I5291" s="87"/>
      <c r="J5291" s="88"/>
      <c r="K5291" s="88"/>
      <c r="L5291" s="89"/>
      <c r="M5291" s="89"/>
      <c r="Q5291" s="105"/>
    </row>
    <row r="5292" spans="3:17" x14ac:dyDescent="0.3">
      <c r="C5292" s="87"/>
      <c r="H5292" s="86" t="e">
        <f>IF(I5292="fora",0%,G5292/QUÓRUM!$C$6)</f>
        <v>#DIV/0!</v>
      </c>
      <c r="I5292" s="87"/>
      <c r="J5292" s="88"/>
      <c r="K5292" s="88"/>
      <c r="L5292" s="89"/>
      <c r="M5292" s="89"/>
      <c r="Q5292" s="105"/>
    </row>
    <row r="5293" spans="3:17" x14ac:dyDescent="0.3">
      <c r="C5293" s="87"/>
      <c r="H5293" s="86" t="e">
        <f>IF(I5293="fora",0%,G5293/QUÓRUM!$C$6)</f>
        <v>#DIV/0!</v>
      </c>
      <c r="I5293" s="87"/>
      <c r="J5293" s="88"/>
      <c r="K5293" s="88"/>
      <c r="L5293" s="89"/>
      <c r="M5293" s="89"/>
      <c r="Q5293" s="105"/>
    </row>
    <row r="5294" spans="3:17" x14ac:dyDescent="0.3">
      <c r="C5294" s="87"/>
      <c r="H5294" s="86" t="e">
        <f>IF(I5294="fora",0%,G5294/QUÓRUM!$C$6)</f>
        <v>#DIV/0!</v>
      </c>
      <c r="I5294" s="87"/>
      <c r="J5294" s="88"/>
      <c r="K5294" s="88"/>
      <c r="L5294" s="89"/>
      <c r="M5294" s="89"/>
      <c r="Q5294" s="105"/>
    </row>
    <row r="5295" spans="3:17" x14ac:dyDescent="0.3">
      <c r="C5295" s="87"/>
      <c r="H5295" s="86" t="e">
        <f>IF(I5295="fora",0%,G5295/QUÓRUM!$C$6)</f>
        <v>#DIV/0!</v>
      </c>
      <c r="I5295" s="87"/>
      <c r="J5295" s="88"/>
      <c r="K5295" s="88"/>
      <c r="L5295" s="89"/>
      <c r="M5295" s="89"/>
      <c r="Q5295" s="105"/>
    </row>
    <row r="5296" spans="3:17" x14ac:dyDescent="0.3">
      <c r="C5296" s="87"/>
      <c r="H5296" s="86" t="e">
        <f>IF(I5296="fora",0%,G5296/QUÓRUM!$C$6)</f>
        <v>#DIV/0!</v>
      </c>
      <c r="I5296" s="87"/>
      <c r="J5296" s="88"/>
      <c r="K5296" s="88"/>
      <c r="L5296" s="89"/>
      <c r="M5296" s="89"/>
      <c r="Q5296" s="105"/>
    </row>
    <row r="5297" spans="3:17" x14ac:dyDescent="0.3">
      <c r="C5297" s="87"/>
      <c r="H5297" s="86" t="e">
        <f>IF(I5297="fora",0%,G5297/QUÓRUM!$C$6)</f>
        <v>#DIV/0!</v>
      </c>
      <c r="I5297" s="87"/>
      <c r="J5297" s="88"/>
      <c r="K5297" s="88"/>
      <c r="L5297" s="89"/>
      <c r="M5297" s="89"/>
      <c r="Q5297" s="105"/>
    </row>
    <row r="5298" spans="3:17" x14ac:dyDescent="0.3">
      <c r="C5298" s="87"/>
      <c r="H5298" s="86" t="e">
        <f>IF(I5298="fora",0%,G5298/QUÓRUM!$C$6)</f>
        <v>#DIV/0!</v>
      </c>
      <c r="I5298" s="87"/>
      <c r="J5298" s="88"/>
      <c r="K5298" s="88"/>
      <c r="L5298" s="89"/>
      <c r="M5298" s="89"/>
      <c r="Q5298" s="105"/>
    </row>
    <row r="5299" spans="3:17" x14ac:dyDescent="0.3">
      <c r="C5299" s="87"/>
      <c r="H5299" s="86" t="e">
        <f>IF(I5299="fora",0%,G5299/QUÓRUM!$C$6)</f>
        <v>#DIV/0!</v>
      </c>
      <c r="I5299" s="87"/>
      <c r="J5299" s="88"/>
      <c r="K5299" s="88"/>
      <c r="L5299" s="89"/>
      <c r="M5299" s="89"/>
      <c r="Q5299" s="105"/>
    </row>
    <row r="5300" spans="3:17" x14ac:dyDescent="0.3">
      <c r="C5300" s="87"/>
      <c r="H5300" s="86" t="e">
        <f>IF(I5300="fora",0%,G5300/QUÓRUM!$C$6)</f>
        <v>#DIV/0!</v>
      </c>
      <c r="I5300" s="87"/>
      <c r="J5300" s="88"/>
      <c r="K5300" s="88"/>
      <c r="L5300" s="89"/>
      <c r="M5300" s="89"/>
      <c r="Q5300" s="105"/>
    </row>
    <row r="5301" spans="3:17" x14ac:dyDescent="0.3">
      <c r="C5301" s="87"/>
      <c r="H5301" s="86" t="e">
        <f>IF(I5301="fora",0%,G5301/QUÓRUM!$C$6)</f>
        <v>#DIV/0!</v>
      </c>
      <c r="I5301" s="87"/>
      <c r="J5301" s="88"/>
      <c r="K5301" s="88"/>
      <c r="L5301" s="89"/>
      <c r="M5301" s="89"/>
      <c r="Q5301" s="105"/>
    </row>
    <row r="5302" spans="3:17" x14ac:dyDescent="0.3">
      <c r="C5302" s="87"/>
      <c r="H5302" s="86" t="e">
        <f>IF(I5302="fora",0%,G5302/QUÓRUM!$C$6)</f>
        <v>#DIV/0!</v>
      </c>
      <c r="I5302" s="87"/>
      <c r="J5302" s="88"/>
      <c r="K5302" s="88"/>
      <c r="L5302" s="89"/>
      <c r="M5302" s="89"/>
      <c r="Q5302" s="105"/>
    </row>
    <row r="5303" spans="3:17" x14ac:dyDescent="0.3">
      <c r="C5303" s="87"/>
      <c r="H5303" s="86" t="e">
        <f>IF(I5303="fora",0%,G5303/QUÓRUM!$C$6)</f>
        <v>#DIV/0!</v>
      </c>
      <c r="I5303" s="87"/>
      <c r="J5303" s="88"/>
      <c r="K5303" s="88"/>
      <c r="L5303" s="89"/>
      <c r="M5303" s="89"/>
      <c r="Q5303" s="105"/>
    </row>
    <row r="5304" spans="3:17" x14ac:dyDescent="0.3">
      <c r="C5304" s="87"/>
      <c r="H5304" s="86" t="e">
        <f>IF(I5304="fora",0%,G5304/QUÓRUM!$C$6)</f>
        <v>#DIV/0!</v>
      </c>
      <c r="I5304" s="87"/>
      <c r="J5304" s="88"/>
      <c r="K5304" s="88"/>
      <c r="L5304" s="89"/>
      <c r="M5304" s="89"/>
      <c r="Q5304" s="105"/>
    </row>
    <row r="5305" spans="3:17" x14ac:dyDescent="0.3">
      <c r="C5305" s="87"/>
      <c r="H5305" s="86" t="e">
        <f>IF(I5305="fora",0%,G5305/QUÓRUM!$C$6)</f>
        <v>#DIV/0!</v>
      </c>
      <c r="I5305" s="87"/>
      <c r="J5305" s="88"/>
      <c r="K5305" s="88"/>
      <c r="L5305" s="89"/>
      <c r="M5305" s="89"/>
      <c r="Q5305" s="105"/>
    </row>
    <row r="5306" spans="3:17" x14ac:dyDescent="0.3">
      <c r="C5306" s="87"/>
      <c r="H5306" s="86" t="e">
        <f>IF(I5306="fora",0%,G5306/QUÓRUM!$C$6)</f>
        <v>#DIV/0!</v>
      </c>
      <c r="I5306" s="87"/>
      <c r="J5306" s="88"/>
      <c r="K5306" s="88"/>
      <c r="L5306" s="89"/>
      <c r="M5306" s="89"/>
      <c r="Q5306" s="105"/>
    </row>
    <row r="5307" spans="3:17" x14ac:dyDescent="0.3">
      <c r="C5307" s="87"/>
      <c r="H5307" s="86" t="e">
        <f>IF(I5307="fora",0%,G5307/QUÓRUM!$C$6)</f>
        <v>#DIV/0!</v>
      </c>
      <c r="I5307" s="87"/>
      <c r="J5307" s="88"/>
      <c r="K5307" s="88"/>
      <c r="L5307" s="89"/>
      <c r="M5307" s="89"/>
      <c r="Q5307" s="105"/>
    </row>
    <row r="5308" spans="3:17" x14ac:dyDescent="0.3">
      <c r="C5308" s="87"/>
      <c r="H5308" s="86" t="e">
        <f>IF(I5308="fora",0%,G5308/QUÓRUM!$C$6)</f>
        <v>#DIV/0!</v>
      </c>
      <c r="I5308" s="87"/>
      <c r="J5308" s="88"/>
      <c r="K5308" s="88"/>
      <c r="L5308" s="89"/>
      <c r="M5308" s="89"/>
      <c r="Q5308" s="105"/>
    </row>
    <row r="5309" spans="3:17" x14ac:dyDescent="0.3">
      <c r="C5309" s="87"/>
      <c r="H5309" s="86" t="e">
        <f>IF(I5309="fora",0%,G5309/QUÓRUM!$C$6)</f>
        <v>#DIV/0!</v>
      </c>
      <c r="I5309" s="87"/>
      <c r="J5309" s="88"/>
      <c r="K5309" s="88"/>
      <c r="L5309" s="89"/>
      <c r="M5309" s="89"/>
      <c r="Q5309" s="105"/>
    </row>
    <row r="5310" spans="3:17" x14ac:dyDescent="0.3">
      <c r="C5310" s="87"/>
      <c r="H5310" s="86" t="e">
        <f>IF(I5310="fora",0%,G5310/QUÓRUM!$C$6)</f>
        <v>#DIV/0!</v>
      </c>
      <c r="I5310" s="87"/>
      <c r="J5310" s="88"/>
      <c r="K5310" s="88"/>
      <c r="L5310" s="89"/>
      <c r="M5310" s="89"/>
      <c r="Q5310" s="105"/>
    </row>
    <row r="5311" spans="3:17" x14ac:dyDescent="0.3">
      <c r="C5311" s="87"/>
      <c r="H5311" s="86" t="e">
        <f>IF(I5311="fora",0%,G5311/QUÓRUM!$C$6)</f>
        <v>#DIV/0!</v>
      </c>
      <c r="I5311" s="87"/>
      <c r="J5311" s="88"/>
      <c r="K5311" s="88"/>
      <c r="L5311" s="89"/>
      <c r="M5311" s="89"/>
      <c r="Q5311" s="105"/>
    </row>
    <row r="5312" spans="3:17" x14ac:dyDescent="0.3">
      <c r="C5312" s="87"/>
      <c r="H5312" s="86" t="e">
        <f>IF(I5312="fora",0%,G5312/QUÓRUM!$C$6)</f>
        <v>#DIV/0!</v>
      </c>
      <c r="I5312" s="87"/>
      <c r="J5312" s="88"/>
      <c r="K5312" s="88"/>
      <c r="L5312" s="89"/>
      <c r="M5312" s="89"/>
      <c r="Q5312" s="105"/>
    </row>
    <row r="5313" spans="3:17" x14ac:dyDescent="0.3">
      <c r="C5313" s="87"/>
      <c r="H5313" s="86" t="e">
        <f>IF(I5313="fora",0%,G5313/QUÓRUM!$C$6)</f>
        <v>#DIV/0!</v>
      </c>
      <c r="I5313" s="87"/>
      <c r="J5313" s="88"/>
      <c r="K5313" s="88"/>
      <c r="L5313" s="89"/>
      <c r="M5313" s="89"/>
      <c r="Q5313" s="105"/>
    </row>
    <row r="5314" spans="3:17" x14ac:dyDescent="0.3">
      <c r="C5314" s="87"/>
      <c r="H5314" s="86" t="e">
        <f>IF(I5314="fora",0%,G5314/QUÓRUM!$C$6)</f>
        <v>#DIV/0!</v>
      </c>
      <c r="I5314" s="87"/>
      <c r="J5314" s="88"/>
      <c r="K5314" s="88"/>
      <c r="L5314" s="89"/>
      <c r="M5314" s="89"/>
      <c r="Q5314" s="105"/>
    </row>
    <row r="5315" spans="3:17" x14ac:dyDescent="0.3">
      <c r="C5315" s="87"/>
      <c r="H5315" s="86" t="e">
        <f>IF(I5315="fora",0%,G5315/QUÓRUM!$C$6)</f>
        <v>#DIV/0!</v>
      </c>
      <c r="I5315" s="87"/>
      <c r="J5315" s="88"/>
      <c r="K5315" s="88"/>
      <c r="L5315" s="89"/>
      <c r="M5315" s="89"/>
      <c r="Q5315" s="105"/>
    </row>
    <row r="5316" spans="3:17" x14ac:dyDescent="0.3">
      <c r="C5316" s="87"/>
      <c r="H5316" s="86" t="e">
        <f>IF(I5316="fora",0%,G5316/QUÓRUM!$C$6)</f>
        <v>#DIV/0!</v>
      </c>
      <c r="I5316" s="87"/>
      <c r="J5316" s="88"/>
      <c r="K5316" s="88"/>
      <c r="L5316" s="89"/>
      <c r="M5316" s="89"/>
      <c r="Q5316" s="105"/>
    </row>
    <row r="5317" spans="3:17" x14ac:dyDescent="0.3">
      <c r="C5317" s="87"/>
      <c r="H5317" s="86" t="e">
        <f>IF(I5317="fora",0%,G5317/QUÓRUM!$C$6)</f>
        <v>#DIV/0!</v>
      </c>
      <c r="I5317" s="87"/>
      <c r="J5317" s="88"/>
      <c r="K5317" s="88"/>
      <c r="L5317" s="89"/>
      <c r="M5317" s="89"/>
      <c r="Q5317" s="105"/>
    </row>
    <row r="5318" spans="3:17" x14ac:dyDescent="0.3">
      <c r="C5318" s="87"/>
      <c r="H5318" s="86" t="e">
        <f>IF(I5318="fora",0%,G5318/QUÓRUM!$C$6)</f>
        <v>#DIV/0!</v>
      </c>
      <c r="I5318" s="87"/>
      <c r="J5318" s="88"/>
      <c r="K5318" s="88"/>
      <c r="L5318" s="89"/>
      <c r="M5318" s="89"/>
      <c r="Q5318" s="105"/>
    </row>
    <row r="5319" spans="3:17" x14ac:dyDescent="0.3">
      <c r="C5319" s="87"/>
      <c r="H5319" s="86" t="e">
        <f>IF(I5319="fora",0%,G5319/QUÓRUM!$C$6)</f>
        <v>#DIV/0!</v>
      </c>
      <c r="I5319" s="87"/>
      <c r="J5319" s="88"/>
      <c r="K5319" s="88"/>
      <c r="L5319" s="89"/>
      <c r="M5319" s="89"/>
      <c r="Q5319" s="105"/>
    </row>
    <row r="5320" spans="3:17" x14ac:dyDescent="0.3">
      <c r="C5320" s="87"/>
      <c r="H5320" s="86" t="e">
        <f>IF(I5320="fora",0%,G5320/QUÓRUM!$C$6)</f>
        <v>#DIV/0!</v>
      </c>
      <c r="I5320" s="87"/>
      <c r="J5320" s="88"/>
      <c r="K5320" s="88"/>
      <c r="L5320" s="89"/>
      <c r="M5320" s="89"/>
      <c r="Q5320" s="105"/>
    </row>
    <row r="5321" spans="3:17" x14ac:dyDescent="0.3">
      <c r="C5321" s="87"/>
      <c r="H5321" s="86" t="e">
        <f>IF(I5321="fora",0%,G5321/QUÓRUM!$C$6)</f>
        <v>#DIV/0!</v>
      </c>
      <c r="I5321" s="87"/>
      <c r="J5321" s="88"/>
      <c r="K5321" s="88"/>
      <c r="L5321" s="89"/>
      <c r="M5321" s="89"/>
      <c r="Q5321" s="105"/>
    </row>
    <row r="5322" spans="3:17" x14ac:dyDescent="0.3">
      <c r="C5322" s="87"/>
      <c r="H5322" s="86" t="e">
        <f>IF(I5322="fora",0%,G5322/QUÓRUM!$C$6)</f>
        <v>#DIV/0!</v>
      </c>
      <c r="I5322" s="87"/>
      <c r="J5322" s="88"/>
      <c r="K5322" s="88"/>
      <c r="L5322" s="89"/>
      <c r="M5322" s="89"/>
      <c r="Q5322" s="105"/>
    </row>
    <row r="5323" spans="3:17" x14ac:dyDescent="0.3">
      <c r="C5323" s="87"/>
      <c r="H5323" s="86" t="e">
        <f>IF(I5323="fora",0%,G5323/QUÓRUM!$C$6)</f>
        <v>#DIV/0!</v>
      </c>
      <c r="I5323" s="87"/>
      <c r="J5323" s="88"/>
      <c r="K5323" s="88"/>
      <c r="L5323" s="89"/>
      <c r="M5323" s="89"/>
      <c r="Q5323" s="105"/>
    </row>
    <row r="5324" spans="3:17" x14ac:dyDescent="0.3">
      <c r="C5324" s="87"/>
      <c r="H5324" s="86" t="e">
        <f>IF(I5324="fora",0%,G5324/QUÓRUM!$C$6)</f>
        <v>#DIV/0!</v>
      </c>
      <c r="I5324" s="87"/>
      <c r="J5324" s="88"/>
      <c r="K5324" s="88"/>
      <c r="L5324" s="89"/>
      <c r="M5324" s="89"/>
      <c r="Q5324" s="105"/>
    </row>
    <row r="5325" spans="3:17" x14ac:dyDescent="0.3">
      <c r="C5325" s="87"/>
      <c r="H5325" s="86" t="e">
        <f>IF(I5325="fora",0%,G5325/QUÓRUM!$C$6)</f>
        <v>#DIV/0!</v>
      </c>
      <c r="I5325" s="87"/>
      <c r="J5325" s="88"/>
      <c r="K5325" s="88"/>
      <c r="L5325" s="89"/>
      <c r="M5325" s="89"/>
      <c r="Q5325" s="105"/>
    </row>
    <row r="5326" spans="3:17" x14ac:dyDescent="0.3">
      <c r="C5326" s="87"/>
      <c r="H5326" s="86" t="e">
        <f>IF(I5326="fora",0%,G5326/QUÓRUM!$C$6)</f>
        <v>#DIV/0!</v>
      </c>
      <c r="I5326" s="87"/>
      <c r="J5326" s="88"/>
      <c r="K5326" s="88"/>
      <c r="L5326" s="89"/>
      <c r="M5326" s="89"/>
      <c r="Q5326" s="105"/>
    </row>
    <row r="5327" spans="3:17" x14ac:dyDescent="0.3">
      <c r="C5327" s="87"/>
      <c r="H5327" s="86" t="e">
        <f>IF(I5327="fora",0%,G5327/QUÓRUM!$C$6)</f>
        <v>#DIV/0!</v>
      </c>
      <c r="I5327" s="87"/>
      <c r="J5327" s="88"/>
      <c r="K5327" s="88"/>
      <c r="L5327" s="89"/>
      <c r="M5327" s="89"/>
      <c r="Q5327" s="105"/>
    </row>
    <row r="5328" spans="3:17" x14ac:dyDescent="0.3">
      <c r="C5328" s="87"/>
      <c r="H5328" s="86" t="e">
        <f>IF(I5328="fora",0%,G5328/QUÓRUM!$C$6)</f>
        <v>#DIV/0!</v>
      </c>
      <c r="I5328" s="87"/>
      <c r="J5328" s="88"/>
      <c r="K5328" s="88"/>
      <c r="L5328" s="89"/>
      <c r="M5328" s="89"/>
      <c r="Q5328" s="105"/>
    </row>
    <row r="5329" spans="3:17" x14ac:dyDescent="0.3">
      <c r="C5329" s="87"/>
      <c r="H5329" s="86" t="e">
        <f>IF(I5329="fora",0%,G5329/QUÓRUM!$C$6)</f>
        <v>#DIV/0!</v>
      </c>
      <c r="I5329" s="87"/>
      <c r="J5329" s="88"/>
      <c r="K5329" s="88"/>
      <c r="L5329" s="89"/>
      <c r="M5329" s="89"/>
      <c r="Q5329" s="105"/>
    </row>
    <row r="5330" spans="3:17" x14ac:dyDescent="0.3">
      <c r="C5330" s="87"/>
      <c r="H5330" s="86" t="e">
        <f>IF(I5330="fora",0%,G5330/QUÓRUM!$C$6)</f>
        <v>#DIV/0!</v>
      </c>
      <c r="I5330" s="87"/>
      <c r="J5330" s="88"/>
      <c r="K5330" s="88"/>
      <c r="L5330" s="89"/>
      <c r="M5330" s="89"/>
      <c r="Q5330" s="105"/>
    </row>
    <row r="5331" spans="3:17" x14ac:dyDescent="0.3">
      <c r="C5331" s="87"/>
      <c r="H5331" s="86" t="e">
        <f>IF(I5331="fora",0%,G5331/QUÓRUM!$C$6)</f>
        <v>#DIV/0!</v>
      </c>
      <c r="I5331" s="87"/>
      <c r="J5331" s="88"/>
      <c r="K5331" s="88"/>
      <c r="L5331" s="89"/>
      <c r="M5331" s="89"/>
      <c r="Q5331" s="105"/>
    </row>
    <row r="5332" spans="3:17" x14ac:dyDescent="0.3">
      <c r="C5332" s="87"/>
      <c r="H5332" s="86" t="e">
        <f>IF(I5332="fora",0%,G5332/QUÓRUM!$C$6)</f>
        <v>#DIV/0!</v>
      </c>
      <c r="I5332" s="87"/>
      <c r="J5332" s="88"/>
      <c r="K5332" s="88"/>
      <c r="L5332" s="89"/>
      <c r="M5332" s="89"/>
      <c r="Q5332" s="105"/>
    </row>
    <row r="5333" spans="3:17" x14ac:dyDescent="0.3">
      <c r="C5333" s="87"/>
      <c r="H5333" s="86" t="e">
        <f>IF(I5333="fora",0%,G5333/QUÓRUM!$C$6)</f>
        <v>#DIV/0!</v>
      </c>
      <c r="I5333" s="87"/>
      <c r="J5333" s="88"/>
      <c r="K5333" s="88"/>
      <c r="L5333" s="89"/>
      <c r="M5333" s="89"/>
      <c r="Q5333" s="105"/>
    </row>
    <row r="5334" spans="3:17" x14ac:dyDescent="0.3">
      <c r="C5334" s="87"/>
      <c r="H5334" s="86" t="e">
        <f>IF(I5334="fora",0%,G5334/QUÓRUM!$C$6)</f>
        <v>#DIV/0!</v>
      </c>
      <c r="I5334" s="87"/>
      <c r="J5334" s="88"/>
      <c r="K5334" s="88"/>
      <c r="L5334" s="89"/>
      <c r="M5334" s="89"/>
      <c r="Q5334" s="105"/>
    </row>
    <row r="5335" spans="3:17" x14ac:dyDescent="0.3">
      <c r="C5335" s="87"/>
      <c r="H5335" s="86" t="e">
        <f>IF(I5335="fora",0%,G5335/QUÓRUM!$C$6)</f>
        <v>#DIV/0!</v>
      </c>
      <c r="I5335" s="87"/>
      <c r="J5335" s="88"/>
      <c r="K5335" s="88"/>
      <c r="L5335" s="89"/>
      <c r="M5335" s="89"/>
      <c r="Q5335" s="105"/>
    </row>
    <row r="5336" spans="3:17" x14ac:dyDescent="0.3">
      <c r="C5336" s="87"/>
      <c r="H5336" s="86" t="e">
        <f>IF(I5336="fora",0%,G5336/QUÓRUM!$C$6)</f>
        <v>#DIV/0!</v>
      </c>
      <c r="I5336" s="87"/>
      <c r="J5336" s="88"/>
      <c r="K5336" s="88"/>
      <c r="L5336" s="89"/>
      <c r="M5336" s="89"/>
      <c r="Q5336" s="105"/>
    </row>
    <row r="5337" spans="3:17" x14ac:dyDescent="0.3">
      <c r="C5337" s="87"/>
      <c r="H5337" s="86" t="e">
        <f>IF(I5337="fora",0%,G5337/QUÓRUM!$C$6)</f>
        <v>#DIV/0!</v>
      </c>
      <c r="I5337" s="87"/>
      <c r="J5337" s="88"/>
      <c r="K5337" s="88"/>
      <c r="L5337" s="89"/>
      <c r="M5337" s="89"/>
      <c r="Q5337" s="105"/>
    </row>
    <row r="5338" spans="3:17" x14ac:dyDescent="0.3">
      <c r="C5338" s="87"/>
      <c r="H5338" s="86" t="e">
        <f>IF(I5338="fora",0%,G5338/QUÓRUM!$C$6)</f>
        <v>#DIV/0!</v>
      </c>
      <c r="I5338" s="87"/>
      <c r="J5338" s="88"/>
      <c r="K5338" s="88"/>
      <c r="L5338" s="89"/>
      <c r="M5338" s="89"/>
      <c r="Q5338" s="105"/>
    </row>
    <row r="5339" spans="3:17" x14ac:dyDescent="0.3">
      <c r="C5339" s="87"/>
      <c r="H5339" s="86" t="e">
        <f>IF(I5339="fora",0%,G5339/QUÓRUM!$C$6)</f>
        <v>#DIV/0!</v>
      </c>
      <c r="I5339" s="87"/>
      <c r="J5339" s="88"/>
      <c r="K5339" s="88"/>
      <c r="L5339" s="89"/>
      <c r="M5339" s="89"/>
      <c r="Q5339" s="105"/>
    </row>
    <row r="5340" spans="3:17" x14ac:dyDescent="0.3">
      <c r="C5340" s="87"/>
      <c r="H5340" s="86" t="e">
        <f>IF(I5340="fora",0%,G5340/QUÓRUM!$C$6)</f>
        <v>#DIV/0!</v>
      </c>
      <c r="I5340" s="87"/>
      <c r="J5340" s="88"/>
      <c r="K5340" s="88"/>
      <c r="L5340" s="89"/>
      <c r="M5340" s="89"/>
      <c r="Q5340" s="105"/>
    </row>
    <row r="5341" spans="3:17" x14ac:dyDescent="0.3">
      <c r="C5341" s="87"/>
      <c r="H5341" s="86" t="e">
        <f>IF(I5341="fora",0%,G5341/QUÓRUM!$C$6)</f>
        <v>#DIV/0!</v>
      </c>
      <c r="I5341" s="87"/>
      <c r="J5341" s="88"/>
      <c r="K5341" s="88"/>
      <c r="L5341" s="89"/>
      <c r="M5341" s="89"/>
      <c r="Q5341" s="105"/>
    </row>
    <row r="5342" spans="3:17" x14ac:dyDescent="0.3">
      <c r="C5342" s="87"/>
      <c r="H5342" s="86" t="e">
        <f>IF(I5342="fora",0%,G5342/QUÓRUM!$C$6)</f>
        <v>#DIV/0!</v>
      </c>
      <c r="I5342" s="87"/>
      <c r="J5342" s="88"/>
      <c r="K5342" s="88"/>
      <c r="L5342" s="89"/>
      <c r="M5342" s="89"/>
      <c r="Q5342" s="105"/>
    </row>
    <row r="5343" spans="3:17" x14ac:dyDescent="0.3">
      <c r="C5343" s="87"/>
      <c r="H5343" s="86" t="e">
        <f>IF(I5343="fora",0%,G5343/QUÓRUM!$C$6)</f>
        <v>#DIV/0!</v>
      </c>
      <c r="I5343" s="87"/>
      <c r="J5343" s="88"/>
      <c r="K5343" s="88"/>
      <c r="L5343" s="89"/>
      <c r="M5343" s="89"/>
      <c r="Q5343" s="105"/>
    </row>
    <row r="5344" spans="3:17" x14ac:dyDescent="0.3">
      <c r="C5344" s="87"/>
      <c r="H5344" s="86" t="e">
        <f>IF(I5344="fora",0%,G5344/QUÓRUM!$C$6)</f>
        <v>#DIV/0!</v>
      </c>
      <c r="I5344" s="87"/>
      <c r="J5344" s="88"/>
      <c r="K5344" s="88"/>
      <c r="L5344" s="89"/>
      <c r="M5344" s="89"/>
      <c r="Q5344" s="105"/>
    </row>
    <row r="5345" spans="3:17" x14ac:dyDescent="0.3">
      <c r="C5345" s="87"/>
      <c r="H5345" s="86" t="e">
        <f>IF(I5345="fora",0%,G5345/QUÓRUM!$C$6)</f>
        <v>#DIV/0!</v>
      </c>
      <c r="I5345" s="87"/>
      <c r="J5345" s="88"/>
      <c r="K5345" s="88"/>
      <c r="L5345" s="89"/>
      <c r="M5345" s="89"/>
      <c r="Q5345" s="105"/>
    </row>
    <row r="5346" spans="3:17" x14ac:dyDescent="0.3">
      <c r="C5346" s="87"/>
      <c r="H5346" s="86" t="e">
        <f>IF(I5346="fora",0%,G5346/QUÓRUM!$C$6)</f>
        <v>#DIV/0!</v>
      </c>
      <c r="I5346" s="87"/>
      <c r="J5346" s="88"/>
      <c r="K5346" s="88"/>
      <c r="L5346" s="89"/>
      <c r="M5346" s="89"/>
      <c r="Q5346" s="105"/>
    </row>
    <row r="5347" spans="3:17" x14ac:dyDescent="0.3">
      <c r="C5347" s="87"/>
      <c r="H5347" s="86" t="e">
        <f>IF(I5347="fora",0%,G5347/QUÓRUM!$C$6)</f>
        <v>#DIV/0!</v>
      </c>
      <c r="I5347" s="87"/>
      <c r="J5347" s="88"/>
      <c r="K5347" s="88"/>
      <c r="L5347" s="89"/>
      <c r="M5347" s="89"/>
      <c r="Q5347" s="105"/>
    </row>
    <row r="5348" spans="3:17" x14ac:dyDescent="0.3">
      <c r="C5348" s="87"/>
      <c r="H5348" s="86" t="e">
        <f>IF(I5348="fora",0%,G5348/QUÓRUM!$C$6)</f>
        <v>#DIV/0!</v>
      </c>
      <c r="I5348" s="87"/>
      <c r="J5348" s="88"/>
      <c r="K5348" s="88"/>
      <c r="L5348" s="89"/>
      <c r="M5348" s="89"/>
      <c r="Q5348" s="105"/>
    </row>
    <row r="5349" spans="3:17" x14ac:dyDescent="0.3">
      <c r="C5349" s="87"/>
      <c r="H5349" s="86" t="e">
        <f>IF(I5349="fora",0%,G5349/QUÓRUM!$C$6)</f>
        <v>#DIV/0!</v>
      </c>
      <c r="I5349" s="87"/>
      <c r="J5349" s="88"/>
      <c r="K5349" s="88"/>
      <c r="L5349" s="89"/>
      <c r="M5349" s="89"/>
      <c r="Q5349" s="105"/>
    </row>
    <row r="5350" spans="3:17" x14ac:dyDescent="0.3">
      <c r="C5350" s="87"/>
      <c r="H5350" s="86" t="e">
        <f>IF(I5350="fora",0%,G5350/QUÓRUM!$C$6)</f>
        <v>#DIV/0!</v>
      </c>
      <c r="I5350" s="87"/>
      <c r="J5350" s="88"/>
      <c r="K5350" s="88"/>
      <c r="L5350" s="89"/>
      <c r="M5350" s="89"/>
      <c r="Q5350" s="105"/>
    </row>
    <row r="5351" spans="3:17" x14ac:dyDescent="0.3">
      <c r="C5351" s="87"/>
      <c r="H5351" s="86" t="e">
        <f>IF(I5351="fora",0%,G5351/QUÓRUM!$C$6)</f>
        <v>#DIV/0!</v>
      </c>
      <c r="I5351" s="87"/>
      <c r="J5351" s="88"/>
      <c r="K5351" s="88"/>
      <c r="L5351" s="89"/>
      <c r="M5351" s="89"/>
      <c r="Q5351" s="105"/>
    </row>
    <row r="5352" spans="3:17" x14ac:dyDescent="0.3">
      <c r="C5352" s="87"/>
      <c r="H5352" s="86" t="e">
        <f>IF(I5352="fora",0%,G5352/QUÓRUM!$C$6)</f>
        <v>#DIV/0!</v>
      </c>
      <c r="I5352" s="87"/>
      <c r="J5352" s="88"/>
      <c r="K5352" s="88"/>
      <c r="L5352" s="89"/>
      <c r="M5352" s="89"/>
      <c r="Q5352" s="105"/>
    </row>
    <row r="5353" spans="3:17" x14ac:dyDescent="0.3">
      <c r="C5353" s="87"/>
      <c r="H5353" s="86" t="e">
        <f>IF(I5353="fora",0%,G5353/QUÓRUM!$C$6)</f>
        <v>#DIV/0!</v>
      </c>
      <c r="I5353" s="87"/>
      <c r="J5353" s="88"/>
      <c r="K5353" s="88"/>
      <c r="L5353" s="89"/>
      <c r="M5353" s="89"/>
      <c r="Q5353" s="105"/>
    </row>
    <row r="5354" spans="3:17" x14ac:dyDescent="0.3">
      <c r="C5354" s="87"/>
      <c r="H5354" s="86" t="e">
        <f>IF(I5354="fora",0%,G5354/QUÓRUM!$C$6)</f>
        <v>#DIV/0!</v>
      </c>
      <c r="I5354" s="87"/>
      <c r="J5354" s="88"/>
      <c r="K5354" s="88"/>
      <c r="L5354" s="89"/>
      <c r="M5354" s="89"/>
      <c r="Q5354" s="105"/>
    </row>
    <row r="5355" spans="3:17" x14ac:dyDescent="0.3">
      <c r="C5355" s="87"/>
      <c r="H5355" s="86" t="e">
        <f>IF(I5355="fora",0%,G5355/QUÓRUM!$C$6)</f>
        <v>#DIV/0!</v>
      </c>
      <c r="I5355" s="87"/>
      <c r="J5355" s="88"/>
      <c r="K5355" s="88"/>
      <c r="L5355" s="89"/>
      <c r="M5355" s="89"/>
      <c r="Q5355" s="105"/>
    </row>
    <row r="5356" spans="3:17" x14ac:dyDescent="0.3">
      <c r="C5356" s="87"/>
      <c r="H5356" s="86" t="e">
        <f>IF(I5356="fora",0%,G5356/QUÓRUM!$C$6)</f>
        <v>#DIV/0!</v>
      </c>
      <c r="I5356" s="87"/>
      <c r="J5356" s="88"/>
      <c r="K5356" s="88"/>
      <c r="L5356" s="89"/>
      <c r="M5356" s="89"/>
      <c r="Q5356" s="105"/>
    </row>
    <row r="5357" spans="3:17" x14ac:dyDescent="0.3">
      <c r="C5357" s="87"/>
      <c r="H5357" s="86" t="e">
        <f>IF(I5357="fora",0%,G5357/QUÓRUM!$C$6)</f>
        <v>#DIV/0!</v>
      </c>
      <c r="I5357" s="87"/>
      <c r="J5357" s="88"/>
      <c r="K5357" s="88"/>
      <c r="L5357" s="89"/>
      <c r="M5357" s="89"/>
      <c r="Q5357" s="105"/>
    </row>
    <row r="5358" spans="3:17" x14ac:dyDescent="0.3">
      <c r="C5358" s="87"/>
      <c r="H5358" s="86" t="e">
        <f>IF(I5358="fora",0%,G5358/QUÓRUM!$C$6)</f>
        <v>#DIV/0!</v>
      </c>
      <c r="I5358" s="87"/>
      <c r="J5358" s="88"/>
      <c r="K5358" s="88"/>
      <c r="L5358" s="89"/>
      <c r="M5358" s="89"/>
      <c r="Q5358" s="105"/>
    </row>
    <row r="5359" spans="3:17" x14ac:dyDescent="0.3">
      <c r="C5359" s="87"/>
      <c r="H5359" s="86" t="e">
        <f>IF(I5359="fora",0%,G5359/QUÓRUM!$C$6)</f>
        <v>#DIV/0!</v>
      </c>
      <c r="I5359" s="87"/>
      <c r="J5359" s="88"/>
      <c r="K5359" s="88"/>
      <c r="L5359" s="89"/>
      <c r="M5359" s="89"/>
      <c r="Q5359" s="105"/>
    </row>
    <row r="5360" spans="3:17" x14ac:dyDescent="0.3">
      <c r="C5360" s="87"/>
      <c r="H5360" s="86" t="e">
        <f>IF(I5360="fora",0%,G5360/QUÓRUM!$C$6)</f>
        <v>#DIV/0!</v>
      </c>
      <c r="I5360" s="87"/>
      <c r="J5360" s="88"/>
      <c r="K5360" s="88"/>
      <c r="L5360" s="89"/>
      <c r="M5360" s="89"/>
      <c r="Q5360" s="105"/>
    </row>
    <row r="5361" spans="3:17" x14ac:dyDescent="0.3">
      <c r="C5361" s="87"/>
      <c r="H5361" s="86" t="e">
        <f>IF(I5361="fora",0%,G5361/QUÓRUM!$C$6)</f>
        <v>#DIV/0!</v>
      </c>
      <c r="I5361" s="87"/>
      <c r="J5361" s="88"/>
      <c r="K5361" s="88"/>
      <c r="L5361" s="89"/>
      <c r="M5361" s="89"/>
      <c r="Q5361" s="105"/>
    </row>
    <row r="5362" spans="3:17" x14ac:dyDescent="0.3">
      <c r="C5362" s="87"/>
      <c r="H5362" s="86" t="e">
        <f>IF(I5362="fora",0%,G5362/QUÓRUM!$C$6)</f>
        <v>#DIV/0!</v>
      </c>
      <c r="I5362" s="87"/>
      <c r="J5362" s="88"/>
      <c r="K5362" s="88"/>
      <c r="L5362" s="89"/>
      <c r="M5362" s="89"/>
      <c r="Q5362" s="105"/>
    </row>
    <row r="5363" spans="3:17" x14ac:dyDescent="0.3">
      <c r="C5363" s="87"/>
      <c r="H5363" s="86" t="e">
        <f>IF(I5363="fora",0%,G5363/QUÓRUM!$C$6)</f>
        <v>#DIV/0!</v>
      </c>
      <c r="I5363" s="87"/>
      <c r="J5363" s="88"/>
      <c r="K5363" s="88"/>
      <c r="L5363" s="89"/>
      <c r="M5363" s="89"/>
      <c r="Q5363" s="105"/>
    </row>
    <row r="5364" spans="3:17" x14ac:dyDescent="0.3">
      <c r="C5364" s="87"/>
      <c r="H5364" s="86" t="e">
        <f>IF(I5364="fora",0%,G5364/QUÓRUM!$C$6)</f>
        <v>#DIV/0!</v>
      </c>
      <c r="I5364" s="87"/>
      <c r="J5364" s="88"/>
      <c r="K5364" s="88"/>
      <c r="L5364" s="89"/>
      <c r="M5364" s="89"/>
      <c r="Q5364" s="105"/>
    </row>
    <row r="5365" spans="3:17" x14ac:dyDescent="0.3">
      <c r="C5365" s="87"/>
      <c r="H5365" s="86" t="e">
        <f>IF(I5365="fora",0%,G5365/QUÓRUM!$C$6)</f>
        <v>#DIV/0!</v>
      </c>
      <c r="I5365" s="87"/>
      <c r="J5365" s="88"/>
      <c r="K5365" s="88"/>
      <c r="L5365" s="89"/>
      <c r="M5365" s="89"/>
      <c r="Q5365" s="105"/>
    </row>
    <row r="5366" spans="3:17" x14ac:dyDescent="0.3">
      <c r="C5366" s="87"/>
      <c r="H5366" s="86" t="e">
        <f>IF(I5366="fora",0%,G5366/QUÓRUM!$C$6)</f>
        <v>#DIV/0!</v>
      </c>
      <c r="I5366" s="87"/>
      <c r="J5366" s="88"/>
      <c r="K5366" s="88"/>
      <c r="L5366" s="89"/>
      <c r="M5366" s="89"/>
      <c r="Q5366" s="105"/>
    </row>
    <row r="5367" spans="3:17" x14ac:dyDescent="0.3">
      <c r="C5367" s="87"/>
      <c r="H5367" s="86" t="e">
        <f>IF(I5367="fora",0%,G5367/QUÓRUM!$C$6)</f>
        <v>#DIV/0!</v>
      </c>
      <c r="I5367" s="87"/>
      <c r="J5367" s="88"/>
      <c r="K5367" s="88"/>
      <c r="L5367" s="89"/>
      <c r="M5367" s="89"/>
      <c r="Q5367" s="105"/>
    </row>
    <row r="5368" spans="3:17" x14ac:dyDescent="0.3">
      <c r="C5368" s="87"/>
      <c r="H5368" s="86" t="e">
        <f>IF(I5368="fora",0%,G5368/QUÓRUM!$C$6)</f>
        <v>#DIV/0!</v>
      </c>
      <c r="I5368" s="87"/>
      <c r="J5368" s="88"/>
      <c r="K5368" s="88"/>
      <c r="L5368" s="89"/>
      <c r="M5368" s="89"/>
      <c r="Q5368" s="105"/>
    </row>
    <row r="5369" spans="3:17" x14ac:dyDescent="0.3">
      <c r="C5369" s="87"/>
      <c r="H5369" s="86" t="e">
        <f>IF(I5369="fora",0%,G5369/QUÓRUM!$C$6)</f>
        <v>#DIV/0!</v>
      </c>
      <c r="I5369" s="87"/>
      <c r="J5369" s="88"/>
      <c r="K5369" s="88"/>
      <c r="L5369" s="89"/>
      <c r="M5369" s="89"/>
      <c r="Q5369" s="105"/>
    </row>
    <row r="5370" spans="3:17" x14ac:dyDescent="0.3">
      <c r="C5370" s="87"/>
      <c r="H5370" s="86" t="e">
        <f>IF(I5370="fora",0%,G5370/QUÓRUM!$C$6)</f>
        <v>#DIV/0!</v>
      </c>
      <c r="I5370" s="87"/>
      <c r="J5370" s="88"/>
      <c r="K5370" s="88"/>
      <c r="L5370" s="89"/>
      <c r="M5370" s="89"/>
      <c r="Q5370" s="105"/>
    </row>
    <row r="5371" spans="3:17" x14ac:dyDescent="0.3">
      <c r="C5371" s="87"/>
      <c r="H5371" s="86" t="e">
        <f>IF(I5371="fora",0%,G5371/QUÓRUM!$C$6)</f>
        <v>#DIV/0!</v>
      </c>
      <c r="I5371" s="87"/>
      <c r="J5371" s="88"/>
      <c r="K5371" s="88"/>
      <c r="L5371" s="89"/>
      <c r="M5371" s="89"/>
      <c r="Q5371" s="105"/>
    </row>
    <row r="5372" spans="3:17" x14ac:dyDescent="0.3">
      <c r="C5372" s="87"/>
      <c r="H5372" s="86" t="e">
        <f>IF(I5372="fora",0%,G5372/QUÓRUM!$C$6)</f>
        <v>#DIV/0!</v>
      </c>
      <c r="I5372" s="87"/>
      <c r="J5372" s="88"/>
      <c r="K5372" s="88"/>
      <c r="L5372" s="89"/>
      <c r="M5372" s="89"/>
      <c r="Q5372" s="105"/>
    </row>
    <row r="5373" spans="3:17" x14ac:dyDescent="0.3">
      <c r="C5373" s="87"/>
      <c r="H5373" s="86" t="e">
        <f>IF(I5373="fora",0%,G5373/QUÓRUM!$C$6)</f>
        <v>#DIV/0!</v>
      </c>
      <c r="I5373" s="87"/>
      <c r="J5373" s="88"/>
      <c r="K5373" s="88"/>
      <c r="L5373" s="89"/>
      <c r="M5373" s="89"/>
      <c r="Q5373" s="105"/>
    </row>
    <row r="5374" spans="3:17" x14ac:dyDescent="0.3">
      <c r="C5374" s="87"/>
      <c r="H5374" s="86" t="e">
        <f>IF(I5374="fora",0%,G5374/QUÓRUM!$C$6)</f>
        <v>#DIV/0!</v>
      </c>
      <c r="I5374" s="87"/>
      <c r="J5374" s="88"/>
      <c r="K5374" s="88"/>
      <c r="L5374" s="89"/>
      <c r="M5374" s="89"/>
      <c r="Q5374" s="105"/>
    </row>
    <row r="5375" spans="3:17" x14ac:dyDescent="0.3">
      <c r="C5375" s="87"/>
      <c r="H5375" s="86" t="e">
        <f>IF(I5375="fora",0%,G5375/QUÓRUM!$C$6)</f>
        <v>#DIV/0!</v>
      </c>
      <c r="I5375" s="87"/>
      <c r="J5375" s="88"/>
      <c r="K5375" s="88"/>
      <c r="L5375" s="89"/>
      <c r="M5375" s="89"/>
      <c r="Q5375" s="105"/>
    </row>
    <row r="5376" spans="3:17" x14ac:dyDescent="0.3">
      <c r="C5376" s="87"/>
      <c r="H5376" s="86" t="e">
        <f>IF(I5376="fora",0%,G5376/QUÓRUM!$C$6)</f>
        <v>#DIV/0!</v>
      </c>
      <c r="I5376" s="87"/>
      <c r="J5376" s="88"/>
      <c r="K5376" s="88"/>
      <c r="L5376" s="89"/>
      <c r="M5376" s="89"/>
      <c r="Q5376" s="105"/>
    </row>
    <row r="5377" spans="3:17" x14ac:dyDescent="0.3">
      <c r="C5377" s="87"/>
      <c r="H5377" s="86" t="e">
        <f>IF(I5377="fora",0%,G5377/QUÓRUM!$C$6)</f>
        <v>#DIV/0!</v>
      </c>
      <c r="I5377" s="87"/>
      <c r="J5377" s="88"/>
      <c r="K5377" s="88"/>
      <c r="L5377" s="89"/>
      <c r="M5377" s="89"/>
      <c r="Q5377" s="105"/>
    </row>
    <row r="5378" spans="3:17" x14ac:dyDescent="0.3">
      <c r="C5378" s="87"/>
      <c r="H5378" s="86" t="e">
        <f>IF(I5378="fora",0%,G5378/QUÓRUM!$C$6)</f>
        <v>#DIV/0!</v>
      </c>
      <c r="I5378" s="87"/>
      <c r="J5378" s="88"/>
      <c r="K5378" s="88"/>
      <c r="L5378" s="89"/>
      <c r="M5378" s="89"/>
      <c r="Q5378" s="105"/>
    </row>
    <row r="5379" spans="3:17" x14ac:dyDescent="0.3">
      <c r="C5379" s="87"/>
      <c r="H5379" s="86" t="e">
        <f>IF(I5379="fora",0%,G5379/QUÓRUM!$C$6)</f>
        <v>#DIV/0!</v>
      </c>
      <c r="I5379" s="87"/>
      <c r="J5379" s="88"/>
      <c r="K5379" s="88"/>
      <c r="L5379" s="89"/>
      <c r="M5379" s="89"/>
      <c r="Q5379" s="105"/>
    </row>
    <row r="5380" spans="3:17" x14ac:dyDescent="0.3">
      <c r="C5380" s="87"/>
      <c r="H5380" s="86" t="e">
        <f>IF(I5380="fora",0%,G5380/QUÓRUM!$C$6)</f>
        <v>#DIV/0!</v>
      </c>
      <c r="I5380" s="87"/>
      <c r="J5380" s="88"/>
      <c r="K5380" s="88"/>
      <c r="L5380" s="89"/>
      <c r="M5380" s="89"/>
      <c r="Q5380" s="105"/>
    </row>
    <row r="5381" spans="3:17" x14ac:dyDescent="0.3">
      <c r="C5381" s="87"/>
      <c r="H5381" s="86" t="e">
        <f>IF(I5381="fora",0%,G5381/QUÓRUM!$C$6)</f>
        <v>#DIV/0!</v>
      </c>
      <c r="I5381" s="87"/>
      <c r="J5381" s="88"/>
      <c r="K5381" s="88"/>
      <c r="L5381" s="89"/>
      <c r="M5381" s="89"/>
      <c r="Q5381" s="105"/>
    </row>
    <row r="5382" spans="3:17" x14ac:dyDescent="0.3">
      <c r="C5382" s="87"/>
      <c r="H5382" s="86" t="e">
        <f>IF(I5382="fora",0%,G5382/QUÓRUM!$C$6)</f>
        <v>#DIV/0!</v>
      </c>
      <c r="I5382" s="87"/>
      <c r="J5382" s="88"/>
      <c r="K5382" s="88"/>
      <c r="L5382" s="89"/>
      <c r="M5382" s="89"/>
      <c r="Q5382" s="105"/>
    </row>
    <row r="5383" spans="3:17" x14ac:dyDescent="0.3">
      <c r="C5383" s="87"/>
      <c r="H5383" s="86" t="e">
        <f>IF(I5383="fora",0%,G5383/QUÓRUM!$C$6)</f>
        <v>#DIV/0!</v>
      </c>
      <c r="I5383" s="87"/>
      <c r="J5383" s="88"/>
      <c r="K5383" s="88"/>
      <c r="L5383" s="89"/>
      <c r="M5383" s="89"/>
      <c r="Q5383" s="105"/>
    </row>
    <row r="5384" spans="3:17" x14ac:dyDescent="0.3">
      <c r="C5384" s="87"/>
      <c r="H5384" s="86" t="e">
        <f>IF(I5384="fora",0%,G5384/QUÓRUM!$C$6)</f>
        <v>#DIV/0!</v>
      </c>
      <c r="I5384" s="87"/>
      <c r="J5384" s="88"/>
      <c r="K5384" s="88"/>
      <c r="L5384" s="89"/>
      <c r="M5384" s="89"/>
      <c r="Q5384" s="105"/>
    </row>
    <row r="5385" spans="3:17" x14ac:dyDescent="0.3">
      <c r="C5385" s="87"/>
      <c r="H5385" s="86" t="e">
        <f>IF(I5385="fora",0%,G5385/QUÓRUM!$C$6)</f>
        <v>#DIV/0!</v>
      </c>
      <c r="I5385" s="87"/>
      <c r="J5385" s="88"/>
      <c r="K5385" s="88"/>
      <c r="L5385" s="89"/>
      <c r="M5385" s="89"/>
      <c r="Q5385" s="105"/>
    </row>
    <row r="5386" spans="3:17" x14ac:dyDescent="0.3">
      <c r="C5386" s="87"/>
      <c r="H5386" s="86" t="e">
        <f>IF(I5386="fora",0%,G5386/QUÓRUM!$C$6)</f>
        <v>#DIV/0!</v>
      </c>
      <c r="I5386" s="87"/>
      <c r="J5386" s="88"/>
      <c r="K5386" s="88"/>
      <c r="L5386" s="89"/>
      <c r="M5386" s="89"/>
      <c r="Q5386" s="105"/>
    </row>
    <row r="5387" spans="3:17" x14ac:dyDescent="0.3">
      <c r="C5387" s="87"/>
      <c r="H5387" s="86" t="e">
        <f>IF(I5387="fora",0%,G5387/QUÓRUM!$C$6)</f>
        <v>#DIV/0!</v>
      </c>
      <c r="I5387" s="87"/>
      <c r="J5387" s="88"/>
      <c r="K5387" s="88"/>
      <c r="L5387" s="89"/>
      <c r="M5387" s="89"/>
      <c r="Q5387" s="105"/>
    </row>
    <row r="5388" spans="3:17" x14ac:dyDescent="0.3">
      <c r="C5388" s="87"/>
      <c r="H5388" s="86" t="e">
        <f>IF(I5388="fora",0%,G5388/QUÓRUM!$C$6)</f>
        <v>#DIV/0!</v>
      </c>
      <c r="I5388" s="87"/>
      <c r="J5388" s="88"/>
      <c r="K5388" s="88"/>
      <c r="L5388" s="89"/>
      <c r="M5388" s="89"/>
      <c r="Q5388" s="105"/>
    </row>
    <row r="5389" spans="3:17" x14ac:dyDescent="0.3">
      <c r="C5389" s="87"/>
      <c r="H5389" s="86" t="e">
        <f>IF(I5389="fora",0%,G5389/QUÓRUM!$C$6)</f>
        <v>#DIV/0!</v>
      </c>
      <c r="I5389" s="87"/>
      <c r="J5389" s="88"/>
      <c r="K5389" s="88"/>
      <c r="L5389" s="89"/>
      <c r="M5389" s="89"/>
      <c r="Q5389" s="105"/>
    </row>
    <row r="5390" spans="3:17" x14ac:dyDescent="0.3">
      <c r="C5390" s="87"/>
      <c r="H5390" s="86" t="e">
        <f>IF(I5390="fora",0%,G5390/QUÓRUM!$C$6)</f>
        <v>#DIV/0!</v>
      </c>
      <c r="I5390" s="87"/>
      <c r="J5390" s="88"/>
      <c r="K5390" s="88"/>
      <c r="L5390" s="89"/>
      <c r="M5390" s="89"/>
      <c r="Q5390" s="105"/>
    </row>
    <row r="5391" spans="3:17" x14ac:dyDescent="0.3">
      <c r="C5391" s="87"/>
      <c r="H5391" s="86" t="e">
        <f>IF(I5391="fora",0%,G5391/QUÓRUM!$C$6)</f>
        <v>#DIV/0!</v>
      </c>
      <c r="I5391" s="87"/>
      <c r="J5391" s="88"/>
      <c r="K5391" s="88"/>
      <c r="L5391" s="89"/>
      <c r="M5391" s="89"/>
      <c r="Q5391" s="105"/>
    </row>
    <row r="5392" spans="3:17" x14ac:dyDescent="0.3">
      <c r="C5392" s="87"/>
      <c r="H5392" s="86" t="e">
        <f>IF(I5392="fora",0%,G5392/QUÓRUM!$C$6)</f>
        <v>#DIV/0!</v>
      </c>
      <c r="I5392" s="87"/>
      <c r="J5392" s="88"/>
      <c r="K5392" s="88"/>
      <c r="L5392" s="89"/>
      <c r="M5392" s="89"/>
      <c r="Q5392" s="105"/>
    </row>
    <row r="5393" spans="3:17" x14ac:dyDescent="0.3">
      <c r="C5393" s="87"/>
      <c r="H5393" s="86" t="e">
        <f>IF(I5393="fora",0%,G5393/QUÓRUM!$C$6)</f>
        <v>#DIV/0!</v>
      </c>
      <c r="I5393" s="87"/>
      <c r="J5393" s="88"/>
      <c r="K5393" s="88"/>
      <c r="L5393" s="89"/>
      <c r="M5393" s="89"/>
      <c r="Q5393" s="105"/>
    </row>
    <row r="5394" spans="3:17" x14ac:dyDescent="0.3">
      <c r="C5394" s="87"/>
      <c r="H5394" s="86" t="e">
        <f>IF(I5394="fora",0%,G5394/QUÓRUM!$C$6)</f>
        <v>#DIV/0!</v>
      </c>
      <c r="I5394" s="87"/>
      <c r="J5394" s="88"/>
      <c r="K5394" s="88"/>
      <c r="L5394" s="89"/>
      <c r="M5394" s="89"/>
      <c r="Q5394" s="105"/>
    </row>
    <row r="5395" spans="3:17" x14ac:dyDescent="0.3">
      <c r="C5395" s="87"/>
      <c r="H5395" s="86" t="e">
        <f>IF(I5395="fora",0%,G5395/QUÓRUM!$C$6)</f>
        <v>#DIV/0!</v>
      </c>
      <c r="I5395" s="87"/>
      <c r="J5395" s="88"/>
      <c r="K5395" s="88"/>
      <c r="L5395" s="89"/>
      <c r="M5395" s="89"/>
      <c r="Q5395" s="105"/>
    </row>
    <row r="5396" spans="3:17" x14ac:dyDescent="0.3">
      <c r="C5396" s="87"/>
      <c r="H5396" s="86" t="e">
        <f>IF(I5396="fora",0%,G5396/QUÓRUM!$C$6)</f>
        <v>#DIV/0!</v>
      </c>
      <c r="I5396" s="87"/>
      <c r="J5396" s="88"/>
      <c r="K5396" s="88"/>
      <c r="L5396" s="89"/>
      <c r="M5396" s="89"/>
      <c r="Q5396" s="105"/>
    </row>
    <row r="5397" spans="3:17" x14ac:dyDescent="0.3">
      <c r="C5397" s="87"/>
      <c r="H5397" s="86" t="e">
        <f>IF(I5397="fora",0%,G5397/QUÓRUM!$C$6)</f>
        <v>#DIV/0!</v>
      </c>
      <c r="I5397" s="87"/>
      <c r="J5397" s="88"/>
      <c r="K5397" s="88"/>
      <c r="L5397" s="89"/>
      <c r="M5397" s="89"/>
      <c r="Q5397" s="105"/>
    </row>
    <row r="5398" spans="3:17" x14ac:dyDescent="0.3">
      <c r="C5398" s="87"/>
      <c r="H5398" s="86" t="e">
        <f>IF(I5398="fora",0%,G5398/QUÓRUM!$C$6)</f>
        <v>#DIV/0!</v>
      </c>
      <c r="I5398" s="87"/>
      <c r="J5398" s="88"/>
      <c r="K5398" s="88"/>
      <c r="L5398" s="89"/>
      <c r="M5398" s="89"/>
      <c r="Q5398" s="105"/>
    </row>
    <row r="5399" spans="3:17" x14ac:dyDescent="0.3">
      <c r="C5399" s="87"/>
      <c r="H5399" s="86" t="e">
        <f>IF(I5399="fora",0%,G5399/QUÓRUM!$C$6)</f>
        <v>#DIV/0!</v>
      </c>
      <c r="I5399" s="87"/>
      <c r="J5399" s="88"/>
      <c r="K5399" s="88"/>
      <c r="L5399" s="89"/>
      <c r="M5399" s="89"/>
      <c r="Q5399" s="105"/>
    </row>
    <row r="5400" spans="3:17" x14ac:dyDescent="0.3">
      <c r="C5400" s="87"/>
      <c r="H5400" s="86" t="e">
        <f>IF(I5400="fora",0%,G5400/QUÓRUM!$C$6)</f>
        <v>#DIV/0!</v>
      </c>
      <c r="I5400" s="87"/>
      <c r="J5400" s="88"/>
      <c r="K5400" s="88"/>
      <c r="L5400" s="89"/>
      <c r="M5400" s="89"/>
      <c r="Q5400" s="105"/>
    </row>
    <row r="5401" spans="3:17" x14ac:dyDescent="0.3">
      <c r="C5401" s="87"/>
      <c r="H5401" s="86" t="e">
        <f>IF(I5401="fora",0%,G5401/QUÓRUM!$C$6)</f>
        <v>#DIV/0!</v>
      </c>
      <c r="I5401" s="87"/>
      <c r="J5401" s="88"/>
      <c r="K5401" s="88"/>
      <c r="L5401" s="89"/>
      <c r="M5401" s="89"/>
      <c r="Q5401" s="105"/>
    </row>
    <row r="5402" spans="3:17" x14ac:dyDescent="0.3">
      <c r="C5402" s="87"/>
      <c r="H5402" s="86" t="e">
        <f>IF(I5402="fora",0%,G5402/QUÓRUM!$C$6)</f>
        <v>#DIV/0!</v>
      </c>
      <c r="I5402" s="87"/>
      <c r="J5402" s="88"/>
      <c r="K5402" s="88"/>
      <c r="L5402" s="89"/>
      <c r="M5402" s="89"/>
      <c r="Q5402" s="105"/>
    </row>
    <row r="5403" spans="3:17" x14ac:dyDescent="0.3">
      <c r="C5403" s="87"/>
      <c r="H5403" s="86" t="e">
        <f>IF(I5403="fora",0%,G5403/QUÓRUM!$C$6)</f>
        <v>#DIV/0!</v>
      </c>
      <c r="I5403" s="87"/>
      <c r="J5403" s="88"/>
      <c r="K5403" s="88"/>
      <c r="L5403" s="89"/>
      <c r="M5403" s="89"/>
      <c r="Q5403" s="105"/>
    </row>
    <row r="5404" spans="3:17" x14ac:dyDescent="0.3">
      <c r="C5404" s="87"/>
      <c r="H5404" s="86" t="e">
        <f>IF(I5404="fora",0%,G5404/QUÓRUM!$C$6)</f>
        <v>#DIV/0!</v>
      </c>
      <c r="I5404" s="87"/>
      <c r="J5404" s="88"/>
      <c r="K5404" s="88"/>
      <c r="L5404" s="89"/>
      <c r="M5404" s="89"/>
      <c r="Q5404" s="105"/>
    </row>
    <row r="5405" spans="3:17" x14ac:dyDescent="0.3">
      <c r="C5405" s="87"/>
      <c r="H5405" s="86" t="e">
        <f>IF(I5405="fora",0%,G5405/QUÓRUM!$C$6)</f>
        <v>#DIV/0!</v>
      </c>
      <c r="I5405" s="87"/>
      <c r="J5405" s="88"/>
      <c r="K5405" s="88"/>
      <c r="L5405" s="89"/>
      <c r="M5405" s="89"/>
      <c r="Q5405" s="105"/>
    </row>
    <row r="5406" spans="3:17" x14ac:dyDescent="0.3">
      <c r="C5406" s="87"/>
      <c r="G5406" s="115"/>
      <c r="H5406" s="86" t="e">
        <f>IF(I5406="fora",0%,G5406/QUÓRUM!$C$6)</f>
        <v>#DIV/0!</v>
      </c>
      <c r="I5406" s="87"/>
      <c r="J5406" s="88"/>
      <c r="K5406" s="88"/>
      <c r="L5406" s="89"/>
      <c r="M5406" s="89"/>
      <c r="Q5406" s="105"/>
    </row>
    <row r="5407" spans="3:17" x14ac:dyDescent="0.3">
      <c r="C5407" s="87"/>
      <c r="H5407" s="86" t="e">
        <f>IF(I5407="fora",0%,G5407/QUÓRUM!$C$6)</f>
        <v>#DIV/0!</v>
      </c>
      <c r="I5407" s="87"/>
      <c r="J5407" s="88"/>
      <c r="K5407" s="88"/>
      <c r="L5407" s="89"/>
      <c r="M5407" s="89"/>
      <c r="Q5407" s="105"/>
    </row>
    <row r="5408" spans="3:17" x14ac:dyDescent="0.3">
      <c r="C5408" s="87"/>
      <c r="H5408" s="86" t="e">
        <f>IF(I5408="fora",0%,G5408/QUÓRUM!$C$6)</f>
        <v>#DIV/0!</v>
      </c>
      <c r="I5408" s="87"/>
      <c r="J5408" s="88"/>
      <c r="K5408" s="88"/>
      <c r="L5408" s="89"/>
      <c r="M5408" s="89"/>
      <c r="Q5408" s="105"/>
    </row>
    <row r="5409" spans="3:17" x14ac:dyDescent="0.3">
      <c r="C5409" s="87"/>
      <c r="H5409" s="86" t="e">
        <f>IF(I5409="fora",0%,G5409/QUÓRUM!$C$6)</f>
        <v>#DIV/0!</v>
      </c>
      <c r="I5409" s="87"/>
      <c r="J5409" s="88"/>
      <c r="K5409" s="88"/>
      <c r="L5409" s="89"/>
      <c r="M5409" s="89"/>
      <c r="Q5409" s="105"/>
    </row>
    <row r="5410" spans="3:17" x14ac:dyDescent="0.3">
      <c r="C5410" s="87"/>
      <c r="H5410" s="86" t="e">
        <f>IF(I5410="fora",0%,G5410/QUÓRUM!$C$6)</f>
        <v>#DIV/0!</v>
      </c>
      <c r="I5410" s="87"/>
      <c r="J5410" s="88"/>
      <c r="K5410" s="88"/>
      <c r="L5410" s="89"/>
      <c r="M5410" s="89"/>
      <c r="Q5410" s="105"/>
    </row>
    <row r="5411" spans="3:17" x14ac:dyDescent="0.3">
      <c r="C5411" s="87"/>
      <c r="H5411" s="86" t="e">
        <f>IF(I5411="fora",0%,G5411/QUÓRUM!$C$6)</f>
        <v>#DIV/0!</v>
      </c>
      <c r="I5411" s="87"/>
      <c r="J5411" s="88"/>
      <c r="K5411" s="88"/>
      <c r="L5411" s="89"/>
      <c r="M5411" s="89"/>
      <c r="Q5411" s="105"/>
    </row>
    <row r="5412" spans="3:17" x14ac:dyDescent="0.3">
      <c r="C5412" s="87"/>
      <c r="H5412" s="86" t="e">
        <f>IF(I5412="fora",0%,G5412/QUÓRUM!$C$6)</f>
        <v>#DIV/0!</v>
      </c>
      <c r="I5412" s="87"/>
      <c r="J5412" s="88"/>
      <c r="K5412" s="88"/>
      <c r="L5412" s="89"/>
      <c r="M5412" s="89"/>
      <c r="Q5412" s="105"/>
    </row>
    <row r="5413" spans="3:17" x14ac:dyDescent="0.3">
      <c r="C5413" s="87"/>
      <c r="H5413" s="86" t="e">
        <f>IF(I5413="fora",0%,G5413/QUÓRUM!$C$6)</f>
        <v>#DIV/0!</v>
      </c>
      <c r="I5413" s="87"/>
      <c r="J5413" s="88"/>
      <c r="K5413" s="88"/>
      <c r="L5413" s="89"/>
      <c r="M5413" s="89"/>
      <c r="Q5413" s="105"/>
    </row>
    <row r="5414" spans="3:17" x14ac:dyDescent="0.3">
      <c r="C5414" s="87"/>
      <c r="H5414" s="86" t="e">
        <f>IF(I5414="fora",0%,G5414/QUÓRUM!$C$6)</f>
        <v>#DIV/0!</v>
      </c>
      <c r="I5414" s="87"/>
      <c r="J5414" s="88"/>
      <c r="K5414" s="88"/>
      <c r="L5414" s="89"/>
      <c r="M5414" s="89"/>
      <c r="Q5414" s="105"/>
    </row>
    <row r="5415" spans="3:17" x14ac:dyDescent="0.3">
      <c r="C5415" s="87"/>
      <c r="H5415" s="86" t="e">
        <f>IF(I5415="fora",0%,G5415/QUÓRUM!$C$6)</f>
        <v>#DIV/0!</v>
      </c>
      <c r="I5415" s="87"/>
      <c r="J5415" s="88"/>
      <c r="K5415" s="88"/>
      <c r="L5415" s="89"/>
      <c r="M5415" s="89"/>
      <c r="Q5415" s="105"/>
    </row>
    <row r="5416" spans="3:17" x14ac:dyDescent="0.3">
      <c r="C5416" s="87"/>
      <c r="H5416" s="86" t="e">
        <f>IF(I5416="fora",0%,G5416/QUÓRUM!$C$6)</f>
        <v>#DIV/0!</v>
      </c>
      <c r="I5416" s="87"/>
      <c r="J5416" s="88"/>
      <c r="K5416" s="88"/>
      <c r="L5416" s="89"/>
      <c r="M5416" s="89"/>
      <c r="Q5416" s="105"/>
    </row>
    <row r="5417" spans="3:17" x14ac:dyDescent="0.3">
      <c r="C5417" s="87"/>
      <c r="H5417" s="86" t="e">
        <f>IF(I5417="fora",0%,G5417/QUÓRUM!$C$6)</f>
        <v>#DIV/0!</v>
      </c>
      <c r="I5417" s="87"/>
      <c r="J5417" s="88"/>
      <c r="K5417" s="88"/>
      <c r="L5417" s="89"/>
      <c r="M5417" s="89"/>
      <c r="Q5417" s="105"/>
    </row>
    <row r="5418" spans="3:17" x14ac:dyDescent="0.3">
      <c r="C5418" s="87"/>
      <c r="H5418" s="86" t="e">
        <f>IF(I5418="fora",0%,G5418/QUÓRUM!$C$6)</f>
        <v>#DIV/0!</v>
      </c>
      <c r="I5418" s="87"/>
      <c r="J5418" s="88"/>
      <c r="K5418" s="88"/>
      <c r="L5418" s="89"/>
      <c r="M5418" s="89"/>
      <c r="Q5418" s="105"/>
    </row>
    <row r="5419" spans="3:17" x14ac:dyDescent="0.3">
      <c r="C5419" s="87"/>
      <c r="H5419" s="86" t="e">
        <f>IF(I5419="fora",0%,G5419/QUÓRUM!$C$6)</f>
        <v>#DIV/0!</v>
      </c>
      <c r="I5419" s="87"/>
      <c r="J5419" s="88"/>
      <c r="K5419" s="88"/>
      <c r="L5419" s="89"/>
      <c r="M5419" s="89"/>
      <c r="Q5419" s="105"/>
    </row>
    <row r="5420" spans="3:17" x14ac:dyDescent="0.3">
      <c r="C5420" s="87"/>
      <c r="H5420" s="86" t="e">
        <f>IF(I5420="fora",0%,G5420/QUÓRUM!$C$6)</f>
        <v>#DIV/0!</v>
      </c>
      <c r="I5420" s="87"/>
      <c r="J5420" s="88"/>
      <c r="K5420" s="88"/>
      <c r="L5420" s="89"/>
      <c r="M5420" s="89"/>
      <c r="Q5420" s="105"/>
    </row>
    <row r="5421" spans="3:17" x14ac:dyDescent="0.3">
      <c r="C5421" s="87"/>
      <c r="H5421" s="86" t="e">
        <f>IF(I5421="fora",0%,G5421/QUÓRUM!$C$6)</f>
        <v>#DIV/0!</v>
      </c>
      <c r="I5421" s="87"/>
      <c r="J5421" s="88"/>
      <c r="K5421" s="88"/>
      <c r="L5421" s="89"/>
      <c r="M5421" s="89"/>
      <c r="Q5421" s="105"/>
    </row>
    <row r="5422" spans="3:17" x14ac:dyDescent="0.3">
      <c r="C5422" s="87"/>
      <c r="H5422" s="86" t="e">
        <f>IF(I5422="fora",0%,G5422/QUÓRUM!$C$6)</f>
        <v>#DIV/0!</v>
      </c>
      <c r="I5422" s="87"/>
      <c r="J5422" s="88"/>
      <c r="K5422" s="88"/>
      <c r="L5422" s="89"/>
      <c r="M5422" s="89"/>
      <c r="Q5422" s="105"/>
    </row>
    <row r="5423" spans="3:17" x14ac:dyDescent="0.3">
      <c r="C5423" s="87"/>
      <c r="H5423" s="86" t="e">
        <f>IF(I5423="fora",0%,G5423/QUÓRUM!$C$6)</f>
        <v>#DIV/0!</v>
      </c>
      <c r="I5423" s="87"/>
      <c r="J5423" s="88"/>
      <c r="K5423" s="88"/>
      <c r="L5423" s="89"/>
      <c r="M5423" s="89"/>
      <c r="Q5423" s="105"/>
    </row>
    <row r="5424" spans="3:17" x14ac:dyDescent="0.3">
      <c r="C5424" s="87"/>
      <c r="H5424" s="86" t="e">
        <f>IF(I5424="fora",0%,G5424/QUÓRUM!$C$6)</f>
        <v>#DIV/0!</v>
      </c>
      <c r="I5424" s="87"/>
      <c r="J5424" s="88"/>
      <c r="K5424" s="88"/>
      <c r="L5424" s="89"/>
      <c r="M5424" s="89"/>
      <c r="Q5424" s="105"/>
    </row>
    <row r="5425" spans="3:17" x14ac:dyDescent="0.3">
      <c r="C5425" s="87"/>
      <c r="H5425" s="86" t="e">
        <f>IF(I5425="fora",0%,G5425/QUÓRUM!$C$6)</f>
        <v>#DIV/0!</v>
      </c>
      <c r="I5425" s="87"/>
      <c r="J5425" s="88"/>
      <c r="K5425" s="88"/>
      <c r="L5425" s="89"/>
      <c r="M5425" s="89"/>
      <c r="Q5425" s="105"/>
    </row>
    <row r="5426" spans="3:17" x14ac:dyDescent="0.3">
      <c r="C5426" s="87"/>
      <c r="H5426" s="86" t="e">
        <f>IF(I5426="fora",0%,G5426/QUÓRUM!$C$6)</f>
        <v>#DIV/0!</v>
      </c>
      <c r="I5426" s="87"/>
      <c r="J5426" s="88"/>
      <c r="K5426" s="88"/>
      <c r="L5426" s="89"/>
      <c r="M5426" s="89"/>
      <c r="Q5426" s="105"/>
    </row>
    <row r="5427" spans="3:17" x14ac:dyDescent="0.3">
      <c r="C5427" s="87"/>
      <c r="H5427" s="86" t="e">
        <f>IF(I5427="fora",0%,G5427/QUÓRUM!$C$6)</f>
        <v>#DIV/0!</v>
      </c>
      <c r="I5427" s="87"/>
      <c r="J5427" s="88"/>
      <c r="K5427" s="88"/>
      <c r="L5427" s="89"/>
      <c r="M5427" s="89"/>
      <c r="Q5427" s="105"/>
    </row>
    <row r="5428" spans="3:17" x14ac:dyDescent="0.3">
      <c r="C5428" s="87"/>
      <c r="H5428" s="86" t="e">
        <f>IF(I5428="fora",0%,G5428/QUÓRUM!$C$6)</f>
        <v>#DIV/0!</v>
      </c>
      <c r="I5428" s="87"/>
      <c r="J5428" s="88"/>
      <c r="K5428" s="88"/>
      <c r="L5428" s="89"/>
      <c r="M5428" s="89"/>
      <c r="Q5428" s="105"/>
    </row>
    <row r="5429" spans="3:17" x14ac:dyDescent="0.3">
      <c r="C5429" s="87"/>
      <c r="H5429" s="86" t="e">
        <f>IF(I5429="fora",0%,G5429/QUÓRUM!$C$6)</f>
        <v>#DIV/0!</v>
      </c>
      <c r="I5429" s="87"/>
      <c r="J5429" s="88"/>
      <c r="K5429" s="88"/>
      <c r="L5429" s="89"/>
      <c r="M5429" s="89"/>
      <c r="Q5429" s="105"/>
    </row>
    <row r="5430" spans="3:17" x14ac:dyDescent="0.3">
      <c r="C5430" s="87"/>
      <c r="H5430" s="86" t="e">
        <f>IF(I5430="fora",0%,G5430/QUÓRUM!$C$6)</f>
        <v>#DIV/0!</v>
      </c>
      <c r="I5430" s="87"/>
      <c r="J5430" s="88"/>
      <c r="K5430" s="88"/>
      <c r="L5430" s="89"/>
      <c r="M5430" s="89"/>
      <c r="Q5430" s="105"/>
    </row>
    <row r="5431" spans="3:17" x14ac:dyDescent="0.3">
      <c r="C5431" s="87"/>
      <c r="H5431" s="86" t="e">
        <f>IF(I5431="fora",0%,G5431/QUÓRUM!$C$6)</f>
        <v>#DIV/0!</v>
      </c>
      <c r="I5431" s="87"/>
      <c r="J5431" s="88"/>
      <c r="K5431" s="88"/>
      <c r="L5431" s="89"/>
      <c r="M5431" s="89"/>
      <c r="Q5431" s="105"/>
    </row>
    <row r="5432" spans="3:17" x14ac:dyDescent="0.3">
      <c r="C5432" s="87"/>
      <c r="H5432" s="86" t="e">
        <f>IF(I5432="fora",0%,G5432/QUÓRUM!$C$6)</f>
        <v>#DIV/0!</v>
      </c>
      <c r="I5432" s="87"/>
      <c r="J5432" s="88"/>
      <c r="K5432" s="88"/>
      <c r="L5432" s="89"/>
      <c r="M5432" s="89"/>
      <c r="Q5432" s="105"/>
    </row>
    <row r="5433" spans="3:17" x14ac:dyDescent="0.3">
      <c r="C5433" s="87"/>
      <c r="H5433" s="86" t="e">
        <f>IF(I5433="fora",0%,G5433/QUÓRUM!$C$6)</f>
        <v>#DIV/0!</v>
      </c>
      <c r="I5433" s="87"/>
      <c r="J5433" s="88"/>
      <c r="K5433" s="88"/>
      <c r="L5433" s="89"/>
      <c r="M5433" s="89"/>
      <c r="Q5433" s="105"/>
    </row>
    <row r="5434" spans="3:17" x14ac:dyDescent="0.3">
      <c r="C5434" s="87"/>
      <c r="H5434" s="86" t="e">
        <f>IF(I5434="fora",0%,G5434/QUÓRUM!$C$6)</f>
        <v>#DIV/0!</v>
      </c>
      <c r="I5434" s="87"/>
      <c r="J5434" s="88"/>
      <c r="K5434" s="88"/>
      <c r="L5434" s="89"/>
      <c r="M5434" s="89"/>
      <c r="Q5434" s="105"/>
    </row>
    <row r="5435" spans="3:17" x14ac:dyDescent="0.3">
      <c r="C5435" s="87"/>
      <c r="H5435" s="86" t="e">
        <f>IF(I5435="fora",0%,G5435/QUÓRUM!$C$6)</f>
        <v>#DIV/0!</v>
      </c>
      <c r="I5435" s="87"/>
      <c r="J5435" s="88"/>
      <c r="K5435" s="88"/>
      <c r="L5435" s="89"/>
      <c r="M5435" s="89"/>
      <c r="Q5435" s="105"/>
    </row>
    <row r="5436" spans="3:17" x14ac:dyDescent="0.3">
      <c r="C5436" s="87"/>
      <c r="H5436" s="86" t="e">
        <f>IF(I5436="fora",0%,G5436/QUÓRUM!$C$6)</f>
        <v>#DIV/0!</v>
      </c>
      <c r="I5436" s="87"/>
      <c r="J5436" s="88"/>
      <c r="K5436" s="88"/>
      <c r="L5436" s="89"/>
      <c r="M5436" s="89"/>
      <c r="Q5436" s="105"/>
    </row>
    <row r="5437" spans="3:17" x14ac:dyDescent="0.3">
      <c r="C5437" s="87"/>
      <c r="H5437" s="86" t="e">
        <f>IF(I5437="fora",0%,G5437/QUÓRUM!$C$6)</f>
        <v>#DIV/0!</v>
      </c>
      <c r="I5437" s="87"/>
      <c r="J5437" s="88"/>
      <c r="K5437" s="88"/>
      <c r="L5437" s="89"/>
      <c r="M5437" s="89"/>
      <c r="Q5437" s="105"/>
    </row>
    <row r="5438" spans="3:17" x14ac:dyDescent="0.3">
      <c r="C5438" s="87"/>
      <c r="H5438" s="86" t="e">
        <f>IF(I5438="fora",0%,G5438/QUÓRUM!$C$6)</f>
        <v>#DIV/0!</v>
      </c>
      <c r="I5438" s="87"/>
      <c r="J5438" s="88"/>
      <c r="K5438" s="88"/>
      <c r="L5438" s="89"/>
      <c r="M5438" s="89"/>
      <c r="Q5438" s="105"/>
    </row>
    <row r="5439" spans="3:17" x14ac:dyDescent="0.3">
      <c r="C5439" s="87"/>
      <c r="H5439" s="86" t="e">
        <f>IF(I5439="fora",0%,G5439/QUÓRUM!$C$6)</f>
        <v>#DIV/0!</v>
      </c>
      <c r="I5439" s="87"/>
      <c r="J5439" s="88"/>
      <c r="K5439" s="88"/>
      <c r="L5439" s="89"/>
      <c r="M5439" s="89"/>
      <c r="Q5439" s="105"/>
    </row>
    <row r="5440" spans="3:17" x14ac:dyDescent="0.3">
      <c r="C5440" s="87"/>
      <c r="H5440" s="86" t="e">
        <f>IF(I5440="fora",0%,G5440/QUÓRUM!$C$6)</f>
        <v>#DIV/0!</v>
      </c>
      <c r="I5440" s="87"/>
      <c r="J5440" s="88"/>
      <c r="K5440" s="88"/>
      <c r="L5440" s="89"/>
      <c r="M5440" s="89"/>
      <c r="Q5440" s="105"/>
    </row>
    <row r="5441" spans="3:17" x14ac:dyDescent="0.3">
      <c r="C5441" s="87"/>
      <c r="H5441" s="86" t="e">
        <f>IF(I5441="fora",0%,G5441/QUÓRUM!$C$6)</f>
        <v>#DIV/0!</v>
      </c>
      <c r="I5441" s="87"/>
      <c r="J5441" s="88"/>
      <c r="K5441" s="88"/>
      <c r="L5441" s="89"/>
      <c r="M5441" s="89"/>
      <c r="Q5441" s="105"/>
    </row>
    <row r="5442" spans="3:17" x14ac:dyDescent="0.3">
      <c r="C5442" s="87"/>
      <c r="H5442" s="86" t="e">
        <f>IF(I5442="fora",0%,G5442/QUÓRUM!$C$6)</f>
        <v>#DIV/0!</v>
      </c>
      <c r="I5442" s="87"/>
      <c r="J5442" s="88"/>
      <c r="K5442" s="88"/>
      <c r="L5442" s="89"/>
      <c r="M5442" s="89"/>
      <c r="Q5442" s="105"/>
    </row>
    <row r="5443" spans="3:17" x14ac:dyDescent="0.3">
      <c r="C5443" s="87"/>
      <c r="H5443" s="86" t="e">
        <f>IF(I5443="fora",0%,G5443/QUÓRUM!$C$6)</f>
        <v>#DIV/0!</v>
      </c>
      <c r="I5443" s="87"/>
      <c r="J5443" s="88"/>
      <c r="K5443" s="88"/>
      <c r="L5443" s="89"/>
      <c r="M5443" s="89"/>
      <c r="Q5443" s="105"/>
    </row>
    <row r="5444" spans="3:17" x14ac:dyDescent="0.3">
      <c r="C5444" s="87"/>
      <c r="H5444" s="86" t="e">
        <f>IF(I5444="fora",0%,G5444/QUÓRUM!$C$6)</f>
        <v>#DIV/0!</v>
      </c>
      <c r="I5444" s="87"/>
      <c r="J5444" s="88"/>
      <c r="K5444" s="88"/>
      <c r="L5444" s="89"/>
      <c r="M5444" s="89"/>
      <c r="Q5444" s="105"/>
    </row>
    <row r="5445" spans="3:17" x14ac:dyDescent="0.3">
      <c r="C5445" s="87"/>
      <c r="H5445" s="86" t="e">
        <f>IF(I5445="fora",0%,G5445/QUÓRUM!$C$6)</f>
        <v>#DIV/0!</v>
      </c>
      <c r="I5445" s="87"/>
      <c r="J5445" s="88"/>
      <c r="K5445" s="88"/>
      <c r="L5445" s="89"/>
      <c r="M5445" s="89"/>
      <c r="Q5445" s="105"/>
    </row>
    <row r="5446" spans="3:17" x14ac:dyDescent="0.3">
      <c r="C5446" s="87"/>
      <c r="H5446" s="86" t="e">
        <f>IF(I5446="fora",0%,G5446/QUÓRUM!$C$6)</f>
        <v>#DIV/0!</v>
      </c>
      <c r="I5446" s="87"/>
      <c r="J5446" s="88"/>
      <c r="K5446" s="88"/>
      <c r="L5446" s="89"/>
      <c r="M5446" s="89"/>
      <c r="Q5446" s="105"/>
    </row>
    <row r="5447" spans="3:17" x14ac:dyDescent="0.3">
      <c r="C5447" s="87"/>
      <c r="H5447" s="86" t="e">
        <f>IF(I5447="fora",0%,G5447/QUÓRUM!$C$6)</f>
        <v>#DIV/0!</v>
      </c>
      <c r="I5447" s="87"/>
      <c r="J5447" s="88"/>
      <c r="K5447" s="88"/>
      <c r="L5447" s="89"/>
      <c r="M5447" s="89"/>
      <c r="Q5447" s="105"/>
    </row>
    <row r="5448" spans="3:17" x14ac:dyDescent="0.3">
      <c r="C5448" s="87"/>
      <c r="H5448" s="86" t="e">
        <f>IF(I5448="fora",0%,G5448/QUÓRUM!$C$6)</f>
        <v>#DIV/0!</v>
      </c>
      <c r="I5448" s="87"/>
      <c r="J5448" s="88"/>
      <c r="K5448" s="88"/>
      <c r="L5448" s="89"/>
      <c r="M5448" s="89"/>
      <c r="Q5448" s="105"/>
    </row>
    <row r="5449" spans="3:17" x14ac:dyDescent="0.3">
      <c r="C5449" s="87"/>
      <c r="H5449" s="86" t="e">
        <f>IF(I5449="fora",0%,G5449/QUÓRUM!$C$6)</f>
        <v>#DIV/0!</v>
      </c>
      <c r="I5449" s="87"/>
      <c r="J5449" s="88"/>
      <c r="K5449" s="88"/>
      <c r="L5449" s="89"/>
      <c r="M5449" s="89"/>
      <c r="Q5449" s="105"/>
    </row>
    <row r="5450" spans="3:17" x14ac:dyDescent="0.3">
      <c r="C5450" s="87"/>
      <c r="H5450" s="86" t="e">
        <f>IF(I5450="fora",0%,G5450/QUÓRUM!$C$6)</f>
        <v>#DIV/0!</v>
      </c>
      <c r="I5450" s="87"/>
      <c r="J5450" s="88"/>
      <c r="K5450" s="88"/>
      <c r="L5450" s="89"/>
      <c r="M5450" s="89"/>
      <c r="Q5450" s="105"/>
    </row>
    <row r="5451" spans="3:17" x14ac:dyDescent="0.3">
      <c r="C5451" s="87"/>
      <c r="H5451" s="86" t="e">
        <f>IF(I5451="fora",0%,G5451/QUÓRUM!$C$6)</f>
        <v>#DIV/0!</v>
      </c>
      <c r="I5451" s="87"/>
      <c r="J5451" s="88"/>
      <c r="K5451" s="88"/>
      <c r="L5451" s="89"/>
      <c r="M5451" s="89"/>
      <c r="Q5451" s="105"/>
    </row>
    <row r="5452" spans="3:17" x14ac:dyDescent="0.3">
      <c r="C5452" s="87"/>
      <c r="H5452" s="86" t="e">
        <f>IF(I5452="fora",0%,G5452/QUÓRUM!$C$6)</f>
        <v>#DIV/0!</v>
      </c>
      <c r="I5452" s="87"/>
      <c r="J5452" s="88"/>
      <c r="K5452" s="88"/>
      <c r="L5452" s="89"/>
      <c r="M5452" s="89"/>
      <c r="Q5452" s="105"/>
    </row>
    <row r="5453" spans="3:17" x14ac:dyDescent="0.3">
      <c r="C5453" s="87"/>
      <c r="H5453" s="86" t="e">
        <f>IF(I5453="fora",0%,G5453/QUÓRUM!$C$6)</f>
        <v>#DIV/0!</v>
      </c>
      <c r="I5453" s="87"/>
      <c r="J5453" s="88"/>
      <c r="K5453" s="88"/>
      <c r="L5453" s="89"/>
      <c r="M5453" s="89"/>
      <c r="Q5453" s="105"/>
    </row>
    <row r="5454" spans="3:17" x14ac:dyDescent="0.3">
      <c r="C5454" s="87"/>
      <c r="H5454" s="86" t="e">
        <f>IF(I5454="fora",0%,G5454/QUÓRUM!$C$6)</f>
        <v>#DIV/0!</v>
      </c>
      <c r="I5454" s="87"/>
      <c r="J5454" s="88"/>
      <c r="K5454" s="88"/>
      <c r="L5454" s="89"/>
      <c r="M5454" s="89"/>
      <c r="Q5454" s="105"/>
    </row>
    <row r="5455" spans="3:17" x14ac:dyDescent="0.3">
      <c r="C5455" s="87"/>
      <c r="H5455" s="86" t="e">
        <f>IF(I5455="fora",0%,G5455/QUÓRUM!$C$6)</f>
        <v>#DIV/0!</v>
      </c>
      <c r="I5455" s="87"/>
      <c r="J5455" s="88"/>
      <c r="K5455" s="88"/>
      <c r="L5455" s="89"/>
      <c r="M5455" s="89"/>
      <c r="Q5455" s="105"/>
    </row>
    <row r="5456" spans="3:17" x14ac:dyDescent="0.3">
      <c r="C5456" s="87"/>
      <c r="H5456" s="86" t="e">
        <f>IF(I5456="fora",0%,G5456/QUÓRUM!$C$6)</f>
        <v>#DIV/0!</v>
      </c>
      <c r="I5456" s="87"/>
      <c r="J5456" s="88"/>
      <c r="K5456" s="88"/>
      <c r="L5456" s="89"/>
      <c r="M5456" s="89"/>
      <c r="Q5456" s="105"/>
    </row>
    <row r="5457" spans="3:17" x14ac:dyDescent="0.3">
      <c r="C5457" s="87"/>
      <c r="H5457" s="86" t="e">
        <f>IF(I5457="fora",0%,G5457/QUÓRUM!$C$6)</f>
        <v>#DIV/0!</v>
      </c>
      <c r="I5457" s="87"/>
      <c r="J5457" s="88"/>
      <c r="K5457" s="88"/>
      <c r="L5457" s="89"/>
      <c r="M5457" s="89"/>
      <c r="Q5457" s="105"/>
    </row>
    <row r="5458" spans="3:17" x14ac:dyDescent="0.3">
      <c r="C5458" s="87"/>
      <c r="H5458" s="86" t="e">
        <f>IF(I5458="fora",0%,G5458/QUÓRUM!$C$6)</f>
        <v>#DIV/0!</v>
      </c>
      <c r="I5458" s="87"/>
      <c r="J5458" s="88"/>
      <c r="K5458" s="88"/>
      <c r="L5458" s="89"/>
      <c r="M5458" s="89"/>
      <c r="Q5458" s="105"/>
    </row>
    <row r="5459" spans="3:17" x14ac:dyDescent="0.3">
      <c r="C5459" s="87"/>
      <c r="H5459" s="86" t="e">
        <f>IF(I5459="fora",0%,G5459/QUÓRUM!$C$6)</f>
        <v>#DIV/0!</v>
      </c>
      <c r="I5459" s="87"/>
      <c r="J5459" s="88"/>
      <c r="K5459" s="88"/>
      <c r="L5459" s="89"/>
      <c r="M5459" s="89"/>
      <c r="Q5459" s="105"/>
    </row>
    <row r="5460" spans="3:17" x14ac:dyDescent="0.3">
      <c r="C5460" s="87"/>
      <c r="H5460" s="86" t="e">
        <f>IF(I5460="fora",0%,G5460/QUÓRUM!$C$6)</f>
        <v>#DIV/0!</v>
      </c>
      <c r="I5460" s="87"/>
      <c r="J5460" s="88"/>
      <c r="K5460" s="88"/>
      <c r="L5460" s="89"/>
      <c r="M5460" s="89"/>
      <c r="Q5460" s="105"/>
    </row>
    <row r="5461" spans="3:17" x14ac:dyDescent="0.3">
      <c r="C5461" s="87"/>
      <c r="H5461" s="86" t="e">
        <f>IF(I5461="fora",0%,G5461/QUÓRUM!$C$6)</f>
        <v>#DIV/0!</v>
      </c>
      <c r="I5461" s="87"/>
      <c r="J5461" s="88"/>
      <c r="K5461" s="88"/>
      <c r="L5461" s="89"/>
      <c r="M5461" s="89"/>
      <c r="Q5461" s="105"/>
    </row>
    <row r="5462" spans="3:17" x14ac:dyDescent="0.3">
      <c r="C5462" s="87"/>
      <c r="H5462" s="86" t="e">
        <f>IF(I5462="fora",0%,G5462/QUÓRUM!$C$6)</f>
        <v>#DIV/0!</v>
      </c>
      <c r="I5462" s="87"/>
      <c r="J5462" s="88"/>
      <c r="K5462" s="88"/>
      <c r="L5462" s="89"/>
      <c r="M5462" s="89"/>
      <c r="Q5462" s="105"/>
    </row>
    <row r="5463" spans="3:17" x14ac:dyDescent="0.3">
      <c r="C5463" s="87"/>
      <c r="H5463" s="86" t="e">
        <f>IF(I5463="fora",0%,G5463/QUÓRUM!$C$6)</f>
        <v>#DIV/0!</v>
      </c>
      <c r="I5463" s="87"/>
      <c r="J5463" s="88"/>
      <c r="K5463" s="88"/>
      <c r="L5463" s="89"/>
      <c r="M5463" s="89"/>
      <c r="Q5463" s="105"/>
    </row>
    <row r="5464" spans="3:17" x14ac:dyDescent="0.3">
      <c r="C5464" s="87"/>
      <c r="H5464" s="86" t="e">
        <f>IF(I5464="fora",0%,G5464/QUÓRUM!$C$6)</f>
        <v>#DIV/0!</v>
      </c>
      <c r="I5464" s="87"/>
      <c r="J5464" s="88"/>
      <c r="K5464" s="88"/>
      <c r="L5464" s="89"/>
      <c r="M5464" s="89"/>
      <c r="Q5464" s="105"/>
    </row>
    <row r="5465" spans="3:17" x14ac:dyDescent="0.3">
      <c r="C5465" s="87"/>
      <c r="H5465" s="86" t="e">
        <f>IF(I5465="fora",0%,G5465/QUÓRUM!$C$6)</f>
        <v>#DIV/0!</v>
      </c>
      <c r="I5465" s="87"/>
      <c r="J5465" s="88"/>
      <c r="K5465" s="88"/>
      <c r="L5465" s="89"/>
      <c r="M5465" s="89"/>
      <c r="Q5465" s="105"/>
    </row>
    <row r="5466" spans="3:17" x14ac:dyDescent="0.3">
      <c r="C5466" s="87"/>
      <c r="H5466" s="86" t="e">
        <f>IF(I5466="fora",0%,G5466/QUÓRUM!$C$6)</f>
        <v>#DIV/0!</v>
      </c>
      <c r="I5466" s="87"/>
      <c r="J5466" s="88"/>
      <c r="K5466" s="88"/>
      <c r="L5466" s="89"/>
      <c r="M5466" s="89"/>
      <c r="Q5466" s="105"/>
    </row>
    <row r="5467" spans="3:17" x14ac:dyDescent="0.3">
      <c r="C5467" s="87"/>
      <c r="H5467" s="86" t="e">
        <f>IF(I5467="fora",0%,G5467/QUÓRUM!$C$6)</f>
        <v>#DIV/0!</v>
      </c>
      <c r="I5467" s="87"/>
      <c r="J5467" s="88"/>
      <c r="K5467" s="88"/>
      <c r="L5467" s="89"/>
      <c r="M5467" s="89"/>
      <c r="Q5467" s="105"/>
    </row>
    <row r="5468" spans="3:17" x14ac:dyDescent="0.3">
      <c r="C5468" s="87"/>
      <c r="H5468" s="86" t="e">
        <f>IF(I5468="fora",0%,G5468/QUÓRUM!$C$6)</f>
        <v>#DIV/0!</v>
      </c>
      <c r="I5468" s="87"/>
      <c r="J5468" s="88"/>
      <c r="K5468" s="88"/>
      <c r="L5468" s="89"/>
      <c r="M5468" s="89"/>
      <c r="Q5468" s="105"/>
    </row>
    <row r="5469" spans="3:17" x14ac:dyDescent="0.3">
      <c r="C5469" s="87"/>
      <c r="H5469" s="86" t="e">
        <f>IF(I5469="fora",0%,G5469/QUÓRUM!$C$6)</f>
        <v>#DIV/0!</v>
      </c>
      <c r="I5469" s="87"/>
      <c r="J5469" s="88"/>
      <c r="K5469" s="88"/>
      <c r="L5469" s="89"/>
      <c r="M5469" s="89"/>
      <c r="Q5469" s="105"/>
    </row>
    <row r="5470" spans="3:17" x14ac:dyDescent="0.3">
      <c r="C5470" s="87"/>
      <c r="H5470" s="86" t="e">
        <f>IF(I5470="fora",0%,G5470/QUÓRUM!$C$6)</f>
        <v>#DIV/0!</v>
      </c>
      <c r="I5470" s="87"/>
      <c r="J5470" s="88"/>
      <c r="K5470" s="88"/>
      <c r="L5470" s="89"/>
      <c r="M5470" s="89"/>
      <c r="Q5470" s="105"/>
    </row>
    <row r="5471" spans="3:17" x14ac:dyDescent="0.3">
      <c r="C5471" s="87"/>
      <c r="H5471" s="86" t="e">
        <f>IF(I5471="fora",0%,G5471/QUÓRUM!$C$6)</f>
        <v>#DIV/0!</v>
      </c>
      <c r="I5471" s="87"/>
      <c r="J5471" s="88"/>
      <c r="K5471" s="88"/>
      <c r="L5471" s="89"/>
      <c r="M5471" s="89"/>
      <c r="Q5471" s="105"/>
    </row>
    <row r="5472" spans="3:17" x14ac:dyDescent="0.3">
      <c r="C5472" s="87"/>
      <c r="H5472" s="86" t="e">
        <f>IF(I5472="fora",0%,G5472/QUÓRUM!$C$6)</f>
        <v>#DIV/0!</v>
      </c>
      <c r="I5472" s="87"/>
      <c r="J5472" s="88"/>
      <c r="K5472" s="88"/>
      <c r="L5472" s="89"/>
      <c r="M5472" s="89"/>
      <c r="Q5472" s="105"/>
    </row>
    <row r="5473" spans="3:17" x14ac:dyDescent="0.3">
      <c r="C5473" s="87"/>
      <c r="H5473" s="86" t="e">
        <f>IF(I5473="fora",0%,G5473/QUÓRUM!$C$6)</f>
        <v>#DIV/0!</v>
      </c>
      <c r="I5473" s="87"/>
      <c r="J5473" s="88"/>
      <c r="K5473" s="88"/>
      <c r="L5473" s="89"/>
      <c r="M5473" s="89"/>
      <c r="Q5473" s="105"/>
    </row>
    <row r="5474" spans="3:17" x14ac:dyDescent="0.3">
      <c r="C5474" s="87"/>
      <c r="H5474" s="86" t="e">
        <f>IF(I5474="fora",0%,G5474/QUÓRUM!$C$6)</f>
        <v>#DIV/0!</v>
      </c>
      <c r="I5474" s="87"/>
      <c r="J5474" s="88"/>
      <c r="K5474" s="88"/>
      <c r="L5474" s="89"/>
      <c r="M5474" s="89"/>
      <c r="Q5474" s="105"/>
    </row>
    <row r="5475" spans="3:17" x14ac:dyDescent="0.3">
      <c r="C5475" s="87"/>
      <c r="H5475" s="86" t="e">
        <f>IF(I5475="fora",0%,G5475/QUÓRUM!$C$6)</f>
        <v>#DIV/0!</v>
      </c>
      <c r="I5475" s="87"/>
      <c r="J5475" s="88"/>
      <c r="K5475" s="88"/>
      <c r="L5475" s="89"/>
      <c r="M5475" s="89"/>
      <c r="Q5475" s="105"/>
    </row>
    <row r="5476" spans="3:17" x14ac:dyDescent="0.3">
      <c r="C5476" s="87"/>
      <c r="H5476" s="86" t="e">
        <f>IF(I5476="fora",0%,G5476/QUÓRUM!$C$6)</f>
        <v>#DIV/0!</v>
      </c>
      <c r="I5476" s="87"/>
      <c r="J5476" s="88"/>
      <c r="K5476" s="88"/>
      <c r="L5476" s="89"/>
      <c r="M5476" s="89"/>
      <c r="Q5476" s="105"/>
    </row>
    <row r="5477" spans="3:17" x14ac:dyDescent="0.3">
      <c r="C5477" s="87"/>
      <c r="H5477" s="86" t="e">
        <f>IF(I5477="fora",0%,G5477/QUÓRUM!$C$6)</f>
        <v>#DIV/0!</v>
      </c>
      <c r="I5477" s="87"/>
      <c r="J5477" s="88"/>
      <c r="K5477" s="88"/>
      <c r="L5477" s="89"/>
      <c r="M5477" s="89"/>
      <c r="Q5477" s="105"/>
    </row>
    <row r="5478" spans="3:17" x14ac:dyDescent="0.3">
      <c r="C5478" s="87"/>
      <c r="H5478" s="86" t="e">
        <f>IF(I5478="fora",0%,G5478/QUÓRUM!$C$6)</f>
        <v>#DIV/0!</v>
      </c>
      <c r="I5478" s="87"/>
      <c r="J5478" s="88"/>
      <c r="K5478" s="88"/>
      <c r="L5478" s="89"/>
      <c r="M5478" s="89"/>
      <c r="Q5478" s="105"/>
    </row>
    <row r="5479" spans="3:17" x14ac:dyDescent="0.3">
      <c r="C5479" s="87"/>
      <c r="H5479" s="86" t="e">
        <f>IF(I5479="fora",0%,G5479/QUÓRUM!$C$6)</f>
        <v>#DIV/0!</v>
      </c>
      <c r="I5479" s="87"/>
      <c r="J5479" s="88"/>
      <c r="K5479" s="88"/>
      <c r="L5479" s="89"/>
      <c r="M5479" s="89"/>
      <c r="Q5479" s="105"/>
    </row>
    <row r="5480" spans="3:17" x14ac:dyDescent="0.3">
      <c r="C5480" s="87"/>
      <c r="H5480" s="86" t="e">
        <f>IF(I5480="fora",0%,G5480/QUÓRUM!$C$6)</f>
        <v>#DIV/0!</v>
      </c>
      <c r="I5480" s="87"/>
      <c r="J5480" s="88"/>
      <c r="K5480" s="88"/>
      <c r="L5480" s="89"/>
      <c r="M5480" s="89"/>
      <c r="Q5480" s="105"/>
    </row>
    <row r="5481" spans="3:17" x14ac:dyDescent="0.3">
      <c r="C5481" s="87"/>
      <c r="H5481" s="86" t="e">
        <f>IF(I5481="fora",0%,G5481/QUÓRUM!$C$6)</f>
        <v>#DIV/0!</v>
      </c>
      <c r="I5481" s="87"/>
      <c r="J5481" s="88"/>
      <c r="K5481" s="88"/>
      <c r="L5481" s="89"/>
      <c r="M5481" s="89"/>
      <c r="Q5481" s="105"/>
    </row>
    <row r="5482" spans="3:17" x14ac:dyDescent="0.3">
      <c r="C5482" s="87"/>
      <c r="H5482" s="86" t="e">
        <f>IF(I5482="fora",0%,G5482/QUÓRUM!$C$6)</f>
        <v>#DIV/0!</v>
      </c>
      <c r="I5482" s="87"/>
      <c r="J5482" s="88"/>
      <c r="K5482" s="88"/>
      <c r="L5482" s="89"/>
      <c r="M5482" s="89"/>
      <c r="Q5482" s="105"/>
    </row>
    <row r="5483" spans="3:17" x14ac:dyDescent="0.3">
      <c r="C5483" s="87"/>
      <c r="H5483" s="86" t="e">
        <f>IF(I5483="fora",0%,G5483/QUÓRUM!$C$6)</f>
        <v>#DIV/0!</v>
      </c>
      <c r="I5483" s="87"/>
      <c r="J5483" s="88"/>
      <c r="K5483" s="88"/>
      <c r="L5483" s="89"/>
      <c r="M5483" s="89"/>
      <c r="Q5483" s="105"/>
    </row>
    <row r="5484" spans="3:17" x14ac:dyDescent="0.3">
      <c r="C5484" s="87"/>
      <c r="H5484" s="86" t="e">
        <f>IF(I5484="fora",0%,G5484/QUÓRUM!$C$6)</f>
        <v>#DIV/0!</v>
      </c>
      <c r="I5484" s="87"/>
      <c r="J5484" s="88"/>
      <c r="K5484" s="88"/>
      <c r="L5484" s="89"/>
      <c r="M5484" s="89"/>
      <c r="Q5484" s="105"/>
    </row>
    <row r="5485" spans="3:17" x14ac:dyDescent="0.3">
      <c r="C5485" s="87"/>
      <c r="H5485" s="86" t="e">
        <f>IF(I5485="fora",0%,G5485/QUÓRUM!$C$6)</f>
        <v>#DIV/0!</v>
      </c>
      <c r="I5485" s="87"/>
      <c r="J5485" s="88"/>
      <c r="K5485" s="88"/>
      <c r="L5485" s="89"/>
      <c r="M5485" s="89"/>
      <c r="Q5485" s="105"/>
    </row>
    <row r="5486" spans="3:17" x14ac:dyDescent="0.3">
      <c r="C5486" s="87"/>
      <c r="H5486" s="86" t="e">
        <f>IF(I5486="fora",0%,G5486/QUÓRUM!$C$6)</f>
        <v>#DIV/0!</v>
      </c>
      <c r="I5486" s="87"/>
      <c r="J5486" s="88"/>
      <c r="K5486" s="88"/>
      <c r="L5486" s="89"/>
      <c r="M5486" s="89"/>
      <c r="Q5486" s="105"/>
    </row>
    <row r="5487" spans="3:17" x14ac:dyDescent="0.3">
      <c r="C5487" s="87"/>
      <c r="H5487" s="86" t="e">
        <f>IF(I5487="fora",0%,G5487/QUÓRUM!$C$6)</f>
        <v>#DIV/0!</v>
      </c>
      <c r="I5487" s="87"/>
      <c r="J5487" s="88"/>
      <c r="K5487" s="88"/>
      <c r="L5487" s="89"/>
      <c r="M5487" s="89"/>
      <c r="Q5487" s="105"/>
    </row>
    <row r="5488" spans="3:17" x14ac:dyDescent="0.3">
      <c r="C5488" s="87"/>
      <c r="H5488" s="86" t="e">
        <f>IF(I5488="fora",0%,G5488/QUÓRUM!$C$6)</f>
        <v>#DIV/0!</v>
      </c>
      <c r="I5488" s="87"/>
      <c r="J5488" s="88"/>
      <c r="K5488" s="88"/>
      <c r="L5488" s="89"/>
      <c r="M5488" s="89"/>
      <c r="Q5488" s="105"/>
    </row>
    <row r="5489" spans="3:17" x14ac:dyDescent="0.3">
      <c r="C5489" s="87"/>
      <c r="H5489" s="86" t="e">
        <f>IF(I5489="fora",0%,G5489/QUÓRUM!$C$6)</f>
        <v>#DIV/0!</v>
      </c>
      <c r="I5489" s="87"/>
      <c r="J5489" s="88"/>
      <c r="K5489" s="88"/>
      <c r="L5489" s="89"/>
      <c r="M5489" s="89"/>
      <c r="Q5489" s="105"/>
    </row>
    <row r="5490" spans="3:17" x14ac:dyDescent="0.3">
      <c r="C5490" s="87"/>
      <c r="H5490" s="86" t="e">
        <f>IF(I5490="fora",0%,G5490/QUÓRUM!$C$6)</f>
        <v>#DIV/0!</v>
      </c>
      <c r="I5490" s="87"/>
      <c r="J5490" s="88"/>
      <c r="K5490" s="88"/>
      <c r="L5490" s="89"/>
      <c r="M5490" s="89"/>
      <c r="Q5490" s="105"/>
    </row>
    <row r="5491" spans="3:17" x14ac:dyDescent="0.3">
      <c r="C5491" s="87"/>
      <c r="H5491" s="86" t="e">
        <f>IF(I5491="fora",0%,G5491/QUÓRUM!$C$6)</f>
        <v>#DIV/0!</v>
      </c>
      <c r="I5491" s="87"/>
      <c r="J5491" s="88"/>
      <c r="K5491" s="88"/>
      <c r="L5491" s="89"/>
      <c r="M5491" s="89"/>
      <c r="Q5491" s="105"/>
    </row>
    <row r="5492" spans="3:17" x14ac:dyDescent="0.3">
      <c r="C5492" s="87"/>
      <c r="H5492" s="86" t="e">
        <f>IF(I5492="fora",0%,G5492/QUÓRUM!$C$6)</f>
        <v>#DIV/0!</v>
      </c>
      <c r="I5492" s="87"/>
      <c r="J5492" s="88"/>
      <c r="K5492" s="88"/>
      <c r="L5492" s="89"/>
      <c r="M5492" s="89"/>
      <c r="Q5492" s="105"/>
    </row>
    <row r="5493" spans="3:17" x14ac:dyDescent="0.3">
      <c r="C5493" s="87"/>
      <c r="H5493" s="86" t="e">
        <f>IF(I5493="fora",0%,G5493/QUÓRUM!$C$6)</f>
        <v>#DIV/0!</v>
      </c>
      <c r="I5493" s="87"/>
      <c r="J5493" s="88"/>
      <c r="K5493" s="88"/>
      <c r="L5493" s="89"/>
      <c r="M5493" s="89"/>
      <c r="Q5493" s="105"/>
    </row>
    <row r="5494" spans="3:17" x14ac:dyDescent="0.3">
      <c r="C5494" s="87"/>
      <c r="H5494" s="86" t="e">
        <f>IF(I5494="fora",0%,G5494/QUÓRUM!$C$6)</f>
        <v>#DIV/0!</v>
      </c>
      <c r="I5494" s="87"/>
      <c r="J5494" s="88"/>
      <c r="K5494" s="88"/>
      <c r="L5494" s="89"/>
      <c r="M5494" s="89"/>
      <c r="Q5494" s="105"/>
    </row>
    <row r="5495" spans="3:17" x14ac:dyDescent="0.3">
      <c r="C5495" s="87"/>
      <c r="H5495" s="86" t="e">
        <f>IF(I5495="fora",0%,G5495/QUÓRUM!$C$6)</f>
        <v>#DIV/0!</v>
      </c>
      <c r="I5495" s="87"/>
      <c r="J5495" s="88"/>
      <c r="K5495" s="88"/>
      <c r="L5495" s="89"/>
      <c r="M5495" s="89"/>
      <c r="Q5495" s="105"/>
    </row>
    <row r="5496" spans="3:17" x14ac:dyDescent="0.3">
      <c r="C5496" s="87"/>
      <c r="H5496" s="86" t="e">
        <f>IF(I5496="fora",0%,G5496/QUÓRUM!$C$6)</f>
        <v>#DIV/0!</v>
      </c>
      <c r="I5496" s="87"/>
      <c r="J5496" s="88"/>
      <c r="K5496" s="88"/>
      <c r="L5496" s="89"/>
      <c r="M5496" s="89"/>
      <c r="Q5496" s="105"/>
    </row>
    <row r="5497" spans="3:17" x14ac:dyDescent="0.3">
      <c r="C5497" s="87"/>
      <c r="H5497" s="86" t="e">
        <f>IF(I5497="fora",0%,G5497/QUÓRUM!$C$6)</f>
        <v>#DIV/0!</v>
      </c>
      <c r="I5497" s="87"/>
      <c r="J5497" s="88"/>
      <c r="K5497" s="88"/>
      <c r="L5497" s="89"/>
      <c r="M5497" s="89"/>
      <c r="Q5497" s="105"/>
    </row>
    <row r="5498" spans="3:17" x14ac:dyDescent="0.3">
      <c r="C5498" s="87"/>
      <c r="H5498" s="86" t="e">
        <f>IF(I5498="fora",0%,G5498/QUÓRUM!$C$6)</f>
        <v>#DIV/0!</v>
      </c>
      <c r="I5498" s="87"/>
      <c r="J5498" s="88"/>
      <c r="K5498" s="88"/>
      <c r="L5498" s="89"/>
      <c r="M5498" s="89"/>
      <c r="Q5498" s="105"/>
    </row>
    <row r="5499" spans="3:17" x14ac:dyDescent="0.3">
      <c r="C5499" s="87"/>
      <c r="H5499" s="86" t="e">
        <f>IF(I5499="fora",0%,G5499/QUÓRUM!$C$6)</f>
        <v>#DIV/0!</v>
      </c>
      <c r="I5499" s="87"/>
      <c r="J5499" s="88"/>
      <c r="K5499" s="88"/>
      <c r="L5499" s="89"/>
      <c r="M5499" s="89"/>
      <c r="Q5499" s="105"/>
    </row>
    <row r="5500" spans="3:17" x14ac:dyDescent="0.3">
      <c r="C5500" s="87"/>
      <c r="H5500" s="86" t="e">
        <f>IF(I5500="fora",0%,G5500/QUÓRUM!$C$6)</f>
        <v>#DIV/0!</v>
      </c>
      <c r="I5500" s="87"/>
      <c r="J5500" s="88"/>
      <c r="K5500" s="88"/>
      <c r="L5500" s="89"/>
      <c r="M5500" s="89"/>
      <c r="Q5500" s="105"/>
    </row>
    <row r="5501" spans="3:17" x14ac:dyDescent="0.3">
      <c r="C5501" s="87"/>
      <c r="H5501" s="86" t="e">
        <f>IF(I5501="fora",0%,G5501/QUÓRUM!$C$6)</f>
        <v>#DIV/0!</v>
      </c>
      <c r="I5501" s="87"/>
      <c r="J5501" s="88"/>
      <c r="K5501" s="88"/>
      <c r="L5501" s="89"/>
      <c r="M5501" s="89"/>
      <c r="Q5501" s="105"/>
    </row>
    <row r="5502" spans="3:17" x14ac:dyDescent="0.3">
      <c r="C5502" s="87"/>
      <c r="H5502" s="86" t="e">
        <f>IF(I5502="fora",0%,G5502/QUÓRUM!$C$6)</f>
        <v>#DIV/0!</v>
      </c>
      <c r="I5502" s="87"/>
      <c r="J5502" s="88"/>
      <c r="K5502" s="88"/>
      <c r="L5502" s="89"/>
      <c r="M5502" s="89"/>
      <c r="Q5502" s="105"/>
    </row>
    <row r="5503" spans="3:17" x14ac:dyDescent="0.3">
      <c r="C5503" s="87"/>
      <c r="H5503" s="86" t="e">
        <f>IF(I5503="fora",0%,G5503/QUÓRUM!$C$6)</f>
        <v>#DIV/0!</v>
      </c>
      <c r="I5503" s="87"/>
      <c r="J5503" s="88"/>
      <c r="K5503" s="88"/>
      <c r="L5503" s="89"/>
      <c r="M5503" s="89"/>
      <c r="Q5503" s="105"/>
    </row>
    <row r="5504" spans="3:17" x14ac:dyDescent="0.3">
      <c r="C5504" s="87"/>
      <c r="H5504" s="86" t="e">
        <f>IF(I5504="fora",0%,G5504/QUÓRUM!$C$6)</f>
        <v>#DIV/0!</v>
      </c>
      <c r="I5504" s="87"/>
      <c r="J5504" s="88"/>
      <c r="K5504" s="88"/>
      <c r="L5504" s="89"/>
      <c r="M5504" s="89"/>
      <c r="Q5504" s="105"/>
    </row>
    <row r="5505" spans="3:17" x14ac:dyDescent="0.3">
      <c r="C5505" s="87"/>
      <c r="H5505" s="86" t="e">
        <f>IF(I5505="fora",0%,G5505/QUÓRUM!$C$6)</f>
        <v>#DIV/0!</v>
      </c>
      <c r="I5505" s="87"/>
      <c r="J5505" s="88"/>
      <c r="K5505" s="88"/>
      <c r="L5505" s="89"/>
      <c r="M5505" s="89"/>
      <c r="Q5505" s="105"/>
    </row>
    <row r="5506" spans="3:17" x14ac:dyDescent="0.3">
      <c r="C5506" s="87"/>
      <c r="H5506" s="86" t="e">
        <f>IF(I5506="fora",0%,G5506/QUÓRUM!$C$6)</f>
        <v>#DIV/0!</v>
      </c>
      <c r="I5506" s="87"/>
      <c r="J5506" s="88"/>
      <c r="K5506" s="88"/>
      <c r="L5506" s="89"/>
      <c r="M5506" s="89"/>
      <c r="Q5506" s="105"/>
    </row>
    <row r="5507" spans="3:17" x14ac:dyDescent="0.3">
      <c r="C5507" s="87"/>
      <c r="H5507" s="86" t="e">
        <f>IF(I5507="fora",0%,G5507/QUÓRUM!$C$6)</f>
        <v>#DIV/0!</v>
      </c>
      <c r="I5507" s="87"/>
      <c r="J5507" s="88"/>
      <c r="K5507" s="88"/>
      <c r="L5507" s="89"/>
      <c r="M5507" s="89"/>
      <c r="Q5507" s="105"/>
    </row>
    <row r="5508" spans="3:17" x14ac:dyDescent="0.3">
      <c r="C5508" s="87"/>
      <c r="H5508" s="86" t="e">
        <f>IF(I5508="fora",0%,G5508/QUÓRUM!$C$6)</f>
        <v>#DIV/0!</v>
      </c>
      <c r="I5508" s="87"/>
      <c r="J5508" s="88"/>
      <c r="K5508" s="88"/>
      <c r="L5508" s="89"/>
      <c r="M5508" s="89"/>
      <c r="Q5508" s="105"/>
    </row>
    <row r="5509" spans="3:17" x14ac:dyDescent="0.3">
      <c r="C5509" s="87"/>
      <c r="H5509" s="86" t="e">
        <f>IF(I5509="fora",0%,G5509/QUÓRUM!$C$6)</f>
        <v>#DIV/0!</v>
      </c>
      <c r="I5509" s="87"/>
      <c r="J5509" s="88"/>
      <c r="K5509" s="88"/>
      <c r="L5509" s="89"/>
      <c r="M5509" s="89"/>
      <c r="Q5509" s="105"/>
    </row>
    <row r="5510" spans="3:17" x14ac:dyDescent="0.3">
      <c r="C5510" s="87"/>
      <c r="H5510" s="86" t="e">
        <f>IF(I5510="fora",0%,G5510/QUÓRUM!$C$6)</f>
        <v>#DIV/0!</v>
      </c>
      <c r="I5510" s="87"/>
      <c r="J5510" s="88"/>
      <c r="K5510" s="88"/>
      <c r="L5510" s="89"/>
      <c r="M5510" s="89"/>
      <c r="Q5510" s="105"/>
    </row>
    <row r="5511" spans="3:17" x14ac:dyDescent="0.3">
      <c r="C5511" s="87"/>
      <c r="H5511" s="86" t="e">
        <f>IF(I5511="fora",0%,G5511/QUÓRUM!$C$6)</f>
        <v>#DIV/0!</v>
      </c>
      <c r="I5511" s="87"/>
      <c r="J5511" s="88"/>
      <c r="K5511" s="88"/>
      <c r="L5511" s="89"/>
      <c r="M5511" s="89"/>
      <c r="Q5511" s="105"/>
    </row>
    <row r="5512" spans="3:17" x14ac:dyDescent="0.3">
      <c r="C5512" s="87"/>
      <c r="H5512" s="86" t="e">
        <f>IF(I5512="fora",0%,G5512/QUÓRUM!$C$6)</f>
        <v>#DIV/0!</v>
      </c>
      <c r="I5512" s="87"/>
      <c r="J5512" s="88"/>
      <c r="K5512" s="88"/>
      <c r="L5512" s="89"/>
      <c r="M5512" s="89"/>
      <c r="Q5512" s="105"/>
    </row>
    <row r="5513" spans="3:17" x14ac:dyDescent="0.3">
      <c r="C5513" s="87"/>
      <c r="H5513" s="86" t="e">
        <f>IF(I5513="fora",0%,G5513/QUÓRUM!$C$6)</f>
        <v>#DIV/0!</v>
      </c>
      <c r="I5513" s="87"/>
      <c r="J5513" s="88"/>
      <c r="K5513" s="88"/>
      <c r="L5513" s="89"/>
      <c r="M5513" s="89"/>
      <c r="Q5513" s="105"/>
    </row>
    <row r="5514" spans="3:17" x14ac:dyDescent="0.3">
      <c r="C5514" s="87"/>
      <c r="H5514" s="86" t="e">
        <f>IF(I5514="fora",0%,G5514/QUÓRUM!$C$6)</f>
        <v>#DIV/0!</v>
      </c>
      <c r="I5514" s="87"/>
      <c r="J5514" s="88"/>
      <c r="K5514" s="88"/>
      <c r="L5514" s="89"/>
      <c r="M5514" s="89"/>
      <c r="Q5514" s="105"/>
    </row>
    <row r="5515" spans="3:17" x14ac:dyDescent="0.3">
      <c r="C5515" s="87"/>
      <c r="H5515" s="86" t="e">
        <f>IF(I5515="fora",0%,G5515/QUÓRUM!$C$6)</f>
        <v>#DIV/0!</v>
      </c>
      <c r="I5515" s="87"/>
      <c r="J5515" s="88"/>
      <c r="K5515" s="88"/>
      <c r="L5515" s="89"/>
      <c r="M5515" s="89"/>
      <c r="Q5515" s="105"/>
    </row>
    <row r="5516" spans="3:17" x14ac:dyDescent="0.3">
      <c r="C5516" s="87"/>
      <c r="H5516" s="86" t="e">
        <f>IF(I5516="fora",0%,G5516/QUÓRUM!$C$6)</f>
        <v>#DIV/0!</v>
      </c>
      <c r="I5516" s="87"/>
      <c r="J5516" s="88"/>
      <c r="K5516" s="88"/>
      <c r="L5516" s="89"/>
      <c r="M5516" s="89"/>
      <c r="Q5516" s="105"/>
    </row>
    <row r="5517" spans="3:17" x14ac:dyDescent="0.3">
      <c r="C5517" s="87"/>
      <c r="H5517" s="86" t="e">
        <f>IF(I5517="fora",0%,G5517/QUÓRUM!$C$6)</f>
        <v>#DIV/0!</v>
      </c>
      <c r="I5517" s="87"/>
      <c r="J5517" s="88"/>
      <c r="K5517" s="88"/>
      <c r="L5517" s="89"/>
      <c r="M5517" s="89"/>
      <c r="Q5517" s="105"/>
    </row>
    <row r="5518" spans="3:17" x14ac:dyDescent="0.3">
      <c r="C5518" s="87"/>
      <c r="H5518" s="86" t="e">
        <f>IF(I5518="fora",0%,G5518/QUÓRUM!$C$6)</f>
        <v>#DIV/0!</v>
      </c>
      <c r="I5518" s="87"/>
      <c r="J5518" s="88"/>
      <c r="K5518" s="88"/>
      <c r="L5518" s="89"/>
      <c r="M5518" s="89"/>
      <c r="Q5518" s="105"/>
    </row>
    <row r="5519" spans="3:17" x14ac:dyDescent="0.3">
      <c r="C5519" s="87"/>
      <c r="H5519" s="86" t="e">
        <f>IF(I5519="fora",0%,G5519/QUÓRUM!$C$6)</f>
        <v>#DIV/0!</v>
      </c>
      <c r="I5519" s="87"/>
      <c r="J5519" s="88"/>
      <c r="K5519" s="88"/>
      <c r="L5519" s="89"/>
      <c r="M5519" s="89"/>
      <c r="Q5519" s="105"/>
    </row>
    <row r="5520" spans="3:17" x14ac:dyDescent="0.3">
      <c r="C5520" s="87"/>
      <c r="H5520" s="86" t="e">
        <f>IF(I5520="fora",0%,G5520/QUÓRUM!$C$6)</f>
        <v>#DIV/0!</v>
      </c>
      <c r="I5520" s="87"/>
      <c r="J5520" s="88"/>
      <c r="K5520" s="88"/>
      <c r="L5520" s="89"/>
      <c r="M5520" s="89"/>
      <c r="Q5520" s="105"/>
    </row>
    <row r="5521" spans="3:17" x14ac:dyDescent="0.3">
      <c r="C5521" s="87"/>
      <c r="H5521" s="86" t="e">
        <f>IF(I5521="fora",0%,G5521/QUÓRUM!$C$6)</f>
        <v>#DIV/0!</v>
      </c>
      <c r="I5521" s="87"/>
      <c r="J5521" s="88"/>
      <c r="K5521" s="88"/>
      <c r="L5521" s="89"/>
      <c r="M5521" s="89"/>
      <c r="Q5521" s="105"/>
    </row>
    <row r="5522" spans="3:17" x14ac:dyDescent="0.3">
      <c r="C5522" s="87"/>
      <c r="H5522" s="86" t="e">
        <f>IF(I5522="fora",0%,G5522/QUÓRUM!$C$6)</f>
        <v>#DIV/0!</v>
      </c>
      <c r="I5522" s="87"/>
      <c r="J5522" s="88"/>
      <c r="K5522" s="88"/>
      <c r="L5522" s="89"/>
      <c r="M5522" s="89"/>
      <c r="Q5522" s="105"/>
    </row>
    <row r="5523" spans="3:17" x14ac:dyDescent="0.3">
      <c r="C5523" s="87"/>
      <c r="H5523" s="86" t="e">
        <f>IF(I5523="fora",0%,G5523/QUÓRUM!$C$6)</f>
        <v>#DIV/0!</v>
      </c>
      <c r="I5523" s="87"/>
      <c r="J5523" s="88"/>
      <c r="K5523" s="88"/>
      <c r="L5523" s="89"/>
      <c r="M5523" s="89"/>
      <c r="Q5523" s="105"/>
    </row>
    <row r="5524" spans="3:17" x14ac:dyDescent="0.3">
      <c r="C5524" s="87"/>
      <c r="H5524" s="86" t="e">
        <f>IF(I5524="fora",0%,G5524/QUÓRUM!$C$6)</f>
        <v>#DIV/0!</v>
      </c>
      <c r="I5524" s="87"/>
      <c r="J5524" s="88"/>
      <c r="K5524" s="88"/>
      <c r="L5524" s="89"/>
      <c r="M5524" s="89"/>
      <c r="Q5524" s="105"/>
    </row>
    <row r="5525" spans="3:17" x14ac:dyDescent="0.3">
      <c r="C5525" s="87"/>
      <c r="H5525" s="86" t="e">
        <f>IF(I5525="fora",0%,G5525/QUÓRUM!$C$6)</f>
        <v>#DIV/0!</v>
      </c>
      <c r="I5525" s="87"/>
      <c r="J5525" s="88"/>
      <c r="K5525" s="88"/>
      <c r="L5525" s="89"/>
      <c r="M5525" s="89"/>
      <c r="Q5525" s="105"/>
    </row>
    <row r="5526" spans="3:17" x14ac:dyDescent="0.3">
      <c r="C5526" s="87"/>
      <c r="H5526" s="86" t="e">
        <f>IF(I5526="fora",0%,G5526/QUÓRUM!$C$6)</f>
        <v>#DIV/0!</v>
      </c>
      <c r="I5526" s="87"/>
      <c r="J5526" s="88"/>
      <c r="K5526" s="88"/>
      <c r="L5526" s="89"/>
      <c r="M5526" s="89"/>
      <c r="Q5526" s="105"/>
    </row>
    <row r="5527" spans="3:17" x14ac:dyDescent="0.3">
      <c r="C5527" s="87"/>
      <c r="H5527" s="86" t="e">
        <f>IF(I5527="fora",0%,G5527/QUÓRUM!$C$6)</f>
        <v>#DIV/0!</v>
      </c>
      <c r="I5527" s="87"/>
      <c r="J5527" s="88"/>
      <c r="K5527" s="88"/>
      <c r="L5527" s="89"/>
      <c r="M5527" s="89"/>
      <c r="Q5527" s="105"/>
    </row>
    <row r="5528" spans="3:17" x14ac:dyDescent="0.3">
      <c r="C5528" s="87"/>
      <c r="H5528" s="86" t="e">
        <f>IF(I5528="fora",0%,G5528/QUÓRUM!$C$6)</f>
        <v>#DIV/0!</v>
      </c>
      <c r="I5528" s="87"/>
      <c r="J5528" s="88"/>
      <c r="K5528" s="88"/>
      <c r="L5528" s="89"/>
      <c r="M5528" s="89"/>
      <c r="Q5528" s="105"/>
    </row>
    <row r="5529" spans="3:17" x14ac:dyDescent="0.3">
      <c r="C5529" s="87"/>
      <c r="H5529" s="86" t="e">
        <f>IF(I5529="fora",0%,G5529/QUÓRUM!$C$6)</f>
        <v>#DIV/0!</v>
      </c>
      <c r="I5529" s="87"/>
      <c r="J5529" s="88"/>
      <c r="K5529" s="88"/>
      <c r="L5529" s="89"/>
      <c r="M5529" s="89"/>
      <c r="Q5529" s="105"/>
    </row>
    <row r="5530" spans="3:17" x14ac:dyDescent="0.3">
      <c r="C5530" s="87"/>
      <c r="H5530" s="86" t="e">
        <f>IF(I5530="fora",0%,G5530/QUÓRUM!$C$6)</f>
        <v>#DIV/0!</v>
      </c>
      <c r="I5530" s="87"/>
      <c r="J5530" s="88"/>
      <c r="K5530" s="88"/>
      <c r="L5530" s="89"/>
      <c r="M5530" s="89"/>
      <c r="Q5530" s="105"/>
    </row>
    <row r="5531" spans="3:17" x14ac:dyDescent="0.3">
      <c r="C5531" s="87"/>
      <c r="H5531" s="86" t="e">
        <f>IF(I5531="fora",0%,G5531/QUÓRUM!$C$6)</f>
        <v>#DIV/0!</v>
      </c>
      <c r="I5531" s="87"/>
      <c r="J5531" s="88"/>
      <c r="K5531" s="88"/>
      <c r="L5531" s="89"/>
      <c r="M5531" s="89"/>
      <c r="Q5531" s="105"/>
    </row>
    <row r="5532" spans="3:17" x14ac:dyDescent="0.3">
      <c r="C5532" s="87"/>
      <c r="H5532" s="86" t="e">
        <f>IF(I5532="fora",0%,G5532/QUÓRUM!$C$6)</f>
        <v>#DIV/0!</v>
      </c>
      <c r="I5532" s="87"/>
      <c r="J5532" s="88"/>
      <c r="K5532" s="88"/>
      <c r="L5532" s="89"/>
      <c r="M5532" s="89"/>
      <c r="Q5532" s="105"/>
    </row>
    <row r="5533" spans="3:17" x14ac:dyDescent="0.3">
      <c r="C5533" s="87"/>
      <c r="H5533" s="86" t="e">
        <f>IF(I5533="fora",0%,G5533/QUÓRUM!$C$6)</f>
        <v>#DIV/0!</v>
      </c>
      <c r="I5533" s="87"/>
      <c r="J5533" s="88"/>
      <c r="K5533" s="88"/>
      <c r="L5533" s="89"/>
      <c r="M5533" s="89"/>
      <c r="Q5533" s="105"/>
    </row>
    <row r="5534" spans="3:17" x14ac:dyDescent="0.3">
      <c r="C5534" s="87"/>
      <c r="H5534" s="86" t="e">
        <f>IF(I5534="fora",0%,G5534/QUÓRUM!$C$6)</f>
        <v>#DIV/0!</v>
      </c>
      <c r="I5534" s="87"/>
      <c r="J5534" s="88"/>
      <c r="K5534" s="88"/>
      <c r="L5534" s="89"/>
      <c r="M5534" s="89"/>
      <c r="Q5534" s="105"/>
    </row>
    <row r="5535" spans="3:17" x14ac:dyDescent="0.3">
      <c r="C5535" s="87"/>
      <c r="H5535" s="86" t="e">
        <f>IF(I5535="fora",0%,G5535/QUÓRUM!$C$6)</f>
        <v>#DIV/0!</v>
      </c>
      <c r="I5535" s="87"/>
      <c r="J5535" s="88"/>
      <c r="K5535" s="88"/>
      <c r="L5535" s="89"/>
      <c r="M5535" s="89"/>
      <c r="Q5535" s="105"/>
    </row>
    <row r="5536" spans="3:17" x14ac:dyDescent="0.3">
      <c r="C5536" s="87"/>
      <c r="H5536" s="86" t="e">
        <f>IF(I5536="fora",0%,G5536/QUÓRUM!$C$6)</f>
        <v>#DIV/0!</v>
      </c>
      <c r="I5536" s="87"/>
      <c r="J5536" s="88"/>
      <c r="K5536" s="88"/>
      <c r="L5536" s="89"/>
      <c r="M5536" s="89"/>
      <c r="Q5536" s="105"/>
    </row>
    <row r="5537" spans="3:17" x14ac:dyDescent="0.3">
      <c r="C5537" s="87"/>
      <c r="H5537" s="86" t="e">
        <f>IF(I5537="fora",0%,G5537/QUÓRUM!$C$6)</f>
        <v>#DIV/0!</v>
      </c>
      <c r="I5537" s="87"/>
      <c r="J5537" s="88"/>
      <c r="K5537" s="88"/>
      <c r="L5537" s="89"/>
      <c r="M5537" s="89"/>
      <c r="Q5537" s="105"/>
    </row>
    <row r="5538" spans="3:17" x14ac:dyDescent="0.3">
      <c r="C5538" s="87"/>
      <c r="H5538" s="86" t="e">
        <f>IF(I5538="fora",0%,G5538/QUÓRUM!$C$6)</f>
        <v>#DIV/0!</v>
      </c>
      <c r="I5538" s="87"/>
      <c r="J5538" s="88"/>
      <c r="K5538" s="88"/>
      <c r="L5538" s="89"/>
      <c r="M5538" s="89"/>
      <c r="Q5538" s="105"/>
    </row>
    <row r="5539" spans="3:17" x14ac:dyDescent="0.3">
      <c r="C5539" s="87"/>
      <c r="H5539" s="86" t="e">
        <f>IF(I5539="fora",0%,G5539/QUÓRUM!$C$6)</f>
        <v>#DIV/0!</v>
      </c>
      <c r="I5539" s="87"/>
      <c r="J5539" s="88"/>
      <c r="K5539" s="88"/>
      <c r="L5539" s="89"/>
      <c r="M5539" s="89"/>
      <c r="Q5539" s="105"/>
    </row>
    <row r="5540" spans="3:17" x14ac:dyDescent="0.3">
      <c r="C5540" s="87"/>
      <c r="H5540" s="86" t="e">
        <f>IF(I5540="fora",0%,G5540/QUÓRUM!$C$6)</f>
        <v>#DIV/0!</v>
      </c>
      <c r="I5540" s="87"/>
      <c r="J5540" s="88"/>
      <c r="K5540" s="88"/>
      <c r="L5540" s="89"/>
      <c r="M5540" s="89"/>
      <c r="Q5540" s="105"/>
    </row>
    <row r="5541" spans="3:17" x14ac:dyDescent="0.3">
      <c r="C5541" s="87"/>
      <c r="H5541" s="86" t="e">
        <f>IF(I5541="fora",0%,G5541/QUÓRUM!$C$6)</f>
        <v>#DIV/0!</v>
      </c>
      <c r="I5541" s="87"/>
      <c r="J5541" s="88"/>
      <c r="K5541" s="88"/>
      <c r="L5541" s="89"/>
      <c r="M5541" s="89"/>
      <c r="Q5541" s="105"/>
    </row>
    <row r="5542" spans="3:17" x14ac:dyDescent="0.3">
      <c r="C5542" s="87"/>
      <c r="H5542" s="86" t="e">
        <f>IF(I5542="fora",0%,G5542/QUÓRUM!$C$6)</f>
        <v>#DIV/0!</v>
      </c>
      <c r="I5542" s="87"/>
      <c r="J5542" s="88"/>
      <c r="K5542" s="88"/>
      <c r="L5542" s="89"/>
      <c r="M5542" s="89"/>
      <c r="Q5542" s="105"/>
    </row>
    <row r="5543" spans="3:17" x14ac:dyDescent="0.3">
      <c r="C5543" s="87"/>
      <c r="H5543" s="86" t="e">
        <f>IF(I5543="fora",0%,G5543/QUÓRUM!$C$6)</f>
        <v>#DIV/0!</v>
      </c>
      <c r="I5543" s="87"/>
      <c r="J5543" s="88"/>
      <c r="K5543" s="88"/>
      <c r="L5543" s="89"/>
      <c r="M5543" s="89"/>
      <c r="Q5543" s="105"/>
    </row>
    <row r="5544" spans="3:17" x14ac:dyDescent="0.3">
      <c r="C5544" s="87"/>
      <c r="H5544" s="86" t="e">
        <f>IF(I5544="fora",0%,G5544/QUÓRUM!$C$6)</f>
        <v>#DIV/0!</v>
      </c>
      <c r="I5544" s="87"/>
      <c r="J5544" s="88"/>
      <c r="K5544" s="88"/>
      <c r="L5544" s="89"/>
      <c r="M5544" s="89"/>
      <c r="Q5544" s="105"/>
    </row>
    <row r="5545" spans="3:17" x14ac:dyDescent="0.3">
      <c r="C5545" s="87"/>
      <c r="H5545" s="86" t="e">
        <f>IF(I5545="fora",0%,G5545/QUÓRUM!$C$6)</f>
        <v>#DIV/0!</v>
      </c>
      <c r="I5545" s="87"/>
      <c r="J5545" s="88"/>
      <c r="K5545" s="88"/>
      <c r="L5545" s="89"/>
      <c r="M5545" s="89"/>
      <c r="Q5545" s="105"/>
    </row>
    <row r="5546" spans="3:17" x14ac:dyDescent="0.3">
      <c r="C5546" s="87"/>
      <c r="H5546" s="86" t="e">
        <f>IF(I5546="fora",0%,G5546/QUÓRUM!$C$6)</f>
        <v>#DIV/0!</v>
      </c>
      <c r="I5546" s="87"/>
      <c r="J5546" s="88"/>
      <c r="K5546" s="88"/>
      <c r="L5546" s="89"/>
      <c r="M5546" s="89"/>
      <c r="Q5546" s="105"/>
    </row>
    <row r="5547" spans="3:17" x14ac:dyDescent="0.3">
      <c r="C5547" s="87"/>
      <c r="H5547" s="86" t="e">
        <f>IF(I5547="fora",0%,G5547/QUÓRUM!$C$6)</f>
        <v>#DIV/0!</v>
      </c>
      <c r="I5547" s="87"/>
      <c r="J5547" s="88"/>
      <c r="K5547" s="88"/>
      <c r="L5547" s="89"/>
      <c r="M5547" s="89"/>
      <c r="Q5547" s="105"/>
    </row>
    <row r="5548" spans="3:17" x14ac:dyDescent="0.3">
      <c r="C5548" s="87"/>
      <c r="H5548" s="86" t="e">
        <f>IF(I5548="fora",0%,G5548/QUÓRUM!$C$6)</f>
        <v>#DIV/0!</v>
      </c>
      <c r="I5548" s="87"/>
      <c r="J5548" s="88"/>
      <c r="K5548" s="88"/>
      <c r="L5548" s="89"/>
      <c r="M5548" s="89"/>
      <c r="Q5548" s="105"/>
    </row>
    <row r="5549" spans="3:17" x14ac:dyDescent="0.3">
      <c r="C5549" s="87"/>
      <c r="H5549" s="86" t="e">
        <f>IF(I5549="fora",0%,G5549/QUÓRUM!$C$6)</f>
        <v>#DIV/0!</v>
      </c>
      <c r="I5549" s="87"/>
      <c r="J5549" s="88"/>
      <c r="K5549" s="88"/>
      <c r="L5549" s="89"/>
      <c r="M5549" s="89"/>
      <c r="Q5549" s="105"/>
    </row>
    <row r="5550" spans="3:17" x14ac:dyDescent="0.3">
      <c r="C5550" s="87"/>
      <c r="H5550" s="86" t="e">
        <f>IF(I5550="fora",0%,G5550/QUÓRUM!$C$6)</f>
        <v>#DIV/0!</v>
      </c>
      <c r="I5550" s="87"/>
      <c r="J5550" s="88"/>
      <c r="K5550" s="88"/>
      <c r="L5550" s="89"/>
      <c r="M5550" s="89"/>
      <c r="Q5550" s="105"/>
    </row>
    <row r="5551" spans="3:17" x14ac:dyDescent="0.3">
      <c r="C5551" s="87"/>
      <c r="H5551" s="86" t="e">
        <f>IF(I5551="fora",0%,G5551/QUÓRUM!$C$6)</f>
        <v>#DIV/0!</v>
      </c>
      <c r="I5551" s="87"/>
      <c r="J5551" s="88"/>
      <c r="K5551" s="88"/>
      <c r="L5551" s="89"/>
      <c r="M5551" s="89"/>
      <c r="Q5551" s="105"/>
    </row>
    <row r="5552" spans="3:17" x14ac:dyDescent="0.3">
      <c r="C5552" s="87"/>
      <c r="H5552" s="86" t="e">
        <f>IF(I5552="fora",0%,G5552/QUÓRUM!$C$6)</f>
        <v>#DIV/0!</v>
      </c>
      <c r="I5552" s="87"/>
      <c r="J5552" s="88"/>
      <c r="K5552" s="88"/>
      <c r="L5552" s="89"/>
      <c r="M5552" s="89"/>
      <c r="Q5552" s="105"/>
    </row>
    <row r="5553" spans="3:17" x14ac:dyDescent="0.3">
      <c r="C5553" s="87"/>
      <c r="H5553" s="86" t="e">
        <f>IF(I5553="fora",0%,G5553/QUÓRUM!$C$6)</f>
        <v>#DIV/0!</v>
      </c>
      <c r="I5553" s="87"/>
      <c r="J5553" s="88"/>
      <c r="K5553" s="88"/>
      <c r="L5553" s="89"/>
      <c r="M5553" s="89"/>
      <c r="Q5553" s="105"/>
    </row>
    <row r="5554" spans="3:17" x14ac:dyDescent="0.3">
      <c r="C5554" s="87"/>
      <c r="H5554" s="86" t="e">
        <f>IF(I5554="fora",0%,G5554/QUÓRUM!$C$6)</f>
        <v>#DIV/0!</v>
      </c>
      <c r="I5554" s="87"/>
      <c r="J5554" s="88"/>
      <c r="K5554" s="88"/>
      <c r="L5554" s="89"/>
      <c r="M5554" s="89"/>
      <c r="Q5554" s="105"/>
    </row>
    <row r="5555" spans="3:17" x14ac:dyDescent="0.3">
      <c r="C5555" s="87"/>
      <c r="H5555" s="86" t="e">
        <f>IF(I5555="fora",0%,G5555/QUÓRUM!$C$6)</f>
        <v>#DIV/0!</v>
      </c>
      <c r="I5555" s="87"/>
      <c r="J5555" s="88"/>
      <c r="K5555" s="88"/>
      <c r="L5555" s="89"/>
      <c r="M5555" s="89"/>
      <c r="Q5555" s="105"/>
    </row>
    <row r="5556" spans="3:17" x14ac:dyDescent="0.3">
      <c r="C5556" s="87"/>
      <c r="H5556" s="86" t="e">
        <f>IF(I5556="fora",0%,G5556/QUÓRUM!$C$6)</f>
        <v>#DIV/0!</v>
      </c>
      <c r="I5556" s="87"/>
      <c r="J5556" s="88"/>
      <c r="K5556" s="88"/>
      <c r="L5556" s="89"/>
      <c r="M5556" s="89"/>
      <c r="Q5556" s="105"/>
    </row>
    <row r="5557" spans="3:17" x14ac:dyDescent="0.3">
      <c r="C5557" s="87"/>
      <c r="H5557" s="86" t="e">
        <f>IF(I5557="fora",0%,G5557/QUÓRUM!$C$6)</f>
        <v>#DIV/0!</v>
      </c>
      <c r="I5557" s="87"/>
      <c r="J5557" s="88"/>
      <c r="K5557" s="88"/>
      <c r="L5557" s="89"/>
      <c r="M5557" s="89"/>
      <c r="Q5557" s="105"/>
    </row>
    <row r="5558" spans="3:17" x14ac:dyDescent="0.3">
      <c r="C5558" s="87"/>
      <c r="H5558" s="86" t="e">
        <f>IF(I5558="fora",0%,G5558/QUÓRUM!$C$6)</f>
        <v>#DIV/0!</v>
      </c>
      <c r="I5558" s="87"/>
      <c r="J5558" s="88"/>
      <c r="K5558" s="88"/>
      <c r="L5558" s="89"/>
      <c r="M5558" s="89"/>
      <c r="Q5558" s="105"/>
    </row>
    <row r="5559" spans="3:17" x14ac:dyDescent="0.3">
      <c r="C5559" s="87"/>
      <c r="H5559" s="86" t="e">
        <f>IF(I5559="fora",0%,G5559/QUÓRUM!$C$6)</f>
        <v>#DIV/0!</v>
      </c>
      <c r="I5559" s="87"/>
      <c r="J5559" s="88"/>
      <c r="K5559" s="88"/>
      <c r="L5559" s="89"/>
      <c r="M5559" s="89"/>
      <c r="Q5559" s="105"/>
    </row>
    <row r="5560" spans="3:17" x14ac:dyDescent="0.3">
      <c r="C5560" s="87"/>
      <c r="H5560" s="86" t="e">
        <f>IF(I5560="fora",0%,G5560/QUÓRUM!$C$6)</f>
        <v>#DIV/0!</v>
      </c>
      <c r="I5560" s="87"/>
      <c r="J5560" s="88"/>
      <c r="K5560" s="88"/>
      <c r="L5560" s="89"/>
      <c r="M5560" s="89"/>
      <c r="Q5560" s="105"/>
    </row>
    <row r="5561" spans="3:17" x14ac:dyDescent="0.3">
      <c r="C5561" s="87"/>
      <c r="H5561" s="86" t="e">
        <f>IF(I5561="fora",0%,G5561/QUÓRUM!$C$6)</f>
        <v>#DIV/0!</v>
      </c>
      <c r="I5561" s="87"/>
      <c r="J5561" s="88"/>
      <c r="K5561" s="88"/>
      <c r="L5561" s="89"/>
      <c r="M5561" s="89"/>
      <c r="Q5561" s="105"/>
    </row>
    <row r="5562" spans="3:17" x14ac:dyDescent="0.3">
      <c r="C5562" s="87"/>
      <c r="H5562" s="86" t="e">
        <f>IF(I5562="fora",0%,G5562/QUÓRUM!$C$6)</f>
        <v>#DIV/0!</v>
      </c>
      <c r="I5562" s="87"/>
      <c r="J5562" s="88"/>
      <c r="K5562" s="88"/>
      <c r="L5562" s="89"/>
      <c r="M5562" s="89"/>
      <c r="Q5562" s="105"/>
    </row>
    <row r="5563" spans="3:17" x14ac:dyDescent="0.3">
      <c r="C5563" s="87"/>
      <c r="H5563" s="86" t="e">
        <f>IF(I5563="fora",0%,G5563/QUÓRUM!$C$6)</f>
        <v>#DIV/0!</v>
      </c>
      <c r="I5563" s="87"/>
      <c r="J5563" s="88"/>
      <c r="K5563" s="88"/>
      <c r="L5563" s="89"/>
      <c r="M5563" s="89"/>
      <c r="Q5563" s="105"/>
    </row>
    <row r="5564" spans="3:17" x14ac:dyDescent="0.3">
      <c r="C5564" s="87"/>
      <c r="H5564" s="86" t="e">
        <f>IF(I5564="fora",0%,G5564/QUÓRUM!$C$6)</f>
        <v>#DIV/0!</v>
      </c>
      <c r="I5564" s="87"/>
      <c r="J5564" s="88"/>
      <c r="K5564" s="88"/>
      <c r="L5564" s="89"/>
      <c r="M5564" s="89"/>
      <c r="Q5564" s="105"/>
    </row>
    <row r="5565" spans="3:17" x14ac:dyDescent="0.3">
      <c r="C5565" s="87"/>
      <c r="H5565" s="86" t="e">
        <f>IF(I5565="fora",0%,G5565/QUÓRUM!$C$6)</f>
        <v>#DIV/0!</v>
      </c>
      <c r="I5565" s="87"/>
      <c r="J5565" s="88"/>
      <c r="K5565" s="88"/>
      <c r="L5565" s="89"/>
      <c r="M5565" s="89"/>
      <c r="Q5565" s="105"/>
    </row>
    <row r="5566" spans="3:17" x14ac:dyDescent="0.3">
      <c r="C5566" s="87"/>
      <c r="H5566" s="86" t="e">
        <f>IF(I5566="fora",0%,G5566/QUÓRUM!$C$6)</f>
        <v>#DIV/0!</v>
      </c>
      <c r="I5566" s="87"/>
      <c r="J5566" s="88"/>
      <c r="K5566" s="88"/>
      <c r="L5566" s="89"/>
      <c r="M5566" s="89"/>
      <c r="Q5566" s="105"/>
    </row>
    <row r="5567" spans="3:17" x14ac:dyDescent="0.3">
      <c r="C5567" s="87"/>
      <c r="H5567" s="86" t="e">
        <f>IF(I5567="fora",0%,G5567/QUÓRUM!$C$6)</f>
        <v>#DIV/0!</v>
      </c>
      <c r="I5567" s="87"/>
      <c r="J5567" s="88"/>
      <c r="K5567" s="88"/>
      <c r="L5567" s="89"/>
      <c r="M5567" s="89"/>
      <c r="Q5567" s="105"/>
    </row>
    <row r="5568" spans="3:17" x14ac:dyDescent="0.3">
      <c r="C5568" s="87"/>
      <c r="H5568" s="86" t="e">
        <f>IF(I5568="fora",0%,G5568/QUÓRUM!$C$6)</f>
        <v>#DIV/0!</v>
      </c>
      <c r="I5568" s="87"/>
      <c r="J5568" s="88"/>
      <c r="K5568" s="88"/>
      <c r="L5568" s="89"/>
      <c r="M5568" s="89"/>
      <c r="Q5568" s="105"/>
    </row>
    <row r="5569" spans="3:17" x14ac:dyDescent="0.3">
      <c r="C5569" s="87"/>
      <c r="H5569" s="86" t="e">
        <f>IF(I5569="fora",0%,G5569/QUÓRUM!$C$6)</f>
        <v>#DIV/0!</v>
      </c>
      <c r="I5569" s="87"/>
      <c r="J5569" s="88"/>
      <c r="K5569" s="88"/>
      <c r="L5569" s="89"/>
      <c r="M5569" s="89"/>
      <c r="Q5569" s="105"/>
    </row>
    <row r="5570" spans="3:17" x14ac:dyDescent="0.3">
      <c r="C5570" s="87"/>
      <c r="H5570" s="86" t="e">
        <f>IF(I5570="fora",0%,G5570/QUÓRUM!$C$6)</f>
        <v>#DIV/0!</v>
      </c>
      <c r="I5570" s="87"/>
      <c r="J5570" s="88"/>
      <c r="K5570" s="88"/>
      <c r="L5570" s="89"/>
      <c r="M5570" s="89"/>
      <c r="Q5570" s="105"/>
    </row>
    <row r="5571" spans="3:17" x14ac:dyDescent="0.3">
      <c r="C5571" s="87"/>
      <c r="H5571" s="86" t="e">
        <f>IF(I5571="fora",0%,G5571/QUÓRUM!$C$6)</f>
        <v>#DIV/0!</v>
      </c>
      <c r="I5571" s="87"/>
      <c r="J5571" s="88"/>
      <c r="K5571" s="88"/>
      <c r="L5571" s="89"/>
      <c r="M5571" s="89"/>
      <c r="Q5571" s="105"/>
    </row>
    <row r="5572" spans="3:17" x14ac:dyDescent="0.3">
      <c r="C5572" s="87"/>
      <c r="H5572" s="86" t="e">
        <f>IF(I5572="fora",0%,G5572/QUÓRUM!$C$6)</f>
        <v>#DIV/0!</v>
      </c>
      <c r="I5572" s="87"/>
      <c r="J5572" s="88"/>
      <c r="K5572" s="88"/>
      <c r="L5572" s="89"/>
      <c r="M5572" s="89"/>
      <c r="Q5572" s="105"/>
    </row>
    <row r="5573" spans="3:17" x14ac:dyDescent="0.3">
      <c r="C5573" s="87"/>
      <c r="H5573" s="86" t="e">
        <f>IF(I5573="fora",0%,G5573/QUÓRUM!$C$6)</f>
        <v>#DIV/0!</v>
      </c>
      <c r="I5573" s="87"/>
      <c r="J5573" s="88"/>
      <c r="K5573" s="88"/>
      <c r="L5573" s="89"/>
      <c r="M5573" s="89"/>
      <c r="Q5573" s="105"/>
    </row>
    <row r="5574" spans="3:17" x14ac:dyDescent="0.3">
      <c r="C5574" s="87"/>
      <c r="H5574" s="86" t="e">
        <f>IF(I5574="fora",0%,G5574/QUÓRUM!$C$6)</f>
        <v>#DIV/0!</v>
      </c>
      <c r="I5574" s="87"/>
      <c r="J5574" s="88"/>
      <c r="K5574" s="88"/>
      <c r="L5574" s="89"/>
      <c r="M5574" s="89"/>
      <c r="Q5574" s="105"/>
    </row>
    <row r="5575" spans="3:17" x14ac:dyDescent="0.3">
      <c r="C5575" s="87"/>
      <c r="H5575" s="86" t="e">
        <f>IF(I5575="fora",0%,G5575/QUÓRUM!$C$6)</f>
        <v>#DIV/0!</v>
      </c>
      <c r="I5575" s="87"/>
      <c r="J5575" s="88"/>
      <c r="K5575" s="88"/>
      <c r="L5575" s="89"/>
      <c r="M5575" s="89"/>
      <c r="Q5575" s="105"/>
    </row>
    <row r="5576" spans="3:17" x14ac:dyDescent="0.3">
      <c r="C5576" s="87"/>
      <c r="H5576" s="86" t="e">
        <f>IF(I5576="fora",0%,G5576/QUÓRUM!$C$6)</f>
        <v>#DIV/0!</v>
      </c>
      <c r="I5576" s="87"/>
      <c r="J5576" s="88"/>
      <c r="K5576" s="88"/>
      <c r="L5576" s="89"/>
      <c r="M5576" s="89"/>
      <c r="Q5576" s="105"/>
    </row>
    <row r="5577" spans="3:17" x14ac:dyDescent="0.3">
      <c r="C5577" s="87"/>
      <c r="H5577" s="86" t="e">
        <f>IF(I5577="fora",0%,G5577/QUÓRUM!$C$6)</f>
        <v>#DIV/0!</v>
      </c>
      <c r="I5577" s="87"/>
      <c r="J5577" s="88"/>
      <c r="K5577" s="88"/>
      <c r="L5577" s="89"/>
      <c r="M5577" s="89"/>
      <c r="Q5577" s="105"/>
    </row>
    <row r="5578" spans="3:17" x14ac:dyDescent="0.3">
      <c r="C5578" s="87"/>
      <c r="H5578" s="86" t="e">
        <f>IF(I5578="fora",0%,G5578/QUÓRUM!$C$6)</f>
        <v>#DIV/0!</v>
      </c>
      <c r="I5578" s="87"/>
      <c r="J5578" s="88"/>
      <c r="K5578" s="88"/>
      <c r="L5578" s="89"/>
      <c r="M5578" s="89"/>
      <c r="Q5578" s="105"/>
    </row>
    <row r="5579" spans="3:17" x14ac:dyDescent="0.3">
      <c r="C5579" s="87"/>
      <c r="H5579" s="86" t="e">
        <f>IF(I5579="fora",0%,G5579/QUÓRUM!$C$6)</f>
        <v>#DIV/0!</v>
      </c>
      <c r="I5579" s="87"/>
      <c r="J5579" s="88"/>
      <c r="K5579" s="88"/>
      <c r="L5579" s="89"/>
      <c r="M5579" s="89"/>
      <c r="Q5579" s="105"/>
    </row>
    <row r="5580" spans="3:17" x14ac:dyDescent="0.3">
      <c r="C5580" s="87"/>
      <c r="H5580" s="86" t="e">
        <f>IF(I5580="fora",0%,G5580/QUÓRUM!$C$6)</f>
        <v>#DIV/0!</v>
      </c>
      <c r="I5580" s="87"/>
      <c r="J5580" s="88"/>
      <c r="K5580" s="88"/>
      <c r="L5580" s="89"/>
      <c r="M5580" s="89"/>
      <c r="Q5580" s="105"/>
    </row>
    <row r="5581" spans="3:17" x14ac:dyDescent="0.3">
      <c r="C5581" s="87"/>
      <c r="H5581" s="86" t="e">
        <f>IF(I5581="fora",0%,G5581/QUÓRUM!$C$6)</f>
        <v>#DIV/0!</v>
      </c>
      <c r="I5581" s="87"/>
      <c r="J5581" s="88"/>
      <c r="K5581" s="88"/>
      <c r="L5581" s="89"/>
      <c r="M5581" s="89"/>
      <c r="Q5581" s="105"/>
    </row>
    <row r="5582" spans="3:17" x14ac:dyDescent="0.3">
      <c r="C5582" s="87"/>
      <c r="H5582" s="86" t="e">
        <f>IF(I5582="fora",0%,G5582/QUÓRUM!$C$6)</f>
        <v>#DIV/0!</v>
      </c>
      <c r="I5582" s="87"/>
      <c r="J5582" s="88"/>
      <c r="K5582" s="88"/>
      <c r="L5582" s="89"/>
      <c r="M5582" s="89"/>
      <c r="Q5582" s="105"/>
    </row>
    <row r="5583" spans="3:17" x14ac:dyDescent="0.3">
      <c r="C5583" s="87"/>
      <c r="H5583" s="86" t="e">
        <f>IF(I5583="fora",0%,G5583/QUÓRUM!$C$6)</f>
        <v>#DIV/0!</v>
      </c>
      <c r="I5583" s="87"/>
      <c r="J5583" s="88"/>
      <c r="K5583" s="88"/>
      <c r="L5583" s="89"/>
      <c r="M5583" s="89"/>
      <c r="Q5583" s="105"/>
    </row>
    <row r="5584" spans="3:17" x14ac:dyDescent="0.3">
      <c r="C5584" s="87"/>
      <c r="H5584" s="86" t="e">
        <f>IF(I5584="fora",0%,G5584/QUÓRUM!$C$6)</f>
        <v>#DIV/0!</v>
      </c>
      <c r="I5584" s="87"/>
      <c r="J5584" s="88"/>
      <c r="K5584" s="88"/>
      <c r="L5584" s="89"/>
      <c r="M5584" s="89"/>
      <c r="Q5584" s="105"/>
    </row>
    <row r="5585" spans="3:17" x14ac:dyDescent="0.3">
      <c r="C5585" s="87"/>
      <c r="H5585" s="86" t="e">
        <f>IF(I5585="fora",0%,G5585/QUÓRUM!$C$6)</f>
        <v>#DIV/0!</v>
      </c>
      <c r="I5585" s="87"/>
      <c r="J5585" s="88"/>
      <c r="K5585" s="88"/>
      <c r="L5585" s="89"/>
      <c r="M5585" s="89"/>
      <c r="Q5585" s="105"/>
    </row>
    <row r="5586" spans="3:17" x14ac:dyDescent="0.3">
      <c r="C5586" s="87"/>
      <c r="H5586" s="86" t="e">
        <f>IF(I5586="fora",0%,G5586/QUÓRUM!$C$6)</f>
        <v>#DIV/0!</v>
      </c>
      <c r="I5586" s="87"/>
      <c r="J5586" s="88"/>
      <c r="K5586" s="88"/>
      <c r="L5586" s="89"/>
      <c r="M5586" s="89"/>
      <c r="Q5586" s="105"/>
    </row>
    <row r="5587" spans="3:17" x14ac:dyDescent="0.3">
      <c r="C5587" s="87"/>
      <c r="H5587" s="86" t="e">
        <f>IF(I5587="fora",0%,G5587/QUÓRUM!$C$6)</f>
        <v>#DIV/0!</v>
      </c>
      <c r="I5587" s="87"/>
      <c r="J5587" s="88"/>
      <c r="K5587" s="88"/>
      <c r="L5587" s="89"/>
      <c r="M5587" s="89"/>
      <c r="Q5587" s="105"/>
    </row>
    <row r="5588" spans="3:17" x14ac:dyDescent="0.3">
      <c r="C5588" s="87"/>
      <c r="H5588" s="86" t="e">
        <f>IF(I5588="fora",0%,G5588/QUÓRUM!$C$6)</f>
        <v>#DIV/0!</v>
      </c>
      <c r="I5588" s="87"/>
      <c r="J5588" s="88"/>
      <c r="K5588" s="88"/>
      <c r="L5588" s="89"/>
      <c r="M5588" s="89"/>
      <c r="Q5588" s="105"/>
    </row>
    <row r="5589" spans="3:17" x14ac:dyDescent="0.3">
      <c r="C5589" s="87"/>
      <c r="H5589" s="86" t="e">
        <f>IF(I5589="fora",0%,G5589/QUÓRUM!$C$6)</f>
        <v>#DIV/0!</v>
      </c>
      <c r="I5589" s="87"/>
      <c r="J5589" s="88"/>
      <c r="K5589" s="88"/>
      <c r="L5589" s="89"/>
      <c r="M5589" s="89"/>
      <c r="Q5589" s="105"/>
    </row>
    <row r="5590" spans="3:17" x14ac:dyDescent="0.3">
      <c r="C5590" s="87"/>
      <c r="H5590" s="86" t="e">
        <f>IF(I5590="fora",0%,G5590/QUÓRUM!$C$6)</f>
        <v>#DIV/0!</v>
      </c>
      <c r="I5590" s="87"/>
      <c r="J5590" s="88"/>
      <c r="K5590" s="88"/>
      <c r="L5590" s="89"/>
      <c r="M5590" s="89"/>
      <c r="Q5590" s="105"/>
    </row>
    <row r="5591" spans="3:17" x14ac:dyDescent="0.3">
      <c r="C5591" s="87"/>
      <c r="H5591" s="86" t="e">
        <f>IF(I5591="fora",0%,G5591/QUÓRUM!$C$6)</f>
        <v>#DIV/0!</v>
      </c>
      <c r="I5591" s="87"/>
      <c r="J5591" s="88"/>
      <c r="K5591" s="88"/>
      <c r="L5591" s="89"/>
      <c r="M5591" s="89"/>
      <c r="Q5591" s="105"/>
    </row>
    <row r="5592" spans="3:17" x14ac:dyDescent="0.3">
      <c r="C5592" s="87"/>
      <c r="H5592" s="86" t="e">
        <f>IF(I5592="fora",0%,G5592/QUÓRUM!$C$6)</f>
        <v>#DIV/0!</v>
      </c>
      <c r="I5592" s="87"/>
      <c r="J5592" s="88"/>
      <c r="K5592" s="88"/>
      <c r="L5592" s="89"/>
      <c r="M5592" s="89"/>
      <c r="Q5592" s="105"/>
    </row>
    <row r="5593" spans="3:17" x14ac:dyDescent="0.3">
      <c r="C5593" s="87"/>
      <c r="H5593" s="86" t="e">
        <f>IF(I5593="fora",0%,G5593/QUÓRUM!$C$6)</f>
        <v>#DIV/0!</v>
      </c>
      <c r="I5593" s="87"/>
      <c r="J5593" s="88"/>
      <c r="K5593" s="88"/>
      <c r="L5593" s="89"/>
      <c r="M5593" s="89"/>
      <c r="Q5593" s="105"/>
    </row>
    <row r="5594" spans="3:17" x14ac:dyDescent="0.3">
      <c r="C5594" s="87"/>
      <c r="H5594" s="86" t="e">
        <f>IF(I5594="fora",0%,G5594/QUÓRUM!$C$6)</f>
        <v>#DIV/0!</v>
      </c>
      <c r="I5594" s="87"/>
      <c r="J5594" s="88"/>
      <c r="K5594" s="88"/>
      <c r="L5594" s="89"/>
      <c r="M5594" s="89"/>
      <c r="Q5594" s="105"/>
    </row>
    <row r="5595" spans="3:17" x14ac:dyDescent="0.3">
      <c r="C5595" s="87"/>
      <c r="H5595" s="86" t="e">
        <f>IF(I5595="fora",0%,G5595/QUÓRUM!$C$6)</f>
        <v>#DIV/0!</v>
      </c>
      <c r="I5595" s="87"/>
      <c r="J5595" s="88"/>
      <c r="K5595" s="88"/>
      <c r="L5595" s="89"/>
      <c r="M5595" s="89"/>
      <c r="Q5595" s="105"/>
    </row>
    <row r="5596" spans="3:17" x14ac:dyDescent="0.3">
      <c r="C5596" s="87"/>
      <c r="H5596" s="86" t="e">
        <f>IF(I5596="fora",0%,G5596/QUÓRUM!$C$6)</f>
        <v>#DIV/0!</v>
      </c>
      <c r="I5596" s="87"/>
      <c r="J5596" s="88"/>
      <c r="K5596" s="88"/>
      <c r="L5596" s="89"/>
      <c r="M5596" s="89"/>
      <c r="Q5596" s="105"/>
    </row>
    <row r="5597" spans="3:17" x14ac:dyDescent="0.3">
      <c r="C5597" s="87"/>
      <c r="H5597" s="86" t="e">
        <f>IF(I5597="fora",0%,G5597/QUÓRUM!$C$6)</f>
        <v>#DIV/0!</v>
      </c>
      <c r="I5597" s="87"/>
      <c r="J5597" s="88"/>
      <c r="K5597" s="88"/>
      <c r="L5597" s="89"/>
      <c r="M5597" s="89"/>
      <c r="Q5597" s="105"/>
    </row>
    <row r="5598" spans="3:17" x14ac:dyDescent="0.3">
      <c r="C5598" s="87"/>
      <c r="H5598" s="86" t="e">
        <f>IF(I5598="fora",0%,G5598/QUÓRUM!$C$6)</f>
        <v>#DIV/0!</v>
      </c>
      <c r="I5598" s="87"/>
      <c r="J5598" s="88"/>
      <c r="K5598" s="88"/>
      <c r="L5598" s="89"/>
      <c r="M5598" s="89"/>
      <c r="Q5598" s="105"/>
    </row>
    <row r="5599" spans="3:17" x14ac:dyDescent="0.3">
      <c r="C5599" s="87"/>
      <c r="H5599" s="86" t="e">
        <f>IF(I5599="fora",0%,G5599/QUÓRUM!$C$6)</f>
        <v>#DIV/0!</v>
      </c>
      <c r="I5599" s="87"/>
      <c r="J5599" s="88"/>
      <c r="K5599" s="88"/>
      <c r="L5599" s="89"/>
      <c r="M5599" s="89"/>
      <c r="Q5599" s="105"/>
    </row>
    <row r="5600" spans="3:17" x14ac:dyDescent="0.3">
      <c r="C5600" s="87"/>
      <c r="H5600" s="86" t="e">
        <f>IF(I5600="fora",0%,G5600/QUÓRUM!$C$6)</f>
        <v>#DIV/0!</v>
      </c>
      <c r="I5600" s="87"/>
      <c r="J5600" s="88"/>
      <c r="K5600" s="88"/>
      <c r="L5600" s="89"/>
      <c r="M5600" s="89"/>
      <c r="Q5600" s="105"/>
    </row>
    <row r="5601" spans="3:17" x14ac:dyDescent="0.3">
      <c r="C5601" s="87"/>
      <c r="H5601" s="86" t="e">
        <f>IF(I5601="fora",0%,G5601/QUÓRUM!$C$6)</f>
        <v>#DIV/0!</v>
      </c>
      <c r="I5601" s="87"/>
      <c r="J5601" s="88"/>
      <c r="K5601" s="88"/>
      <c r="L5601" s="89"/>
      <c r="M5601" s="89"/>
      <c r="Q5601" s="105"/>
    </row>
    <row r="5602" spans="3:17" x14ac:dyDescent="0.3">
      <c r="C5602" s="87"/>
      <c r="H5602" s="86" t="e">
        <f>IF(I5602="fora",0%,G5602/QUÓRUM!$C$6)</f>
        <v>#DIV/0!</v>
      </c>
      <c r="I5602" s="87"/>
      <c r="J5602" s="88"/>
      <c r="K5602" s="88"/>
      <c r="L5602" s="89"/>
      <c r="M5602" s="89"/>
      <c r="Q5602" s="105"/>
    </row>
    <row r="5603" spans="3:17" x14ac:dyDescent="0.3">
      <c r="C5603" s="87"/>
      <c r="H5603" s="86" t="e">
        <f>IF(I5603="fora",0%,G5603/QUÓRUM!$C$6)</f>
        <v>#DIV/0!</v>
      </c>
      <c r="I5603" s="87"/>
      <c r="J5603" s="88"/>
      <c r="K5603" s="88"/>
      <c r="L5603" s="89"/>
      <c r="M5603" s="89"/>
      <c r="Q5603" s="105"/>
    </row>
    <row r="5604" spans="3:17" x14ac:dyDescent="0.3">
      <c r="C5604" s="87"/>
      <c r="H5604" s="86" t="e">
        <f>IF(I5604="fora",0%,G5604/QUÓRUM!$C$6)</f>
        <v>#DIV/0!</v>
      </c>
      <c r="I5604" s="87"/>
      <c r="J5604" s="88"/>
      <c r="K5604" s="88"/>
      <c r="L5604" s="89"/>
      <c r="M5604" s="89"/>
      <c r="Q5604" s="105"/>
    </row>
    <row r="5605" spans="3:17" x14ac:dyDescent="0.3">
      <c r="C5605" s="87"/>
      <c r="H5605" s="86" t="e">
        <f>IF(I5605="fora",0%,G5605/QUÓRUM!$C$6)</f>
        <v>#DIV/0!</v>
      </c>
      <c r="I5605" s="87"/>
      <c r="J5605" s="88"/>
      <c r="K5605" s="88"/>
      <c r="L5605" s="89"/>
      <c r="M5605" s="89"/>
      <c r="Q5605" s="105"/>
    </row>
    <row r="5606" spans="3:17" x14ac:dyDescent="0.3">
      <c r="C5606" s="87"/>
      <c r="H5606" s="86" t="e">
        <f>IF(I5606="fora",0%,G5606/QUÓRUM!$C$6)</f>
        <v>#DIV/0!</v>
      </c>
      <c r="I5606" s="87"/>
      <c r="J5606" s="88"/>
      <c r="K5606" s="88"/>
      <c r="L5606" s="89"/>
      <c r="M5606" s="89"/>
      <c r="Q5606" s="105"/>
    </row>
    <row r="5607" spans="3:17" x14ac:dyDescent="0.3">
      <c r="C5607" s="87"/>
      <c r="H5607" s="86" t="e">
        <f>IF(I5607="fora",0%,G5607/QUÓRUM!$C$6)</f>
        <v>#DIV/0!</v>
      </c>
      <c r="I5607" s="87"/>
      <c r="J5607" s="88"/>
      <c r="K5607" s="88"/>
      <c r="L5607" s="89"/>
      <c r="M5607" s="89"/>
      <c r="Q5607" s="105"/>
    </row>
    <row r="5608" spans="3:17" x14ac:dyDescent="0.3">
      <c r="C5608" s="87"/>
      <c r="H5608" s="86" t="e">
        <f>IF(I5608="fora",0%,G5608/QUÓRUM!$C$6)</f>
        <v>#DIV/0!</v>
      </c>
      <c r="I5608" s="87"/>
      <c r="J5608" s="88"/>
      <c r="K5608" s="88"/>
      <c r="L5608" s="89"/>
      <c r="M5608" s="89"/>
      <c r="Q5608" s="105"/>
    </row>
    <row r="5609" spans="3:17" x14ac:dyDescent="0.3">
      <c r="C5609" s="87"/>
      <c r="H5609" s="86" t="e">
        <f>IF(I5609="fora",0%,G5609/QUÓRUM!$C$6)</f>
        <v>#DIV/0!</v>
      </c>
      <c r="I5609" s="87"/>
      <c r="J5609" s="88"/>
      <c r="K5609" s="88"/>
      <c r="L5609" s="89"/>
      <c r="M5609" s="89"/>
      <c r="Q5609" s="105"/>
    </row>
    <row r="5610" spans="3:17" x14ac:dyDescent="0.3">
      <c r="C5610" s="87"/>
      <c r="H5610" s="86" t="e">
        <f>IF(I5610="fora",0%,G5610/QUÓRUM!$C$6)</f>
        <v>#DIV/0!</v>
      </c>
      <c r="I5610" s="87"/>
      <c r="J5610" s="88"/>
      <c r="K5610" s="88"/>
      <c r="L5610" s="89"/>
      <c r="M5610" s="89"/>
      <c r="Q5610" s="105"/>
    </row>
    <row r="5611" spans="3:17" x14ac:dyDescent="0.3">
      <c r="C5611" s="87"/>
      <c r="H5611" s="86" t="e">
        <f>IF(I5611="fora",0%,G5611/QUÓRUM!$C$6)</f>
        <v>#DIV/0!</v>
      </c>
      <c r="I5611" s="87"/>
      <c r="J5611" s="88"/>
      <c r="K5611" s="88"/>
      <c r="L5611" s="89"/>
      <c r="M5611" s="89"/>
      <c r="Q5611" s="105"/>
    </row>
    <row r="5612" spans="3:17" x14ac:dyDescent="0.3">
      <c r="C5612" s="87"/>
      <c r="H5612" s="86" t="e">
        <f>IF(I5612="fora",0%,G5612/QUÓRUM!$C$6)</f>
        <v>#DIV/0!</v>
      </c>
      <c r="I5612" s="87"/>
      <c r="J5612" s="88"/>
      <c r="K5612" s="88"/>
      <c r="L5612" s="89"/>
      <c r="M5612" s="89"/>
      <c r="Q5612" s="105"/>
    </row>
    <row r="5613" spans="3:17" x14ac:dyDescent="0.3">
      <c r="C5613" s="87"/>
      <c r="H5613" s="86" t="e">
        <f>IF(I5613="fora",0%,G5613/QUÓRUM!$C$6)</f>
        <v>#DIV/0!</v>
      </c>
      <c r="I5613" s="87"/>
      <c r="J5613" s="88"/>
      <c r="K5613" s="88"/>
      <c r="L5613" s="89"/>
      <c r="M5613" s="89"/>
      <c r="Q5613" s="105"/>
    </row>
    <row r="5614" spans="3:17" x14ac:dyDescent="0.3">
      <c r="C5614" s="87"/>
      <c r="H5614" s="86" t="e">
        <f>IF(I5614="fora",0%,G5614/QUÓRUM!$C$6)</f>
        <v>#DIV/0!</v>
      </c>
      <c r="I5614" s="87"/>
      <c r="J5614" s="88"/>
      <c r="K5614" s="88"/>
      <c r="L5614" s="89"/>
      <c r="M5614" s="89"/>
      <c r="Q5614" s="105"/>
    </row>
    <row r="5615" spans="3:17" x14ac:dyDescent="0.3">
      <c r="C5615" s="87"/>
      <c r="H5615" s="86" t="e">
        <f>IF(I5615="fora",0%,G5615/QUÓRUM!$C$6)</f>
        <v>#DIV/0!</v>
      </c>
      <c r="I5615" s="87"/>
      <c r="J5615" s="88"/>
      <c r="K5615" s="88"/>
      <c r="L5615" s="89"/>
      <c r="M5615" s="89"/>
      <c r="Q5615" s="105"/>
    </row>
    <row r="5616" spans="3:17" x14ac:dyDescent="0.3">
      <c r="C5616" s="87"/>
      <c r="H5616" s="86" t="e">
        <f>IF(I5616="fora",0%,G5616/QUÓRUM!$C$6)</f>
        <v>#DIV/0!</v>
      </c>
      <c r="I5616" s="87"/>
      <c r="J5616" s="88"/>
      <c r="K5616" s="88"/>
      <c r="L5616" s="89"/>
      <c r="M5616" s="89"/>
      <c r="Q5616" s="105"/>
    </row>
    <row r="5617" spans="3:17" x14ac:dyDescent="0.3">
      <c r="C5617" s="87"/>
      <c r="H5617" s="86" t="e">
        <f>IF(I5617="fora",0%,G5617/QUÓRUM!$C$6)</f>
        <v>#DIV/0!</v>
      </c>
      <c r="I5617" s="87"/>
      <c r="J5617" s="88"/>
      <c r="K5617" s="88"/>
      <c r="L5617" s="89"/>
      <c r="M5617" s="89"/>
      <c r="Q5617" s="105"/>
    </row>
    <row r="5618" spans="3:17" x14ac:dyDescent="0.3">
      <c r="C5618" s="87"/>
      <c r="H5618" s="86" t="e">
        <f>IF(I5618="fora",0%,G5618/QUÓRUM!$C$6)</f>
        <v>#DIV/0!</v>
      </c>
      <c r="I5618" s="87"/>
      <c r="J5618" s="88"/>
      <c r="K5618" s="88"/>
      <c r="L5618" s="89"/>
      <c r="M5618" s="89"/>
      <c r="Q5618" s="105"/>
    </row>
    <row r="5619" spans="3:17" x14ac:dyDescent="0.3">
      <c r="C5619" s="87"/>
      <c r="H5619" s="86" t="e">
        <f>IF(I5619="fora",0%,G5619/QUÓRUM!$C$6)</f>
        <v>#DIV/0!</v>
      </c>
      <c r="I5619" s="87"/>
      <c r="J5619" s="88"/>
      <c r="K5619" s="88"/>
      <c r="L5619" s="89"/>
      <c r="M5619" s="89"/>
      <c r="Q5619" s="105"/>
    </row>
    <row r="5620" spans="3:17" x14ac:dyDescent="0.3">
      <c r="C5620" s="87"/>
      <c r="H5620" s="86" t="e">
        <f>IF(I5620="fora",0%,G5620/QUÓRUM!$C$6)</f>
        <v>#DIV/0!</v>
      </c>
      <c r="I5620" s="87"/>
      <c r="J5620" s="88"/>
      <c r="K5620" s="88"/>
      <c r="L5620" s="89"/>
      <c r="M5620" s="89"/>
      <c r="Q5620" s="105"/>
    </row>
    <row r="5621" spans="3:17" x14ac:dyDescent="0.3">
      <c r="C5621" s="87"/>
      <c r="H5621" s="86" t="e">
        <f>IF(I5621="fora",0%,G5621/QUÓRUM!$C$6)</f>
        <v>#DIV/0!</v>
      </c>
      <c r="I5621" s="87"/>
      <c r="J5621" s="88"/>
      <c r="K5621" s="88"/>
      <c r="L5621" s="89"/>
      <c r="M5621" s="89"/>
      <c r="Q5621" s="105"/>
    </row>
    <row r="5622" spans="3:17" x14ac:dyDescent="0.3">
      <c r="C5622" s="87"/>
      <c r="H5622" s="86" t="e">
        <f>IF(I5622="fora",0%,G5622/QUÓRUM!$C$6)</f>
        <v>#DIV/0!</v>
      </c>
      <c r="I5622" s="87"/>
      <c r="J5622" s="88"/>
      <c r="K5622" s="88"/>
      <c r="L5622" s="89"/>
      <c r="M5622" s="89"/>
      <c r="Q5622" s="105"/>
    </row>
    <row r="5623" spans="3:17" x14ac:dyDescent="0.3">
      <c r="C5623" s="87"/>
      <c r="H5623" s="86" t="e">
        <f>IF(I5623="fora",0%,G5623/QUÓRUM!$C$6)</f>
        <v>#DIV/0!</v>
      </c>
      <c r="I5623" s="87"/>
      <c r="J5623" s="88"/>
      <c r="K5623" s="88"/>
      <c r="L5623" s="89"/>
      <c r="M5623" s="89"/>
      <c r="Q5623" s="105"/>
    </row>
    <row r="5624" spans="3:17" x14ac:dyDescent="0.3">
      <c r="C5624" s="87"/>
      <c r="H5624" s="86" t="e">
        <f>IF(I5624="fora",0%,G5624/QUÓRUM!$C$6)</f>
        <v>#DIV/0!</v>
      </c>
      <c r="I5624" s="87"/>
      <c r="J5624" s="88"/>
      <c r="K5624" s="88"/>
      <c r="L5624" s="89"/>
      <c r="M5624" s="89"/>
      <c r="Q5624" s="105"/>
    </row>
    <row r="5625" spans="3:17" x14ac:dyDescent="0.3">
      <c r="C5625" s="87"/>
      <c r="H5625" s="86" t="e">
        <f>IF(I5625="fora",0%,G5625/QUÓRUM!$C$6)</f>
        <v>#DIV/0!</v>
      </c>
      <c r="I5625" s="87"/>
      <c r="J5625" s="88"/>
      <c r="K5625" s="88"/>
      <c r="L5625" s="89"/>
      <c r="M5625" s="89"/>
      <c r="Q5625" s="105"/>
    </row>
    <row r="5626" spans="3:17" x14ac:dyDescent="0.3">
      <c r="C5626" s="87"/>
      <c r="H5626" s="86" t="e">
        <f>IF(I5626="fora",0%,G5626/QUÓRUM!$C$6)</f>
        <v>#DIV/0!</v>
      </c>
      <c r="I5626" s="87"/>
      <c r="J5626" s="88"/>
      <c r="K5626" s="88"/>
      <c r="L5626" s="89"/>
      <c r="M5626" s="89"/>
      <c r="Q5626" s="105"/>
    </row>
    <row r="5627" spans="3:17" x14ac:dyDescent="0.3">
      <c r="C5627" s="87"/>
      <c r="H5627" s="86" t="e">
        <f>IF(I5627="fora",0%,G5627/QUÓRUM!$C$6)</f>
        <v>#DIV/0!</v>
      </c>
      <c r="I5627" s="87"/>
      <c r="J5627" s="88"/>
      <c r="K5627" s="88"/>
      <c r="L5627" s="89"/>
      <c r="M5627" s="89"/>
      <c r="Q5627" s="105"/>
    </row>
    <row r="5628" spans="3:17" x14ac:dyDescent="0.3">
      <c r="C5628" s="87"/>
      <c r="H5628" s="86" t="e">
        <f>IF(I5628="fora",0%,G5628/QUÓRUM!$C$6)</f>
        <v>#DIV/0!</v>
      </c>
      <c r="I5628" s="87"/>
      <c r="J5628" s="88"/>
      <c r="K5628" s="88"/>
      <c r="L5628" s="89"/>
      <c r="M5628" s="89"/>
      <c r="Q5628" s="105"/>
    </row>
    <row r="5629" spans="3:17" x14ac:dyDescent="0.3">
      <c r="C5629" s="87"/>
      <c r="H5629" s="86" t="e">
        <f>IF(I5629="fora",0%,G5629/QUÓRUM!$C$6)</f>
        <v>#DIV/0!</v>
      </c>
      <c r="I5629" s="87"/>
      <c r="J5629" s="88"/>
      <c r="K5629" s="88"/>
      <c r="L5629" s="89"/>
      <c r="M5629" s="89"/>
      <c r="Q5629" s="105"/>
    </row>
    <row r="5630" spans="3:17" x14ac:dyDescent="0.3">
      <c r="C5630" s="87"/>
      <c r="H5630" s="86" t="e">
        <f>IF(I5630="fora",0%,G5630/QUÓRUM!$C$6)</f>
        <v>#DIV/0!</v>
      </c>
      <c r="I5630" s="87"/>
      <c r="J5630" s="88"/>
      <c r="K5630" s="88"/>
      <c r="L5630" s="89"/>
      <c r="M5630" s="89"/>
      <c r="Q5630" s="105"/>
    </row>
    <row r="5631" spans="3:17" x14ac:dyDescent="0.3">
      <c r="C5631" s="87"/>
      <c r="H5631" s="86" t="e">
        <f>IF(I5631="fora",0%,G5631/QUÓRUM!$C$6)</f>
        <v>#DIV/0!</v>
      </c>
      <c r="I5631" s="87"/>
      <c r="J5631" s="88"/>
      <c r="K5631" s="88"/>
      <c r="L5631" s="89"/>
      <c r="M5631" s="89"/>
      <c r="Q5631" s="105"/>
    </row>
    <row r="5632" spans="3:17" x14ac:dyDescent="0.3">
      <c r="C5632" s="87"/>
      <c r="H5632" s="86" t="e">
        <f>IF(I5632="fora",0%,G5632/QUÓRUM!$C$6)</f>
        <v>#DIV/0!</v>
      </c>
      <c r="I5632" s="87"/>
      <c r="J5632" s="88"/>
      <c r="K5632" s="88"/>
      <c r="L5632" s="89"/>
      <c r="M5632" s="89"/>
      <c r="Q5632" s="105"/>
    </row>
    <row r="5633" spans="3:17" x14ac:dyDescent="0.3">
      <c r="C5633" s="87"/>
      <c r="H5633" s="86" t="e">
        <f>IF(I5633="fora",0%,G5633/QUÓRUM!$C$6)</f>
        <v>#DIV/0!</v>
      </c>
      <c r="I5633" s="87"/>
      <c r="J5633" s="88"/>
      <c r="K5633" s="88"/>
      <c r="L5633" s="89"/>
      <c r="M5633" s="89"/>
      <c r="Q5633" s="105"/>
    </row>
    <row r="5634" spans="3:17" x14ac:dyDescent="0.3">
      <c r="C5634" s="87"/>
      <c r="H5634" s="86" t="e">
        <f>IF(I5634="fora",0%,G5634/QUÓRUM!$C$6)</f>
        <v>#DIV/0!</v>
      </c>
      <c r="I5634" s="87"/>
      <c r="J5634" s="88"/>
      <c r="K5634" s="88"/>
      <c r="L5634" s="89"/>
      <c r="M5634" s="89"/>
      <c r="Q5634" s="105"/>
    </row>
    <row r="5635" spans="3:17" x14ac:dyDescent="0.3">
      <c r="C5635" s="87"/>
      <c r="H5635" s="86" t="e">
        <f>IF(I5635="fora",0%,G5635/QUÓRUM!$C$6)</f>
        <v>#DIV/0!</v>
      </c>
      <c r="I5635" s="87"/>
      <c r="J5635" s="88"/>
      <c r="K5635" s="88"/>
      <c r="L5635" s="89"/>
      <c r="M5635" s="89"/>
      <c r="Q5635" s="105"/>
    </row>
    <row r="5636" spans="3:17" x14ac:dyDescent="0.3">
      <c r="C5636" s="87"/>
      <c r="H5636" s="86" t="e">
        <f>IF(I5636="fora",0%,G5636/QUÓRUM!$C$6)</f>
        <v>#DIV/0!</v>
      </c>
      <c r="I5636" s="87"/>
      <c r="J5636" s="88"/>
      <c r="K5636" s="88"/>
      <c r="L5636" s="89"/>
      <c r="M5636" s="89"/>
      <c r="Q5636" s="105"/>
    </row>
    <row r="5637" spans="3:17" x14ac:dyDescent="0.3">
      <c r="C5637" s="87"/>
      <c r="H5637" s="86" t="e">
        <f>IF(I5637="fora",0%,G5637/QUÓRUM!$C$6)</f>
        <v>#DIV/0!</v>
      </c>
      <c r="I5637" s="87"/>
      <c r="J5637" s="88"/>
      <c r="K5637" s="88"/>
      <c r="L5637" s="89"/>
      <c r="M5637" s="89"/>
      <c r="Q5637" s="105"/>
    </row>
    <row r="5638" spans="3:17" x14ac:dyDescent="0.3">
      <c r="C5638" s="87"/>
      <c r="H5638" s="86" t="e">
        <f>IF(I5638="fora",0%,G5638/QUÓRUM!$C$6)</f>
        <v>#DIV/0!</v>
      </c>
      <c r="I5638" s="87"/>
      <c r="J5638" s="88"/>
      <c r="K5638" s="88"/>
      <c r="L5638" s="89"/>
      <c r="M5638" s="89"/>
      <c r="Q5638" s="105"/>
    </row>
    <row r="5639" spans="3:17" x14ac:dyDescent="0.3">
      <c r="C5639" s="87"/>
      <c r="H5639" s="86" t="e">
        <f>IF(I5639="fora",0%,G5639/QUÓRUM!$C$6)</f>
        <v>#DIV/0!</v>
      </c>
      <c r="I5639" s="87"/>
      <c r="J5639" s="88"/>
      <c r="K5639" s="88"/>
      <c r="L5639" s="89"/>
      <c r="M5639" s="89"/>
      <c r="Q5639" s="105"/>
    </row>
    <row r="5640" spans="3:17" x14ac:dyDescent="0.3">
      <c r="C5640" s="87"/>
      <c r="H5640" s="86" t="e">
        <f>IF(I5640="fora",0%,G5640/QUÓRUM!$C$6)</f>
        <v>#DIV/0!</v>
      </c>
      <c r="I5640" s="87"/>
      <c r="J5640" s="88"/>
      <c r="K5640" s="88"/>
      <c r="L5640" s="89"/>
      <c r="M5640" s="89"/>
      <c r="Q5640" s="105"/>
    </row>
    <row r="5641" spans="3:17" x14ac:dyDescent="0.3">
      <c r="C5641" s="87"/>
      <c r="H5641" s="86" t="e">
        <f>IF(I5641="fora",0%,G5641/QUÓRUM!$C$6)</f>
        <v>#DIV/0!</v>
      </c>
      <c r="I5641" s="87"/>
      <c r="J5641" s="88"/>
      <c r="K5641" s="88"/>
      <c r="L5641" s="89"/>
      <c r="M5641" s="89"/>
      <c r="Q5641" s="105"/>
    </row>
    <row r="5642" spans="3:17" x14ac:dyDescent="0.3">
      <c r="C5642" s="87"/>
      <c r="H5642" s="86" t="e">
        <f>IF(I5642="fora",0%,G5642/QUÓRUM!$C$6)</f>
        <v>#DIV/0!</v>
      </c>
      <c r="I5642" s="87"/>
      <c r="J5642" s="88"/>
      <c r="K5642" s="88"/>
      <c r="L5642" s="89"/>
      <c r="M5642" s="89"/>
      <c r="Q5642" s="105"/>
    </row>
    <row r="5643" spans="3:17" x14ac:dyDescent="0.3">
      <c r="C5643" s="87"/>
      <c r="H5643" s="86" t="e">
        <f>IF(I5643="fora",0%,G5643/QUÓRUM!$C$6)</f>
        <v>#DIV/0!</v>
      </c>
      <c r="I5643" s="87"/>
      <c r="J5643" s="88"/>
      <c r="K5643" s="88"/>
      <c r="L5643" s="89"/>
      <c r="M5643" s="89"/>
      <c r="Q5643" s="105"/>
    </row>
    <row r="5644" spans="3:17" x14ac:dyDescent="0.3">
      <c r="C5644" s="87"/>
      <c r="H5644" s="86" t="e">
        <f>IF(I5644="fora",0%,G5644/QUÓRUM!$C$6)</f>
        <v>#DIV/0!</v>
      </c>
      <c r="I5644" s="87"/>
      <c r="J5644" s="88"/>
      <c r="K5644" s="88"/>
      <c r="L5644" s="89"/>
      <c r="M5644" s="89"/>
      <c r="Q5644" s="105"/>
    </row>
    <row r="5645" spans="3:17" x14ac:dyDescent="0.3">
      <c r="C5645" s="87"/>
      <c r="H5645" s="86" t="e">
        <f>IF(I5645="fora",0%,G5645/QUÓRUM!$C$6)</f>
        <v>#DIV/0!</v>
      </c>
      <c r="I5645" s="87"/>
      <c r="J5645" s="88"/>
      <c r="K5645" s="88"/>
      <c r="L5645" s="89"/>
      <c r="M5645" s="89"/>
      <c r="Q5645" s="105"/>
    </row>
    <row r="5646" spans="3:17" x14ac:dyDescent="0.3">
      <c r="C5646" s="87"/>
      <c r="H5646" s="86" t="e">
        <f>IF(I5646="fora",0%,G5646/QUÓRUM!$C$6)</f>
        <v>#DIV/0!</v>
      </c>
      <c r="I5646" s="87"/>
      <c r="J5646" s="88"/>
      <c r="K5646" s="88"/>
      <c r="L5646" s="89"/>
      <c r="M5646" s="89"/>
      <c r="Q5646" s="105"/>
    </row>
    <row r="5647" spans="3:17" x14ac:dyDescent="0.3">
      <c r="C5647" s="87"/>
      <c r="H5647" s="86" t="e">
        <f>IF(I5647="fora",0%,G5647/QUÓRUM!$C$6)</f>
        <v>#DIV/0!</v>
      </c>
      <c r="I5647" s="87"/>
      <c r="J5647" s="88"/>
      <c r="K5647" s="88"/>
      <c r="L5647" s="89"/>
      <c r="M5647" s="89"/>
      <c r="Q5647" s="105"/>
    </row>
    <row r="5648" spans="3:17" x14ac:dyDescent="0.3">
      <c r="C5648" s="87"/>
      <c r="H5648" s="86" t="e">
        <f>IF(I5648="fora",0%,G5648/QUÓRUM!$C$6)</f>
        <v>#DIV/0!</v>
      </c>
      <c r="I5648" s="87"/>
      <c r="J5648" s="88"/>
      <c r="K5648" s="88"/>
      <c r="L5648" s="89"/>
      <c r="M5648" s="89"/>
      <c r="Q5648" s="105"/>
    </row>
    <row r="5649" spans="3:17" x14ac:dyDescent="0.3">
      <c r="C5649" s="87"/>
      <c r="H5649" s="86" t="e">
        <f>IF(I5649="fora",0%,G5649/QUÓRUM!$C$6)</f>
        <v>#DIV/0!</v>
      </c>
      <c r="I5649" s="87"/>
      <c r="J5649" s="88"/>
      <c r="K5649" s="88"/>
      <c r="L5649" s="89"/>
      <c r="M5649" s="89"/>
      <c r="Q5649" s="105"/>
    </row>
    <row r="5650" spans="3:17" x14ac:dyDescent="0.3">
      <c r="C5650" s="87"/>
      <c r="H5650" s="86" t="e">
        <f>IF(I5650="fora",0%,G5650/QUÓRUM!$C$6)</f>
        <v>#DIV/0!</v>
      </c>
      <c r="I5650" s="87"/>
      <c r="J5650" s="88"/>
      <c r="K5650" s="88"/>
      <c r="L5650" s="89"/>
      <c r="M5650" s="89"/>
      <c r="Q5650" s="105"/>
    </row>
    <row r="5651" spans="3:17" x14ac:dyDescent="0.3">
      <c r="C5651" s="87"/>
      <c r="H5651" s="86" t="e">
        <f>IF(I5651="fora",0%,G5651/QUÓRUM!$C$6)</f>
        <v>#DIV/0!</v>
      </c>
      <c r="I5651" s="87"/>
      <c r="J5651" s="88"/>
      <c r="K5651" s="88"/>
      <c r="L5651" s="89"/>
      <c r="M5651" s="89"/>
      <c r="Q5651" s="105"/>
    </row>
    <row r="5652" spans="3:17" x14ac:dyDescent="0.3">
      <c r="C5652" s="87"/>
      <c r="H5652" s="86" t="e">
        <f>IF(I5652="fora",0%,G5652/QUÓRUM!$C$6)</f>
        <v>#DIV/0!</v>
      </c>
      <c r="I5652" s="87"/>
      <c r="J5652" s="88"/>
      <c r="K5652" s="88"/>
      <c r="L5652" s="89"/>
      <c r="M5652" s="89"/>
      <c r="Q5652" s="105"/>
    </row>
    <row r="5653" spans="3:17" x14ac:dyDescent="0.3">
      <c r="C5653" s="87"/>
      <c r="H5653" s="86" t="e">
        <f>IF(I5653="fora",0%,G5653/QUÓRUM!$C$6)</f>
        <v>#DIV/0!</v>
      </c>
      <c r="I5653" s="87"/>
      <c r="J5653" s="88"/>
      <c r="K5653" s="88"/>
      <c r="L5653" s="89"/>
      <c r="M5653" s="89"/>
      <c r="Q5653" s="105"/>
    </row>
    <row r="5654" spans="3:17" x14ac:dyDescent="0.3">
      <c r="C5654" s="87"/>
      <c r="H5654" s="86" t="e">
        <f>IF(I5654="fora",0%,G5654/QUÓRUM!$C$6)</f>
        <v>#DIV/0!</v>
      </c>
      <c r="I5654" s="87"/>
      <c r="J5654" s="88"/>
      <c r="K5654" s="88"/>
      <c r="L5654" s="89"/>
      <c r="M5654" s="89"/>
      <c r="Q5654" s="105"/>
    </row>
    <row r="5655" spans="3:17" x14ac:dyDescent="0.3">
      <c r="C5655" s="87"/>
      <c r="H5655" s="86" t="e">
        <f>IF(I5655="fora",0%,G5655/QUÓRUM!$C$6)</f>
        <v>#DIV/0!</v>
      </c>
      <c r="I5655" s="87"/>
      <c r="J5655" s="88"/>
      <c r="K5655" s="88"/>
      <c r="L5655" s="89"/>
      <c r="M5655" s="89"/>
      <c r="Q5655" s="105"/>
    </row>
    <row r="5656" spans="3:17" x14ac:dyDescent="0.3">
      <c r="C5656" s="87"/>
      <c r="H5656" s="86" t="e">
        <f>IF(I5656="fora",0%,G5656/QUÓRUM!$C$6)</f>
        <v>#DIV/0!</v>
      </c>
      <c r="I5656" s="87"/>
      <c r="J5656" s="88"/>
      <c r="K5656" s="88"/>
      <c r="L5656" s="89"/>
      <c r="M5656" s="89"/>
      <c r="Q5656" s="105"/>
    </row>
    <row r="5657" spans="3:17" x14ac:dyDescent="0.3">
      <c r="C5657" s="87"/>
      <c r="H5657" s="86" t="e">
        <f>IF(I5657="fora",0%,G5657/QUÓRUM!$C$6)</f>
        <v>#DIV/0!</v>
      </c>
      <c r="I5657" s="87"/>
      <c r="J5657" s="88"/>
      <c r="K5657" s="88"/>
      <c r="L5657" s="89"/>
      <c r="M5657" s="89"/>
      <c r="Q5657" s="105"/>
    </row>
    <row r="5658" spans="3:17" x14ac:dyDescent="0.3">
      <c r="C5658" s="87"/>
      <c r="H5658" s="86" t="e">
        <f>IF(I5658="fora",0%,G5658/QUÓRUM!$C$6)</f>
        <v>#DIV/0!</v>
      </c>
      <c r="I5658" s="87"/>
      <c r="J5658" s="88"/>
      <c r="K5658" s="88"/>
      <c r="L5658" s="89"/>
      <c r="M5658" s="89"/>
      <c r="Q5658" s="105"/>
    </row>
    <row r="5659" spans="3:17" x14ac:dyDescent="0.3">
      <c r="C5659" s="87"/>
      <c r="H5659" s="86" t="e">
        <f>IF(I5659="fora",0%,G5659/QUÓRUM!$C$6)</f>
        <v>#DIV/0!</v>
      </c>
      <c r="I5659" s="87"/>
      <c r="J5659" s="88"/>
      <c r="K5659" s="88"/>
      <c r="L5659" s="89"/>
      <c r="M5659" s="89"/>
      <c r="Q5659" s="105"/>
    </row>
    <row r="5660" spans="3:17" x14ac:dyDescent="0.3">
      <c r="C5660" s="87"/>
      <c r="H5660" s="86" t="e">
        <f>IF(I5660="fora",0%,G5660/QUÓRUM!$C$6)</f>
        <v>#DIV/0!</v>
      </c>
      <c r="I5660" s="87"/>
      <c r="J5660" s="88"/>
      <c r="K5660" s="88"/>
      <c r="L5660" s="89"/>
      <c r="M5660" s="89"/>
      <c r="Q5660" s="105"/>
    </row>
    <row r="5661" spans="3:17" x14ac:dyDescent="0.3">
      <c r="C5661" s="87"/>
      <c r="H5661" s="86" t="e">
        <f>IF(I5661="fora",0%,G5661/QUÓRUM!$C$6)</f>
        <v>#DIV/0!</v>
      </c>
      <c r="I5661" s="87"/>
      <c r="J5661" s="88"/>
      <c r="K5661" s="88"/>
      <c r="L5661" s="89"/>
      <c r="M5661" s="89"/>
      <c r="Q5661" s="105"/>
    </row>
    <row r="5662" spans="3:17" x14ac:dyDescent="0.3">
      <c r="C5662" s="87"/>
      <c r="H5662" s="86" t="e">
        <f>IF(I5662="fora",0%,G5662/QUÓRUM!$C$6)</f>
        <v>#DIV/0!</v>
      </c>
      <c r="I5662" s="87"/>
      <c r="J5662" s="88"/>
      <c r="K5662" s="88"/>
      <c r="L5662" s="89"/>
      <c r="M5662" s="89"/>
      <c r="Q5662" s="105"/>
    </row>
    <row r="5663" spans="3:17" x14ac:dyDescent="0.3">
      <c r="C5663" s="87"/>
      <c r="H5663" s="86" t="e">
        <f>IF(I5663="fora",0%,G5663/QUÓRUM!$C$6)</f>
        <v>#DIV/0!</v>
      </c>
      <c r="I5663" s="87"/>
      <c r="J5663" s="88"/>
      <c r="K5663" s="88"/>
      <c r="L5663" s="89"/>
      <c r="M5663" s="89"/>
      <c r="Q5663" s="105"/>
    </row>
    <row r="5664" spans="3:17" x14ac:dyDescent="0.3">
      <c r="C5664" s="87"/>
      <c r="H5664" s="86" t="e">
        <f>IF(I5664="fora",0%,G5664/QUÓRUM!$C$6)</f>
        <v>#DIV/0!</v>
      </c>
      <c r="I5664" s="87"/>
      <c r="J5664" s="88"/>
      <c r="K5664" s="88"/>
      <c r="L5664" s="89"/>
      <c r="M5664" s="89"/>
      <c r="Q5664" s="105"/>
    </row>
    <row r="5665" spans="3:17" x14ac:dyDescent="0.3">
      <c r="C5665" s="87"/>
      <c r="H5665" s="86" t="e">
        <f>IF(I5665="fora",0%,G5665/QUÓRUM!$C$6)</f>
        <v>#DIV/0!</v>
      </c>
      <c r="I5665" s="87"/>
      <c r="J5665" s="88"/>
      <c r="K5665" s="88"/>
      <c r="L5665" s="89"/>
      <c r="M5665" s="89"/>
      <c r="Q5665" s="105"/>
    </row>
    <row r="5666" spans="3:17" x14ac:dyDescent="0.3">
      <c r="C5666" s="87"/>
      <c r="H5666" s="86" t="e">
        <f>IF(I5666="fora",0%,G5666/QUÓRUM!$C$6)</f>
        <v>#DIV/0!</v>
      </c>
      <c r="I5666" s="87"/>
      <c r="J5666" s="88"/>
      <c r="K5666" s="88"/>
      <c r="L5666" s="89"/>
      <c r="M5666" s="89"/>
      <c r="Q5666" s="105"/>
    </row>
    <row r="5667" spans="3:17" x14ac:dyDescent="0.3">
      <c r="C5667" s="87"/>
      <c r="H5667" s="86" t="e">
        <f>IF(I5667="fora",0%,G5667/QUÓRUM!$C$6)</f>
        <v>#DIV/0!</v>
      </c>
      <c r="I5667" s="87"/>
      <c r="J5667" s="88"/>
      <c r="K5667" s="88"/>
      <c r="L5667" s="89"/>
      <c r="M5667" s="89"/>
      <c r="Q5667" s="105"/>
    </row>
    <row r="5668" spans="3:17" x14ac:dyDescent="0.3">
      <c r="C5668" s="87"/>
      <c r="H5668" s="86" t="e">
        <f>IF(I5668="fora",0%,G5668/QUÓRUM!$C$6)</f>
        <v>#DIV/0!</v>
      </c>
      <c r="I5668" s="87"/>
      <c r="J5668" s="88"/>
      <c r="K5668" s="88"/>
      <c r="L5668" s="89"/>
      <c r="M5668" s="89"/>
      <c r="Q5668" s="105"/>
    </row>
    <row r="5669" spans="3:17" x14ac:dyDescent="0.3">
      <c r="C5669" s="87"/>
      <c r="H5669" s="86" t="e">
        <f>IF(I5669="fora",0%,G5669/QUÓRUM!$C$6)</f>
        <v>#DIV/0!</v>
      </c>
      <c r="I5669" s="87"/>
      <c r="J5669" s="88"/>
      <c r="K5669" s="88"/>
      <c r="L5669" s="89"/>
      <c r="M5669" s="89"/>
      <c r="Q5669" s="105"/>
    </row>
    <row r="5670" spans="3:17" x14ac:dyDescent="0.3">
      <c r="C5670" s="87"/>
      <c r="H5670" s="86" t="e">
        <f>IF(I5670="fora",0%,G5670/QUÓRUM!$C$6)</f>
        <v>#DIV/0!</v>
      </c>
      <c r="I5670" s="87"/>
      <c r="J5670" s="88"/>
      <c r="K5670" s="88"/>
      <c r="L5670" s="89"/>
      <c r="M5670" s="89"/>
      <c r="Q5670" s="105"/>
    </row>
    <row r="5671" spans="3:17" x14ac:dyDescent="0.3">
      <c r="C5671" s="87"/>
      <c r="H5671" s="86" t="e">
        <f>IF(I5671="fora",0%,G5671/QUÓRUM!$C$6)</f>
        <v>#DIV/0!</v>
      </c>
      <c r="I5671" s="87"/>
      <c r="J5671" s="88"/>
      <c r="K5671" s="88"/>
      <c r="L5671" s="89"/>
      <c r="M5671" s="89"/>
      <c r="Q5671" s="105"/>
    </row>
    <row r="5672" spans="3:17" x14ac:dyDescent="0.3">
      <c r="C5672" s="87"/>
      <c r="H5672" s="86" t="e">
        <f>IF(I5672="fora",0%,G5672/QUÓRUM!$C$6)</f>
        <v>#DIV/0!</v>
      </c>
      <c r="I5672" s="87"/>
      <c r="J5672" s="88"/>
      <c r="K5672" s="88"/>
      <c r="L5672" s="89"/>
      <c r="M5672" s="89"/>
      <c r="Q5672" s="105"/>
    </row>
    <row r="5673" spans="3:17" x14ac:dyDescent="0.3">
      <c r="C5673" s="87"/>
      <c r="H5673" s="86" t="e">
        <f>IF(I5673="fora",0%,G5673/QUÓRUM!$C$6)</f>
        <v>#DIV/0!</v>
      </c>
      <c r="I5673" s="87"/>
      <c r="J5673" s="88"/>
      <c r="K5673" s="88"/>
      <c r="L5673" s="89"/>
      <c r="M5673" s="89"/>
      <c r="Q5673" s="105"/>
    </row>
    <row r="5674" spans="3:17" x14ac:dyDescent="0.3">
      <c r="C5674" s="87"/>
      <c r="H5674" s="86" t="e">
        <f>IF(I5674="fora",0%,G5674/QUÓRUM!$C$6)</f>
        <v>#DIV/0!</v>
      </c>
      <c r="I5674" s="87"/>
      <c r="J5674" s="88"/>
      <c r="K5674" s="88"/>
      <c r="L5674" s="89"/>
      <c r="M5674" s="89"/>
      <c r="Q5674" s="105"/>
    </row>
    <row r="5675" spans="3:17" x14ac:dyDescent="0.3">
      <c r="C5675" s="87"/>
      <c r="H5675" s="86" t="e">
        <f>IF(I5675="fora",0%,G5675/QUÓRUM!$C$6)</f>
        <v>#DIV/0!</v>
      </c>
      <c r="I5675" s="87"/>
      <c r="J5675" s="88"/>
      <c r="K5675" s="88"/>
      <c r="L5675" s="89"/>
      <c r="M5675" s="89"/>
      <c r="Q5675" s="105"/>
    </row>
    <row r="5676" spans="3:17" x14ac:dyDescent="0.3">
      <c r="C5676" s="87"/>
      <c r="H5676" s="86" t="e">
        <f>IF(I5676="fora",0%,G5676/QUÓRUM!$C$6)</f>
        <v>#DIV/0!</v>
      </c>
      <c r="I5676" s="87"/>
      <c r="J5676" s="88"/>
      <c r="K5676" s="88"/>
      <c r="L5676" s="89"/>
      <c r="M5676" s="89"/>
      <c r="Q5676" s="105"/>
    </row>
    <row r="5677" spans="3:17" x14ac:dyDescent="0.3">
      <c r="C5677" s="87"/>
      <c r="H5677" s="86" t="e">
        <f>IF(I5677="fora",0%,G5677/QUÓRUM!$C$6)</f>
        <v>#DIV/0!</v>
      </c>
      <c r="I5677" s="87"/>
      <c r="J5677" s="88"/>
      <c r="K5677" s="88"/>
      <c r="L5677" s="89"/>
      <c r="M5677" s="89"/>
      <c r="Q5677" s="105"/>
    </row>
    <row r="5678" spans="3:17" x14ac:dyDescent="0.3">
      <c r="C5678" s="87"/>
      <c r="H5678" s="86" t="e">
        <f>IF(I5678="fora",0%,G5678/QUÓRUM!$C$6)</f>
        <v>#DIV/0!</v>
      </c>
      <c r="I5678" s="87"/>
      <c r="J5678" s="88"/>
      <c r="K5678" s="88"/>
      <c r="L5678" s="89"/>
      <c r="M5678" s="89"/>
      <c r="Q5678" s="105"/>
    </row>
    <row r="5679" spans="3:17" x14ac:dyDescent="0.3">
      <c r="C5679" s="87"/>
      <c r="H5679" s="86" t="e">
        <f>IF(I5679="fora",0%,G5679/QUÓRUM!$C$6)</f>
        <v>#DIV/0!</v>
      </c>
      <c r="I5679" s="87"/>
      <c r="J5679" s="88"/>
      <c r="K5679" s="88"/>
      <c r="L5679" s="89"/>
      <c r="M5679" s="89"/>
      <c r="Q5679" s="105"/>
    </row>
    <row r="5680" spans="3:17" x14ac:dyDescent="0.3">
      <c r="C5680" s="87"/>
      <c r="H5680" s="86" t="e">
        <f>IF(I5680="fora",0%,G5680/QUÓRUM!$C$6)</f>
        <v>#DIV/0!</v>
      </c>
      <c r="I5680" s="87"/>
      <c r="J5680" s="88"/>
      <c r="K5680" s="88"/>
      <c r="L5680" s="89"/>
      <c r="M5680" s="89"/>
      <c r="Q5680" s="105"/>
    </row>
    <row r="5681" spans="3:17" x14ac:dyDescent="0.3">
      <c r="C5681" s="87"/>
      <c r="H5681" s="86" t="e">
        <f>IF(I5681="fora",0%,G5681/QUÓRUM!$C$6)</f>
        <v>#DIV/0!</v>
      </c>
      <c r="I5681" s="87"/>
      <c r="J5681" s="88"/>
      <c r="K5681" s="88"/>
      <c r="L5681" s="89"/>
      <c r="M5681" s="89"/>
      <c r="Q5681" s="105"/>
    </row>
    <row r="5682" spans="3:17" x14ac:dyDescent="0.3">
      <c r="C5682" s="87"/>
      <c r="H5682" s="86" t="e">
        <f>IF(I5682="fora",0%,G5682/QUÓRUM!$C$6)</f>
        <v>#DIV/0!</v>
      </c>
      <c r="I5682" s="87"/>
      <c r="J5682" s="88"/>
      <c r="K5682" s="88"/>
      <c r="L5682" s="89"/>
      <c r="M5682" s="89"/>
      <c r="Q5682" s="105"/>
    </row>
    <row r="5683" spans="3:17" x14ac:dyDescent="0.3">
      <c r="C5683" s="87"/>
      <c r="H5683" s="86" t="e">
        <f>IF(I5683="fora",0%,G5683/QUÓRUM!$C$6)</f>
        <v>#DIV/0!</v>
      </c>
      <c r="I5683" s="87"/>
      <c r="J5683" s="88"/>
      <c r="K5683" s="88"/>
      <c r="L5683" s="89"/>
      <c r="M5683" s="89"/>
      <c r="Q5683" s="105"/>
    </row>
    <row r="5684" spans="3:17" x14ac:dyDescent="0.3">
      <c r="C5684" s="87"/>
      <c r="H5684" s="86" t="e">
        <f>IF(I5684="fora",0%,G5684/QUÓRUM!$C$6)</f>
        <v>#DIV/0!</v>
      </c>
      <c r="I5684" s="87"/>
      <c r="J5684" s="88"/>
      <c r="K5684" s="88"/>
      <c r="L5684" s="89"/>
      <c r="M5684" s="89"/>
      <c r="Q5684" s="105"/>
    </row>
    <row r="5685" spans="3:17" x14ac:dyDescent="0.3">
      <c r="C5685" s="87"/>
      <c r="H5685" s="86" t="e">
        <f>IF(I5685="fora",0%,G5685/QUÓRUM!$C$6)</f>
        <v>#DIV/0!</v>
      </c>
      <c r="I5685" s="87"/>
      <c r="J5685" s="88"/>
      <c r="K5685" s="88"/>
      <c r="L5685" s="89"/>
      <c r="M5685" s="89"/>
      <c r="Q5685" s="105"/>
    </row>
    <row r="5686" spans="3:17" x14ac:dyDescent="0.3">
      <c r="C5686" s="87"/>
      <c r="H5686" s="86" t="e">
        <f>IF(I5686="fora",0%,G5686/QUÓRUM!$C$6)</f>
        <v>#DIV/0!</v>
      </c>
      <c r="I5686" s="87"/>
      <c r="J5686" s="88"/>
      <c r="K5686" s="88"/>
      <c r="L5686" s="89"/>
      <c r="M5686" s="89"/>
      <c r="Q5686" s="105"/>
    </row>
    <row r="5687" spans="3:17" x14ac:dyDescent="0.3">
      <c r="C5687" s="87"/>
      <c r="H5687" s="86" t="e">
        <f>IF(I5687="fora",0%,G5687/QUÓRUM!$C$6)</f>
        <v>#DIV/0!</v>
      </c>
      <c r="I5687" s="87"/>
      <c r="J5687" s="88"/>
      <c r="K5687" s="88"/>
      <c r="L5687" s="89"/>
      <c r="M5687" s="89"/>
      <c r="Q5687" s="105"/>
    </row>
    <row r="5688" spans="3:17" x14ac:dyDescent="0.3">
      <c r="C5688" s="87"/>
      <c r="H5688" s="86" t="e">
        <f>IF(I5688="fora",0%,G5688/QUÓRUM!$C$6)</f>
        <v>#DIV/0!</v>
      </c>
      <c r="I5688" s="87"/>
      <c r="J5688" s="88"/>
      <c r="K5688" s="88"/>
      <c r="L5688" s="89"/>
      <c r="M5688" s="89"/>
      <c r="Q5688" s="105"/>
    </row>
    <row r="5689" spans="3:17" x14ac:dyDescent="0.3">
      <c r="C5689" s="87"/>
      <c r="H5689" s="86" t="e">
        <f>IF(I5689="fora",0%,G5689/QUÓRUM!$C$6)</f>
        <v>#DIV/0!</v>
      </c>
      <c r="I5689" s="87"/>
      <c r="J5689" s="88"/>
      <c r="K5689" s="88"/>
      <c r="L5689" s="89"/>
      <c r="M5689" s="89"/>
      <c r="Q5689" s="105"/>
    </row>
    <row r="5690" spans="3:17" x14ac:dyDescent="0.3">
      <c r="C5690" s="87"/>
      <c r="H5690" s="86" t="e">
        <f>IF(I5690="fora",0%,G5690/QUÓRUM!$C$6)</f>
        <v>#DIV/0!</v>
      </c>
      <c r="I5690" s="87"/>
      <c r="J5690" s="88"/>
      <c r="K5690" s="88"/>
      <c r="L5690" s="89"/>
      <c r="M5690" s="89"/>
      <c r="Q5690" s="105"/>
    </row>
    <row r="5691" spans="3:17" x14ac:dyDescent="0.3">
      <c r="C5691" s="87"/>
      <c r="H5691" s="86" t="e">
        <f>IF(I5691="fora",0%,G5691/QUÓRUM!$C$6)</f>
        <v>#DIV/0!</v>
      </c>
      <c r="I5691" s="87"/>
      <c r="J5691" s="88"/>
      <c r="K5691" s="88"/>
      <c r="L5691" s="89"/>
      <c r="M5691" s="89"/>
      <c r="Q5691" s="105"/>
    </row>
    <row r="5692" spans="3:17" x14ac:dyDescent="0.3">
      <c r="C5692" s="87"/>
      <c r="H5692" s="86" t="e">
        <f>IF(I5692="fora",0%,G5692/QUÓRUM!$C$6)</f>
        <v>#DIV/0!</v>
      </c>
      <c r="I5692" s="87"/>
      <c r="J5692" s="88"/>
      <c r="K5692" s="88"/>
      <c r="L5692" s="89"/>
      <c r="M5692" s="89"/>
      <c r="Q5692" s="105"/>
    </row>
    <row r="5693" spans="3:17" x14ac:dyDescent="0.3">
      <c r="C5693" s="87"/>
      <c r="H5693" s="86" t="e">
        <f>IF(I5693="fora",0%,G5693/QUÓRUM!$C$6)</f>
        <v>#DIV/0!</v>
      </c>
      <c r="I5693" s="87"/>
      <c r="J5693" s="88"/>
      <c r="K5693" s="88"/>
      <c r="L5693" s="89"/>
      <c r="M5693" s="89"/>
      <c r="Q5693" s="105"/>
    </row>
    <row r="5694" spans="3:17" x14ac:dyDescent="0.3">
      <c r="C5694" s="87"/>
      <c r="H5694" s="86" t="e">
        <f>IF(I5694="fora",0%,G5694/QUÓRUM!$C$6)</f>
        <v>#DIV/0!</v>
      </c>
      <c r="I5694" s="87"/>
      <c r="J5694" s="88"/>
      <c r="K5694" s="88"/>
      <c r="L5694" s="89"/>
      <c r="M5694" s="89"/>
      <c r="Q5694" s="105"/>
    </row>
    <row r="5695" spans="3:17" x14ac:dyDescent="0.3">
      <c r="C5695" s="87"/>
      <c r="H5695" s="86" t="e">
        <f>IF(I5695="fora",0%,G5695/QUÓRUM!$C$6)</f>
        <v>#DIV/0!</v>
      </c>
      <c r="I5695" s="87"/>
      <c r="J5695" s="88"/>
      <c r="K5695" s="88"/>
      <c r="L5695" s="89"/>
      <c r="M5695" s="89"/>
      <c r="Q5695" s="105"/>
    </row>
    <row r="5696" spans="3:17" x14ac:dyDescent="0.3">
      <c r="C5696" s="87"/>
      <c r="H5696" s="86" t="e">
        <f>IF(I5696="fora",0%,G5696/QUÓRUM!$C$6)</f>
        <v>#DIV/0!</v>
      </c>
      <c r="I5696" s="87"/>
      <c r="J5696" s="88"/>
      <c r="K5696" s="88"/>
      <c r="L5696" s="89"/>
      <c r="M5696" s="89"/>
      <c r="Q5696" s="105"/>
    </row>
    <row r="5697" spans="3:17" x14ac:dyDescent="0.3">
      <c r="C5697" s="87"/>
      <c r="H5697" s="86" t="e">
        <f>IF(I5697="fora",0%,G5697/QUÓRUM!$C$6)</f>
        <v>#DIV/0!</v>
      </c>
      <c r="I5697" s="87"/>
      <c r="J5697" s="88"/>
      <c r="K5697" s="88"/>
      <c r="L5697" s="89"/>
      <c r="M5697" s="89"/>
      <c r="Q5697" s="105"/>
    </row>
    <row r="5698" spans="3:17" x14ac:dyDescent="0.3">
      <c r="C5698" s="87"/>
      <c r="H5698" s="86" t="e">
        <f>IF(I5698="fora",0%,G5698/QUÓRUM!$C$6)</f>
        <v>#DIV/0!</v>
      </c>
      <c r="I5698" s="87"/>
      <c r="J5698" s="88"/>
      <c r="K5698" s="88"/>
      <c r="L5698" s="89"/>
      <c r="M5698" s="89"/>
      <c r="Q5698" s="105"/>
    </row>
    <row r="5699" spans="3:17" x14ac:dyDescent="0.3">
      <c r="C5699" s="87"/>
      <c r="H5699" s="86" t="e">
        <f>IF(I5699="fora",0%,G5699/QUÓRUM!$C$6)</f>
        <v>#DIV/0!</v>
      </c>
      <c r="I5699" s="87"/>
      <c r="J5699" s="88"/>
      <c r="K5699" s="88"/>
      <c r="L5699" s="89"/>
      <c r="M5699" s="89"/>
      <c r="Q5699" s="105"/>
    </row>
    <row r="5700" spans="3:17" x14ac:dyDescent="0.3">
      <c r="C5700" s="87"/>
      <c r="H5700" s="86" t="e">
        <f>IF(I5700="fora",0%,G5700/QUÓRUM!$C$6)</f>
        <v>#DIV/0!</v>
      </c>
      <c r="I5700" s="87"/>
      <c r="J5700" s="88"/>
      <c r="K5700" s="88"/>
      <c r="L5700" s="89"/>
      <c r="M5700" s="89"/>
      <c r="Q5700" s="105"/>
    </row>
    <row r="5701" spans="3:17" x14ac:dyDescent="0.3">
      <c r="C5701" s="87"/>
      <c r="H5701" s="86" t="e">
        <f>IF(I5701="fora",0%,G5701/QUÓRUM!$C$6)</f>
        <v>#DIV/0!</v>
      </c>
      <c r="I5701" s="87"/>
      <c r="J5701" s="88"/>
      <c r="K5701" s="88"/>
      <c r="L5701" s="89"/>
      <c r="M5701" s="89"/>
      <c r="Q5701" s="105"/>
    </row>
    <row r="5702" spans="3:17" x14ac:dyDescent="0.3">
      <c r="C5702" s="87"/>
      <c r="H5702" s="86" t="e">
        <f>IF(I5702="fora",0%,G5702/QUÓRUM!$C$6)</f>
        <v>#DIV/0!</v>
      </c>
      <c r="I5702" s="87"/>
      <c r="J5702" s="88"/>
      <c r="K5702" s="88"/>
      <c r="L5702" s="89"/>
      <c r="M5702" s="89"/>
      <c r="Q5702" s="105"/>
    </row>
    <row r="5703" spans="3:17" x14ac:dyDescent="0.3">
      <c r="C5703" s="87"/>
      <c r="H5703" s="86" t="e">
        <f>IF(I5703="fora",0%,G5703/QUÓRUM!$C$6)</f>
        <v>#DIV/0!</v>
      </c>
      <c r="I5703" s="87"/>
      <c r="J5703" s="88"/>
      <c r="K5703" s="88"/>
      <c r="L5703" s="89"/>
      <c r="M5703" s="89"/>
      <c r="Q5703" s="105"/>
    </row>
    <row r="5704" spans="3:17" x14ac:dyDescent="0.3">
      <c r="C5704" s="87"/>
      <c r="H5704" s="86" t="e">
        <f>IF(I5704="fora",0%,G5704/QUÓRUM!$C$6)</f>
        <v>#DIV/0!</v>
      </c>
      <c r="I5704" s="87"/>
      <c r="J5704" s="88"/>
      <c r="K5704" s="88"/>
      <c r="L5704" s="89"/>
      <c r="M5704" s="89"/>
      <c r="Q5704" s="105"/>
    </row>
    <row r="5705" spans="3:17" x14ac:dyDescent="0.3">
      <c r="C5705" s="87"/>
      <c r="H5705" s="86" t="e">
        <f>IF(I5705="fora",0%,G5705/QUÓRUM!$C$6)</f>
        <v>#DIV/0!</v>
      </c>
      <c r="I5705" s="87"/>
      <c r="J5705" s="88"/>
      <c r="K5705" s="88"/>
      <c r="L5705" s="89"/>
      <c r="M5705" s="89"/>
      <c r="Q5705" s="105"/>
    </row>
    <row r="5706" spans="3:17" x14ac:dyDescent="0.3">
      <c r="C5706" s="87"/>
      <c r="H5706" s="86" t="e">
        <f>IF(I5706="fora",0%,G5706/QUÓRUM!$C$6)</f>
        <v>#DIV/0!</v>
      </c>
      <c r="I5706" s="87"/>
      <c r="J5706" s="88"/>
      <c r="K5706" s="88"/>
      <c r="L5706" s="89"/>
      <c r="M5706" s="89"/>
      <c r="Q5706" s="105"/>
    </row>
    <row r="5707" spans="3:17" x14ac:dyDescent="0.3">
      <c r="C5707" s="87"/>
      <c r="H5707" s="86" t="e">
        <f>IF(I5707="fora",0%,G5707/QUÓRUM!$C$6)</f>
        <v>#DIV/0!</v>
      </c>
      <c r="I5707" s="87"/>
      <c r="J5707" s="88"/>
      <c r="K5707" s="88"/>
      <c r="L5707" s="89"/>
      <c r="M5707" s="89"/>
      <c r="Q5707" s="105"/>
    </row>
    <row r="5708" spans="3:17" x14ac:dyDescent="0.3">
      <c r="C5708" s="87"/>
      <c r="H5708" s="86" t="e">
        <f>IF(I5708="fora",0%,G5708/QUÓRUM!$C$6)</f>
        <v>#DIV/0!</v>
      </c>
      <c r="I5708" s="87"/>
      <c r="J5708" s="88"/>
      <c r="K5708" s="88"/>
      <c r="L5708" s="89"/>
      <c r="M5708" s="89"/>
      <c r="Q5708" s="105"/>
    </row>
    <row r="5709" spans="3:17" x14ac:dyDescent="0.3">
      <c r="C5709" s="87"/>
      <c r="H5709" s="86" t="e">
        <f>IF(I5709="fora",0%,G5709/QUÓRUM!$C$6)</f>
        <v>#DIV/0!</v>
      </c>
      <c r="I5709" s="87"/>
      <c r="J5709" s="88"/>
      <c r="K5709" s="88"/>
      <c r="L5709" s="89"/>
      <c r="M5709" s="89"/>
      <c r="Q5709" s="105"/>
    </row>
    <row r="5710" spans="3:17" x14ac:dyDescent="0.3">
      <c r="C5710" s="87"/>
      <c r="H5710" s="86" t="e">
        <f>IF(I5710="fora",0%,G5710/QUÓRUM!$C$6)</f>
        <v>#DIV/0!</v>
      </c>
      <c r="I5710" s="87"/>
      <c r="J5710" s="88"/>
      <c r="K5710" s="88"/>
      <c r="L5710" s="89"/>
      <c r="M5710" s="89"/>
      <c r="Q5710" s="105"/>
    </row>
    <row r="5711" spans="3:17" x14ac:dyDescent="0.3">
      <c r="C5711" s="87"/>
      <c r="H5711" s="86" t="e">
        <f>IF(I5711="fora",0%,G5711/QUÓRUM!$C$6)</f>
        <v>#DIV/0!</v>
      </c>
      <c r="I5711" s="87"/>
      <c r="J5711" s="88"/>
      <c r="K5711" s="88"/>
      <c r="L5711" s="89"/>
      <c r="M5711" s="89"/>
      <c r="Q5711" s="105"/>
    </row>
    <row r="5712" spans="3:17" x14ac:dyDescent="0.3">
      <c r="C5712" s="87"/>
      <c r="H5712" s="86" t="e">
        <f>IF(I5712="fora",0%,G5712/QUÓRUM!$C$6)</f>
        <v>#DIV/0!</v>
      </c>
      <c r="I5712" s="87"/>
      <c r="J5712" s="88"/>
      <c r="K5712" s="88"/>
      <c r="L5712" s="89"/>
      <c r="M5712" s="89"/>
      <c r="Q5712" s="105"/>
    </row>
    <row r="5713" spans="3:17" x14ac:dyDescent="0.3">
      <c r="C5713" s="87"/>
      <c r="H5713" s="86" t="e">
        <f>IF(I5713="fora",0%,G5713/QUÓRUM!$C$6)</f>
        <v>#DIV/0!</v>
      </c>
      <c r="I5713" s="87"/>
      <c r="J5713" s="88"/>
      <c r="K5713" s="88"/>
      <c r="L5713" s="89"/>
      <c r="M5713" s="89"/>
      <c r="Q5713" s="105"/>
    </row>
    <row r="5714" spans="3:17" x14ac:dyDescent="0.3">
      <c r="C5714" s="87"/>
      <c r="H5714" s="86" t="e">
        <f>IF(I5714="fora",0%,G5714/QUÓRUM!$C$6)</f>
        <v>#DIV/0!</v>
      </c>
      <c r="I5714" s="87"/>
      <c r="J5714" s="88"/>
      <c r="K5714" s="88"/>
      <c r="L5714" s="89"/>
      <c r="M5714" s="89"/>
      <c r="Q5714" s="105"/>
    </row>
    <row r="5715" spans="3:17" x14ac:dyDescent="0.3">
      <c r="C5715" s="87"/>
      <c r="H5715" s="86" t="e">
        <f>IF(I5715="fora",0%,G5715/QUÓRUM!$C$6)</f>
        <v>#DIV/0!</v>
      </c>
      <c r="I5715" s="87"/>
      <c r="J5715" s="88"/>
      <c r="K5715" s="88"/>
      <c r="L5715" s="89"/>
      <c r="M5715" s="89"/>
      <c r="Q5715" s="105"/>
    </row>
    <row r="5716" spans="3:17" x14ac:dyDescent="0.3">
      <c r="C5716" s="87"/>
      <c r="H5716" s="86" t="e">
        <f>IF(I5716="fora",0%,G5716/QUÓRUM!$C$6)</f>
        <v>#DIV/0!</v>
      </c>
      <c r="I5716" s="87"/>
      <c r="J5716" s="88"/>
      <c r="K5716" s="88"/>
      <c r="L5716" s="89"/>
      <c r="M5716" s="89"/>
      <c r="Q5716" s="105"/>
    </row>
    <row r="5717" spans="3:17" x14ac:dyDescent="0.3">
      <c r="C5717" s="87"/>
      <c r="H5717" s="86" t="e">
        <f>IF(I5717="fora",0%,G5717/QUÓRUM!$C$6)</f>
        <v>#DIV/0!</v>
      </c>
      <c r="I5717" s="87"/>
      <c r="J5717" s="88"/>
      <c r="K5717" s="88"/>
      <c r="L5717" s="89"/>
      <c r="M5717" s="89"/>
      <c r="Q5717" s="105"/>
    </row>
    <row r="5718" spans="3:17" x14ac:dyDescent="0.3">
      <c r="C5718" s="87"/>
      <c r="H5718" s="86" t="e">
        <f>IF(I5718="fora",0%,G5718/QUÓRUM!$C$6)</f>
        <v>#DIV/0!</v>
      </c>
      <c r="I5718" s="87"/>
      <c r="J5718" s="88"/>
      <c r="K5718" s="88"/>
      <c r="L5718" s="89"/>
      <c r="M5718" s="89"/>
      <c r="Q5718" s="105"/>
    </row>
    <row r="5719" spans="3:17" x14ac:dyDescent="0.3">
      <c r="C5719" s="87"/>
      <c r="H5719" s="86" t="e">
        <f>IF(I5719="fora",0%,G5719/QUÓRUM!$C$6)</f>
        <v>#DIV/0!</v>
      </c>
      <c r="I5719" s="87"/>
      <c r="J5719" s="88"/>
      <c r="K5719" s="88"/>
      <c r="L5719" s="89"/>
      <c r="M5719" s="89"/>
      <c r="Q5719" s="105"/>
    </row>
    <row r="5720" spans="3:17" x14ac:dyDescent="0.3">
      <c r="C5720" s="87"/>
      <c r="H5720" s="86" t="e">
        <f>IF(I5720="fora",0%,G5720/QUÓRUM!$C$6)</f>
        <v>#DIV/0!</v>
      </c>
      <c r="I5720" s="87"/>
      <c r="J5720" s="88"/>
      <c r="K5720" s="88"/>
      <c r="L5720" s="89"/>
      <c r="M5720" s="89"/>
      <c r="Q5720" s="105"/>
    </row>
    <row r="5721" spans="3:17" x14ac:dyDescent="0.3">
      <c r="C5721" s="87"/>
      <c r="H5721" s="86" t="e">
        <f>IF(I5721="fora",0%,G5721/QUÓRUM!$C$6)</f>
        <v>#DIV/0!</v>
      </c>
      <c r="I5721" s="87"/>
      <c r="J5721" s="88"/>
      <c r="K5721" s="88"/>
      <c r="L5721" s="89"/>
      <c r="M5721" s="89"/>
      <c r="Q5721" s="105"/>
    </row>
    <row r="5722" spans="3:17" x14ac:dyDescent="0.3">
      <c r="C5722" s="87"/>
      <c r="H5722" s="86" t="e">
        <f>IF(I5722="fora",0%,G5722/QUÓRUM!$C$6)</f>
        <v>#DIV/0!</v>
      </c>
      <c r="I5722" s="87"/>
      <c r="J5722" s="88"/>
      <c r="K5722" s="88"/>
      <c r="L5722" s="89"/>
      <c r="M5722" s="89"/>
      <c r="Q5722" s="105"/>
    </row>
    <row r="5723" spans="3:17" x14ac:dyDescent="0.3">
      <c r="C5723" s="87"/>
      <c r="H5723" s="86" t="e">
        <f>IF(I5723="fora",0%,G5723/QUÓRUM!$C$6)</f>
        <v>#DIV/0!</v>
      </c>
      <c r="I5723" s="87"/>
      <c r="J5723" s="88"/>
      <c r="K5723" s="88"/>
      <c r="L5723" s="89"/>
      <c r="M5723" s="89"/>
      <c r="Q5723" s="105"/>
    </row>
    <row r="5724" spans="3:17" x14ac:dyDescent="0.3">
      <c r="C5724" s="87"/>
      <c r="H5724" s="86" t="e">
        <f>IF(I5724="fora",0%,G5724/QUÓRUM!$C$6)</f>
        <v>#DIV/0!</v>
      </c>
      <c r="I5724" s="87"/>
      <c r="J5724" s="88"/>
      <c r="K5724" s="88"/>
      <c r="L5724" s="89"/>
      <c r="M5724" s="89"/>
      <c r="Q5724" s="105"/>
    </row>
    <row r="5725" spans="3:17" x14ac:dyDescent="0.3">
      <c r="C5725" s="87"/>
      <c r="H5725" s="86" t="e">
        <f>IF(I5725="fora",0%,G5725/QUÓRUM!$C$6)</f>
        <v>#DIV/0!</v>
      </c>
      <c r="I5725" s="87"/>
      <c r="J5725" s="88"/>
      <c r="K5725" s="88"/>
      <c r="L5725" s="89"/>
      <c r="M5725" s="89"/>
      <c r="Q5725" s="105"/>
    </row>
    <row r="5726" spans="3:17" x14ac:dyDescent="0.3">
      <c r="C5726" s="87"/>
      <c r="H5726" s="86" t="e">
        <f>IF(I5726="fora",0%,G5726/QUÓRUM!$C$6)</f>
        <v>#DIV/0!</v>
      </c>
      <c r="I5726" s="87"/>
      <c r="J5726" s="88"/>
      <c r="K5726" s="88"/>
      <c r="L5726" s="89"/>
      <c r="M5726" s="89"/>
      <c r="Q5726" s="105"/>
    </row>
    <row r="5727" spans="3:17" x14ac:dyDescent="0.3">
      <c r="C5727" s="87"/>
      <c r="H5727" s="86" t="e">
        <f>IF(I5727="fora",0%,G5727/QUÓRUM!$C$6)</f>
        <v>#DIV/0!</v>
      </c>
      <c r="I5727" s="87"/>
      <c r="J5727" s="88"/>
      <c r="K5727" s="88"/>
      <c r="L5727" s="89"/>
      <c r="M5727" s="89"/>
      <c r="Q5727" s="105"/>
    </row>
    <row r="5728" spans="3:17" x14ac:dyDescent="0.3">
      <c r="C5728" s="87"/>
      <c r="H5728" s="86" t="e">
        <f>IF(I5728="fora",0%,G5728/QUÓRUM!$C$6)</f>
        <v>#DIV/0!</v>
      </c>
      <c r="I5728" s="87"/>
      <c r="J5728" s="88"/>
      <c r="K5728" s="88"/>
      <c r="L5728" s="89"/>
      <c r="M5728" s="89"/>
      <c r="Q5728" s="105"/>
    </row>
    <row r="5729" spans="3:17" x14ac:dyDescent="0.3">
      <c r="C5729" s="87"/>
      <c r="H5729" s="86" t="e">
        <f>IF(I5729="fora",0%,G5729/QUÓRUM!$C$6)</f>
        <v>#DIV/0!</v>
      </c>
      <c r="I5729" s="87"/>
      <c r="J5729" s="88"/>
      <c r="K5729" s="88"/>
      <c r="L5729" s="89"/>
      <c r="M5729" s="89"/>
      <c r="Q5729" s="105"/>
    </row>
    <row r="5730" spans="3:17" x14ac:dyDescent="0.3">
      <c r="C5730" s="87"/>
      <c r="H5730" s="86" t="e">
        <f>IF(I5730="fora",0%,G5730/QUÓRUM!$C$6)</f>
        <v>#DIV/0!</v>
      </c>
      <c r="I5730" s="87"/>
      <c r="J5730" s="88"/>
      <c r="K5730" s="88"/>
      <c r="L5730" s="89"/>
      <c r="M5730" s="89"/>
      <c r="Q5730" s="105"/>
    </row>
    <row r="5731" spans="3:17" x14ac:dyDescent="0.3">
      <c r="C5731" s="87"/>
      <c r="H5731" s="86" t="e">
        <f>IF(I5731="fora",0%,G5731/QUÓRUM!$C$6)</f>
        <v>#DIV/0!</v>
      </c>
      <c r="I5731" s="87"/>
      <c r="J5731" s="88"/>
      <c r="K5731" s="88"/>
      <c r="L5731" s="89"/>
      <c r="M5731" s="89"/>
      <c r="Q5731" s="105"/>
    </row>
    <row r="5732" spans="3:17" x14ac:dyDescent="0.3">
      <c r="C5732" s="87"/>
      <c r="H5732" s="86" t="e">
        <f>IF(I5732="fora",0%,G5732/QUÓRUM!$C$6)</f>
        <v>#DIV/0!</v>
      </c>
      <c r="I5732" s="87"/>
      <c r="J5732" s="88"/>
      <c r="K5732" s="88"/>
      <c r="L5732" s="89"/>
      <c r="M5732" s="89"/>
      <c r="Q5732" s="105"/>
    </row>
    <row r="5733" spans="3:17" x14ac:dyDescent="0.3">
      <c r="C5733" s="87"/>
      <c r="H5733" s="86" t="e">
        <f>IF(I5733="fora",0%,G5733/QUÓRUM!$C$6)</f>
        <v>#DIV/0!</v>
      </c>
      <c r="I5733" s="87"/>
      <c r="J5733" s="88"/>
      <c r="K5733" s="88"/>
      <c r="L5733" s="89"/>
      <c r="M5733" s="89"/>
      <c r="Q5733" s="105"/>
    </row>
    <row r="5734" spans="3:17" x14ac:dyDescent="0.3">
      <c r="C5734" s="87"/>
      <c r="H5734" s="86" t="e">
        <f>IF(I5734="fora",0%,G5734/QUÓRUM!$C$6)</f>
        <v>#DIV/0!</v>
      </c>
      <c r="I5734" s="87"/>
      <c r="J5734" s="88"/>
      <c r="K5734" s="88"/>
      <c r="L5734" s="89"/>
      <c r="M5734" s="89"/>
      <c r="Q5734" s="105"/>
    </row>
    <row r="5735" spans="3:17" x14ac:dyDescent="0.3">
      <c r="C5735" s="87"/>
      <c r="H5735" s="86" t="e">
        <f>IF(I5735="fora",0%,G5735/QUÓRUM!$C$6)</f>
        <v>#DIV/0!</v>
      </c>
      <c r="I5735" s="87"/>
      <c r="J5735" s="88"/>
      <c r="K5735" s="88"/>
      <c r="L5735" s="89"/>
      <c r="M5735" s="89"/>
      <c r="Q5735" s="105"/>
    </row>
    <row r="5736" spans="3:17" x14ac:dyDescent="0.3">
      <c r="C5736" s="87"/>
      <c r="H5736" s="86" t="e">
        <f>IF(I5736="fora",0%,G5736/QUÓRUM!$C$6)</f>
        <v>#DIV/0!</v>
      </c>
      <c r="I5736" s="87"/>
      <c r="J5736" s="88"/>
      <c r="K5736" s="88"/>
      <c r="L5736" s="89"/>
      <c r="M5736" s="89"/>
      <c r="Q5736" s="105"/>
    </row>
    <row r="5737" spans="3:17" x14ac:dyDescent="0.3">
      <c r="C5737" s="87"/>
      <c r="H5737" s="86" t="e">
        <f>IF(I5737="fora",0%,G5737/QUÓRUM!$C$6)</f>
        <v>#DIV/0!</v>
      </c>
      <c r="I5737" s="87"/>
      <c r="J5737" s="88"/>
      <c r="K5737" s="88"/>
      <c r="L5737" s="89"/>
      <c r="M5737" s="89"/>
      <c r="Q5737" s="105"/>
    </row>
    <row r="5738" spans="3:17" x14ac:dyDescent="0.3">
      <c r="C5738" s="87"/>
      <c r="H5738" s="86" t="e">
        <f>IF(I5738="fora",0%,G5738/QUÓRUM!$C$6)</f>
        <v>#DIV/0!</v>
      </c>
      <c r="I5738" s="87"/>
      <c r="J5738" s="88"/>
      <c r="K5738" s="88"/>
      <c r="L5738" s="89"/>
      <c r="M5738" s="89"/>
      <c r="Q5738" s="105"/>
    </row>
    <row r="5739" spans="3:17" x14ac:dyDescent="0.3">
      <c r="C5739" s="87"/>
      <c r="H5739" s="86" t="e">
        <f>IF(I5739="fora",0%,G5739/QUÓRUM!$C$6)</f>
        <v>#DIV/0!</v>
      </c>
      <c r="I5739" s="87"/>
      <c r="J5739" s="88"/>
      <c r="K5739" s="88"/>
      <c r="L5739" s="89"/>
      <c r="M5739" s="89"/>
      <c r="Q5739" s="105"/>
    </row>
    <row r="5740" spans="3:17" x14ac:dyDescent="0.3">
      <c r="C5740" s="87"/>
      <c r="H5740" s="86" t="e">
        <f>IF(I5740="fora",0%,G5740/QUÓRUM!$C$6)</f>
        <v>#DIV/0!</v>
      </c>
      <c r="I5740" s="87"/>
      <c r="J5740" s="88"/>
      <c r="K5740" s="88"/>
      <c r="L5740" s="89"/>
      <c r="M5740" s="89"/>
      <c r="Q5740" s="105"/>
    </row>
    <row r="5741" spans="3:17" x14ac:dyDescent="0.3">
      <c r="C5741" s="87"/>
      <c r="H5741" s="86" t="e">
        <f>IF(I5741="fora",0%,G5741/QUÓRUM!$C$6)</f>
        <v>#DIV/0!</v>
      </c>
      <c r="I5741" s="87"/>
      <c r="J5741" s="88"/>
      <c r="K5741" s="88"/>
      <c r="L5741" s="89"/>
      <c r="M5741" s="89"/>
      <c r="Q5741" s="105"/>
    </row>
    <row r="5742" spans="3:17" x14ac:dyDescent="0.3">
      <c r="C5742" s="87"/>
      <c r="H5742" s="86" t="e">
        <f>IF(I5742="fora",0%,G5742/QUÓRUM!$C$6)</f>
        <v>#DIV/0!</v>
      </c>
      <c r="I5742" s="87"/>
      <c r="J5742" s="88"/>
      <c r="K5742" s="88"/>
      <c r="L5742" s="89"/>
      <c r="M5742" s="89"/>
      <c r="Q5742" s="105"/>
    </row>
    <row r="5743" spans="3:17" x14ac:dyDescent="0.3">
      <c r="C5743" s="87"/>
      <c r="H5743" s="86" t="e">
        <f>IF(I5743="fora",0%,G5743/QUÓRUM!$C$6)</f>
        <v>#DIV/0!</v>
      </c>
      <c r="I5743" s="87"/>
      <c r="J5743" s="88"/>
      <c r="K5743" s="88"/>
      <c r="L5743" s="89"/>
      <c r="M5743" s="89"/>
      <c r="Q5743" s="105"/>
    </row>
    <row r="5744" spans="3:17" x14ac:dyDescent="0.3">
      <c r="C5744" s="87"/>
      <c r="H5744" s="86" t="e">
        <f>IF(I5744="fora",0%,G5744/QUÓRUM!$C$6)</f>
        <v>#DIV/0!</v>
      </c>
      <c r="I5744" s="87"/>
      <c r="J5744" s="88"/>
      <c r="K5744" s="88"/>
      <c r="L5744" s="89"/>
      <c r="M5744" s="89"/>
      <c r="Q5744" s="105"/>
    </row>
    <row r="5745" spans="3:17" x14ac:dyDescent="0.3">
      <c r="C5745" s="87"/>
      <c r="H5745" s="86" t="e">
        <f>IF(I5745="fora",0%,G5745/QUÓRUM!$C$6)</f>
        <v>#DIV/0!</v>
      </c>
      <c r="I5745" s="87"/>
      <c r="J5745" s="88"/>
      <c r="K5745" s="88"/>
      <c r="L5745" s="89"/>
      <c r="M5745" s="89"/>
      <c r="Q5745" s="105"/>
    </row>
    <row r="5746" spans="3:17" x14ac:dyDescent="0.3">
      <c r="C5746" s="87"/>
      <c r="H5746" s="86" t="e">
        <f>IF(I5746="fora",0%,G5746/QUÓRUM!$C$6)</f>
        <v>#DIV/0!</v>
      </c>
      <c r="I5746" s="87"/>
      <c r="J5746" s="88"/>
      <c r="K5746" s="88"/>
      <c r="L5746" s="89"/>
      <c r="M5746" s="89"/>
      <c r="Q5746" s="105"/>
    </row>
    <row r="5747" spans="3:17" x14ac:dyDescent="0.3">
      <c r="C5747" s="87"/>
      <c r="H5747" s="86" t="e">
        <f>IF(I5747="fora",0%,G5747/QUÓRUM!$C$6)</f>
        <v>#DIV/0!</v>
      </c>
      <c r="I5747" s="87"/>
      <c r="J5747" s="88"/>
      <c r="K5747" s="88"/>
      <c r="L5747" s="89"/>
      <c r="M5747" s="89"/>
      <c r="Q5747" s="105"/>
    </row>
    <row r="5748" spans="3:17" x14ac:dyDescent="0.3">
      <c r="C5748" s="87"/>
      <c r="H5748" s="86" t="e">
        <f>IF(I5748="fora",0%,G5748/QUÓRUM!$C$6)</f>
        <v>#DIV/0!</v>
      </c>
      <c r="I5748" s="87"/>
      <c r="J5748" s="88"/>
      <c r="K5748" s="88"/>
      <c r="L5748" s="89"/>
      <c r="M5748" s="89"/>
      <c r="Q5748" s="105"/>
    </row>
    <row r="5749" spans="3:17" x14ac:dyDescent="0.3">
      <c r="C5749" s="87"/>
      <c r="H5749" s="86" t="e">
        <f>IF(I5749="fora",0%,G5749/QUÓRUM!$C$6)</f>
        <v>#DIV/0!</v>
      </c>
      <c r="I5749" s="87"/>
      <c r="J5749" s="88"/>
      <c r="K5749" s="88"/>
      <c r="L5749" s="89"/>
      <c r="M5749" s="89"/>
      <c r="Q5749" s="105"/>
    </row>
    <row r="5750" spans="3:17" x14ac:dyDescent="0.3">
      <c r="C5750" s="87"/>
      <c r="H5750" s="86" t="e">
        <f>IF(I5750="fora",0%,G5750/QUÓRUM!$C$6)</f>
        <v>#DIV/0!</v>
      </c>
      <c r="I5750" s="87"/>
      <c r="J5750" s="88"/>
      <c r="K5750" s="88"/>
      <c r="L5750" s="89"/>
      <c r="M5750" s="89"/>
      <c r="Q5750" s="105"/>
    </row>
    <row r="5751" spans="3:17" x14ac:dyDescent="0.3">
      <c r="C5751" s="87"/>
      <c r="H5751" s="86" t="e">
        <f>IF(I5751="fora",0%,G5751/QUÓRUM!$C$6)</f>
        <v>#DIV/0!</v>
      </c>
      <c r="I5751" s="87"/>
      <c r="J5751" s="88"/>
      <c r="K5751" s="88"/>
      <c r="L5751" s="89"/>
      <c r="M5751" s="89"/>
      <c r="Q5751" s="105"/>
    </row>
    <row r="5752" spans="3:17" x14ac:dyDescent="0.3">
      <c r="C5752" s="87"/>
      <c r="H5752" s="86" t="e">
        <f>IF(I5752="fora",0%,G5752/QUÓRUM!$C$6)</f>
        <v>#DIV/0!</v>
      </c>
      <c r="I5752" s="87"/>
      <c r="J5752" s="88"/>
      <c r="K5752" s="88"/>
      <c r="L5752" s="89"/>
      <c r="M5752" s="89"/>
      <c r="Q5752" s="105"/>
    </row>
    <row r="5753" spans="3:17" x14ac:dyDescent="0.3">
      <c r="C5753" s="87"/>
      <c r="H5753" s="86" t="e">
        <f>IF(I5753="fora",0%,G5753/QUÓRUM!$C$6)</f>
        <v>#DIV/0!</v>
      </c>
      <c r="I5753" s="87"/>
      <c r="J5753" s="88"/>
      <c r="K5753" s="88"/>
      <c r="L5753" s="89"/>
      <c r="M5753" s="89"/>
      <c r="Q5753" s="105"/>
    </row>
    <row r="5754" spans="3:17" x14ac:dyDescent="0.3">
      <c r="C5754" s="87"/>
      <c r="H5754" s="86" t="e">
        <f>IF(I5754="fora",0%,G5754/QUÓRUM!$C$6)</f>
        <v>#DIV/0!</v>
      </c>
      <c r="I5754" s="87"/>
      <c r="J5754" s="88"/>
      <c r="K5754" s="88"/>
      <c r="L5754" s="89"/>
      <c r="M5754" s="89"/>
      <c r="Q5754" s="105"/>
    </row>
    <row r="5755" spans="3:17" x14ac:dyDescent="0.3">
      <c r="C5755" s="87"/>
      <c r="H5755" s="86" t="e">
        <f>IF(I5755="fora",0%,G5755/QUÓRUM!$C$6)</f>
        <v>#DIV/0!</v>
      </c>
      <c r="I5755" s="87"/>
      <c r="J5755" s="88"/>
      <c r="K5755" s="88"/>
      <c r="L5755" s="89"/>
      <c r="M5755" s="89"/>
      <c r="Q5755" s="105"/>
    </row>
    <row r="5756" spans="3:17" x14ac:dyDescent="0.3">
      <c r="C5756" s="87"/>
      <c r="H5756" s="86" t="e">
        <f>IF(I5756="fora",0%,G5756/QUÓRUM!$C$6)</f>
        <v>#DIV/0!</v>
      </c>
      <c r="I5756" s="87"/>
      <c r="J5756" s="88"/>
      <c r="K5756" s="88"/>
      <c r="L5756" s="89"/>
      <c r="M5756" s="89"/>
      <c r="Q5756" s="105"/>
    </row>
    <row r="5757" spans="3:17" x14ac:dyDescent="0.3">
      <c r="C5757" s="87"/>
      <c r="H5757" s="86" t="e">
        <f>IF(I5757="fora",0%,G5757/QUÓRUM!$C$6)</f>
        <v>#DIV/0!</v>
      </c>
      <c r="I5757" s="87"/>
      <c r="J5757" s="88"/>
      <c r="K5757" s="88"/>
      <c r="L5757" s="89"/>
      <c r="M5757" s="89"/>
      <c r="Q5757" s="105"/>
    </row>
    <row r="5758" spans="3:17" x14ac:dyDescent="0.3">
      <c r="C5758" s="87"/>
      <c r="H5758" s="86" t="e">
        <f>IF(I5758="fora",0%,G5758/QUÓRUM!$C$6)</f>
        <v>#DIV/0!</v>
      </c>
      <c r="I5758" s="87"/>
      <c r="J5758" s="88"/>
      <c r="K5758" s="88"/>
      <c r="L5758" s="89"/>
      <c r="M5758" s="89"/>
      <c r="Q5758" s="105"/>
    </row>
    <row r="5759" spans="3:17" x14ac:dyDescent="0.3">
      <c r="C5759" s="87"/>
      <c r="H5759" s="86" t="e">
        <f>IF(I5759="fora",0%,G5759/QUÓRUM!$C$6)</f>
        <v>#DIV/0!</v>
      </c>
      <c r="I5759" s="87"/>
      <c r="J5759" s="88"/>
      <c r="K5759" s="88"/>
      <c r="L5759" s="89"/>
      <c r="M5759" s="89"/>
      <c r="Q5759" s="105"/>
    </row>
    <row r="5760" spans="3:17" x14ac:dyDescent="0.3">
      <c r="C5760" s="87"/>
      <c r="H5760" s="86" t="e">
        <f>IF(I5760="fora",0%,G5760/QUÓRUM!$C$6)</f>
        <v>#DIV/0!</v>
      </c>
      <c r="I5760" s="87"/>
      <c r="J5760" s="88"/>
      <c r="K5760" s="88"/>
      <c r="L5760" s="89"/>
      <c r="M5760" s="89"/>
      <c r="Q5760" s="105"/>
    </row>
    <row r="5761" spans="3:17" x14ac:dyDescent="0.3">
      <c r="C5761" s="87"/>
      <c r="H5761" s="86" t="e">
        <f>IF(I5761="fora",0%,G5761/QUÓRUM!$C$6)</f>
        <v>#DIV/0!</v>
      </c>
      <c r="I5761" s="87"/>
      <c r="J5761" s="88"/>
      <c r="K5761" s="88"/>
      <c r="L5761" s="89"/>
      <c r="M5761" s="89"/>
      <c r="Q5761" s="105"/>
    </row>
    <row r="5762" spans="3:17" x14ac:dyDescent="0.3">
      <c r="C5762" s="87"/>
      <c r="H5762" s="86" t="e">
        <f>IF(I5762="fora",0%,G5762/QUÓRUM!$C$6)</f>
        <v>#DIV/0!</v>
      </c>
      <c r="I5762" s="87"/>
      <c r="J5762" s="88"/>
      <c r="K5762" s="88"/>
      <c r="L5762" s="89"/>
      <c r="M5762" s="89"/>
      <c r="Q5762" s="105"/>
    </row>
    <row r="5763" spans="3:17" x14ac:dyDescent="0.3">
      <c r="C5763" s="87"/>
      <c r="H5763" s="86" t="e">
        <f>IF(I5763="fora",0%,G5763/QUÓRUM!$C$6)</f>
        <v>#DIV/0!</v>
      </c>
      <c r="I5763" s="87"/>
      <c r="J5763" s="88"/>
      <c r="K5763" s="88"/>
      <c r="L5763" s="89"/>
      <c r="M5763" s="89"/>
      <c r="Q5763" s="105"/>
    </row>
    <row r="5764" spans="3:17" x14ac:dyDescent="0.3">
      <c r="C5764" s="87"/>
      <c r="H5764" s="86" t="e">
        <f>IF(I5764="fora",0%,G5764/QUÓRUM!$C$6)</f>
        <v>#DIV/0!</v>
      </c>
      <c r="I5764" s="87"/>
      <c r="J5764" s="88"/>
      <c r="K5764" s="88"/>
      <c r="L5764" s="89"/>
      <c r="M5764" s="89"/>
      <c r="Q5764" s="105"/>
    </row>
    <row r="5765" spans="3:17" x14ac:dyDescent="0.3">
      <c r="C5765" s="87"/>
      <c r="H5765" s="86" t="e">
        <f>IF(I5765="fora",0%,G5765/QUÓRUM!$C$6)</f>
        <v>#DIV/0!</v>
      </c>
      <c r="I5765" s="87"/>
      <c r="J5765" s="88"/>
      <c r="K5765" s="88"/>
      <c r="L5765" s="89"/>
      <c r="M5765" s="89"/>
      <c r="Q5765" s="105"/>
    </row>
    <row r="5766" spans="3:17" x14ac:dyDescent="0.3">
      <c r="C5766" s="87"/>
      <c r="H5766" s="86" t="e">
        <f>IF(I5766="fora",0%,G5766/QUÓRUM!$C$6)</f>
        <v>#DIV/0!</v>
      </c>
      <c r="I5766" s="87"/>
      <c r="J5766" s="88"/>
      <c r="K5766" s="88"/>
      <c r="L5766" s="89"/>
      <c r="M5766" s="89"/>
      <c r="Q5766" s="105"/>
    </row>
    <row r="5767" spans="3:17" x14ac:dyDescent="0.3">
      <c r="C5767" s="87"/>
      <c r="H5767" s="86" t="e">
        <f>IF(I5767="fora",0%,G5767/QUÓRUM!$C$6)</f>
        <v>#DIV/0!</v>
      </c>
      <c r="I5767" s="87"/>
      <c r="J5767" s="88"/>
      <c r="K5767" s="88"/>
      <c r="L5767" s="89"/>
      <c r="M5767" s="89"/>
      <c r="Q5767" s="105"/>
    </row>
    <row r="5768" spans="3:17" x14ac:dyDescent="0.3">
      <c r="C5768" s="87"/>
      <c r="H5768" s="86" t="e">
        <f>IF(I5768="fora",0%,G5768/QUÓRUM!$C$6)</f>
        <v>#DIV/0!</v>
      </c>
      <c r="I5768" s="87"/>
      <c r="J5768" s="88"/>
      <c r="K5768" s="88"/>
      <c r="L5768" s="89"/>
      <c r="M5768" s="89"/>
      <c r="Q5768" s="105"/>
    </row>
    <row r="5769" spans="3:17" x14ac:dyDescent="0.3">
      <c r="C5769" s="87"/>
      <c r="H5769" s="86" t="e">
        <f>IF(I5769="fora",0%,G5769/QUÓRUM!$C$6)</f>
        <v>#DIV/0!</v>
      </c>
      <c r="I5769" s="87"/>
      <c r="J5769" s="88"/>
      <c r="K5769" s="88"/>
      <c r="L5769" s="89"/>
      <c r="M5769" s="89"/>
      <c r="Q5769" s="105"/>
    </row>
    <row r="5770" spans="3:17" x14ac:dyDescent="0.3">
      <c r="C5770" s="87"/>
      <c r="H5770" s="86" t="e">
        <f>IF(I5770="fora",0%,G5770/QUÓRUM!$C$6)</f>
        <v>#DIV/0!</v>
      </c>
      <c r="I5770" s="87"/>
      <c r="J5770" s="88"/>
      <c r="K5770" s="88"/>
      <c r="L5770" s="89"/>
      <c r="M5770" s="89"/>
      <c r="Q5770" s="105"/>
    </row>
    <row r="5771" spans="3:17" x14ac:dyDescent="0.3">
      <c r="C5771" s="87"/>
      <c r="H5771" s="86" t="e">
        <f>IF(I5771="fora",0%,G5771/QUÓRUM!$C$6)</f>
        <v>#DIV/0!</v>
      </c>
      <c r="I5771" s="87"/>
      <c r="J5771" s="88"/>
      <c r="K5771" s="88"/>
      <c r="L5771" s="89"/>
      <c r="M5771" s="89"/>
      <c r="Q5771" s="105"/>
    </row>
    <row r="5772" spans="3:17" x14ac:dyDescent="0.3">
      <c r="C5772" s="87"/>
      <c r="H5772" s="86" t="e">
        <f>IF(I5772="fora",0%,G5772/QUÓRUM!$C$6)</f>
        <v>#DIV/0!</v>
      </c>
      <c r="I5772" s="87"/>
      <c r="J5772" s="88"/>
      <c r="K5772" s="88"/>
      <c r="L5772" s="89"/>
      <c r="M5772" s="89"/>
      <c r="Q5772" s="105"/>
    </row>
    <row r="5773" spans="3:17" x14ac:dyDescent="0.3">
      <c r="C5773" s="87"/>
      <c r="H5773" s="86" t="e">
        <f>IF(I5773="fora",0%,G5773/QUÓRUM!$C$6)</f>
        <v>#DIV/0!</v>
      </c>
      <c r="I5773" s="87"/>
      <c r="J5773" s="88"/>
      <c r="K5773" s="88"/>
      <c r="L5773" s="89"/>
      <c r="M5773" s="89"/>
      <c r="Q5773" s="105"/>
    </row>
    <row r="5774" spans="3:17" x14ac:dyDescent="0.3">
      <c r="C5774" s="87"/>
      <c r="H5774" s="86" t="e">
        <f>IF(I5774="fora",0%,G5774/QUÓRUM!$C$6)</f>
        <v>#DIV/0!</v>
      </c>
      <c r="I5774" s="87"/>
      <c r="J5774" s="88"/>
      <c r="K5774" s="88"/>
      <c r="L5774" s="89"/>
      <c r="M5774" s="89"/>
      <c r="Q5774" s="105"/>
    </row>
    <row r="5775" spans="3:17" x14ac:dyDescent="0.3">
      <c r="C5775" s="87"/>
      <c r="H5775" s="86" t="e">
        <f>IF(I5775="fora",0%,G5775/QUÓRUM!$C$6)</f>
        <v>#DIV/0!</v>
      </c>
      <c r="I5775" s="87"/>
      <c r="J5775" s="88"/>
      <c r="K5775" s="88"/>
      <c r="L5775" s="89"/>
      <c r="M5775" s="89"/>
      <c r="Q5775" s="105"/>
    </row>
    <row r="5776" spans="3:17" x14ac:dyDescent="0.3">
      <c r="C5776" s="87"/>
      <c r="H5776" s="86" t="e">
        <f>IF(I5776="fora",0%,G5776/QUÓRUM!$C$6)</f>
        <v>#DIV/0!</v>
      </c>
      <c r="I5776" s="87"/>
      <c r="J5776" s="88"/>
      <c r="K5776" s="88"/>
      <c r="L5776" s="89"/>
      <c r="M5776" s="89"/>
      <c r="Q5776" s="105"/>
    </row>
    <row r="5777" spans="3:17" x14ac:dyDescent="0.3">
      <c r="C5777" s="87"/>
      <c r="H5777" s="86" t="e">
        <f>IF(I5777="fora",0%,G5777/QUÓRUM!$C$6)</f>
        <v>#DIV/0!</v>
      </c>
      <c r="I5777" s="87"/>
      <c r="J5777" s="88"/>
      <c r="K5777" s="88"/>
      <c r="L5777" s="89"/>
      <c r="M5777" s="89"/>
      <c r="Q5777" s="105"/>
    </row>
    <row r="5778" spans="3:17" x14ac:dyDescent="0.3">
      <c r="C5778" s="87"/>
      <c r="H5778" s="86" t="e">
        <f>IF(I5778="fora",0%,G5778/QUÓRUM!$C$6)</f>
        <v>#DIV/0!</v>
      </c>
      <c r="I5778" s="87"/>
      <c r="J5778" s="88"/>
      <c r="K5778" s="88"/>
      <c r="L5778" s="89"/>
      <c r="M5778" s="89"/>
      <c r="Q5778" s="105"/>
    </row>
    <row r="5779" spans="3:17" x14ac:dyDescent="0.3">
      <c r="C5779" s="87"/>
      <c r="H5779" s="86" t="e">
        <f>IF(I5779="fora",0%,G5779/QUÓRUM!$C$6)</f>
        <v>#DIV/0!</v>
      </c>
      <c r="I5779" s="87"/>
      <c r="J5779" s="88"/>
      <c r="K5779" s="88"/>
      <c r="L5779" s="89"/>
      <c r="M5779" s="89"/>
      <c r="Q5779" s="105"/>
    </row>
    <row r="5780" spans="3:17" x14ac:dyDescent="0.3">
      <c r="C5780" s="87"/>
      <c r="H5780" s="86" t="e">
        <f>IF(I5780="fora",0%,G5780/QUÓRUM!$C$6)</f>
        <v>#DIV/0!</v>
      </c>
      <c r="I5780" s="87"/>
      <c r="J5780" s="88"/>
      <c r="K5780" s="88"/>
      <c r="L5780" s="89"/>
      <c r="M5780" s="89"/>
      <c r="Q5780" s="105"/>
    </row>
    <row r="5781" spans="3:17" x14ac:dyDescent="0.3">
      <c r="C5781" s="87"/>
      <c r="H5781" s="86" t="e">
        <f>IF(I5781="fora",0%,G5781/QUÓRUM!$C$6)</f>
        <v>#DIV/0!</v>
      </c>
      <c r="I5781" s="87"/>
      <c r="J5781" s="88"/>
      <c r="K5781" s="88"/>
      <c r="L5781" s="89"/>
      <c r="M5781" s="89"/>
      <c r="Q5781" s="105"/>
    </row>
    <row r="5782" spans="3:17" x14ac:dyDescent="0.3">
      <c r="C5782" s="87"/>
      <c r="H5782" s="86" t="e">
        <f>IF(I5782="fora",0%,G5782/QUÓRUM!$C$6)</f>
        <v>#DIV/0!</v>
      </c>
      <c r="I5782" s="87"/>
      <c r="J5782" s="88"/>
      <c r="K5782" s="88"/>
      <c r="L5782" s="89"/>
      <c r="M5782" s="89"/>
      <c r="Q5782" s="105"/>
    </row>
    <row r="5783" spans="3:17" x14ac:dyDescent="0.3">
      <c r="C5783" s="87"/>
      <c r="H5783" s="86" t="e">
        <f>IF(I5783="fora",0%,G5783/QUÓRUM!$C$6)</f>
        <v>#DIV/0!</v>
      </c>
      <c r="I5783" s="87"/>
      <c r="J5783" s="88"/>
      <c r="K5783" s="88"/>
      <c r="L5783" s="89"/>
      <c r="M5783" s="89"/>
      <c r="Q5783" s="105"/>
    </row>
    <row r="5784" spans="3:17" x14ac:dyDescent="0.3">
      <c r="C5784" s="87"/>
      <c r="H5784" s="86" t="e">
        <f>IF(I5784="fora",0%,G5784/QUÓRUM!$C$6)</f>
        <v>#DIV/0!</v>
      </c>
      <c r="I5784" s="87"/>
      <c r="J5784" s="88"/>
      <c r="K5784" s="88"/>
      <c r="L5784" s="89"/>
      <c r="M5784" s="89"/>
      <c r="Q5784" s="105"/>
    </row>
    <row r="5785" spans="3:17" x14ac:dyDescent="0.3">
      <c r="C5785" s="87"/>
      <c r="H5785" s="86" t="e">
        <f>IF(I5785="fora",0%,G5785/QUÓRUM!$C$6)</f>
        <v>#DIV/0!</v>
      </c>
      <c r="I5785" s="87"/>
      <c r="J5785" s="88"/>
      <c r="K5785" s="88"/>
      <c r="L5785" s="89"/>
      <c r="M5785" s="89"/>
      <c r="Q5785" s="105"/>
    </row>
    <row r="5786" spans="3:17" x14ac:dyDescent="0.3">
      <c r="C5786" s="87"/>
      <c r="H5786" s="86" t="e">
        <f>IF(I5786="fora",0%,G5786/QUÓRUM!$C$6)</f>
        <v>#DIV/0!</v>
      </c>
      <c r="I5786" s="87"/>
      <c r="J5786" s="88"/>
      <c r="K5786" s="88"/>
      <c r="L5786" s="89"/>
      <c r="M5786" s="89"/>
      <c r="Q5786" s="105"/>
    </row>
    <row r="5787" spans="3:17" x14ac:dyDescent="0.3">
      <c r="C5787" s="87"/>
      <c r="H5787" s="86" t="e">
        <f>IF(I5787="fora",0%,G5787/QUÓRUM!$C$6)</f>
        <v>#DIV/0!</v>
      </c>
      <c r="I5787" s="87"/>
      <c r="J5787" s="88"/>
      <c r="K5787" s="88"/>
      <c r="L5787" s="89"/>
      <c r="M5787" s="89"/>
      <c r="Q5787" s="105"/>
    </row>
    <row r="5788" spans="3:17" x14ac:dyDescent="0.3">
      <c r="C5788" s="87"/>
      <c r="H5788" s="86" t="e">
        <f>IF(I5788="fora",0%,G5788/QUÓRUM!$C$6)</f>
        <v>#DIV/0!</v>
      </c>
      <c r="I5788" s="87"/>
      <c r="J5788" s="88"/>
      <c r="K5788" s="88"/>
      <c r="L5788" s="89"/>
      <c r="M5788" s="89"/>
      <c r="Q5788" s="105"/>
    </row>
    <row r="5789" spans="3:17" x14ac:dyDescent="0.3">
      <c r="C5789" s="87"/>
      <c r="H5789" s="86" t="e">
        <f>IF(I5789="fora",0%,G5789/QUÓRUM!$C$6)</f>
        <v>#DIV/0!</v>
      </c>
      <c r="I5789" s="87"/>
      <c r="J5789" s="88"/>
      <c r="K5789" s="88"/>
      <c r="L5789" s="89"/>
      <c r="M5789" s="89"/>
      <c r="Q5789" s="105"/>
    </row>
    <row r="5790" spans="3:17" x14ac:dyDescent="0.3">
      <c r="C5790" s="87"/>
      <c r="H5790" s="86" t="e">
        <f>IF(I5790="fora",0%,G5790/QUÓRUM!$C$6)</f>
        <v>#DIV/0!</v>
      </c>
      <c r="I5790" s="87"/>
      <c r="J5790" s="88"/>
      <c r="K5790" s="88"/>
      <c r="L5790" s="89"/>
      <c r="M5790" s="89"/>
      <c r="Q5790" s="105"/>
    </row>
    <row r="5791" spans="3:17" x14ac:dyDescent="0.3">
      <c r="C5791" s="87"/>
      <c r="H5791" s="86" t="e">
        <f>IF(I5791="fora",0%,G5791/QUÓRUM!$C$6)</f>
        <v>#DIV/0!</v>
      </c>
      <c r="I5791" s="87"/>
      <c r="J5791" s="88"/>
      <c r="K5791" s="88"/>
      <c r="L5791" s="89"/>
      <c r="M5791" s="89"/>
      <c r="Q5791" s="105"/>
    </row>
    <row r="5792" spans="3:17" x14ac:dyDescent="0.3">
      <c r="C5792" s="87"/>
      <c r="H5792" s="86" t="e">
        <f>IF(I5792="fora",0%,G5792/QUÓRUM!$C$6)</f>
        <v>#DIV/0!</v>
      </c>
      <c r="I5792" s="87"/>
      <c r="J5792" s="88"/>
      <c r="K5792" s="88"/>
      <c r="L5792" s="89"/>
      <c r="M5792" s="89"/>
      <c r="Q5792" s="105"/>
    </row>
    <row r="5793" spans="3:17" x14ac:dyDescent="0.3">
      <c r="C5793" s="87"/>
      <c r="H5793" s="86" t="e">
        <f>IF(I5793="fora",0%,G5793/QUÓRUM!$C$6)</f>
        <v>#DIV/0!</v>
      </c>
      <c r="I5793" s="87"/>
      <c r="J5793" s="88"/>
      <c r="K5793" s="88"/>
      <c r="L5793" s="89"/>
      <c r="M5793" s="89"/>
      <c r="Q5793" s="105"/>
    </row>
    <row r="5794" spans="3:17" x14ac:dyDescent="0.3">
      <c r="C5794" s="87"/>
      <c r="H5794" s="86" t="e">
        <f>IF(I5794="fora",0%,G5794/QUÓRUM!$C$6)</f>
        <v>#DIV/0!</v>
      </c>
      <c r="I5794" s="87"/>
      <c r="J5794" s="88"/>
      <c r="K5794" s="88"/>
      <c r="L5794" s="89"/>
      <c r="M5794" s="89"/>
      <c r="Q5794" s="105"/>
    </row>
    <row r="5795" spans="3:17" x14ac:dyDescent="0.3">
      <c r="C5795" s="87"/>
      <c r="H5795" s="86" t="e">
        <f>IF(I5795="fora",0%,G5795/QUÓRUM!$C$6)</f>
        <v>#DIV/0!</v>
      </c>
      <c r="I5795" s="87"/>
      <c r="J5795" s="88"/>
      <c r="K5795" s="88"/>
      <c r="L5795" s="89"/>
      <c r="M5795" s="89"/>
      <c r="Q5795" s="105"/>
    </row>
    <row r="5796" spans="3:17" x14ac:dyDescent="0.3">
      <c r="C5796" s="87"/>
      <c r="H5796" s="86" t="e">
        <f>IF(I5796="fora",0%,G5796/QUÓRUM!$C$6)</f>
        <v>#DIV/0!</v>
      </c>
      <c r="I5796" s="87"/>
      <c r="J5796" s="88"/>
      <c r="K5796" s="88"/>
      <c r="L5796" s="89"/>
      <c r="M5796" s="89"/>
      <c r="Q5796" s="105"/>
    </row>
    <row r="5797" spans="3:17" x14ac:dyDescent="0.3">
      <c r="C5797" s="87"/>
      <c r="H5797" s="86" t="e">
        <f>IF(I5797="fora",0%,G5797/QUÓRUM!$C$6)</f>
        <v>#DIV/0!</v>
      </c>
      <c r="I5797" s="87"/>
      <c r="J5797" s="88"/>
      <c r="K5797" s="88"/>
      <c r="L5797" s="89"/>
      <c r="M5797" s="89"/>
      <c r="Q5797" s="105"/>
    </row>
    <row r="5798" spans="3:17" x14ac:dyDescent="0.3">
      <c r="C5798" s="87"/>
      <c r="H5798" s="86" t="e">
        <f>IF(I5798="fora",0%,G5798/QUÓRUM!$C$6)</f>
        <v>#DIV/0!</v>
      </c>
      <c r="I5798" s="87"/>
      <c r="J5798" s="88"/>
      <c r="K5798" s="88"/>
      <c r="L5798" s="89"/>
      <c r="M5798" s="89"/>
      <c r="Q5798" s="105"/>
    </row>
    <row r="5799" spans="3:17" x14ac:dyDescent="0.3">
      <c r="C5799" s="87"/>
      <c r="H5799" s="86" t="e">
        <f>IF(I5799="fora",0%,G5799/QUÓRUM!$C$6)</f>
        <v>#DIV/0!</v>
      </c>
      <c r="I5799" s="87"/>
      <c r="J5799" s="88"/>
      <c r="K5799" s="88"/>
      <c r="L5799" s="89"/>
      <c r="M5799" s="89"/>
      <c r="Q5799" s="105"/>
    </row>
    <row r="5800" spans="3:17" x14ac:dyDescent="0.3">
      <c r="C5800" s="87"/>
      <c r="H5800" s="86" t="e">
        <f>IF(I5800="fora",0%,G5800/QUÓRUM!$C$6)</f>
        <v>#DIV/0!</v>
      </c>
      <c r="I5800" s="87"/>
      <c r="J5800" s="88"/>
      <c r="K5800" s="88"/>
      <c r="L5800" s="89"/>
      <c r="M5800" s="89"/>
      <c r="Q5800" s="105"/>
    </row>
    <row r="5801" spans="3:17" x14ac:dyDescent="0.3">
      <c r="C5801" s="87"/>
      <c r="H5801" s="86" t="e">
        <f>IF(I5801="fora",0%,G5801/QUÓRUM!$C$6)</f>
        <v>#DIV/0!</v>
      </c>
      <c r="I5801" s="87"/>
      <c r="J5801" s="88"/>
      <c r="K5801" s="88"/>
      <c r="L5801" s="89"/>
      <c r="M5801" s="89"/>
      <c r="Q5801" s="105"/>
    </row>
    <row r="5802" spans="3:17" x14ac:dyDescent="0.3">
      <c r="C5802" s="87"/>
      <c r="H5802" s="86" t="e">
        <f>IF(I5802="fora",0%,G5802/QUÓRUM!$C$6)</f>
        <v>#DIV/0!</v>
      </c>
      <c r="I5802" s="87"/>
      <c r="J5802" s="88"/>
      <c r="K5802" s="88"/>
      <c r="L5802" s="89"/>
      <c r="M5802" s="89"/>
      <c r="Q5802" s="105"/>
    </row>
    <row r="5803" spans="3:17" x14ac:dyDescent="0.3">
      <c r="C5803" s="87"/>
      <c r="H5803" s="86" t="e">
        <f>IF(I5803="fora",0%,G5803/QUÓRUM!$C$6)</f>
        <v>#DIV/0!</v>
      </c>
      <c r="I5803" s="87"/>
      <c r="J5803" s="88"/>
      <c r="K5803" s="88"/>
      <c r="L5803" s="89"/>
      <c r="M5803" s="89"/>
      <c r="Q5803" s="105"/>
    </row>
    <row r="5804" spans="3:17" x14ac:dyDescent="0.3">
      <c r="C5804" s="87"/>
      <c r="H5804" s="86" t="e">
        <f>IF(I5804="fora",0%,G5804/QUÓRUM!$C$6)</f>
        <v>#DIV/0!</v>
      </c>
      <c r="I5804" s="87"/>
      <c r="J5804" s="88"/>
      <c r="K5804" s="88"/>
      <c r="L5804" s="89"/>
      <c r="M5804" s="89"/>
      <c r="Q5804" s="105"/>
    </row>
    <row r="5805" spans="3:17" x14ac:dyDescent="0.3">
      <c r="C5805" s="87"/>
      <c r="H5805" s="86" t="e">
        <f>IF(I5805="fora",0%,G5805/QUÓRUM!$C$6)</f>
        <v>#DIV/0!</v>
      </c>
      <c r="I5805" s="87"/>
      <c r="J5805" s="88"/>
      <c r="K5805" s="88"/>
      <c r="L5805" s="89"/>
      <c r="M5805" s="89"/>
      <c r="Q5805" s="105"/>
    </row>
    <row r="5806" spans="3:17" x14ac:dyDescent="0.3">
      <c r="C5806" s="87"/>
      <c r="H5806" s="86" t="e">
        <f>IF(I5806="fora",0%,G5806/QUÓRUM!$C$6)</f>
        <v>#DIV/0!</v>
      </c>
      <c r="I5806" s="87"/>
      <c r="J5806" s="88"/>
      <c r="K5806" s="88"/>
      <c r="L5806" s="89"/>
      <c r="M5806" s="89"/>
      <c r="Q5806" s="105"/>
    </row>
    <row r="5807" spans="3:17" x14ac:dyDescent="0.3">
      <c r="C5807" s="87"/>
      <c r="H5807" s="86" t="e">
        <f>IF(I5807="fora",0%,G5807/QUÓRUM!$C$6)</f>
        <v>#DIV/0!</v>
      </c>
      <c r="I5807" s="87"/>
      <c r="J5807" s="88"/>
      <c r="K5807" s="88"/>
      <c r="L5807" s="89"/>
      <c r="M5807" s="89"/>
      <c r="Q5807" s="105"/>
    </row>
    <row r="5808" spans="3:17" x14ac:dyDescent="0.3">
      <c r="C5808" s="87"/>
      <c r="H5808" s="86" t="e">
        <f>IF(I5808="fora",0%,G5808/QUÓRUM!$C$6)</f>
        <v>#DIV/0!</v>
      </c>
      <c r="I5808" s="87"/>
      <c r="J5808" s="88"/>
      <c r="K5808" s="88"/>
      <c r="L5808" s="89"/>
      <c r="M5808" s="89"/>
      <c r="Q5808" s="105"/>
    </row>
    <row r="5809" spans="3:17" x14ac:dyDescent="0.3">
      <c r="C5809" s="87"/>
      <c r="H5809" s="86" t="e">
        <f>IF(I5809="fora",0%,G5809/QUÓRUM!$C$6)</f>
        <v>#DIV/0!</v>
      </c>
      <c r="I5809" s="87"/>
      <c r="J5809" s="88"/>
      <c r="K5809" s="88"/>
      <c r="L5809" s="89"/>
      <c r="M5809" s="89"/>
      <c r="Q5809" s="105"/>
    </row>
    <row r="5810" spans="3:17" x14ac:dyDescent="0.3">
      <c r="C5810" s="87"/>
      <c r="H5810" s="86" t="e">
        <f>IF(I5810="fora",0%,G5810/QUÓRUM!$C$6)</f>
        <v>#DIV/0!</v>
      </c>
      <c r="I5810" s="87"/>
      <c r="J5810" s="88"/>
      <c r="K5810" s="88"/>
      <c r="L5810" s="89"/>
      <c r="M5810" s="89"/>
      <c r="Q5810" s="105"/>
    </row>
    <row r="5811" spans="3:17" x14ac:dyDescent="0.3">
      <c r="C5811" s="87"/>
      <c r="H5811" s="86" t="e">
        <f>IF(I5811="fora",0%,G5811/QUÓRUM!$C$6)</f>
        <v>#DIV/0!</v>
      </c>
      <c r="I5811" s="87"/>
      <c r="J5811" s="88"/>
      <c r="K5811" s="88"/>
      <c r="L5811" s="89"/>
      <c r="M5811" s="89"/>
      <c r="Q5811" s="105"/>
    </row>
    <row r="5812" spans="3:17" x14ac:dyDescent="0.3">
      <c r="C5812" s="87"/>
      <c r="H5812" s="86" t="e">
        <f>IF(I5812="fora",0%,G5812/QUÓRUM!$C$6)</f>
        <v>#DIV/0!</v>
      </c>
      <c r="I5812" s="87"/>
      <c r="J5812" s="88"/>
      <c r="K5812" s="88"/>
      <c r="L5812" s="89"/>
      <c r="M5812" s="89"/>
      <c r="Q5812" s="105"/>
    </row>
    <row r="5813" spans="3:17" x14ac:dyDescent="0.3">
      <c r="C5813" s="87"/>
      <c r="H5813" s="86" t="e">
        <f>IF(I5813="fora",0%,G5813/QUÓRUM!$C$6)</f>
        <v>#DIV/0!</v>
      </c>
      <c r="I5813" s="87"/>
      <c r="J5813" s="88"/>
      <c r="K5813" s="88"/>
      <c r="L5813" s="89"/>
      <c r="M5813" s="89"/>
      <c r="Q5813" s="105"/>
    </row>
    <row r="5814" spans="3:17" x14ac:dyDescent="0.3">
      <c r="C5814" s="87"/>
      <c r="H5814" s="86" t="e">
        <f>IF(I5814="fora",0%,G5814/QUÓRUM!$C$6)</f>
        <v>#DIV/0!</v>
      </c>
      <c r="I5814" s="87"/>
      <c r="J5814" s="88"/>
      <c r="K5814" s="88"/>
      <c r="L5814" s="89"/>
      <c r="M5814" s="89"/>
      <c r="Q5814" s="105"/>
    </row>
    <row r="5815" spans="3:17" x14ac:dyDescent="0.3">
      <c r="C5815" s="87"/>
      <c r="H5815" s="86" t="e">
        <f>IF(I5815="fora",0%,G5815/QUÓRUM!$C$6)</f>
        <v>#DIV/0!</v>
      </c>
      <c r="I5815" s="87"/>
      <c r="J5815" s="88"/>
      <c r="K5815" s="88"/>
      <c r="L5815" s="89"/>
      <c r="M5815" s="89"/>
      <c r="Q5815" s="105"/>
    </row>
    <row r="5816" spans="3:17" x14ac:dyDescent="0.3">
      <c r="C5816" s="87"/>
      <c r="H5816" s="86" t="e">
        <f>IF(I5816="fora",0%,G5816/QUÓRUM!$C$6)</f>
        <v>#DIV/0!</v>
      </c>
      <c r="I5816" s="87"/>
      <c r="J5816" s="88"/>
      <c r="K5816" s="88"/>
      <c r="L5816" s="89"/>
      <c r="M5816" s="89"/>
      <c r="Q5816" s="105"/>
    </row>
    <row r="5817" spans="3:17" x14ac:dyDescent="0.3">
      <c r="C5817" s="87"/>
      <c r="H5817" s="86" t="e">
        <f>IF(I5817="fora",0%,G5817/QUÓRUM!$C$6)</f>
        <v>#DIV/0!</v>
      </c>
      <c r="I5817" s="87"/>
      <c r="J5817" s="88"/>
      <c r="K5817" s="88"/>
      <c r="L5817" s="89"/>
      <c r="M5817" s="89"/>
      <c r="Q5817" s="105"/>
    </row>
    <row r="5818" spans="3:17" x14ac:dyDescent="0.3">
      <c r="C5818" s="87"/>
      <c r="H5818" s="86" t="e">
        <f>IF(I5818="fora",0%,G5818/QUÓRUM!$C$6)</f>
        <v>#DIV/0!</v>
      </c>
      <c r="I5818" s="87"/>
      <c r="J5818" s="88"/>
      <c r="K5818" s="88"/>
      <c r="L5818" s="89"/>
      <c r="M5818" s="89"/>
      <c r="Q5818" s="105"/>
    </row>
    <row r="5819" spans="3:17" x14ac:dyDescent="0.3">
      <c r="C5819" s="87"/>
      <c r="H5819" s="86" t="e">
        <f>IF(I5819="fora",0%,G5819/QUÓRUM!$C$6)</f>
        <v>#DIV/0!</v>
      </c>
      <c r="I5819" s="87"/>
      <c r="J5819" s="88"/>
      <c r="K5819" s="88"/>
      <c r="L5819" s="89"/>
      <c r="M5819" s="89"/>
      <c r="Q5819" s="105"/>
    </row>
    <row r="5820" spans="3:17" x14ac:dyDescent="0.3">
      <c r="C5820" s="87"/>
      <c r="H5820" s="86" t="e">
        <f>IF(I5820="fora",0%,G5820/QUÓRUM!$C$6)</f>
        <v>#DIV/0!</v>
      </c>
      <c r="I5820" s="87"/>
      <c r="J5820" s="88"/>
      <c r="K5820" s="88"/>
      <c r="L5820" s="89"/>
      <c r="M5820" s="89"/>
      <c r="Q5820" s="105"/>
    </row>
    <row r="5821" spans="3:17" x14ac:dyDescent="0.3">
      <c r="C5821" s="87"/>
      <c r="H5821" s="86" t="e">
        <f>IF(I5821="fora",0%,G5821/QUÓRUM!$C$6)</f>
        <v>#DIV/0!</v>
      </c>
      <c r="I5821" s="87"/>
      <c r="J5821" s="88"/>
      <c r="K5821" s="88"/>
      <c r="L5821" s="89"/>
      <c r="M5821" s="89"/>
      <c r="Q5821" s="105"/>
    </row>
    <row r="5822" spans="3:17" x14ac:dyDescent="0.3">
      <c r="C5822" s="87"/>
      <c r="H5822" s="86" t="e">
        <f>IF(I5822="fora",0%,G5822/QUÓRUM!$C$6)</f>
        <v>#DIV/0!</v>
      </c>
      <c r="I5822" s="87"/>
      <c r="J5822" s="88"/>
      <c r="K5822" s="88"/>
      <c r="L5822" s="89"/>
      <c r="M5822" s="89"/>
      <c r="Q5822" s="105"/>
    </row>
    <row r="5823" spans="3:17" x14ac:dyDescent="0.3">
      <c r="C5823" s="87"/>
      <c r="H5823" s="86" t="e">
        <f>IF(I5823="fora",0%,G5823/QUÓRUM!$C$6)</f>
        <v>#DIV/0!</v>
      </c>
      <c r="I5823" s="87"/>
      <c r="J5823" s="88"/>
      <c r="K5823" s="88"/>
      <c r="L5823" s="89"/>
      <c r="M5823" s="89"/>
      <c r="Q5823" s="105"/>
    </row>
    <row r="5824" spans="3:17" x14ac:dyDescent="0.3">
      <c r="C5824" s="87"/>
      <c r="H5824" s="86" t="e">
        <f>IF(I5824="fora",0%,G5824/QUÓRUM!$C$6)</f>
        <v>#DIV/0!</v>
      </c>
      <c r="I5824" s="87"/>
      <c r="J5824" s="88"/>
      <c r="K5824" s="88"/>
      <c r="L5824" s="89"/>
      <c r="M5824" s="89"/>
      <c r="Q5824" s="105"/>
    </row>
    <row r="5825" spans="3:17" x14ac:dyDescent="0.3">
      <c r="C5825" s="87"/>
      <c r="H5825" s="86" t="e">
        <f>IF(I5825="fora",0%,G5825/QUÓRUM!$C$6)</f>
        <v>#DIV/0!</v>
      </c>
      <c r="I5825" s="87"/>
      <c r="J5825" s="88"/>
      <c r="K5825" s="88"/>
      <c r="L5825" s="89"/>
      <c r="M5825" s="89"/>
      <c r="Q5825" s="105"/>
    </row>
    <row r="5826" spans="3:17" x14ac:dyDescent="0.3">
      <c r="C5826" s="87"/>
      <c r="H5826" s="86" t="e">
        <f>IF(I5826="fora",0%,G5826/QUÓRUM!$C$6)</f>
        <v>#DIV/0!</v>
      </c>
      <c r="I5826" s="87"/>
      <c r="J5826" s="88"/>
      <c r="K5826" s="88"/>
      <c r="L5826" s="89"/>
      <c r="M5826" s="89"/>
      <c r="Q5826" s="105"/>
    </row>
    <row r="5827" spans="3:17" x14ac:dyDescent="0.3">
      <c r="C5827" s="87"/>
      <c r="H5827" s="86" t="e">
        <f>IF(I5827="fora",0%,G5827/QUÓRUM!$C$6)</f>
        <v>#DIV/0!</v>
      </c>
      <c r="I5827" s="87"/>
      <c r="J5827" s="88"/>
      <c r="K5827" s="88"/>
      <c r="L5827" s="89"/>
      <c r="M5827" s="89"/>
      <c r="Q5827" s="105"/>
    </row>
    <row r="5828" spans="3:17" x14ac:dyDescent="0.3">
      <c r="C5828" s="87"/>
      <c r="H5828" s="86" t="e">
        <f>IF(I5828="fora",0%,G5828/QUÓRUM!$C$6)</f>
        <v>#DIV/0!</v>
      </c>
      <c r="I5828" s="87"/>
      <c r="J5828" s="88"/>
      <c r="K5828" s="88"/>
      <c r="L5828" s="89"/>
      <c r="M5828" s="89"/>
      <c r="Q5828" s="105"/>
    </row>
    <row r="5829" spans="3:17" x14ac:dyDescent="0.3">
      <c r="C5829" s="87"/>
      <c r="H5829" s="86" t="e">
        <f>IF(I5829="fora",0%,G5829/QUÓRUM!$C$6)</f>
        <v>#DIV/0!</v>
      </c>
      <c r="I5829" s="87"/>
      <c r="J5829" s="88"/>
      <c r="K5829" s="88"/>
      <c r="L5829" s="89"/>
      <c r="M5829" s="89"/>
      <c r="Q5829" s="105"/>
    </row>
    <row r="5830" spans="3:17" x14ac:dyDescent="0.3">
      <c r="C5830" s="87"/>
      <c r="H5830" s="86" t="e">
        <f>IF(I5830="fora",0%,G5830/QUÓRUM!$C$6)</f>
        <v>#DIV/0!</v>
      </c>
      <c r="I5830" s="87"/>
      <c r="J5830" s="88"/>
      <c r="K5830" s="88"/>
      <c r="L5830" s="89"/>
      <c r="M5830" s="89"/>
      <c r="Q5830" s="105"/>
    </row>
    <row r="5831" spans="3:17" x14ac:dyDescent="0.3">
      <c r="C5831" s="87"/>
      <c r="H5831" s="86" t="e">
        <f>IF(I5831="fora",0%,G5831/QUÓRUM!$C$6)</f>
        <v>#DIV/0!</v>
      </c>
      <c r="I5831" s="87"/>
      <c r="J5831" s="88"/>
      <c r="K5831" s="88"/>
      <c r="L5831" s="89"/>
      <c r="M5831" s="89"/>
      <c r="Q5831" s="105"/>
    </row>
    <row r="5832" spans="3:17" x14ac:dyDescent="0.3">
      <c r="C5832" s="87"/>
      <c r="H5832" s="86" t="e">
        <f>IF(I5832="fora",0%,G5832/QUÓRUM!$C$6)</f>
        <v>#DIV/0!</v>
      </c>
      <c r="I5832" s="87"/>
      <c r="J5832" s="88"/>
      <c r="K5832" s="88"/>
      <c r="L5832" s="89"/>
      <c r="M5832" s="89"/>
      <c r="Q5832" s="105"/>
    </row>
    <row r="5833" spans="3:17" x14ac:dyDescent="0.3">
      <c r="C5833" s="87"/>
      <c r="H5833" s="86" t="e">
        <f>IF(I5833="fora",0%,G5833/QUÓRUM!$C$6)</f>
        <v>#DIV/0!</v>
      </c>
      <c r="I5833" s="87"/>
      <c r="J5833" s="88"/>
      <c r="K5833" s="88"/>
      <c r="L5833" s="89"/>
      <c r="M5833" s="89"/>
      <c r="Q5833" s="105"/>
    </row>
    <row r="5834" spans="3:17" x14ac:dyDescent="0.3">
      <c r="C5834" s="87"/>
      <c r="H5834" s="86" t="e">
        <f>IF(I5834="fora",0%,G5834/QUÓRUM!$C$6)</f>
        <v>#DIV/0!</v>
      </c>
      <c r="I5834" s="87"/>
      <c r="J5834" s="88"/>
      <c r="K5834" s="88"/>
      <c r="L5834" s="89"/>
      <c r="M5834" s="89"/>
      <c r="Q5834" s="105"/>
    </row>
    <row r="5835" spans="3:17" x14ac:dyDescent="0.3">
      <c r="C5835" s="87"/>
      <c r="H5835" s="86" t="e">
        <f>IF(I5835="fora",0%,G5835/QUÓRUM!$C$6)</f>
        <v>#DIV/0!</v>
      </c>
      <c r="I5835" s="87"/>
      <c r="J5835" s="88"/>
      <c r="K5835" s="88"/>
      <c r="L5835" s="89"/>
      <c r="M5835" s="89"/>
      <c r="Q5835" s="105"/>
    </row>
    <row r="5836" spans="3:17" x14ac:dyDescent="0.3">
      <c r="C5836" s="87"/>
      <c r="H5836" s="86" t="e">
        <f>IF(I5836="fora",0%,G5836/QUÓRUM!$C$6)</f>
        <v>#DIV/0!</v>
      </c>
      <c r="I5836" s="87"/>
      <c r="J5836" s="88"/>
      <c r="K5836" s="88"/>
      <c r="L5836" s="89"/>
      <c r="M5836" s="89"/>
      <c r="Q5836" s="105"/>
    </row>
    <row r="5837" spans="3:17" x14ac:dyDescent="0.3">
      <c r="C5837" s="87"/>
      <c r="H5837" s="86" t="e">
        <f>IF(I5837="fora",0%,G5837/QUÓRUM!$C$6)</f>
        <v>#DIV/0!</v>
      </c>
      <c r="I5837" s="87"/>
      <c r="J5837" s="88"/>
      <c r="K5837" s="88"/>
      <c r="L5837" s="89"/>
      <c r="M5837" s="89"/>
      <c r="Q5837" s="105"/>
    </row>
    <row r="5838" spans="3:17" x14ac:dyDescent="0.3">
      <c r="C5838" s="87"/>
      <c r="H5838" s="86" t="e">
        <f>IF(I5838="fora",0%,G5838/QUÓRUM!$C$6)</f>
        <v>#DIV/0!</v>
      </c>
      <c r="I5838" s="87"/>
      <c r="J5838" s="88"/>
      <c r="K5838" s="88"/>
      <c r="L5838" s="89"/>
      <c r="M5838" s="89"/>
      <c r="Q5838" s="105"/>
    </row>
    <row r="5839" spans="3:17" x14ac:dyDescent="0.3">
      <c r="C5839" s="87"/>
      <c r="H5839" s="86" t="e">
        <f>IF(I5839="fora",0%,G5839/QUÓRUM!$C$6)</f>
        <v>#DIV/0!</v>
      </c>
      <c r="I5839" s="87"/>
      <c r="J5839" s="88"/>
      <c r="K5839" s="88"/>
      <c r="L5839" s="89"/>
      <c r="M5839" s="89"/>
      <c r="Q5839" s="105"/>
    </row>
    <row r="5840" spans="3:17" x14ac:dyDescent="0.3">
      <c r="C5840" s="87"/>
      <c r="H5840" s="86" t="e">
        <f>IF(I5840="fora",0%,G5840/QUÓRUM!$C$6)</f>
        <v>#DIV/0!</v>
      </c>
      <c r="I5840" s="87"/>
      <c r="J5840" s="88"/>
      <c r="K5840" s="88"/>
      <c r="L5840" s="89"/>
      <c r="M5840" s="89"/>
      <c r="Q5840" s="105"/>
    </row>
    <row r="5841" spans="3:17" x14ac:dyDescent="0.3">
      <c r="C5841" s="87"/>
      <c r="H5841" s="86" t="e">
        <f>IF(I5841="fora",0%,G5841/QUÓRUM!$C$6)</f>
        <v>#DIV/0!</v>
      </c>
      <c r="I5841" s="87"/>
      <c r="J5841" s="88"/>
      <c r="K5841" s="88"/>
      <c r="L5841" s="89"/>
      <c r="M5841" s="89"/>
      <c r="Q5841" s="105"/>
    </row>
    <row r="5842" spans="3:17" x14ac:dyDescent="0.3">
      <c r="C5842" s="87"/>
      <c r="H5842" s="86" t="e">
        <f>IF(I5842="fora",0%,G5842/QUÓRUM!$C$6)</f>
        <v>#DIV/0!</v>
      </c>
      <c r="I5842" s="87"/>
      <c r="J5842" s="88"/>
      <c r="K5842" s="88"/>
      <c r="L5842" s="89"/>
      <c r="M5842" s="89"/>
      <c r="Q5842" s="105"/>
    </row>
    <row r="5843" spans="3:17" x14ac:dyDescent="0.3">
      <c r="C5843" s="87"/>
      <c r="H5843" s="86" t="e">
        <f>IF(I5843="fora",0%,G5843/QUÓRUM!$C$6)</f>
        <v>#DIV/0!</v>
      </c>
      <c r="I5843" s="87"/>
      <c r="J5843" s="88"/>
      <c r="K5843" s="88"/>
      <c r="L5843" s="89"/>
      <c r="M5843" s="89"/>
      <c r="Q5843" s="105"/>
    </row>
    <row r="5844" spans="3:17" x14ac:dyDescent="0.3">
      <c r="C5844" s="87"/>
      <c r="H5844" s="86" t="e">
        <f>IF(I5844="fora",0%,G5844/QUÓRUM!$C$6)</f>
        <v>#DIV/0!</v>
      </c>
      <c r="I5844" s="87"/>
      <c r="J5844" s="88"/>
      <c r="K5844" s="88"/>
      <c r="L5844" s="89"/>
      <c r="M5844" s="89"/>
      <c r="Q5844" s="105"/>
    </row>
    <row r="5845" spans="3:17" x14ac:dyDescent="0.3">
      <c r="C5845" s="87"/>
      <c r="H5845" s="86" t="e">
        <f>IF(I5845="fora",0%,G5845/QUÓRUM!$C$6)</f>
        <v>#DIV/0!</v>
      </c>
      <c r="I5845" s="87"/>
      <c r="J5845" s="88"/>
      <c r="K5845" s="88"/>
      <c r="L5845" s="89"/>
      <c r="M5845" s="89"/>
      <c r="Q5845" s="105"/>
    </row>
    <row r="5846" spans="3:17" x14ac:dyDescent="0.3">
      <c r="C5846" s="87"/>
      <c r="H5846" s="86" t="e">
        <f>IF(I5846="fora",0%,G5846/QUÓRUM!$C$6)</f>
        <v>#DIV/0!</v>
      </c>
      <c r="I5846" s="87"/>
      <c r="J5846" s="88"/>
      <c r="K5846" s="88"/>
      <c r="L5846" s="89"/>
      <c r="M5846" s="89"/>
      <c r="Q5846" s="105"/>
    </row>
    <row r="5847" spans="3:17" x14ac:dyDescent="0.3">
      <c r="C5847" s="87"/>
      <c r="H5847" s="86" t="e">
        <f>IF(I5847="fora",0%,G5847/QUÓRUM!$C$6)</f>
        <v>#DIV/0!</v>
      </c>
      <c r="I5847" s="87"/>
      <c r="J5847" s="88"/>
      <c r="K5847" s="88"/>
      <c r="L5847" s="89"/>
      <c r="M5847" s="89"/>
      <c r="Q5847" s="105"/>
    </row>
    <row r="5848" spans="3:17" x14ac:dyDescent="0.3">
      <c r="C5848" s="87"/>
      <c r="H5848" s="86" t="e">
        <f>IF(I5848="fora",0%,G5848/QUÓRUM!$C$6)</f>
        <v>#DIV/0!</v>
      </c>
      <c r="I5848" s="87"/>
      <c r="J5848" s="88"/>
      <c r="K5848" s="88"/>
      <c r="L5848" s="89"/>
      <c r="M5848" s="89"/>
      <c r="Q5848" s="105"/>
    </row>
    <row r="5849" spans="3:17" x14ac:dyDescent="0.3">
      <c r="C5849" s="87"/>
      <c r="H5849" s="86" t="e">
        <f>IF(I5849="fora",0%,G5849/QUÓRUM!$C$6)</f>
        <v>#DIV/0!</v>
      </c>
      <c r="I5849" s="87"/>
      <c r="J5849" s="88"/>
      <c r="K5849" s="88"/>
      <c r="L5849" s="89"/>
      <c r="M5849" s="89"/>
      <c r="Q5849" s="105"/>
    </row>
    <row r="5850" spans="3:17" x14ac:dyDescent="0.3">
      <c r="C5850" s="87"/>
      <c r="H5850" s="86" t="e">
        <f>IF(I5850="fora",0%,G5850/QUÓRUM!$C$6)</f>
        <v>#DIV/0!</v>
      </c>
      <c r="I5850" s="87"/>
      <c r="J5850" s="88"/>
      <c r="K5850" s="88"/>
      <c r="L5850" s="89"/>
      <c r="M5850" s="89"/>
      <c r="Q5850" s="105"/>
    </row>
    <row r="5851" spans="3:17" x14ac:dyDescent="0.3">
      <c r="C5851" s="87"/>
      <c r="H5851" s="86" t="e">
        <f>IF(I5851="fora",0%,G5851/QUÓRUM!$C$6)</f>
        <v>#DIV/0!</v>
      </c>
      <c r="I5851" s="87"/>
      <c r="J5851" s="88"/>
      <c r="K5851" s="88"/>
      <c r="L5851" s="89"/>
      <c r="M5851" s="89"/>
      <c r="Q5851" s="105"/>
    </row>
    <row r="5852" spans="3:17" x14ac:dyDescent="0.3">
      <c r="C5852" s="87"/>
      <c r="H5852" s="86" t="e">
        <f>IF(I5852="fora",0%,G5852/QUÓRUM!$C$6)</f>
        <v>#DIV/0!</v>
      </c>
      <c r="I5852" s="87"/>
      <c r="J5852" s="88"/>
      <c r="K5852" s="88"/>
      <c r="L5852" s="89"/>
      <c r="M5852" s="89"/>
      <c r="Q5852" s="105"/>
    </row>
    <row r="5853" spans="3:17" x14ac:dyDescent="0.3">
      <c r="C5853" s="87"/>
      <c r="H5853" s="86" t="e">
        <f>IF(I5853="fora",0%,G5853/QUÓRUM!$C$6)</f>
        <v>#DIV/0!</v>
      </c>
      <c r="I5853" s="87"/>
      <c r="J5853" s="88"/>
      <c r="K5853" s="88"/>
      <c r="L5853" s="89"/>
      <c r="M5853" s="89"/>
      <c r="Q5853" s="105"/>
    </row>
    <row r="5854" spans="3:17" x14ac:dyDescent="0.3">
      <c r="C5854" s="87"/>
      <c r="H5854" s="86" t="e">
        <f>IF(I5854="fora",0%,G5854/QUÓRUM!$C$6)</f>
        <v>#DIV/0!</v>
      </c>
      <c r="I5854" s="87"/>
      <c r="J5854" s="88"/>
      <c r="K5854" s="88"/>
      <c r="L5854" s="89"/>
      <c r="M5854" s="89"/>
      <c r="Q5854" s="105"/>
    </row>
    <row r="5855" spans="3:17" x14ac:dyDescent="0.3">
      <c r="C5855" s="87"/>
      <c r="H5855" s="86" t="e">
        <f>IF(I5855="fora",0%,G5855/QUÓRUM!$C$6)</f>
        <v>#DIV/0!</v>
      </c>
      <c r="I5855" s="87"/>
      <c r="J5855" s="88"/>
      <c r="K5855" s="88"/>
      <c r="L5855" s="89"/>
      <c r="M5855" s="89"/>
      <c r="Q5855" s="105"/>
    </row>
    <row r="5856" spans="3:17" x14ac:dyDescent="0.3">
      <c r="C5856" s="87"/>
      <c r="H5856" s="86" t="e">
        <f>IF(I5856="fora",0%,G5856/QUÓRUM!$C$6)</f>
        <v>#DIV/0!</v>
      </c>
      <c r="I5856" s="87"/>
      <c r="J5856" s="88"/>
      <c r="K5856" s="88"/>
      <c r="L5856" s="89"/>
      <c r="M5856" s="89"/>
      <c r="Q5856" s="105"/>
    </row>
    <row r="5857" spans="3:17" x14ac:dyDescent="0.3">
      <c r="C5857" s="87"/>
      <c r="H5857" s="86" t="e">
        <f>IF(I5857="fora",0%,G5857/QUÓRUM!$C$6)</f>
        <v>#DIV/0!</v>
      </c>
      <c r="I5857" s="87"/>
      <c r="J5857" s="88"/>
      <c r="K5857" s="88"/>
      <c r="L5857" s="89"/>
      <c r="M5857" s="89"/>
      <c r="Q5857" s="105"/>
    </row>
    <row r="5858" spans="3:17" x14ac:dyDescent="0.3">
      <c r="C5858" s="87"/>
      <c r="H5858" s="86" t="e">
        <f>IF(I5858="fora",0%,G5858/QUÓRUM!$C$6)</f>
        <v>#DIV/0!</v>
      </c>
      <c r="I5858" s="87"/>
      <c r="J5858" s="88"/>
      <c r="K5858" s="88"/>
      <c r="L5858" s="89"/>
      <c r="M5858" s="89"/>
      <c r="Q5858" s="105"/>
    </row>
    <row r="5859" spans="3:17" x14ac:dyDescent="0.3">
      <c r="C5859" s="87"/>
      <c r="H5859" s="86" t="e">
        <f>IF(I5859="fora",0%,G5859/QUÓRUM!$C$6)</f>
        <v>#DIV/0!</v>
      </c>
      <c r="I5859" s="87"/>
      <c r="J5859" s="88"/>
      <c r="K5859" s="88"/>
      <c r="L5859" s="89"/>
      <c r="M5859" s="89"/>
      <c r="Q5859" s="105"/>
    </row>
    <row r="5860" spans="3:17" x14ac:dyDescent="0.3">
      <c r="C5860" s="87"/>
      <c r="H5860" s="86" t="e">
        <f>IF(I5860="fora",0%,G5860/QUÓRUM!$C$6)</f>
        <v>#DIV/0!</v>
      </c>
      <c r="I5860" s="87"/>
      <c r="J5860" s="88"/>
      <c r="K5860" s="88"/>
      <c r="L5860" s="89"/>
      <c r="M5860" s="89"/>
      <c r="Q5860" s="105"/>
    </row>
    <row r="5861" spans="3:17" x14ac:dyDescent="0.3">
      <c r="C5861" s="87"/>
      <c r="H5861" s="86" t="e">
        <f>IF(I5861="fora",0%,G5861/QUÓRUM!$C$6)</f>
        <v>#DIV/0!</v>
      </c>
      <c r="I5861" s="87"/>
      <c r="J5861" s="88"/>
      <c r="K5861" s="88"/>
      <c r="L5861" s="89"/>
      <c r="M5861" s="89"/>
      <c r="Q5861" s="105"/>
    </row>
    <row r="5862" spans="3:17" x14ac:dyDescent="0.3">
      <c r="C5862" s="87"/>
      <c r="H5862" s="86" t="e">
        <f>IF(I5862="fora",0%,G5862/QUÓRUM!$C$6)</f>
        <v>#DIV/0!</v>
      </c>
      <c r="I5862" s="87"/>
      <c r="J5862" s="88"/>
      <c r="K5862" s="88"/>
      <c r="L5862" s="89"/>
      <c r="M5862" s="89"/>
      <c r="Q5862" s="105"/>
    </row>
    <row r="5863" spans="3:17" x14ac:dyDescent="0.3">
      <c r="C5863" s="87"/>
      <c r="H5863" s="86" t="e">
        <f>IF(I5863="fora",0%,G5863/QUÓRUM!$C$6)</f>
        <v>#DIV/0!</v>
      </c>
      <c r="I5863" s="87"/>
      <c r="J5863" s="88"/>
      <c r="K5863" s="88"/>
      <c r="L5863" s="89"/>
      <c r="M5863" s="89"/>
      <c r="Q5863" s="105"/>
    </row>
    <row r="5864" spans="3:17" x14ac:dyDescent="0.3">
      <c r="C5864" s="87"/>
      <c r="H5864" s="86" t="e">
        <f>IF(I5864="fora",0%,G5864/QUÓRUM!$C$6)</f>
        <v>#DIV/0!</v>
      </c>
      <c r="I5864" s="87"/>
      <c r="J5864" s="88"/>
      <c r="K5864" s="88"/>
      <c r="L5864" s="89"/>
      <c r="M5864" s="89"/>
      <c r="Q5864" s="105"/>
    </row>
    <row r="5865" spans="3:17" x14ac:dyDescent="0.3">
      <c r="C5865" s="87"/>
      <c r="H5865" s="86" t="e">
        <f>IF(I5865="fora",0%,G5865/QUÓRUM!$C$6)</f>
        <v>#DIV/0!</v>
      </c>
      <c r="I5865" s="87"/>
      <c r="J5865" s="88"/>
      <c r="K5865" s="88"/>
      <c r="L5865" s="89"/>
      <c r="M5865" s="89"/>
      <c r="Q5865" s="105"/>
    </row>
    <row r="5866" spans="3:17" x14ac:dyDescent="0.3">
      <c r="C5866" s="87"/>
      <c r="H5866" s="86" t="e">
        <f>IF(I5866="fora",0%,G5866/QUÓRUM!$C$6)</f>
        <v>#DIV/0!</v>
      </c>
      <c r="I5866" s="87"/>
      <c r="J5866" s="88"/>
      <c r="K5866" s="88"/>
      <c r="L5866" s="89"/>
      <c r="M5866" s="89"/>
      <c r="Q5866" s="105"/>
    </row>
    <row r="5867" spans="3:17" x14ac:dyDescent="0.3">
      <c r="C5867" s="87"/>
      <c r="H5867" s="86" t="e">
        <f>IF(I5867="fora",0%,G5867/QUÓRUM!$C$6)</f>
        <v>#DIV/0!</v>
      </c>
      <c r="I5867" s="87"/>
      <c r="J5867" s="88"/>
      <c r="K5867" s="88"/>
      <c r="L5867" s="89"/>
      <c r="M5867" s="89"/>
      <c r="Q5867" s="105"/>
    </row>
    <row r="5868" spans="3:17" x14ac:dyDescent="0.3">
      <c r="C5868" s="87"/>
      <c r="H5868" s="86" t="e">
        <f>IF(I5868="fora",0%,G5868/QUÓRUM!$C$6)</f>
        <v>#DIV/0!</v>
      </c>
      <c r="I5868" s="87"/>
      <c r="J5868" s="88"/>
      <c r="K5868" s="88"/>
      <c r="L5868" s="89"/>
      <c r="M5868" s="89"/>
      <c r="Q5868" s="105"/>
    </row>
    <row r="5869" spans="3:17" x14ac:dyDescent="0.3">
      <c r="C5869" s="87"/>
      <c r="H5869" s="86" t="e">
        <f>IF(I5869="fora",0%,G5869/QUÓRUM!$C$6)</f>
        <v>#DIV/0!</v>
      </c>
      <c r="I5869" s="87"/>
      <c r="J5869" s="88"/>
      <c r="K5869" s="88"/>
      <c r="L5869" s="89"/>
      <c r="M5869" s="89"/>
      <c r="Q5869" s="105"/>
    </row>
    <row r="5870" spans="3:17" x14ac:dyDescent="0.3">
      <c r="C5870" s="87"/>
      <c r="H5870" s="86" t="e">
        <f>IF(I5870="fora",0%,G5870/QUÓRUM!$C$6)</f>
        <v>#DIV/0!</v>
      </c>
      <c r="I5870" s="87"/>
      <c r="J5870" s="88"/>
      <c r="K5870" s="88"/>
      <c r="L5870" s="89"/>
      <c r="M5870" s="89"/>
      <c r="Q5870" s="105"/>
    </row>
    <row r="5871" spans="3:17" x14ac:dyDescent="0.3">
      <c r="C5871" s="87"/>
      <c r="H5871" s="86" t="e">
        <f>IF(I5871="fora",0%,G5871/QUÓRUM!$C$6)</f>
        <v>#DIV/0!</v>
      </c>
      <c r="I5871" s="87"/>
      <c r="J5871" s="88"/>
      <c r="K5871" s="88"/>
      <c r="L5871" s="89"/>
      <c r="M5871" s="89"/>
      <c r="Q5871" s="105"/>
    </row>
    <row r="5872" spans="3:17" x14ac:dyDescent="0.3">
      <c r="C5872" s="87"/>
      <c r="H5872" s="86" t="e">
        <f>IF(I5872="fora",0%,G5872/QUÓRUM!$C$6)</f>
        <v>#DIV/0!</v>
      </c>
      <c r="I5872" s="87"/>
      <c r="J5872" s="88"/>
      <c r="K5872" s="88"/>
      <c r="L5872" s="89"/>
      <c r="M5872" s="89"/>
      <c r="Q5872" s="105"/>
    </row>
    <row r="5873" spans="3:17" x14ac:dyDescent="0.3">
      <c r="C5873" s="87"/>
      <c r="H5873" s="86" t="e">
        <f>IF(I5873="fora",0%,G5873/QUÓRUM!$C$6)</f>
        <v>#DIV/0!</v>
      </c>
      <c r="I5873" s="87"/>
      <c r="J5873" s="88"/>
      <c r="K5873" s="88"/>
      <c r="L5873" s="89"/>
      <c r="M5873" s="89"/>
      <c r="Q5873" s="105"/>
    </row>
    <row r="5874" spans="3:17" x14ac:dyDescent="0.3">
      <c r="C5874" s="87"/>
      <c r="H5874" s="86" t="e">
        <f>IF(I5874="fora",0%,G5874/QUÓRUM!$C$6)</f>
        <v>#DIV/0!</v>
      </c>
      <c r="I5874" s="87"/>
      <c r="J5874" s="88"/>
      <c r="K5874" s="88"/>
      <c r="L5874" s="89"/>
      <c r="M5874" s="89"/>
      <c r="Q5874" s="105"/>
    </row>
    <row r="5875" spans="3:17" x14ac:dyDescent="0.3">
      <c r="C5875" s="87"/>
      <c r="H5875" s="86" t="e">
        <f>IF(I5875="fora",0%,G5875/QUÓRUM!$C$6)</f>
        <v>#DIV/0!</v>
      </c>
      <c r="I5875" s="87"/>
      <c r="J5875" s="88"/>
      <c r="K5875" s="88"/>
      <c r="L5875" s="89"/>
      <c r="M5875" s="89"/>
      <c r="Q5875" s="105"/>
    </row>
    <row r="5876" spans="3:17" x14ac:dyDescent="0.3">
      <c r="C5876" s="87"/>
      <c r="H5876" s="86" t="e">
        <f>IF(I5876="fora",0%,G5876/QUÓRUM!$C$6)</f>
        <v>#DIV/0!</v>
      </c>
      <c r="I5876" s="87"/>
      <c r="J5876" s="88"/>
      <c r="K5876" s="88"/>
      <c r="L5876" s="89"/>
      <c r="M5876" s="89"/>
      <c r="Q5876" s="105"/>
    </row>
    <row r="5877" spans="3:17" x14ac:dyDescent="0.3">
      <c r="C5877" s="87"/>
      <c r="H5877" s="86" t="e">
        <f>IF(I5877="fora",0%,G5877/QUÓRUM!$C$6)</f>
        <v>#DIV/0!</v>
      </c>
      <c r="I5877" s="87"/>
      <c r="J5877" s="88"/>
      <c r="K5877" s="88"/>
      <c r="L5877" s="89"/>
      <c r="M5877" s="89"/>
      <c r="Q5877" s="105"/>
    </row>
    <row r="5878" spans="3:17" x14ac:dyDescent="0.3">
      <c r="C5878" s="87"/>
      <c r="H5878" s="86" t="e">
        <f>IF(I5878="fora",0%,G5878/QUÓRUM!$C$6)</f>
        <v>#DIV/0!</v>
      </c>
      <c r="I5878" s="87"/>
      <c r="J5878" s="88"/>
      <c r="K5878" s="88"/>
      <c r="L5878" s="89"/>
      <c r="M5878" s="89"/>
      <c r="Q5878" s="105"/>
    </row>
    <row r="5879" spans="3:17" x14ac:dyDescent="0.3">
      <c r="C5879" s="87"/>
      <c r="H5879" s="86" t="e">
        <f>IF(I5879="fora",0%,G5879/QUÓRUM!$C$6)</f>
        <v>#DIV/0!</v>
      </c>
      <c r="I5879" s="87"/>
      <c r="J5879" s="88"/>
      <c r="K5879" s="88"/>
      <c r="L5879" s="89"/>
      <c r="M5879" s="89"/>
      <c r="Q5879" s="105"/>
    </row>
    <row r="5880" spans="3:17" x14ac:dyDescent="0.3">
      <c r="C5880" s="87"/>
      <c r="H5880" s="86" t="e">
        <f>IF(I5880="fora",0%,G5880/QUÓRUM!$C$6)</f>
        <v>#DIV/0!</v>
      </c>
      <c r="I5880" s="87"/>
      <c r="J5880" s="88"/>
      <c r="K5880" s="88"/>
      <c r="L5880" s="89"/>
      <c r="M5880" s="89"/>
      <c r="Q5880" s="105"/>
    </row>
    <row r="5881" spans="3:17" x14ac:dyDescent="0.3">
      <c r="C5881" s="87"/>
      <c r="H5881" s="86" t="e">
        <f>IF(I5881="fora",0%,G5881/QUÓRUM!$C$6)</f>
        <v>#DIV/0!</v>
      </c>
      <c r="I5881" s="87"/>
      <c r="J5881" s="88"/>
      <c r="K5881" s="88"/>
      <c r="L5881" s="89"/>
      <c r="M5881" s="89"/>
      <c r="Q5881" s="105"/>
    </row>
    <row r="5882" spans="3:17" x14ac:dyDescent="0.3">
      <c r="C5882" s="87"/>
      <c r="H5882" s="86" t="e">
        <f>IF(I5882="fora",0%,G5882/QUÓRUM!$C$6)</f>
        <v>#DIV/0!</v>
      </c>
      <c r="I5882" s="87"/>
      <c r="J5882" s="88"/>
      <c r="K5882" s="88"/>
      <c r="L5882" s="89"/>
      <c r="M5882" s="89"/>
      <c r="Q5882" s="105"/>
    </row>
    <row r="5883" spans="3:17" x14ac:dyDescent="0.3">
      <c r="C5883" s="87"/>
      <c r="H5883" s="86" t="e">
        <f>IF(I5883="fora",0%,G5883/QUÓRUM!$C$6)</f>
        <v>#DIV/0!</v>
      </c>
      <c r="I5883" s="87"/>
      <c r="J5883" s="88"/>
      <c r="K5883" s="88"/>
      <c r="L5883" s="89"/>
      <c r="M5883" s="89"/>
      <c r="Q5883" s="105"/>
    </row>
    <row r="5884" spans="3:17" x14ac:dyDescent="0.3">
      <c r="C5884" s="87"/>
      <c r="H5884" s="86" t="e">
        <f>IF(I5884="fora",0%,G5884/QUÓRUM!$C$6)</f>
        <v>#DIV/0!</v>
      </c>
      <c r="I5884" s="87"/>
      <c r="J5884" s="88"/>
      <c r="K5884" s="88"/>
      <c r="L5884" s="89"/>
      <c r="M5884" s="89"/>
      <c r="Q5884" s="105"/>
    </row>
    <row r="5885" spans="3:17" x14ac:dyDescent="0.3">
      <c r="C5885" s="87"/>
      <c r="H5885" s="86" t="e">
        <f>IF(I5885="fora",0%,G5885/QUÓRUM!$C$6)</f>
        <v>#DIV/0!</v>
      </c>
      <c r="I5885" s="87"/>
      <c r="J5885" s="88"/>
      <c r="K5885" s="88"/>
      <c r="L5885" s="89"/>
      <c r="M5885" s="89"/>
      <c r="Q5885" s="105"/>
    </row>
    <row r="5886" spans="3:17" x14ac:dyDescent="0.3">
      <c r="C5886" s="87"/>
      <c r="H5886" s="86" t="e">
        <f>IF(I5886="fora",0%,G5886/QUÓRUM!$C$6)</f>
        <v>#DIV/0!</v>
      </c>
      <c r="I5886" s="87"/>
      <c r="J5886" s="88"/>
      <c r="K5886" s="88"/>
      <c r="L5886" s="89"/>
      <c r="M5886" s="89"/>
      <c r="Q5886" s="105"/>
    </row>
    <row r="5887" spans="3:17" x14ac:dyDescent="0.3">
      <c r="C5887" s="87"/>
      <c r="H5887" s="86" t="e">
        <f>IF(I5887="fora",0%,G5887/QUÓRUM!$C$6)</f>
        <v>#DIV/0!</v>
      </c>
      <c r="I5887" s="87"/>
      <c r="J5887" s="88"/>
      <c r="K5887" s="88"/>
      <c r="L5887" s="89"/>
      <c r="M5887" s="89"/>
      <c r="Q5887" s="105"/>
    </row>
    <row r="5888" spans="3:17" x14ac:dyDescent="0.3">
      <c r="C5888" s="87"/>
      <c r="H5888" s="86" t="e">
        <f>IF(I5888="fora",0%,G5888/QUÓRUM!$C$6)</f>
        <v>#DIV/0!</v>
      </c>
      <c r="I5888" s="87"/>
      <c r="J5888" s="88"/>
      <c r="K5888" s="88"/>
      <c r="L5888" s="89"/>
      <c r="M5888" s="89"/>
      <c r="Q5888" s="105"/>
    </row>
    <row r="5889" spans="3:17" x14ac:dyDescent="0.3">
      <c r="C5889" s="87"/>
      <c r="H5889" s="86" t="e">
        <f>IF(I5889="fora",0%,G5889/QUÓRUM!$C$6)</f>
        <v>#DIV/0!</v>
      </c>
      <c r="I5889" s="87"/>
      <c r="J5889" s="88"/>
      <c r="K5889" s="88"/>
      <c r="L5889" s="89"/>
      <c r="M5889" s="89"/>
      <c r="Q5889" s="105"/>
    </row>
    <row r="5890" spans="3:17" x14ac:dyDescent="0.3">
      <c r="C5890" s="87"/>
      <c r="H5890" s="86" t="e">
        <f>IF(I5890="fora",0%,G5890/QUÓRUM!$C$6)</f>
        <v>#DIV/0!</v>
      </c>
      <c r="I5890" s="87"/>
      <c r="J5890" s="88"/>
      <c r="K5890" s="88"/>
      <c r="L5890" s="89"/>
      <c r="M5890" s="89"/>
      <c r="Q5890" s="105"/>
    </row>
    <row r="5891" spans="3:17" x14ac:dyDescent="0.3">
      <c r="C5891" s="87"/>
      <c r="H5891" s="86" t="e">
        <f>IF(I5891="fora",0%,G5891/QUÓRUM!$C$6)</f>
        <v>#DIV/0!</v>
      </c>
      <c r="I5891" s="87"/>
      <c r="J5891" s="88"/>
      <c r="K5891" s="88"/>
      <c r="L5891" s="89"/>
      <c r="M5891" s="89"/>
      <c r="Q5891" s="105"/>
    </row>
    <row r="5892" spans="3:17" x14ac:dyDescent="0.3">
      <c r="C5892" s="87"/>
      <c r="H5892" s="86" t="e">
        <f>IF(I5892="fora",0%,G5892/QUÓRUM!$C$6)</f>
        <v>#DIV/0!</v>
      </c>
      <c r="I5892" s="87"/>
      <c r="J5892" s="88"/>
      <c r="K5892" s="88"/>
      <c r="L5892" s="89"/>
      <c r="M5892" s="89"/>
      <c r="Q5892" s="105"/>
    </row>
    <row r="5893" spans="3:17" x14ac:dyDescent="0.3">
      <c r="C5893" s="87"/>
      <c r="H5893" s="86" t="e">
        <f>IF(I5893="fora",0%,G5893/QUÓRUM!$C$6)</f>
        <v>#DIV/0!</v>
      </c>
      <c r="I5893" s="87"/>
      <c r="J5893" s="88"/>
      <c r="K5893" s="88"/>
      <c r="L5893" s="89"/>
      <c r="M5893" s="89"/>
      <c r="Q5893" s="105"/>
    </row>
    <row r="5894" spans="3:17" x14ac:dyDescent="0.3">
      <c r="C5894" s="87"/>
      <c r="H5894" s="86" t="e">
        <f>IF(I5894="fora",0%,G5894/QUÓRUM!$C$6)</f>
        <v>#DIV/0!</v>
      </c>
      <c r="I5894" s="87"/>
      <c r="J5894" s="88"/>
      <c r="K5894" s="88"/>
      <c r="L5894" s="89"/>
      <c r="M5894" s="89"/>
      <c r="Q5894" s="105"/>
    </row>
    <row r="5895" spans="3:17" x14ac:dyDescent="0.3">
      <c r="C5895" s="87"/>
      <c r="H5895" s="86" t="e">
        <f>IF(I5895="fora",0%,G5895/QUÓRUM!$C$6)</f>
        <v>#DIV/0!</v>
      </c>
      <c r="I5895" s="87"/>
      <c r="J5895" s="88"/>
      <c r="K5895" s="88"/>
      <c r="L5895" s="89"/>
      <c r="M5895" s="89"/>
      <c r="Q5895" s="105"/>
    </row>
    <row r="5896" spans="3:17" x14ac:dyDescent="0.3">
      <c r="C5896" s="87"/>
      <c r="H5896" s="86" t="e">
        <f>IF(I5896="fora",0%,G5896/QUÓRUM!$C$6)</f>
        <v>#DIV/0!</v>
      </c>
      <c r="I5896" s="87"/>
      <c r="J5896" s="88"/>
      <c r="K5896" s="88"/>
      <c r="L5896" s="89"/>
      <c r="M5896" s="89"/>
      <c r="Q5896" s="105"/>
    </row>
    <row r="5897" spans="3:17" x14ac:dyDescent="0.3">
      <c r="C5897" s="87"/>
      <c r="H5897" s="86" t="e">
        <f>IF(I5897="fora",0%,G5897/QUÓRUM!$C$6)</f>
        <v>#DIV/0!</v>
      </c>
      <c r="I5897" s="87"/>
      <c r="J5897" s="88"/>
      <c r="K5897" s="88"/>
      <c r="L5897" s="89"/>
      <c r="M5897" s="89"/>
      <c r="Q5897" s="105"/>
    </row>
    <row r="5898" spans="3:17" x14ac:dyDescent="0.3">
      <c r="C5898" s="87"/>
      <c r="H5898" s="86" t="e">
        <f>IF(I5898="fora",0%,G5898/QUÓRUM!$C$6)</f>
        <v>#DIV/0!</v>
      </c>
      <c r="I5898" s="87"/>
      <c r="J5898" s="88"/>
      <c r="K5898" s="88"/>
      <c r="L5898" s="89"/>
      <c r="M5898" s="89"/>
      <c r="Q5898" s="105"/>
    </row>
    <row r="5899" spans="3:17" x14ac:dyDescent="0.3">
      <c r="C5899" s="87"/>
      <c r="H5899" s="86" t="e">
        <f>IF(I5899="fora",0%,G5899/QUÓRUM!$C$6)</f>
        <v>#DIV/0!</v>
      </c>
      <c r="I5899" s="87"/>
      <c r="J5899" s="88"/>
      <c r="K5899" s="88"/>
      <c r="L5899" s="89"/>
      <c r="M5899" s="89"/>
      <c r="Q5899" s="105"/>
    </row>
    <row r="5900" spans="3:17" x14ac:dyDescent="0.3">
      <c r="C5900" s="87"/>
      <c r="H5900" s="86" t="e">
        <f>IF(I5900="fora",0%,G5900/QUÓRUM!$C$6)</f>
        <v>#DIV/0!</v>
      </c>
      <c r="I5900" s="87"/>
      <c r="J5900" s="88"/>
      <c r="K5900" s="88"/>
      <c r="L5900" s="89"/>
      <c r="M5900" s="89"/>
      <c r="Q5900" s="105"/>
    </row>
    <row r="5901" spans="3:17" x14ac:dyDescent="0.3">
      <c r="C5901" s="87"/>
      <c r="H5901" s="86" t="e">
        <f>IF(I5901="fora",0%,G5901/QUÓRUM!$C$6)</f>
        <v>#DIV/0!</v>
      </c>
      <c r="I5901" s="87"/>
      <c r="J5901" s="88"/>
      <c r="K5901" s="88"/>
      <c r="L5901" s="89"/>
      <c r="M5901" s="89"/>
      <c r="Q5901" s="105"/>
    </row>
    <row r="5902" spans="3:17" x14ac:dyDescent="0.3">
      <c r="C5902" s="87"/>
      <c r="H5902" s="86" t="e">
        <f>IF(I5902="fora",0%,G5902/QUÓRUM!$C$6)</f>
        <v>#DIV/0!</v>
      </c>
      <c r="I5902" s="87"/>
      <c r="J5902" s="88"/>
      <c r="K5902" s="88"/>
      <c r="L5902" s="89"/>
      <c r="M5902" s="89"/>
      <c r="Q5902" s="105"/>
    </row>
    <row r="5903" spans="3:17" x14ac:dyDescent="0.3">
      <c r="C5903" s="87"/>
      <c r="H5903" s="86" t="e">
        <f>IF(I5903="fora",0%,G5903/QUÓRUM!$C$6)</f>
        <v>#DIV/0!</v>
      </c>
      <c r="I5903" s="87"/>
      <c r="J5903" s="88"/>
      <c r="K5903" s="88"/>
      <c r="L5903" s="89"/>
      <c r="M5903" s="89"/>
      <c r="Q5903" s="105"/>
    </row>
    <row r="5904" spans="3:17" x14ac:dyDescent="0.3">
      <c r="C5904" s="87"/>
      <c r="H5904" s="86" t="e">
        <f>IF(I5904="fora",0%,G5904/QUÓRUM!$C$6)</f>
        <v>#DIV/0!</v>
      </c>
      <c r="I5904" s="87"/>
      <c r="J5904" s="88"/>
      <c r="K5904" s="88"/>
      <c r="L5904" s="89"/>
      <c r="M5904" s="89"/>
      <c r="Q5904" s="105"/>
    </row>
    <row r="5905" spans="3:17" x14ac:dyDescent="0.3">
      <c r="C5905" s="87"/>
      <c r="H5905" s="86" t="e">
        <f>IF(I5905="fora",0%,G5905/QUÓRUM!$C$6)</f>
        <v>#DIV/0!</v>
      </c>
      <c r="I5905" s="87"/>
      <c r="J5905" s="88"/>
      <c r="K5905" s="88"/>
      <c r="L5905" s="89"/>
      <c r="M5905" s="89"/>
      <c r="Q5905" s="105"/>
    </row>
    <row r="5906" spans="3:17" x14ac:dyDescent="0.3">
      <c r="C5906" s="87"/>
      <c r="H5906" s="86" t="e">
        <f>IF(I5906="fora",0%,G5906/QUÓRUM!$C$6)</f>
        <v>#DIV/0!</v>
      </c>
      <c r="I5906" s="87"/>
      <c r="J5906" s="88"/>
      <c r="K5906" s="88"/>
      <c r="L5906" s="89"/>
      <c r="M5906" s="89"/>
      <c r="Q5906" s="105"/>
    </row>
    <row r="5907" spans="3:17" x14ac:dyDescent="0.3">
      <c r="C5907" s="87"/>
      <c r="H5907" s="86" t="e">
        <f>IF(I5907="fora",0%,G5907/QUÓRUM!$C$6)</f>
        <v>#DIV/0!</v>
      </c>
      <c r="I5907" s="87"/>
      <c r="J5907" s="88"/>
      <c r="K5907" s="88"/>
      <c r="L5907" s="89"/>
      <c r="M5907" s="89"/>
      <c r="Q5907" s="105"/>
    </row>
    <row r="5908" spans="3:17" x14ac:dyDescent="0.3">
      <c r="C5908" s="87"/>
      <c r="H5908" s="86" t="e">
        <f>IF(I5908="fora",0%,G5908/QUÓRUM!$C$6)</f>
        <v>#DIV/0!</v>
      </c>
      <c r="I5908" s="87"/>
      <c r="J5908" s="88"/>
      <c r="K5908" s="88"/>
      <c r="L5908" s="89"/>
      <c r="M5908" s="89"/>
      <c r="Q5908" s="105"/>
    </row>
    <row r="5909" spans="3:17" x14ac:dyDescent="0.3">
      <c r="C5909" s="87"/>
      <c r="H5909" s="86" t="e">
        <f>IF(I5909="fora",0%,G5909/QUÓRUM!$C$6)</f>
        <v>#DIV/0!</v>
      </c>
      <c r="I5909" s="87"/>
      <c r="J5909" s="88"/>
      <c r="K5909" s="88"/>
      <c r="L5909" s="89"/>
      <c r="M5909" s="89"/>
      <c r="Q5909" s="105"/>
    </row>
    <row r="5910" spans="3:17" x14ac:dyDescent="0.3">
      <c r="C5910" s="87"/>
      <c r="H5910" s="86" t="e">
        <f>IF(I5910="fora",0%,G5910/QUÓRUM!$C$6)</f>
        <v>#DIV/0!</v>
      </c>
      <c r="I5910" s="87"/>
      <c r="J5910" s="88"/>
      <c r="K5910" s="88"/>
      <c r="L5910" s="89"/>
      <c r="M5910" s="89"/>
      <c r="Q5910" s="105"/>
    </row>
    <row r="5911" spans="3:17" x14ac:dyDescent="0.3">
      <c r="C5911" s="87"/>
      <c r="H5911" s="86" t="e">
        <f>IF(I5911="fora",0%,G5911/QUÓRUM!$C$6)</f>
        <v>#DIV/0!</v>
      </c>
      <c r="I5911" s="87"/>
      <c r="J5911" s="88"/>
      <c r="K5911" s="88"/>
      <c r="L5911" s="89"/>
      <c r="M5911" s="89"/>
      <c r="Q5911" s="105"/>
    </row>
    <row r="5912" spans="3:17" x14ac:dyDescent="0.3">
      <c r="C5912" s="87"/>
      <c r="H5912" s="86" t="e">
        <f>IF(I5912="fora",0%,G5912/QUÓRUM!$C$6)</f>
        <v>#DIV/0!</v>
      </c>
      <c r="I5912" s="87"/>
      <c r="J5912" s="88"/>
      <c r="K5912" s="88"/>
      <c r="L5912" s="89"/>
      <c r="M5912" s="89"/>
      <c r="Q5912" s="105"/>
    </row>
    <row r="5913" spans="3:17" x14ac:dyDescent="0.3">
      <c r="C5913" s="87"/>
      <c r="H5913" s="86" t="e">
        <f>IF(I5913="fora",0%,G5913/QUÓRUM!$C$6)</f>
        <v>#DIV/0!</v>
      </c>
      <c r="I5913" s="87"/>
      <c r="J5913" s="88"/>
      <c r="K5913" s="88"/>
      <c r="L5913" s="89"/>
      <c r="M5913" s="89"/>
      <c r="Q5913" s="105"/>
    </row>
    <row r="5914" spans="3:17" x14ac:dyDescent="0.3">
      <c r="C5914" s="87"/>
      <c r="H5914" s="86" t="e">
        <f>IF(I5914="fora",0%,G5914/QUÓRUM!$C$6)</f>
        <v>#DIV/0!</v>
      </c>
      <c r="I5914" s="87"/>
      <c r="J5914" s="88"/>
      <c r="K5914" s="88"/>
      <c r="L5914" s="89"/>
      <c r="M5914" s="89"/>
      <c r="Q5914" s="105"/>
    </row>
    <row r="5915" spans="3:17" x14ac:dyDescent="0.3">
      <c r="C5915" s="87"/>
      <c r="H5915" s="86" t="e">
        <f>IF(I5915="fora",0%,G5915/QUÓRUM!$C$6)</f>
        <v>#DIV/0!</v>
      </c>
      <c r="I5915" s="87"/>
      <c r="J5915" s="88"/>
      <c r="K5915" s="88"/>
      <c r="L5915" s="89"/>
      <c r="M5915" s="89"/>
      <c r="Q5915" s="105"/>
    </row>
    <row r="5916" spans="3:17" x14ac:dyDescent="0.3">
      <c r="C5916" s="87"/>
      <c r="H5916" s="86" t="e">
        <f>IF(I5916="fora",0%,G5916/QUÓRUM!$C$6)</f>
        <v>#DIV/0!</v>
      </c>
      <c r="I5916" s="87"/>
      <c r="J5916" s="88"/>
      <c r="K5916" s="88"/>
      <c r="L5916" s="89"/>
      <c r="M5916" s="89"/>
      <c r="Q5916" s="105"/>
    </row>
    <row r="5917" spans="3:17" x14ac:dyDescent="0.3">
      <c r="C5917" s="87"/>
      <c r="H5917" s="86" t="e">
        <f>IF(I5917="fora",0%,G5917/QUÓRUM!$C$6)</f>
        <v>#DIV/0!</v>
      </c>
      <c r="I5917" s="87"/>
      <c r="J5917" s="88"/>
      <c r="K5917" s="88"/>
      <c r="L5917" s="89"/>
      <c r="M5917" s="89"/>
      <c r="Q5917" s="105"/>
    </row>
    <row r="5918" spans="3:17" x14ac:dyDescent="0.3">
      <c r="C5918" s="87"/>
      <c r="H5918" s="86" t="e">
        <f>IF(I5918="fora",0%,G5918/QUÓRUM!$C$6)</f>
        <v>#DIV/0!</v>
      </c>
      <c r="I5918" s="87"/>
      <c r="J5918" s="88"/>
      <c r="K5918" s="88"/>
      <c r="L5918" s="89"/>
      <c r="M5918" s="89"/>
      <c r="Q5918" s="105"/>
    </row>
    <row r="5919" spans="3:17" x14ac:dyDescent="0.3">
      <c r="C5919" s="87"/>
      <c r="H5919" s="86" t="e">
        <f>IF(I5919="fora",0%,G5919/QUÓRUM!$C$6)</f>
        <v>#DIV/0!</v>
      </c>
      <c r="I5919" s="87"/>
      <c r="J5919" s="88"/>
      <c r="K5919" s="88"/>
      <c r="L5919" s="89"/>
      <c r="M5919" s="89"/>
      <c r="Q5919" s="105"/>
    </row>
    <row r="5920" spans="3:17" x14ac:dyDescent="0.3">
      <c r="C5920" s="87"/>
      <c r="H5920" s="86" t="e">
        <f>IF(I5920="fora",0%,G5920/QUÓRUM!$C$6)</f>
        <v>#DIV/0!</v>
      </c>
      <c r="I5920" s="87"/>
      <c r="J5920" s="88"/>
      <c r="K5920" s="88"/>
      <c r="L5920" s="89"/>
      <c r="M5920" s="89"/>
      <c r="Q5920" s="105"/>
    </row>
    <row r="5921" spans="3:17" x14ac:dyDescent="0.3">
      <c r="C5921" s="87"/>
      <c r="H5921" s="86" t="e">
        <f>IF(I5921="fora",0%,G5921/QUÓRUM!$C$6)</f>
        <v>#DIV/0!</v>
      </c>
      <c r="I5921" s="87"/>
      <c r="J5921" s="88"/>
      <c r="K5921" s="88"/>
      <c r="L5921" s="89"/>
      <c r="M5921" s="89"/>
      <c r="Q5921" s="105"/>
    </row>
    <row r="5922" spans="3:17" x14ac:dyDescent="0.3">
      <c r="C5922" s="87"/>
      <c r="H5922" s="86" t="e">
        <f>IF(I5922="fora",0%,G5922/QUÓRUM!$C$6)</f>
        <v>#DIV/0!</v>
      </c>
      <c r="I5922" s="87"/>
      <c r="J5922" s="88"/>
      <c r="K5922" s="88"/>
      <c r="L5922" s="89"/>
      <c r="M5922" s="89"/>
      <c r="Q5922" s="105"/>
    </row>
    <row r="5923" spans="3:17" x14ac:dyDescent="0.3">
      <c r="C5923" s="87"/>
      <c r="H5923" s="86" t="e">
        <f>IF(I5923="fora",0%,G5923/QUÓRUM!$C$6)</f>
        <v>#DIV/0!</v>
      </c>
      <c r="I5923" s="87"/>
      <c r="J5923" s="88"/>
      <c r="K5923" s="88"/>
      <c r="L5923" s="89"/>
      <c r="M5923" s="89"/>
      <c r="Q5923" s="105"/>
    </row>
    <row r="5924" spans="3:17" x14ac:dyDescent="0.3">
      <c r="C5924" s="87"/>
      <c r="H5924" s="86" t="e">
        <f>IF(I5924="fora",0%,G5924/QUÓRUM!$C$6)</f>
        <v>#DIV/0!</v>
      </c>
      <c r="I5924" s="87"/>
      <c r="J5924" s="88"/>
      <c r="K5924" s="88"/>
      <c r="L5924" s="89"/>
      <c r="M5924" s="89"/>
      <c r="Q5924" s="105"/>
    </row>
    <row r="5925" spans="3:17" x14ac:dyDescent="0.3">
      <c r="C5925" s="87"/>
      <c r="H5925" s="86" t="e">
        <f>IF(I5925="fora",0%,G5925/QUÓRUM!$C$6)</f>
        <v>#DIV/0!</v>
      </c>
      <c r="I5925" s="87"/>
      <c r="J5925" s="88"/>
      <c r="K5925" s="88"/>
      <c r="L5925" s="89"/>
      <c r="M5925" s="89"/>
      <c r="Q5925" s="105"/>
    </row>
    <row r="5926" spans="3:17" x14ac:dyDescent="0.3">
      <c r="C5926" s="87"/>
      <c r="H5926" s="86" t="e">
        <f>IF(I5926="fora",0%,G5926/QUÓRUM!$C$6)</f>
        <v>#DIV/0!</v>
      </c>
      <c r="I5926" s="87"/>
      <c r="J5926" s="88"/>
      <c r="K5926" s="88"/>
      <c r="L5926" s="89"/>
      <c r="M5926" s="89"/>
      <c r="Q5926" s="105"/>
    </row>
    <row r="5927" spans="3:17" x14ac:dyDescent="0.3">
      <c r="C5927" s="87"/>
      <c r="H5927" s="86" t="e">
        <f>IF(I5927="fora",0%,G5927/QUÓRUM!$C$6)</f>
        <v>#DIV/0!</v>
      </c>
      <c r="I5927" s="87"/>
      <c r="J5927" s="88"/>
      <c r="K5927" s="88"/>
      <c r="L5927" s="89"/>
      <c r="M5927" s="89"/>
      <c r="Q5927" s="105"/>
    </row>
    <row r="5928" spans="3:17" x14ac:dyDescent="0.3">
      <c r="C5928" s="87"/>
      <c r="H5928" s="86" t="e">
        <f>IF(I5928="fora",0%,G5928/QUÓRUM!$C$6)</f>
        <v>#DIV/0!</v>
      </c>
      <c r="I5928" s="87"/>
      <c r="J5928" s="88"/>
      <c r="K5928" s="88"/>
      <c r="L5928" s="89"/>
      <c r="M5928" s="89"/>
      <c r="Q5928" s="105"/>
    </row>
    <row r="5929" spans="3:17" x14ac:dyDescent="0.3">
      <c r="C5929" s="87"/>
      <c r="H5929" s="86" t="e">
        <f>IF(I5929="fora",0%,G5929/QUÓRUM!$C$6)</f>
        <v>#DIV/0!</v>
      </c>
      <c r="I5929" s="87"/>
      <c r="J5929" s="88"/>
      <c r="K5929" s="88"/>
      <c r="L5929" s="89"/>
      <c r="M5929" s="89"/>
      <c r="Q5929" s="105"/>
    </row>
    <row r="5930" spans="3:17" x14ac:dyDescent="0.3">
      <c r="C5930" s="87"/>
      <c r="H5930" s="86" t="e">
        <f>IF(I5930="fora",0%,G5930/QUÓRUM!$C$6)</f>
        <v>#DIV/0!</v>
      </c>
      <c r="I5930" s="87"/>
      <c r="J5930" s="88"/>
      <c r="K5930" s="88"/>
      <c r="L5930" s="89"/>
      <c r="M5930" s="89"/>
      <c r="Q5930" s="105"/>
    </row>
    <row r="5931" spans="3:17" x14ac:dyDescent="0.3">
      <c r="C5931" s="87"/>
      <c r="H5931" s="86" t="e">
        <f>IF(I5931="fora",0%,G5931/QUÓRUM!$C$6)</f>
        <v>#DIV/0!</v>
      </c>
      <c r="I5931" s="87"/>
      <c r="J5931" s="88"/>
      <c r="K5931" s="88"/>
      <c r="L5931" s="89"/>
      <c r="M5931" s="89"/>
      <c r="Q5931" s="105"/>
    </row>
    <row r="5932" spans="3:17" x14ac:dyDescent="0.3">
      <c r="C5932" s="87"/>
      <c r="H5932" s="86" t="e">
        <f>IF(I5932="fora",0%,G5932/QUÓRUM!$C$6)</f>
        <v>#DIV/0!</v>
      </c>
      <c r="I5932" s="87"/>
      <c r="J5932" s="88"/>
      <c r="K5932" s="88"/>
      <c r="L5932" s="89"/>
      <c r="M5932" s="89"/>
      <c r="Q5932" s="105"/>
    </row>
    <row r="5933" spans="3:17" x14ac:dyDescent="0.3">
      <c r="C5933" s="87"/>
      <c r="H5933" s="86" t="e">
        <f>IF(I5933="fora",0%,G5933/QUÓRUM!$C$6)</f>
        <v>#DIV/0!</v>
      </c>
      <c r="I5933" s="87"/>
      <c r="J5933" s="88"/>
      <c r="K5933" s="88"/>
      <c r="L5933" s="89"/>
      <c r="M5933" s="89"/>
      <c r="Q5933" s="105"/>
    </row>
    <row r="5934" spans="3:17" x14ac:dyDescent="0.3">
      <c r="C5934" s="87"/>
      <c r="H5934" s="86" t="e">
        <f>IF(I5934="fora",0%,G5934/QUÓRUM!$C$6)</f>
        <v>#DIV/0!</v>
      </c>
      <c r="I5934" s="87"/>
      <c r="J5934" s="88"/>
      <c r="K5934" s="88"/>
      <c r="L5934" s="89"/>
      <c r="M5934" s="89"/>
      <c r="Q5934" s="105"/>
    </row>
    <row r="5935" spans="3:17" x14ac:dyDescent="0.3">
      <c r="C5935" s="87"/>
      <c r="H5935" s="86" t="e">
        <f>IF(I5935="fora",0%,G5935/QUÓRUM!$C$6)</f>
        <v>#DIV/0!</v>
      </c>
      <c r="I5935" s="87"/>
      <c r="J5935" s="88"/>
      <c r="K5935" s="88"/>
      <c r="L5935" s="89"/>
      <c r="M5935" s="89"/>
      <c r="Q5935" s="105"/>
    </row>
    <row r="5936" spans="3:17" x14ac:dyDescent="0.3">
      <c r="C5936" s="87"/>
      <c r="H5936" s="86" t="e">
        <f>IF(I5936="fora",0%,G5936/QUÓRUM!$C$6)</f>
        <v>#DIV/0!</v>
      </c>
      <c r="I5936" s="87"/>
      <c r="J5936" s="88"/>
      <c r="K5936" s="88"/>
      <c r="L5936" s="89"/>
      <c r="M5936" s="89"/>
      <c r="Q5936" s="105"/>
    </row>
    <row r="5937" spans="3:17" x14ac:dyDescent="0.3">
      <c r="C5937" s="87"/>
      <c r="H5937" s="86" t="e">
        <f>IF(I5937="fora",0%,G5937/QUÓRUM!$C$6)</f>
        <v>#DIV/0!</v>
      </c>
      <c r="I5937" s="87"/>
      <c r="J5937" s="88"/>
      <c r="K5937" s="88"/>
      <c r="L5937" s="89"/>
      <c r="M5937" s="89"/>
      <c r="Q5937" s="105"/>
    </row>
    <row r="5938" spans="3:17" x14ac:dyDescent="0.3">
      <c r="C5938" s="87"/>
      <c r="H5938" s="86" t="e">
        <f>IF(I5938="fora",0%,G5938/QUÓRUM!$C$6)</f>
        <v>#DIV/0!</v>
      </c>
      <c r="I5938" s="87"/>
      <c r="J5938" s="88"/>
      <c r="K5938" s="88"/>
      <c r="L5938" s="89"/>
      <c r="M5938" s="89"/>
      <c r="Q5938" s="105"/>
    </row>
    <row r="5939" spans="3:17" x14ac:dyDescent="0.3">
      <c r="C5939" s="87"/>
      <c r="H5939" s="86" t="e">
        <f>IF(I5939="fora",0%,G5939/QUÓRUM!$C$6)</f>
        <v>#DIV/0!</v>
      </c>
      <c r="I5939" s="87"/>
      <c r="J5939" s="88"/>
      <c r="K5939" s="88"/>
      <c r="L5939" s="89"/>
      <c r="M5939" s="89"/>
      <c r="Q5939" s="105"/>
    </row>
    <row r="5940" spans="3:17" x14ac:dyDescent="0.3">
      <c r="C5940" s="87"/>
      <c r="H5940" s="86" t="e">
        <f>IF(I5940="fora",0%,G5940/QUÓRUM!$C$6)</f>
        <v>#DIV/0!</v>
      </c>
      <c r="I5940" s="87"/>
      <c r="J5940" s="88"/>
      <c r="K5940" s="88"/>
      <c r="L5940" s="89"/>
      <c r="M5940" s="89"/>
      <c r="Q5940" s="105"/>
    </row>
    <row r="5941" spans="3:17" x14ac:dyDescent="0.3">
      <c r="C5941" s="87"/>
      <c r="H5941" s="86" t="e">
        <f>IF(I5941="fora",0%,G5941/QUÓRUM!$C$6)</f>
        <v>#DIV/0!</v>
      </c>
      <c r="I5941" s="87"/>
      <c r="J5941" s="88"/>
      <c r="K5941" s="88"/>
      <c r="L5941" s="89"/>
      <c r="M5941" s="89"/>
      <c r="Q5941" s="105"/>
    </row>
    <row r="5942" spans="3:17" x14ac:dyDescent="0.3">
      <c r="C5942" s="87"/>
      <c r="H5942" s="86" t="e">
        <f>IF(I5942="fora",0%,G5942/QUÓRUM!$C$6)</f>
        <v>#DIV/0!</v>
      </c>
      <c r="I5942" s="87"/>
      <c r="J5942" s="88"/>
      <c r="K5942" s="88"/>
      <c r="L5942" s="89"/>
      <c r="M5942" s="89"/>
      <c r="Q5942" s="105"/>
    </row>
    <row r="5943" spans="3:17" x14ac:dyDescent="0.3">
      <c r="C5943" s="87"/>
      <c r="H5943" s="86" t="e">
        <f>IF(I5943="fora",0%,G5943/QUÓRUM!$C$6)</f>
        <v>#DIV/0!</v>
      </c>
      <c r="I5943" s="87"/>
      <c r="J5943" s="88"/>
      <c r="K5943" s="88"/>
      <c r="L5943" s="89"/>
      <c r="M5943" s="89"/>
      <c r="Q5943" s="105"/>
    </row>
    <row r="5944" spans="3:17" x14ac:dyDescent="0.3">
      <c r="C5944" s="87"/>
      <c r="H5944" s="86" t="e">
        <f>IF(I5944="fora",0%,G5944/QUÓRUM!$C$6)</f>
        <v>#DIV/0!</v>
      </c>
      <c r="I5944" s="87"/>
      <c r="J5944" s="88"/>
      <c r="K5944" s="88"/>
      <c r="L5944" s="89"/>
      <c r="M5944" s="89"/>
      <c r="Q5944" s="105"/>
    </row>
    <row r="5945" spans="3:17" x14ac:dyDescent="0.3">
      <c r="C5945" s="87"/>
      <c r="H5945" s="86" t="e">
        <f>IF(I5945="fora",0%,G5945/QUÓRUM!$C$6)</f>
        <v>#DIV/0!</v>
      </c>
      <c r="I5945" s="87"/>
      <c r="J5945" s="88"/>
      <c r="K5945" s="88"/>
      <c r="L5945" s="89"/>
      <c r="M5945" s="89"/>
      <c r="Q5945" s="105"/>
    </row>
    <row r="5946" spans="3:17" x14ac:dyDescent="0.3">
      <c r="C5946" s="87"/>
      <c r="H5946" s="86" t="e">
        <f>IF(I5946="fora",0%,G5946/QUÓRUM!$C$6)</f>
        <v>#DIV/0!</v>
      </c>
      <c r="I5946" s="87"/>
      <c r="J5946" s="88"/>
      <c r="K5946" s="88"/>
      <c r="L5946" s="89"/>
      <c r="M5946" s="89"/>
      <c r="Q5946" s="105"/>
    </row>
    <row r="5947" spans="3:17" x14ac:dyDescent="0.3">
      <c r="C5947" s="87"/>
      <c r="H5947" s="86" t="e">
        <f>IF(I5947="fora",0%,G5947/QUÓRUM!$C$6)</f>
        <v>#DIV/0!</v>
      </c>
      <c r="I5947" s="87"/>
      <c r="J5947" s="88"/>
      <c r="K5947" s="88"/>
      <c r="L5947" s="89"/>
      <c r="M5947" s="89"/>
      <c r="Q5947" s="105"/>
    </row>
    <row r="5948" spans="3:17" x14ac:dyDescent="0.3">
      <c r="C5948" s="87"/>
      <c r="H5948" s="86" t="e">
        <f>IF(I5948="fora",0%,G5948/QUÓRUM!$C$6)</f>
        <v>#DIV/0!</v>
      </c>
      <c r="I5948" s="87"/>
      <c r="J5948" s="88"/>
      <c r="K5948" s="88"/>
      <c r="L5948" s="89"/>
      <c r="M5948" s="89"/>
      <c r="Q5948" s="105"/>
    </row>
    <row r="5949" spans="3:17" x14ac:dyDescent="0.3">
      <c r="C5949" s="87"/>
      <c r="H5949" s="86" t="e">
        <f>IF(I5949="fora",0%,G5949/QUÓRUM!$C$6)</f>
        <v>#DIV/0!</v>
      </c>
      <c r="I5949" s="87"/>
      <c r="J5949" s="88"/>
      <c r="K5949" s="88"/>
      <c r="L5949" s="89"/>
      <c r="M5949" s="89"/>
      <c r="Q5949" s="105"/>
    </row>
    <row r="5950" spans="3:17" x14ac:dyDescent="0.3">
      <c r="C5950" s="87"/>
      <c r="H5950" s="86" t="e">
        <f>IF(I5950="fora",0%,G5950/QUÓRUM!$C$6)</f>
        <v>#DIV/0!</v>
      </c>
      <c r="I5950" s="87"/>
      <c r="J5950" s="88"/>
      <c r="K5950" s="88"/>
      <c r="L5950" s="89"/>
      <c r="M5950" s="89"/>
      <c r="Q5950" s="105"/>
    </row>
    <row r="5951" spans="3:17" x14ac:dyDescent="0.3">
      <c r="C5951" s="87"/>
      <c r="H5951" s="86" t="e">
        <f>IF(I5951="fora",0%,G5951/QUÓRUM!$C$6)</f>
        <v>#DIV/0!</v>
      </c>
      <c r="I5951" s="87"/>
      <c r="J5951" s="88"/>
      <c r="K5951" s="88"/>
      <c r="L5951" s="89"/>
      <c r="M5951" s="89"/>
      <c r="Q5951" s="105"/>
    </row>
    <row r="5952" spans="3:17" x14ac:dyDescent="0.3">
      <c r="C5952" s="87"/>
      <c r="H5952" s="86" t="e">
        <f>IF(I5952="fora",0%,G5952/QUÓRUM!$C$6)</f>
        <v>#DIV/0!</v>
      </c>
      <c r="I5952" s="87"/>
      <c r="J5952" s="88"/>
      <c r="K5952" s="88"/>
      <c r="L5952" s="89"/>
      <c r="M5952" s="89"/>
      <c r="Q5952" s="105"/>
    </row>
    <row r="5953" spans="3:17" x14ac:dyDescent="0.3">
      <c r="C5953" s="87"/>
      <c r="H5953" s="86" t="e">
        <f>IF(I5953="fora",0%,G5953/QUÓRUM!$C$6)</f>
        <v>#DIV/0!</v>
      </c>
      <c r="I5953" s="87"/>
      <c r="J5953" s="88"/>
      <c r="K5953" s="88"/>
      <c r="L5953" s="89"/>
      <c r="M5953" s="89"/>
      <c r="Q5953" s="105"/>
    </row>
    <row r="5954" spans="3:17" x14ac:dyDescent="0.3">
      <c r="C5954" s="87"/>
      <c r="H5954" s="86" t="e">
        <f>IF(I5954="fora",0%,G5954/QUÓRUM!$C$6)</f>
        <v>#DIV/0!</v>
      </c>
      <c r="I5954" s="87"/>
      <c r="J5954" s="88"/>
      <c r="K5954" s="88"/>
      <c r="L5954" s="89"/>
      <c r="M5954" s="89"/>
      <c r="Q5954" s="105"/>
    </row>
    <row r="5955" spans="3:17" x14ac:dyDescent="0.3">
      <c r="C5955" s="87"/>
      <c r="H5955" s="86" t="e">
        <f>IF(I5955="fora",0%,G5955/QUÓRUM!$C$6)</f>
        <v>#DIV/0!</v>
      </c>
      <c r="I5955" s="87"/>
      <c r="J5955" s="88"/>
      <c r="K5955" s="88"/>
      <c r="L5955" s="89"/>
      <c r="M5955" s="89"/>
      <c r="Q5955" s="105"/>
    </row>
    <row r="5956" spans="3:17" x14ac:dyDescent="0.3">
      <c r="C5956" s="87"/>
      <c r="H5956" s="86" t="e">
        <f>IF(I5956="fora",0%,G5956/QUÓRUM!$C$6)</f>
        <v>#DIV/0!</v>
      </c>
      <c r="I5956" s="87"/>
      <c r="J5956" s="88"/>
      <c r="K5956" s="88"/>
      <c r="L5956" s="89"/>
      <c r="M5956" s="89"/>
      <c r="Q5956" s="105"/>
    </row>
    <row r="5957" spans="3:17" x14ac:dyDescent="0.3">
      <c r="C5957" s="87"/>
      <c r="H5957" s="86" t="e">
        <f>IF(I5957="fora",0%,G5957/QUÓRUM!$C$6)</f>
        <v>#DIV/0!</v>
      </c>
      <c r="I5957" s="87"/>
      <c r="J5957" s="88"/>
      <c r="K5957" s="88"/>
      <c r="L5957" s="89"/>
      <c r="M5957" s="89"/>
      <c r="Q5957" s="105"/>
    </row>
    <row r="5958" spans="3:17" x14ac:dyDescent="0.3">
      <c r="C5958" s="87"/>
      <c r="H5958" s="86" t="e">
        <f>IF(I5958="fora",0%,G5958/QUÓRUM!$C$6)</f>
        <v>#DIV/0!</v>
      </c>
      <c r="I5958" s="87"/>
      <c r="J5958" s="88"/>
      <c r="K5958" s="88"/>
      <c r="L5958" s="89"/>
      <c r="M5958" s="89"/>
      <c r="Q5958" s="105"/>
    </row>
    <row r="5959" spans="3:17" x14ac:dyDescent="0.3">
      <c r="C5959" s="87"/>
      <c r="H5959" s="86" t="e">
        <f>IF(I5959="fora",0%,G5959/QUÓRUM!$C$6)</f>
        <v>#DIV/0!</v>
      </c>
      <c r="I5959" s="87"/>
      <c r="J5959" s="88"/>
      <c r="K5959" s="88"/>
      <c r="L5959" s="89"/>
      <c r="M5959" s="89"/>
      <c r="Q5959" s="105"/>
    </row>
    <row r="5960" spans="3:17" x14ac:dyDescent="0.3">
      <c r="C5960" s="87"/>
      <c r="H5960" s="86" t="e">
        <f>IF(I5960="fora",0%,G5960/QUÓRUM!$C$6)</f>
        <v>#DIV/0!</v>
      </c>
      <c r="I5960" s="87"/>
      <c r="J5960" s="88"/>
      <c r="K5960" s="88"/>
      <c r="L5960" s="89"/>
      <c r="M5960" s="89"/>
      <c r="Q5960" s="105"/>
    </row>
    <row r="5961" spans="3:17" x14ac:dyDescent="0.3">
      <c r="C5961" s="87"/>
      <c r="H5961" s="86" t="e">
        <f>IF(I5961="fora",0%,G5961/QUÓRUM!$C$6)</f>
        <v>#DIV/0!</v>
      </c>
      <c r="I5961" s="87"/>
      <c r="J5961" s="88"/>
      <c r="K5961" s="88"/>
      <c r="L5961" s="89"/>
      <c r="M5961" s="89"/>
      <c r="Q5961" s="105"/>
    </row>
    <row r="5962" spans="3:17" x14ac:dyDescent="0.3">
      <c r="C5962" s="87"/>
      <c r="H5962" s="86" t="e">
        <f>IF(I5962="fora",0%,G5962/QUÓRUM!$C$6)</f>
        <v>#DIV/0!</v>
      </c>
      <c r="I5962" s="87"/>
      <c r="J5962" s="88"/>
      <c r="K5962" s="88"/>
      <c r="L5962" s="89"/>
      <c r="M5962" s="89"/>
      <c r="Q5962" s="105"/>
    </row>
    <row r="5963" spans="3:17" x14ac:dyDescent="0.3">
      <c r="C5963" s="87"/>
      <c r="H5963" s="86" t="e">
        <f>IF(I5963="fora",0%,G5963/QUÓRUM!$C$6)</f>
        <v>#DIV/0!</v>
      </c>
      <c r="I5963" s="87"/>
      <c r="J5963" s="88"/>
      <c r="K5963" s="88"/>
      <c r="L5963" s="89"/>
      <c r="M5963" s="89"/>
      <c r="Q5963" s="105"/>
    </row>
    <row r="5964" spans="3:17" x14ac:dyDescent="0.3">
      <c r="C5964" s="87"/>
      <c r="H5964" s="86" t="e">
        <f>IF(I5964="fora",0%,G5964/QUÓRUM!$C$6)</f>
        <v>#DIV/0!</v>
      </c>
      <c r="I5964" s="87"/>
      <c r="J5964" s="88"/>
      <c r="K5964" s="88"/>
      <c r="L5964" s="89"/>
      <c r="M5964" s="89"/>
      <c r="Q5964" s="105"/>
    </row>
    <row r="5965" spans="3:17" x14ac:dyDescent="0.3">
      <c r="C5965" s="87"/>
      <c r="H5965" s="86" t="e">
        <f>IF(I5965="fora",0%,G5965/QUÓRUM!$C$6)</f>
        <v>#DIV/0!</v>
      </c>
      <c r="I5965" s="87"/>
      <c r="J5965" s="88"/>
      <c r="K5965" s="88"/>
      <c r="L5965" s="89"/>
      <c r="M5965" s="89"/>
      <c r="Q5965" s="105"/>
    </row>
    <row r="5966" spans="3:17" x14ac:dyDescent="0.3">
      <c r="C5966" s="87"/>
      <c r="H5966" s="86" t="e">
        <f>IF(I5966="fora",0%,G5966/QUÓRUM!$C$6)</f>
        <v>#DIV/0!</v>
      </c>
      <c r="I5966" s="87"/>
      <c r="J5966" s="88"/>
      <c r="K5966" s="88"/>
      <c r="L5966" s="89"/>
      <c r="M5966" s="89"/>
      <c r="Q5966" s="105"/>
    </row>
    <row r="5967" spans="3:17" x14ac:dyDescent="0.3">
      <c r="C5967" s="87"/>
      <c r="H5967" s="86" t="e">
        <f>IF(I5967="fora",0%,G5967/QUÓRUM!$C$6)</f>
        <v>#DIV/0!</v>
      </c>
      <c r="I5967" s="87"/>
      <c r="J5967" s="88"/>
      <c r="K5967" s="88"/>
      <c r="L5967" s="89"/>
      <c r="M5967" s="89"/>
      <c r="Q5967" s="105"/>
    </row>
    <row r="5968" spans="3:17" x14ac:dyDescent="0.3">
      <c r="C5968" s="87"/>
      <c r="H5968" s="86" t="e">
        <f>IF(I5968="fora",0%,G5968/QUÓRUM!$C$6)</f>
        <v>#DIV/0!</v>
      </c>
      <c r="I5968" s="87"/>
      <c r="J5968" s="88"/>
      <c r="K5968" s="88"/>
      <c r="L5968" s="89"/>
      <c r="M5968" s="89"/>
      <c r="Q5968" s="105"/>
    </row>
    <row r="5969" spans="3:17" x14ac:dyDescent="0.3">
      <c r="C5969" s="87"/>
      <c r="H5969" s="86" t="e">
        <f>IF(I5969="fora",0%,G5969/QUÓRUM!$C$6)</f>
        <v>#DIV/0!</v>
      </c>
      <c r="I5969" s="87"/>
      <c r="J5969" s="88"/>
      <c r="K5969" s="88"/>
      <c r="L5969" s="89"/>
      <c r="M5969" s="89"/>
      <c r="Q5969" s="105"/>
    </row>
    <row r="5970" spans="3:17" x14ac:dyDescent="0.3">
      <c r="C5970" s="87"/>
      <c r="H5970" s="86" t="e">
        <f>IF(I5970="fora",0%,G5970/QUÓRUM!$C$6)</f>
        <v>#DIV/0!</v>
      </c>
      <c r="I5970" s="87"/>
      <c r="J5970" s="88"/>
      <c r="K5970" s="88"/>
      <c r="L5970" s="89"/>
      <c r="M5970" s="89"/>
      <c r="Q5970" s="105"/>
    </row>
    <row r="5971" spans="3:17" x14ac:dyDescent="0.3">
      <c r="C5971" s="87"/>
      <c r="H5971" s="86" t="e">
        <f>IF(I5971="fora",0%,G5971/QUÓRUM!$C$6)</f>
        <v>#DIV/0!</v>
      </c>
      <c r="I5971" s="87"/>
      <c r="J5971" s="88"/>
      <c r="K5971" s="88"/>
      <c r="L5971" s="89"/>
      <c r="M5971" s="89"/>
      <c r="Q5971" s="105"/>
    </row>
    <row r="5972" spans="3:17" x14ac:dyDescent="0.3">
      <c r="C5972" s="87"/>
      <c r="H5972" s="86" t="e">
        <f>IF(I5972="fora",0%,G5972/QUÓRUM!$C$6)</f>
        <v>#DIV/0!</v>
      </c>
      <c r="I5972" s="87"/>
      <c r="J5972" s="88"/>
      <c r="K5972" s="88"/>
      <c r="L5972" s="89"/>
      <c r="M5972" s="89"/>
      <c r="Q5972" s="105"/>
    </row>
    <row r="5973" spans="3:17" x14ac:dyDescent="0.3">
      <c r="C5973" s="87"/>
      <c r="H5973" s="86" t="e">
        <f>IF(I5973="fora",0%,G5973/QUÓRUM!$C$6)</f>
        <v>#DIV/0!</v>
      </c>
      <c r="I5973" s="87"/>
      <c r="J5973" s="88"/>
      <c r="K5973" s="88"/>
      <c r="L5973" s="89"/>
      <c r="M5973" s="89"/>
      <c r="Q5973" s="105"/>
    </row>
    <row r="5974" spans="3:17" x14ac:dyDescent="0.3">
      <c r="C5974" s="87"/>
      <c r="H5974" s="86" t="e">
        <f>IF(I5974="fora",0%,G5974/QUÓRUM!$C$6)</f>
        <v>#DIV/0!</v>
      </c>
      <c r="I5974" s="87"/>
      <c r="J5974" s="88"/>
      <c r="K5974" s="88"/>
      <c r="L5974" s="89"/>
      <c r="M5974" s="89"/>
      <c r="Q5974" s="105"/>
    </row>
    <row r="5975" spans="3:17" x14ac:dyDescent="0.3">
      <c r="C5975" s="87"/>
      <c r="H5975" s="86" t="e">
        <f>IF(I5975="fora",0%,G5975/QUÓRUM!$C$6)</f>
        <v>#DIV/0!</v>
      </c>
      <c r="I5975" s="87"/>
      <c r="J5975" s="88"/>
      <c r="K5975" s="88"/>
      <c r="L5975" s="89"/>
      <c r="M5975" s="89"/>
      <c r="Q5975" s="105"/>
    </row>
    <row r="5976" spans="3:17" x14ac:dyDescent="0.3">
      <c r="C5976" s="87"/>
      <c r="H5976" s="86" t="e">
        <f>IF(I5976="fora",0%,G5976/QUÓRUM!$C$6)</f>
        <v>#DIV/0!</v>
      </c>
      <c r="I5976" s="87"/>
      <c r="J5976" s="88"/>
      <c r="K5976" s="88"/>
      <c r="L5976" s="89"/>
      <c r="M5976" s="89"/>
      <c r="Q5976" s="105"/>
    </row>
    <row r="5977" spans="3:17" x14ac:dyDescent="0.3">
      <c r="C5977" s="87"/>
      <c r="H5977" s="86" t="e">
        <f>IF(I5977="fora",0%,G5977/QUÓRUM!$C$6)</f>
        <v>#DIV/0!</v>
      </c>
      <c r="I5977" s="87"/>
      <c r="J5977" s="88"/>
      <c r="K5977" s="88"/>
      <c r="L5977" s="89"/>
      <c r="M5977" s="89"/>
      <c r="Q5977" s="105"/>
    </row>
    <row r="5978" spans="3:17" x14ac:dyDescent="0.3">
      <c r="C5978" s="87"/>
      <c r="H5978" s="86" t="e">
        <f>IF(I5978="fora",0%,G5978/QUÓRUM!$C$6)</f>
        <v>#DIV/0!</v>
      </c>
      <c r="I5978" s="87"/>
      <c r="J5978" s="88"/>
      <c r="K5978" s="88"/>
      <c r="L5978" s="89"/>
      <c r="M5978" s="89"/>
      <c r="Q5978" s="105"/>
    </row>
    <row r="5979" spans="3:17" x14ac:dyDescent="0.3">
      <c r="C5979" s="87"/>
      <c r="H5979" s="86" t="e">
        <f>IF(I5979="fora",0%,G5979/QUÓRUM!$C$6)</f>
        <v>#DIV/0!</v>
      </c>
      <c r="I5979" s="87"/>
      <c r="J5979" s="88"/>
      <c r="K5979" s="88"/>
      <c r="L5979" s="89"/>
      <c r="M5979" s="89"/>
      <c r="Q5979" s="105"/>
    </row>
    <row r="5980" spans="3:17" x14ac:dyDescent="0.3">
      <c r="C5980" s="87"/>
      <c r="H5980" s="86" t="e">
        <f>IF(I5980="fora",0%,G5980/QUÓRUM!$C$6)</f>
        <v>#DIV/0!</v>
      </c>
      <c r="I5980" s="87"/>
      <c r="J5980" s="88"/>
      <c r="K5980" s="88"/>
      <c r="L5980" s="89"/>
      <c r="M5980" s="89"/>
      <c r="Q5980" s="105"/>
    </row>
    <row r="5981" spans="3:17" x14ac:dyDescent="0.3">
      <c r="C5981" s="87"/>
      <c r="H5981" s="86" t="e">
        <f>IF(I5981="fora",0%,G5981/QUÓRUM!$C$6)</f>
        <v>#DIV/0!</v>
      </c>
      <c r="I5981" s="87"/>
      <c r="J5981" s="88"/>
      <c r="K5981" s="88"/>
      <c r="L5981" s="89"/>
      <c r="M5981" s="89"/>
      <c r="Q5981" s="105"/>
    </row>
    <row r="5982" spans="3:17" x14ac:dyDescent="0.3">
      <c r="C5982" s="87"/>
      <c r="H5982" s="86" t="e">
        <f>IF(I5982="fora",0%,G5982/QUÓRUM!$C$6)</f>
        <v>#DIV/0!</v>
      </c>
      <c r="I5982" s="87"/>
      <c r="J5982" s="88"/>
      <c r="K5982" s="88"/>
      <c r="L5982" s="89"/>
      <c r="M5982" s="89"/>
      <c r="Q5982" s="105"/>
    </row>
    <row r="5983" spans="3:17" x14ac:dyDescent="0.3">
      <c r="C5983" s="87"/>
      <c r="H5983" s="86" t="e">
        <f>IF(I5983="fora",0%,G5983/QUÓRUM!$C$6)</f>
        <v>#DIV/0!</v>
      </c>
      <c r="I5983" s="87"/>
      <c r="J5983" s="88"/>
      <c r="K5983" s="88"/>
      <c r="L5983" s="89"/>
      <c r="M5983" s="89"/>
      <c r="Q5983" s="105"/>
    </row>
    <row r="5984" spans="3:17" x14ac:dyDescent="0.3">
      <c r="C5984" s="87"/>
      <c r="H5984" s="86" t="e">
        <f>IF(I5984="fora",0%,G5984/QUÓRUM!$C$6)</f>
        <v>#DIV/0!</v>
      </c>
      <c r="I5984" s="87"/>
      <c r="J5984" s="88"/>
      <c r="K5984" s="88"/>
      <c r="L5984" s="89"/>
      <c r="M5984" s="89"/>
      <c r="Q5984" s="105"/>
    </row>
    <row r="5985" spans="3:17" x14ac:dyDescent="0.3">
      <c r="C5985" s="87"/>
      <c r="H5985" s="86" t="e">
        <f>IF(I5985="fora",0%,G5985/QUÓRUM!$C$6)</f>
        <v>#DIV/0!</v>
      </c>
      <c r="I5985" s="87"/>
      <c r="J5985" s="88"/>
      <c r="K5985" s="88"/>
      <c r="L5985" s="89"/>
      <c r="M5985" s="89"/>
      <c r="Q5985" s="105"/>
    </row>
    <row r="5986" spans="3:17" x14ac:dyDescent="0.3">
      <c r="C5986" s="87"/>
      <c r="H5986" s="86" t="e">
        <f>IF(I5986="fora",0%,G5986/QUÓRUM!$C$6)</f>
        <v>#DIV/0!</v>
      </c>
      <c r="I5986" s="87"/>
      <c r="J5986" s="88"/>
      <c r="K5986" s="88"/>
      <c r="L5986" s="89"/>
      <c r="M5986" s="89"/>
      <c r="Q5986" s="105"/>
    </row>
    <row r="5987" spans="3:17" x14ac:dyDescent="0.3">
      <c r="C5987" s="87"/>
      <c r="H5987" s="86" t="e">
        <f>IF(I5987="fora",0%,G5987/QUÓRUM!$C$6)</f>
        <v>#DIV/0!</v>
      </c>
      <c r="I5987" s="87"/>
      <c r="J5987" s="88"/>
      <c r="K5987" s="88"/>
      <c r="L5987" s="89"/>
      <c r="M5987" s="89"/>
      <c r="Q5987" s="105"/>
    </row>
    <row r="5988" spans="3:17" x14ac:dyDescent="0.3">
      <c r="C5988" s="87"/>
      <c r="H5988" s="86" t="e">
        <f>IF(I5988="fora",0%,G5988/QUÓRUM!$C$6)</f>
        <v>#DIV/0!</v>
      </c>
      <c r="I5988" s="87"/>
      <c r="J5988" s="88"/>
      <c r="K5988" s="88"/>
      <c r="L5988" s="89"/>
      <c r="M5988" s="89"/>
      <c r="Q5988" s="105"/>
    </row>
    <row r="5989" spans="3:17" x14ac:dyDescent="0.3">
      <c r="C5989" s="87"/>
      <c r="H5989" s="86" t="e">
        <f>IF(I5989="fora",0%,G5989/QUÓRUM!$C$6)</f>
        <v>#DIV/0!</v>
      </c>
      <c r="I5989" s="87"/>
      <c r="J5989" s="88"/>
      <c r="K5989" s="88"/>
      <c r="L5989" s="89"/>
      <c r="M5989" s="89"/>
      <c r="Q5989" s="105"/>
    </row>
    <row r="5990" spans="3:17" x14ac:dyDescent="0.3">
      <c r="C5990" s="87"/>
      <c r="H5990" s="86" t="e">
        <f>IF(I5990="fora",0%,G5990/QUÓRUM!$C$6)</f>
        <v>#DIV/0!</v>
      </c>
      <c r="I5990" s="87"/>
      <c r="J5990" s="88"/>
      <c r="K5990" s="88"/>
      <c r="L5990" s="89"/>
      <c r="M5990" s="89"/>
      <c r="Q5990" s="105"/>
    </row>
    <row r="5991" spans="3:17" x14ac:dyDescent="0.3">
      <c r="C5991" s="87"/>
      <c r="H5991" s="86" t="e">
        <f>IF(I5991="fora",0%,G5991/QUÓRUM!$C$6)</f>
        <v>#DIV/0!</v>
      </c>
      <c r="I5991" s="87"/>
      <c r="J5991" s="88"/>
      <c r="K5991" s="88"/>
      <c r="L5991" s="89"/>
      <c r="M5991" s="89"/>
      <c r="Q5991" s="105"/>
    </row>
    <row r="5992" spans="3:17" x14ac:dyDescent="0.3">
      <c r="C5992" s="87"/>
      <c r="H5992" s="86" t="e">
        <f>IF(I5992="fora",0%,G5992/QUÓRUM!$C$6)</f>
        <v>#DIV/0!</v>
      </c>
      <c r="I5992" s="87"/>
      <c r="J5992" s="88"/>
      <c r="K5992" s="88"/>
      <c r="L5992" s="89"/>
      <c r="M5992" s="89"/>
      <c r="Q5992" s="105"/>
    </row>
    <row r="5993" spans="3:17" x14ac:dyDescent="0.3">
      <c r="C5993" s="87"/>
      <c r="H5993" s="86" t="e">
        <f>IF(I5993="fora",0%,G5993/QUÓRUM!$C$6)</f>
        <v>#DIV/0!</v>
      </c>
      <c r="I5993" s="87"/>
      <c r="J5993" s="88"/>
      <c r="K5993" s="88"/>
      <c r="L5993" s="89"/>
      <c r="M5993" s="89"/>
      <c r="Q5993" s="105"/>
    </row>
    <row r="5994" spans="3:17" x14ac:dyDescent="0.3">
      <c r="C5994" s="87"/>
      <c r="H5994" s="86" t="e">
        <f>IF(I5994="fora",0%,G5994/QUÓRUM!$C$6)</f>
        <v>#DIV/0!</v>
      </c>
      <c r="I5994" s="87"/>
      <c r="J5994" s="88"/>
      <c r="K5994" s="88"/>
      <c r="L5994" s="89"/>
      <c r="M5994" s="89"/>
      <c r="Q5994" s="105"/>
    </row>
    <row r="5995" spans="3:17" x14ac:dyDescent="0.3">
      <c r="C5995" s="87"/>
      <c r="H5995" s="86" t="e">
        <f>IF(I5995="fora",0%,G5995/QUÓRUM!$C$6)</f>
        <v>#DIV/0!</v>
      </c>
      <c r="I5995" s="87"/>
      <c r="J5995" s="88"/>
      <c r="K5995" s="88"/>
      <c r="L5995" s="89"/>
      <c r="M5995" s="89"/>
      <c r="Q5995" s="105"/>
    </row>
    <row r="5996" spans="3:17" x14ac:dyDescent="0.3">
      <c r="C5996" s="87"/>
      <c r="H5996" s="86" t="e">
        <f>IF(I5996="fora",0%,G5996/QUÓRUM!$C$6)</f>
        <v>#DIV/0!</v>
      </c>
      <c r="I5996" s="87"/>
      <c r="J5996" s="88"/>
      <c r="K5996" s="88"/>
      <c r="L5996" s="89"/>
      <c r="M5996" s="89"/>
      <c r="Q5996" s="105"/>
    </row>
    <row r="5997" spans="3:17" x14ac:dyDescent="0.3">
      <c r="C5997" s="87"/>
      <c r="H5997" s="86" t="e">
        <f>IF(I5997="fora",0%,G5997/QUÓRUM!$C$6)</f>
        <v>#DIV/0!</v>
      </c>
      <c r="I5997" s="87"/>
      <c r="J5997" s="88"/>
      <c r="K5997" s="88"/>
      <c r="L5997" s="89"/>
      <c r="M5997" s="89"/>
      <c r="Q5997" s="105"/>
    </row>
    <row r="5998" spans="3:17" x14ac:dyDescent="0.3">
      <c r="C5998" s="87"/>
      <c r="H5998" s="86" t="e">
        <f>IF(I5998="fora",0%,G5998/QUÓRUM!$C$6)</f>
        <v>#DIV/0!</v>
      </c>
      <c r="I5998" s="87"/>
      <c r="J5998" s="88"/>
      <c r="K5998" s="88"/>
      <c r="L5998" s="89"/>
      <c r="M5998" s="89"/>
      <c r="Q5998" s="105"/>
    </row>
    <row r="5999" spans="3:17" x14ac:dyDescent="0.3">
      <c r="C5999" s="87"/>
      <c r="H5999" s="86" t="e">
        <f>IF(I5999="fora",0%,G5999/QUÓRUM!$C$6)</f>
        <v>#DIV/0!</v>
      </c>
      <c r="I5999" s="87"/>
      <c r="J5999" s="88"/>
      <c r="K5999" s="88"/>
      <c r="L5999" s="89"/>
      <c r="M5999" s="89"/>
      <c r="Q5999" s="105"/>
    </row>
    <row r="6000" spans="3:17" x14ac:dyDescent="0.3">
      <c r="C6000" s="87"/>
      <c r="H6000" s="86" t="e">
        <f>IF(I6000="fora",0%,G6000/QUÓRUM!$C$6)</f>
        <v>#DIV/0!</v>
      </c>
      <c r="I6000" s="87"/>
      <c r="J6000" s="88"/>
      <c r="K6000" s="88"/>
      <c r="L6000" s="89"/>
      <c r="M6000" s="89"/>
      <c r="Q6000" s="105"/>
    </row>
    <row r="6001" spans="3:17" x14ac:dyDescent="0.3">
      <c r="C6001" s="87"/>
      <c r="H6001" s="86" t="e">
        <f>IF(I6001="fora",0%,G6001/QUÓRUM!$C$6)</f>
        <v>#DIV/0!</v>
      </c>
      <c r="I6001" s="87"/>
      <c r="J6001" s="88"/>
      <c r="K6001" s="88"/>
      <c r="L6001" s="89"/>
      <c r="M6001" s="89"/>
      <c r="Q6001" s="105"/>
    </row>
    <row r="6002" spans="3:17" x14ac:dyDescent="0.3">
      <c r="C6002" s="87"/>
      <c r="H6002" s="86" t="e">
        <f>IF(I6002="fora",0%,G6002/QUÓRUM!$C$6)</f>
        <v>#DIV/0!</v>
      </c>
      <c r="I6002" s="87"/>
      <c r="J6002" s="88"/>
      <c r="K6002" s="88"/>
      <c r="L6002" s="89"/>
      <c r="M6002" s="89"/>
      <c r="Q6002" s="105"/>
    </row>
    <row r="6003" spans="3:17" x14ac:dyDescent="0.3">
      <c r="C6003" s="87"/>
      <c r="H6003" s="86" t="e">
        <f>IF(I6003="fora",0%,G6003/QUÓRUM!$C$6)</f>
        <v>#DIV/0!</v>
      </c>
      <c r="I6003" s="87"/>
      <c r="J6003" s="88"/>
      <c r="K6003" s="88"/>
      <c r="L6003" s="89"/>
      <c r="M6003" s="89"/>
      <c r="Q6003" s="105"/>
    </row>
    <row r="6004" spans="3:17" x14ac:dyDescent="0.3">
      <c r="C6004" s="87"/>
      <c r="H6004" s="86" t="e">
        <f>IF(I6004="fora",0%,G6004/QUÓRUM!$C$6)</f>
        <v>#DIV/0!</v>
      </c>
      <c r="I6004" s="87"/>
      <c r="J6004" s="88"/>
      <c r="K6004" s="88"/>
      <c r="L6004" s="89"/>
      <c r="M6004" s="89"/>
      <c r="Q6004" s="105"/>
    </row>
    <row r="6005" spans="3:17" x14ac:dyDescent="0.3">
      <c r="C6005" s="87"/>
      <c r="H6005" s="86" t="e">
        <f>IF(I6005="fora",0%,G6005/QUÓRUM!$C$6)</f>
        <v>#DIV/0!</v>
      </c>
      <c r="I6005" s="87"/>
      <c r="J6005" s="88"/>
      <c r="K6005" s="88"/>
      <c r="L6005" s="89"/>
      <c r="M6005" s="89"/>
      <c r="Q6005" s="105"/>
    </row>
    <row r="6006" spans="3:17" x14ac:dyDescent="0.3">
      <c r="C6006" s="87"/>
      <c r="H6006" s="86" t="e">
        <f>IF(I6006="fora",0%,G6006/QUÓRUM!$C$6)</f>
        <v>#DIV/0!</v>
      </c>
      <c r="I6006" s="87"/>
      <c r="J6006" s="88"/>
      <c r="K6006" s="88"/>
      <c r="L6006" s="89"/>
      <c r="M6006" s="89"/>
      <c r="Q6006" s="105"/>
    </row>
    <row r="6007" spans="3:17" x14ac:dyDescent="0.3">
      <c r="C6007" s="87"/>
      <c r="H6007" s="86" t="e">
        <f>IF(I6007="fora",0%,G6007/QUÓRUM!$C$6)</f>
        <v>#DIV/0!</v>
      </c>
      <c r="I6007" s="87"/>
      <c r="J6007" s="88"/>
      <c r="K6007" s="88"/>
      <c r="L6007" s="89"/>
      <c r="M6007" s="89"/>
      <c r="Q6007" s="105"/>
    </row>
    <row r="6008" spans="3:17" x14ac:dyDescent="0.3">
      <c r="C6008" s="87"/>
      <c r="H6008" s="86" t="e">
        <f>IF(I6008="fora",0%,G6008/QUÓRUM!$C$6)</f>
        <v>#DIV/0!</v>
      </c>
      <c r="I6008" s="87"/>
      <c r="J6008" s="88"/>
      <c r="K6008" s="88"/>
      <c r="L6008" s="89"/>
      <c r="M6008" s="89"/>
      <c r="Q6008" s="105"/>
    </row>
    <row r="6009" spans="3:17" x14ac:dyDescent="0.3">
      <c r="C6009" s="87"/>
      <c r="H6009" s="86" t="e">
        <f>IF(I6009="fora",0%,G6009/QUÓRUM!$C$6)</f>
        <v>#DIV/0!</v>
      </c>
      <c r="I6009" s="87"/>
      <c r="J6009" s="88"/>
      <c r="K6009" s="88"/>
      <c r="L6009" s="89"/>
      <c r="M6009" s="89"/>
      <c r="Q6009" s="105"/>
    </row>
    <row r="6010" spans="3:17" x14ac:dyDescent="0.3">
      <c r="C6010" s="87"/>
      <c r="H6010" s="86" t="e">
        <f>IF(I6010="fora",0%,G6010/QUÓRUM!$C$6)</f>
        <v>#DIV/0!</v>
      </c>
      <c r="I6010" s="87"/>
      <c r="J6010" s="88"/>
      <c r="K6010" s="88"/>
      <c r="L6010" s="89"/>
      <c r="M6010" s="89"/>
      <c r="Q6010" s="105"/>
    </row>
    <row r="6011" spans="3:17" x14ac:dyDescent="0.3">
      <c r="C6011" s="87"/>
      <c r="H6011" s="86" t="e">
        <f>IF(I6011="fora",0%,G6011/QUÓRUM!$C$6)</f>
        <v>#DIV/0!</v>
      </c>
      <c r="I6011" s="87"/>
      <c r="J6011" s="88"/>
      <c r="K6011" s="88"/>
      <c r="L6011" s="89"/>
      <c r="M6011" s="89"/>
      <c r="Q6011" s="105"/>
    </row>
    <row r="6012" spans="3:17" x14ac:dyDescent="0.3">
      <c r="C6012" s="87"/>
      <c r="H6012" s="86" t="e">
        <f>IF(I6012="fora",0%,G6012/QUÓRUM!$C$6)</f>
        <v>#DIV/0!</v>
      </c>
      <c r="I6012" s="87"/>
      <c r="J6012" s="88"/>
      <c r="K6012" s="88"/>
      <c r="L6012" s="89"/>
      <c r="M6012" s="89"/>
      <c r="Q6012" s="105"/>
    </row>
    <row r="6013" spans="3:17" x14ac:dyDescent="0.3">
      <c r="C6013" s="87"/>
      <c r="H6013" s="86" t="e">
        <f>IF(I6013="fora",0%,G6013/QUÓRUM!$C$6)</f>
        <v>#DIV/0!</v>
      </c>
      <c r="I6013" s="87"/>
      <c r="J6013" s="88"/>
      <c r="K6013" s="88"/>
      <c r="L6013" s="89"/>
      <c r="M6013" s="89"/>
      <c r="Q6013" s="105"/>
    </row>
    <row r="6014" spans="3:17" x14ac:dyDescent="0.3">
      <c r="C6014" s="87"/>
      <c r="H6014" s="86" t="e">
        <f>IF(I6014="fora",0%,G6014/QUÓRUM!$C$6)</f>
        <v>#DIV/0!</v>
      </c>
      <c r="I6014" s="87"/>
      <c r="J6014" s="88"/>
      <c r="K6014" s="88"/>
      <c r="L6014" s="89"/>
      <c r="M6014" s="89"/>
      <c r="Q6014" s="105"/>
    </row>
    <row r="6015" spans="3:17" x14ac:dyDescent="0.3">
      <c r="C6015" s="87"/>
      <c r="H6015" s="86" t="e">
        <f>IF(I6015="fora",0%,G6015/QUÓRUM!$C$6)</f>
        <v>#DIV/0!</v>
      </c>
      <c r="I6015" s="87"/>
      <c r="J6015" s="88"/>
      <c r="K6015" s="88"/>
      <c r="L6015" s="89"/>
      <c r="M6015" s="89"/>
      <c r="Q6015" s="105"/>
    </row>
    <row r="6016" spans="3:17" x14ac:dyDescent="0.3">
      <c r="C6016" s="87"/>
      <c r="H6016" s="86" t="e">
        <f>IF(I6016="fora",0%,G6016/QUÓRUM!$C$6)</f>
        <v>#DIV/0!</v>
      </c>
      <c r="I6016" s="87"/>
      <c r="J6016" s="88"/>
      <c r="K6016" s="88"/>
      <c r="L6016" s="89"/>
      <c r="M6016" s="89"/>
      <c r="Q6016" s="105"/>
    </row>
    <row r="6017" spans="3:17" x14ac:dyDescent="0.3">
      <c r="C6017" s="87"/>
      <c r="H6017" s="86" t="e">
        <f>IF(I6017="fora",0%,G6017/QUÓRUM!$C$6)</f>
        <v>#DIV/0!</v>
      </c>
      <c r="I6017" s="87"/>
      <c r="J6017" s="88"/>
      <c r="K6017" s="88"/>
      <c r="L6017" s="89"/>
      <c r="M6017" s="89"/>
      <c r="Q6017" s="105"/>
    </row>
    <row r="6018" spans="3:17" x14ac:dyDescent="0.3">
      <c r="C6018" s="87"/>
      <c r="H6018" s="86" t="e">
        <f>IF(I6018="fora",0%,G6018/QUÓRUM!$C$6)</f>
        <v>#DIV/0!</v>
      </c>
      <c r="I6018" s="87"/>
      <c r="J6018" s="88"/>
      <c r="K6018" s="88"/>
      <c r="L6018" s="89"/>
      <c r="M6018" s="89"/>
      <c r="Q6018" s="105"/>
    </row>
    <row r="6019" spans="3:17" x14ac:dyDescent="0.3">
      <c r="C6019" s="87"/>
      <c r="H6019" s="86" t="e">
        <f>IF(I6019="fora",0%,G6019/QUÓRUM!$C$6)</f>
        <v>#DIV/0!</v>
      </c>
      <c r="I6019" s="87"/>
      <c r="J6019" s="88"/>
      <c r="K6019" s="88"/>
      <c r="L6019" s="89"/>
      <c r="M6019" s="89"/>
      <c r="Q6019" s="105"/>
    </row>
    <row r="6020" spans="3:17" x14ac:dyDescent="0.3">
      <c r="C6020" s="87"/>
      <c r="H6020" s="86" t="e">
        <f>IF(I6020="fora",0%,G6020/QUÓRUM!$C$6)</f>
        <v>#DIV/0!</v>
      </c>
      <c r="I6020" s="87"/>
      <c r="J6020" s="88"/>
      <c r="K6020" s="88"/>
      <c r="L6020" s="89"/>
      <c r="M6020" s="89"/>
      <c r="Q6020" s="105"/>
    </row>
    <row r="6021" spans="3:17" x14ac:dyDescent="0.3">
      <c r="C6021" s="87"/>
      <c r="H6021" s="86" t="e">
        <f>IF(I6021="fora",0%,G6021/QUÓRUM!$C$6)</f>
        <v>#DIV/0!</v>
      </c>
      <c r="I6021" s="87"/>
      <c r="J6021" s="88"/>
      <c r="K6021" s="88"/>
      <c r="L6021" s="89"/>
      <c r="M6021" s="89"/>
      <c r="Q6021" s="105"/>
    </row>
    <row r="6022" spans="3:17" x14ac:dyDescent="0.3">
      <c r="C6022" s="87"/>
      <c r="H6022" s="86" t="e">
        <f>IF(I6022="fora",0%,G6022/QUÓRUM!$C$6)</f>
        <v>#DIV/0!</v>
      </c>
      <c r="I6022" s="87"/>
      <c r="J6022" s="88"/>
      <c r="K6022" s="88"/>
      <c r="L6022" s="89"/>
      <c r="M6022" s="89"/>
      <c r="Q6022" s="105"/>
    </row>
    <row r="6023" spans="3:17" x14ac:dyDescent="0.3">
      <c r="C6023" s="87"/>
      <c r="H6023" s="86" t="e">
        <f>IF(I6023="fora",0%,G6023/QUÓRUM!$C$6)</f>
        <v>#DIV/0!</v>
      </c>
      <c r="I6023" s="87"/>
      <c r="J6023" s="88"/>
      <c r="K6023" s="88"/>
      <c r="L6023" s="89"/>
      <c r="M6023" s="89"/>
      <c r="Q6023" s="105"/>
    </row>
    <row r="6024" spans="3:17" x14ac:dyDescent="0.3">
      <c r="C6024" s="87"/>
      <c r="H6024" s="86" t="e">
        <f>IF(I6024="fora",0%,G6024/QUÓRUM!$C$6)</f>
        <v>#DIV/0!</v>
      </c>
      <c r="I6024" s="87"/>
      <c r="J6024" s="88"/>
      <c r="K6024" s="88"/>
      <c r="L6024" s="89"/>
      <c r="M6024" s="89"/>
      <c r="Q6024" s="105"/>
    </row>
    <row r="6025" spans="3:17" x14ac:dyDescent="0.3">
      <c r="C6025" s="87"/>
      <c r="H6025" s="86" t="e">
        <f>IF(I6025="fora",0%,G6025/QUÓRUM!$C$6)</f>
        <v>#DIV/0!</v>
      </c>
      <c r="I6025" s="87"/>
      <c r="J6025" s="88"/>
      <c r="K6025" s="88"/>
      <c r="L6025" s="89"/>
      <c r="M6025" s="89"/>
      <c r="Q6025" s="105"/>
    </row>
    <row r="6026" spans="3:17" x14ac:dyDescent="0.3">
      <c r="C6026" s="87"/>
      <c r="H6026" s="86" t="e">
        <f>IF(I6026="fora",0%,G6026/QUÓRUM!$C$6)</f>
        <v>#DIV/0!</v>
      </c>
      <c r="I6026" s="87"/>
      <c r="J6026" s="88"/>
      <c r="K6026" s="88"/>
      <c r="L6026" s="89"/>
      <c r="M6026" s="89"/>
      <c r="Q6026" s="105"/>
    </row>
    <row r="6027" spans="3:17" x14ac:dyDescent="0.3">
      <c r="C6027" s="87"/>
      <c r="H6027" s="86" t="e">
        <f>IF(I6027="fora",0%,G6027/QUÓRUM!$C$6)</f>
        <v>#DIV/0!</v>
      </c>
      <c r="I6027" s="87"/>
      <c r="J6027" s="88"/>
      <c r="K6027" s="88"/>
      <c r="L6027" s="89"/>
      <c r="M6027" s="89"/>
      <c r="Q6027" s="105"/>
    </row>
    <row r="6028" spans="3:17" x14ac:dyDescent="0.3">
      <c r="C6028" s="87"/>
      <c r="H6028" s="86" t="e">
        <f>IF(I6028="fora",0%,G6028/QUÓRUM!$C$6)</f>
        <v>#DIV/0!</v>
      </c>
      <c r="I6028" s="87"/>
      <c r="J6028" s="88"/>
      <c r="K6028" s="88"/>
      <c r="L6028" s="89"/>
      <c r="M6028" s="89"/>
      <c r="Q6028" s="105"/>
    </row>
    <row r="6029" spans="3:17" x14ac:dyDescent="0.3">
      <c r="C6029" s="87"/>
      <c r="H6029" s="86" t="e">
        <f>IF(I6029="fora",0%,G6029/QUÓRUM!$C$6)</f>
        <v>#DIV/0!</v>
      </c>
      <c r="I6029" s="87"/>
      <c r="J6029" s="88"/>
      <c r="K6029" s="88"/>
      <c r="L6029" s="89"/>
      <c r="M6029" s="89"/>
      <c r="Q6029" s="105"/>
    </row>
    <row r="6030" spans="3:17" x14ac:dyDescent="0.3">
      <c r="C6030" s="87"/>
      <c r="H6030" s="86" t="e">
        <f>IF(I6030="fora",0%,G6030/QUÓRUM!$C$6)</f>
        <v>#DIV/0!</v>
      </c>
      <c r="I6030" s="87"/>
      <c r="J6030" s="88"/>
      <c r="K6030" s="88"/>
      <c r="L6030" s="89"/>
      <c r="M6030" s="89"/>
      <c r="Q6030" s="105"/>
    </row>
    <row r="6031" spans="3:17" x14ac:dyDescent="0.3">
      <c r="C6031" s="87"/>
      <c r="H6031" s="86" t="e">
        <f>IF(I6031="fora",0%,G6031/QUÓRUM!$C$6)</f>
        <v>#DIV/0!</v>
      </c>
      <c r="I6031" s="87"/>
      <c r="J6031" s="88"/>
      <c r="K6031" s="88"/>
      <c r="L6031" s="89"/>
      <c r="M6031" s="89"/>
      <c r="Q6031" s="105"/>
    </row>
    <row r="6032" spans="3:17" x14ac:dyDescent="0.3">
      <c r="C6032" s="87"/>
      <c r="H6032" s="86" t="e">
        <f>IF(I6032="fora",0%,G6032/QUÓRUM!$C$6)</f>
        <v>#DIV/0!</v>
      </c>
      <c r="I6032" s="87"/>
      <c r="J6032" s="88"/>
      <c r="K6032" s="88"/>
      <c r="L6032" s="89"/>
      <c r="M6032" s="89"/>
      <c r="Q6032" s="105"/>
    </row>
    <row r="6033" spans="3:17" x14ac:dyDescent="0.3">
      <c r="C6033" s="87"/>
      <c r="H6033" s="86" t="e">
        <f>IF(I6033="fora",0%,G6033/QUÓRUM!$C$6)</f>
        <v>#DIV/0!</v>
      </c>
      <c r="I6033" s="87"/>
      <c r="J6033" s="88"/>
      <c r="K6033" s="88"/>
      <c r="L6033" s="89"/>
      <c r="M6033" s="89"/>
      <c r="Q6033" s="105"/>
    </row>
    <row r="6034" spans="3:17" x14ac:dyDescent="0.3">
      <c r="C6034" s="87"/>
      <c r="H6034" s="86" t="e">
        <f>IF(I6034="fora",0%,G6034/QUÓRUM!$C$6)</f>
        <v>#DIV/0!</v>
      </c>
      <c r="I6034" s="87"/>
      <c r="J6034" s="88"/>
      <c r="K6034" s="88"/>
      <c r="L6034" s="89"/>
      <c r="M6034" s="89"/>
      <c r="Q6034" s="105"/>
    </row>
    <row r="6035" spans="3:17" x14ac:dyDescent="0.3">
      <c r="C6035" s="87"/>
      <c r="H6035" s="86" t="e">
        <f>IF(I6035="fora",0%,G6035/QUÓRUM!$C$6)</f>
        <v>#DIV/0!</v>
      </c>
      <c r="I6035" s="87"/>
      <c r="J6035" s="88"/>
      <c r="K6035" s="88"/>
      <c r="L6035" s="89"/>
      <c r="M6035" s="89"/>
      <c r="Q6035" s="105"/>
    </row>
    <row r="6036" spans="3:17" x14ac:dyDescent="0.3">
      <c r="C6036" s="87"/>
      <c r="H6036" s="86" t="e">
        <f>IF(I6036="fora",0%,G6036/QUÓRUM!$C$6)</f>
        <v>#DIV/0!</v>
      </c>
      <c r="I6036" s="87"/>
      <c r="J6036" s="88"/>
      <c r="K6036" s="88"/>
      <c r="L6036" s="89"/>
      <c r="M6036" s="89"/>
      <c r="Q6036" s="105"/>
    </row>
    <row r="6037" spans="3:17" x14ac:dyDescent="0.3">
      <c r="C6037" s="87"/>
      <c r="H6037" s="86" t="e">
        <f>IF(I6037="fora",0%,G6037/QUÓRUM!$C$6)</f>
        <v>#DIV/0!</v>
      </c>
      <c r="I6037" s="87"/>
      <c r="J6037" s="88"/>
      <c r="K6037" s="88"/>
      <c r="L6037" s="89"/>
      <c r="M6037" s="89"/>
      <c r="Q6037" s="105"/>
    </row>
    <row r="6038" spans="3:17" x14ac:dyDescent="0.3">
      <c r="C6038" s="87"/>
      <c r="H6038" s="86" t="e">
        <f>IF(I6038="fora",0%,G6038/QUÓRUM!$C$6)</f>
        <v>#DIV/0!</v>
      </c>
      <c r="I6038" s="87"/>
      <c r="J6038" s="88"/>
      <c r="K6038" s="88"/>
      <c r="L6038" s="89"/>
      <c r="M6038" s="89"/>
      <c r="Q6038" s="105"/>
    </row>
    <row r="6039" spans="3:17" x14ac:dyDescent="0.3">
      <c r="C6039" s="87"/>
      <c r="H6039" s="86" t="e">
        <f>IF(I6039="fora",0%,G6039/QUÓRUM!$C$6)</f>
        <v>#DIV/0!</v>
      </c>
      <c r="I6039" s="87"/>
      <c r="J6039" s="88"/>
      <c r="K6039" s="88"/>
      <c r="L6039" s="89"/>
      <c r="M6039" s="89"/>
      <c r="Q6039" s="105"/>
    </row>
    <row r="6040" spans="3:17" x14ac:dyDescent="0.3">
      <c r="C6040" s="87"/>
      <c r="H6040" s="86" t="e">
        <f>IF(I6040="fora",0%,G6040/QUÓRUM!$C$6)</f>
        <v>#DIV/0!</v>
      </c>
      <c r="I6040" s="87"/>
      <c r="J6040" s="88"/>
      <c r="K6040" s="88"/>
      <c r="L6040" s="89"/>
      <c r="M6040" s="89"/>
      <c r="Q6040" s="105"/>
    </row>
    <row r="6041" spans="3:17" x14ac:dyDescent="0.3">
      <c r="C6041" s="87"/>
      <c r="H6041" s="86" t="e">
        <f>IF(I6041="fora",0%,G6041/QUÓRUM!$C$6)</f>
        <v>#DIV/0!</v>
      </c>
      <c r="I6041" s="87"/>
      <c r="J6041" s="88"/>
      <c r="K6041" s="88"/>
      <c r="L6041" s="89"/>
      <c r="M6041" s="89"/>
      <c r="Q6041" s="105"/>
    </row>
    <row r="6042" spans="3:17" x14ac:dyDescent="0.3">
      <c r="C6042" s="87"/>
      <c r="G6042" s="115"/>
      <c r="H6042" s="86" t="e">
        <f>IF(I6042="fora",0%,G6042/QUÓRUM!$C$6)</f>
        <v>#DIV/0!</v>
      </c>
      <c r="I6042" s="87"/>
      <c r="J6042" s="88"/>
      <c r="K6042" s="88"/>
      <c r="L6042" s="89"/>
      <c r="M6042" s="89"/>
      <c r="Q6042" s="105"/>
    </row>
    <row r="6043" spans="3:17" x14ac:dyDescent="0.3">
      <c r="C6043" s="87"/>
      <c r="H6043" s="86" t="e">
        <f>IF(I6043="fora",0%,G6043/QUÓRUM!$C$6)</f>
        <v>#DIV/0!</v>
      </c>
      <c r="I6043" s="87"/>
      <c r="J6043" s="88"/>
      <c r="K6043" s="88"/>
      <c r="L6043" s="89"/>
      <c r="M6043" s="89"/>
      <c r="Q6043" s="105"/>
    </row>
    <row r="6044" spans="3:17" x14ac:dyDescent="0.3">
      <c r="C6044" s="87"/>
      <c r="H6044" s="86" t="e">
        <f>IF(I6044="fora",0%,G6044/QUÓRUM!$C$6)</f>
        <v>#DIV/0!</v>
      </c>
      <c r="I6044" s="87"/>
      <c r="J6044" s="88"/>
      <c r="K6044" s="88"/>
      <c r="L6044" s="89"/>
      <c r="M6044" s="89"/>
      <c r="Q6044" s="105"/>
    </row>
    <row r="6045" spans="3:17" x14ac:dyDescent="0.3">
      <c r="C6045" s="87"/>
      <c r="H6045" s="86" t="e">
        <f>IF(I6045="fora",0%,G6045/QUÓRUM!$C$6)</f>
        <v>#DIV/0!</v>
      </c>
      <c r="I6045" s="87"/>
      <c r="J6045" s="88"/>
      <c r="K6045" s="88"/>
      <c r="L6045" s="89"/>
      <c r="M6045" s="89"/>
      <c r="Q6045" s="105"/>
    </row>
    <row r="6046" spans="3:17" x14ac:dyDescent="0.3">
      <c r="C6046" s="87"/>
      <c r="H6046" s="86" t="e">
        <f>IF(I6046="fora",0%,G6046/QUÓRUM!$C$6)</f>
        <v>#DIV/0!</v>
      </c>
      <c r="I6046" s="87"/>
      <c r="J6046" s="88"/>
      <c r="K6046" s="88"/>
      <c r="L6046" s="89"/>
      <c r="M6046" s="89"/>
      <c r="Q6046" s="105"/>
    </row>
    <row r="6047" spans="3:17" x14ac:dyDescent="0.3">
      <c r="C6047" s="87"/>
      <c r="H6047" s="86" t="e">
        <f>IF(I6047="fora",0%,G6047/QUÓRUM!$C$6)</f>
        <v>#DIV/0!</v>
      </c>
      <c r="I6047" s="87"/>
      <c r="J6047" s="88"/>
      <c r="K6047" s="88"/>
      <c r="L6047" s="89"/>
      <c r="M6047" s="89"/>
      <c r="Q6047" s="105"/>
    </row>
    <row r="6048" spans="3:17" x14ac:dyDescent="0.3">
      <c r="C6048" s="87"/>
      <c r="H6048" s="86" t="e">
        <f>IF(I6048="fora",0%,G6048/QUÓRUM!$C$6)</f>
        <v>#DIV/0!</v>
      </c>
      <c r="I6048" s="87"/>
      <c r="J6048" s="88"/>
      <c r="K6048" s="88"/>
      <c r="L6048" s="89"/>
      <c r="M6048" s="89"/>
      <c r="Q6048" s="105"/>
    </row>
    <row r="6049" spans="3:17" x14ac:dyDescent="0.3">
      <c r="C6049" s="87"/>
      <c r="H6049" s="86" t="e">
        <f>IF(I6049="fora",0%,G6049/QUÓRUM!$C$6)</f>
        <v>#DIV/0!</v>
      </c>
      <c r="I6049" s="87"/>
      <c r="J6049" s="88"/>
      <c r="K6049" s="88"/>
      <c r="L6049" s="89"/>
      <c r="M6049" s="89"/>
      <c r="Q6049" s="105"/>
    </row>
    <row r="6050" spans="3:17" x14ac:dyDescent="0.3">
      <c r="C6050" s="87"/>
      <c r="H6050" s="86" t="e">
        <f>IF(I6050="fora",0%,G6050/QUÓRUM!$C$6)</f>
        <v>#DIV/0!</v>
      </c>
      <c r="I6050" s="87"/>
      <c r="J6050" s="88"/>
      <c r="K6050" s="88"/>
      <c r="L6050" s="89"/>
      <c r="M6050" s="89"/>
      <c r="Q6050" s="105"/>
    </row>
    <row r="6051" spans="3:17" x14ac:dyDescent="0.3">
      <c r="C6051" s="87"/>
      <c r="H6051" s="86" t="e">
        <f>IF(I6051="fora",0%,G6051/QUÓRUM!$C$6)</f>
        <v>#DIV/0!</v>
      </c>
      <c r="I6051" s="87"/>
      <c r="J6051" s="88"/>
      <c r="K6051" s="88"/>
      <c r="L6051" s="89"/>
      <c r="M6051" s="89"/>
      <c r="Q6051" s="105"/>
    </row>
    <row r="6052" spans="3:17" x14ac:dyDescent="0.3">
      <c r="C6052" s="87"/>
      <c r="H6052" s="86" t="e">
        <f>IF(I6052="fora",0%,G6052/QUÓRUM!$C$6)</f>
        <v>#DIV/0!</v>
      </c>
      <c r="I6052" s="87"/>
      <c r="J6052" s="88"/>
      <c r="K6052" s="88"/>
      <c r="L6052" s="89"/>
      <c r="M6052" s="89"/>
      <c r="Q6052" s="105"/>
    </row>
    <row r="6053" spans="3:17" x14ac:dyDescent="0.3">
      <c r="C6053" s="87"/>
      <c r="H6053" s="86" t="e">
        <f>IF(I6053="fora",0%,G6053/QUÓRUM!$C$6)</f>
        <v>#DIV/0!</v>
      </c>
      <c r="I6053" s="87"/>
      <c r="J6053" s="88"/>
      <c r="K6053" s="88"/>
      <c r="L6053" s="89"/>
      <c r="M6053" s="89"/>
      <c r="Q6053" s="105"/>
    </row>
    <row r="6054" spans="3:17" x14ac:dyDescent="0.3">
      <c r="C6054" s="87"/>
      <c r="H6054" s="86" t="e">
        <f>IF(I6054="fora",0%,G6054/QUÓRUM!$C$6)</f>
        <v>#DIV/0!</v>
      </c>
      <c r="I6054" s="87"/>
      <c r="J6054" s="88"/>
      <c r="K6054" s="88"/>
      <c r="L6054" s="89"/>
      <c r="M6054" s="89"/>
      <c r="Q6054" s="105"/>
    </row>
    <row r="6055" spans="3:17" x14ac:dyDescent="0.3">
      <c r="C6055" s="87"/>
      <c r="H6055" s="86" t="e">
        <f>IF(I6055="fora",0%,G6055/QUÓRUM!$C$6)</f>
        <v>#DIV/0!</v>
      </c>
      <c r="I6055" s="87"/>
      <c r="J6055" s="88"/>
      <c r="K6055" s="88"/>
      <c r="L6055" s="89"/>
      <c r="M6055" s="89"/>
      <c r="Q6055" s="105"/>
    </row>
    <row r="6056" spans="3:17" x14ac:dyDescent="0.3">
      <c r="C6056" s="87"/>
      <c r="H6056" s="86" t="e">
        <f>IF(I6056="fora",0%,G6056/QUÓRUM!$C$6)</f>
        <v>#DIV/0!</v>
      </c>
      <c r="I6056" s="87"/>
      <c r="J6056" s="88"/>
      <c r="K6056" s="88"/>
      <c r="L6056" s="89"/>
      <c r="M6056" s="89"/>
      <c r="Q6056" s="105"/>
    </row>
    <row r="6057" spans="3:17" x14ac:dyDescent="0.3">
      <c r="C6057" s="87"/>
      <c r="H6057" s="86" t="e">
        <f>IF(I6057="fora",0%,G6057/QUÓRUM!$C$6)</f>
        <v>#DIV/0!</v>
      </c>
      <c r="I6057" s="87"/>
      <c r="J6057" s="88"/>
      <c r="K6057" s="88"/>
      <c r="L6057" s="89"/>
      <c r="M6057" s="89"/>
      <c r="Q6057" s="105"/>
    </row>
    <row r="6058" spans="3:17" x14ac:dyDescent="0.3">
      <c r="C6058" s="87"/>
      <c r="H6058" s="86" t="e">
        <f>IF(I6058="fora",0%,G6058/QUÓRUM!$C$6)</f>
        <v>#DIV/0!</v>
      </c>
      <c r="I6058" s="87"/>
      <c r="J6058" s="88"/>
      <c r="K6058" s="88"/>
      <c r="L6058" s="89"/>
      <c r="M6058" s="89"/>
      <c r="Q6058" s="105"/>
    </row>
    <row r="6059" spans="3:17" x14ac:dyDescent="0.3">
      <c r="C6059" s="87"/>
      <c r="H6059" s="86" t="e">
        <f>IF(I6059="fora",0%,G6059/QUÓRUM!$C$6)</f>
        <v>#DIV/0!</v>
      </c>
      <c r="I6059" s="87"/>
      <c r="J6059" s="88"/>
      <c r="K6059" s="88"/>
      <c r="L6059" s="89"/>
      <c r="M6059" s="89"/>
      <c r="Q6059" s="105"/>
    </row>
    <row r="6060" spans="3:17" x14ac:dyDescent="0.3">
      <c r="C6060" s="87"/>
      <c r="H6060" s="86" t="e">
        <f>IF(I6060="fora",0%,G6060/QUÓRUM!$C$6)</f>
        <v>#DIV/0!</v>
      </c>
      <c r="I6060" s="87"/>
      <c r="J6060" s="88"/>
      <c r="K6060" s="88"/>
      <c r="L6060" s="89"/>
      <c r="M6060" s="89"/>
      <c r="Q6060" s="105"/>
    </row>
    <row r="6061" spans="3:17" x14ac:dyDescent="0.3">
      <c r="C6061" s="87"/>
      <c r="H6061" s="86" t="e">
        <f>IF(I6061="fora",0%,G6061/QUÓRUM!$C$6)</f>
        <v>#DIV/0!</v>
      </c>
      <c r="I6061" s="87"/>
      <c r="J6061" s="88"/>
      <c r="K6061" s="88"/>
      <c r="L6061" s="89"/>
      <c r="M6061" s="89"/>
      <c r="Q6061" s="105"/>
    </row>
    <row r="6062" spans="3:17" x14ac:dyDescent="0.3">
      <c r="C6062" s="87"/>
      <c r="H6062" s="86" t="e">
        <f>IF(I6062="fora",0%,G6062/QUÓRUM!$C$6)</f>
        <v>#DIV/0!</v>
      </c>
      <c r="I6062" s="87"/>
      <c r="J6062" s="88"/>
      <c r="K6062" s="88"/>
      <c r="L6062" s="89"/>
      <c r="M6062" s="89"/>
      <c r="Q6062" s="105"/>
    </row>
    <row r="6063" spans="3:17" x14ac:dyDescent="0.3">
      <c r="C6063" s="87"/>
      <c r="H6063" s="86" t="e">
        <f>IF(I6063="fora",0%,G6063/QUÓRUM!$C$6)</f>
        <v>#DIV/0!</v>
      </c>
      <c r="I6063" s="87"/>
      <c r="J6063" s="88"/>
      <c r="K6063" s="88"/>
      <c r="L6063" s="89"/>
      <c r="M6063" s="89"/>
      <c r="Q6063" s="105"/>
    </row>
    <row r="6064" spans="3:17" x14ac:dyDescent="0.3">
      <c r="C6064" s="87"/>
      <c r="H6064" s="86" t="e">
        <f>IF(I6064="fora",0%,G6064/QUÓRUM!$C$6)</f>
        <v>#DIV/0!</v>
      </c>
      <c r="I6064" s="87"/>
      <c r="J6064" s="88"/>
      <c r="K6064" s="88"/>
      <c r="L6064" s="89"/>
      <c r="M6064" s="89"/>
      <c r="Q6064" s="105"/>
    </row>
    <row r="6065" spans="3:17" x14ac:dyDescent="0.3">
      <c r="C6065" s="87"/>
      <c r="H6065" s="86" t="e">
        <f>IF(I6065="fora",0%,G6065/QUÓRUM!$C$6)</f>
        <v>#DIV/0!</v>
      </c>
      <c r="I6065" s="87"/>
      <c r="J6065" s="88"/>
      <c r="K6065" s="88"/>
      <c r="L6065" s="89"/>
      <c r="M6065" s="89"/>
      <c r="Q6065" s="105"/>
    </row>
    <row r="6066" spans="3:17" x14ac:dyDescent="0.3">
      <c r="C6066" s="87"/>
      <c r="H6066" s="86" t="e">
        <f>IF(I6066="fora",0%,G6066/QUÓRUM!$C$6)</f>
        <v>#DIV/0!</v>
      </c>
      <c r="I6066" s="87"/>
      <c r="J6066" s="88"/>
      <c r="K6066" s="88"/>
      <c r="L6066" s="89"/>
      <c r="M6066" s="89"/>
      <c r="Q6066" s="105"/>
    </row>
    <row r="6067" spans="3:17" x14ac:dyDescent="0.3">
      <c r="C6067" s="87"/>
      <c r="H6067" s="86" t="e">
        <f>IF(I6067="fora",0%,G6067/QUÓRUM!$C$6)</f>
        <v>#DIV/0!</v>
      </c>
      <c r="I6067" s="87"/>
      <c r="J6067" s="88"/>
      <c r="K6067" s="88"/>
      <c r="L6067" s="89"/>
      <c r="M6067" s="89"/>
      <c r="Q6067" s="105"/>
    </row>
    <row r="6068" spans="3:17" x14ac:dyDescent="0.3">
      <c r="C6068" s="87"/>
      <c r="H6068" s="86" t="e">
        <f>IF(I6068="fora",0%,G6068/QUÓRUM!$C$6)</f>
        <v>#DIV/0!</v>
      </c>
      <c r="I6068" s="87"/>
      <c r="J6068" s="88"/>
      <c r="K6068" s="88"/>
      <c r="L6068" s="89"/>
      <c r="M6068" s="89"/>
      <c r="Q6068" s="105"/>
    </row>
    <row r="6069" spans="3:17" x14ac:dyDescent="0.3">
      <c r="C6069" s="87"/>
      <c r="H6069" s="86" t="e">
        <f>IF(I6069="fora",0%,G6069/QUÓRUM!$C$6)</f>
        <v>#DIV/0!</v>
      </c>
      <c r="I6069" s="87"/>
      <c r="J6069" s="88"/>
      <c r="K6069" s="88"/>
      <c r="L6069" s="89"/>
      <c r="M6069" s="89"/>
      <c r="Q6069" s="105"/>
    </row>
    <row r="6070" spans="3:17" x14ac:dyDescent="0.3">
      <c r="C6070" s="87"/>
      <c r="H6070" s="86" t="e">
        <f>IF(I6070="fora",0%,G6070/QUÓRUM!$C$6)</f>
        <v>#DIV/0!</v>
      </c>
      <c r="I6070" s="87"/>
      <c r="J6070" s="88"/>
      <c r="K6070" s="88"/>
      <c r="L6070" s="89"/>
      <c r="M6070" s="89"/>
      <c r="Q6070" s="105"/>
    </row>
    <row r="6071" spans="3:17" x14ac:dyDescent="0.3">
      <c r="C6071" s="87"/>
      <c r="H6071" s="86" t="e">
        <f>IF(I6071="fora",0%,G6071/QUÓRUM!$C$6)</f>
        <v>#DIV/0!</v>
      </c>
      <c r="I6071" s="87"/>
      <c r="J6071" s="88"/>
      <c r="K6071" s="88"/>
      <c r="L6071" s="89"/>
      <c r="M6071" s="89"/>
      <c r="Q6071" s="105"/>
    </row>
    <row r="6072" spans="3:17" x14ac:dyDescent="0.3">
      <c r="C6072" s="87"/>
      <c r="H6072" s="86" t="e">
        <f>IF(I6072="fora",0%,G6072/QUÓRUM!$C$6)</f>
        <v>#DIV/0!</v>
      </c>
      <c r="I6072" s="87"/>
      <c r="J6072" s="88"/>
      <c r="K6072" s="88"/>
      <c r="L6072" s="89"/>
      <c r="M6072" s="89"/>
      <c r="Q6072" s="105"/>
    </row>
    <row r="6073" spans="3:17" x14ac:dyDescent="0.3">
      <c r="C6073" s="87"/>
      <c r="H6073" s="86" t="e">
        <f>IF(I6073="fora",0%,G6073/QUÓRUM!$C$6)</f>
        <v>#DIV/0!</v>
      </c>
      <c r="I6073" s="87"/>
      <c r="J6073" s="88"/>
      <c r="K6073" s="88"/>
      <c r="L6073" s="89"/>
      <c r="M6073" s="89"/>
      <c r="Q6073" s="105"/>
    </row>
    <row r="6074" spans="3:17" x14ac:dyDescent="0.3">
      <c r="C6074" s="87"/>
      <c r="H6074" s="86" t="e">
        <f>IF(I6074="fora",0%,G6074/QUÓRUM!$C$6)</f>
        <v>#DIV/0!</v>
      </c>
      <c r="I6074" s="87"/>
      <c r="J6074" s="88"/>
      <c r="K6074" s="88"/>
      <c r="L6074" s="89"/>
      <c r="M6074" s="89"/>
      <c r="Q6074" s="105"/>
    </row>
    <row r="6075" spans="3:17" x14ac:dyDescent="0.3">
      <c r="C6075" s="87"/>
      <c r="H6075" s="86" t="e">
        <f>IF(I6075="fora",0%,G6075/QUÓRUM!$C$6)</f>
        <v>#DIV/0!</v>
      </c>
      <c r="I6075" s="87"/>
      <c r="J6075" s="88"/>
      <c r="K6075" s="88"/>
      <c r="L6075" s="89"/>
      <c r="M6075" s="89"/>
      <c r="Q6075" s="105"/>
    </row>
    <row r="6076" spans="3:17" x14ac:dyDescent="0.3">
      <c r="C6076" s="87"/>
      <c r="H6076" s="86" t="e">
        <f>IF(I6076="fora",0%,G6076/QUÓRUM!$C$6)</f>
        <v>#DIV/0!</v>
      </c>
      <c r="I6076" s="87"/>
      <c r="J6076" s="88"/>
      <c r="K6076" s="88"/>
      <c r="L6076" s="89"/>
      <c r="M6076" s="89"/>
      <c r="Q6076" s="105"/>
    </row>
    <row r="6077" spans="3:17" x14ac:dyDescent="0.3">
      <c r="C6077" s="87"/>
      <c r="H6077" s="86" t="e">
        <f>IF(I6077="fora",0%,G6077/QUÓRUM!$C$6)</f>
        <v>#DIV/0!</v>
      </c>
      <c r="I6077" s="87"/>
      <c r="J6077" s="88"/>
      <c r="K6077" s="88"/>
      <c r="L6077" s="89"/>
      <c r="M6077" s="89"/>
      <c r="Q6077" s="105"/>
    </row>
    <row r="6078" spans="3:17" x14ac:dyDescent="0.3">
      <c r="C6078" s="87"/>
      <c r="H6078" s="86" t="e">
        <f>IF(I6078="fora",0%,G6078/QUÓRUM!$C$6)</f>
        <v>#DIV/0!</v>
      </c>
      <c r="I6078" s="87"/>
      <c r="J6078" s="88"/>
      <c r="K6078" s="88"/>
      <c r="L6078" s="89"/>
      <c r="M6078" s="89"/>
      <c r="Q6078" s="105"/>
    </row>
    <row r="6079" spans="3:17" x14ac:dyDescent="0.3">
      <c r="C6079" s="87"/>
      <c r="H6079" s="86" t="e">
        <f>IF(I6079="fora",0%,G6079/QUÓRUM!$C$6)</f>
        <v>#DIV/0!</v>
      </c>
      <c r="I6079" s="87"/>
      <c r="J6079" s="88"/>
      <c r="K6079" s="88"/>
      <c r="L6079" s="89"/>
      <c r="M6079" s="89"/>
      <c r="Q6079" s="105"/>
    </row>
    <row r="6080" spans="3:17" x14ac:dyDescent="0.3">
      <c r="C6080" s="87"/>
      <c r="H6080" s="86" t="e">
        <f>IF(I6080="fora",0%,G6080/QUÓRUM!$C$6)</f>
        <v>#DIV/0!</v>
      </c>
      <c r="I6080" s="87"/>
      <c r="J6080" s="88"/>
      <c r="K6080" s="88"/>
      <c r="L6080" s="89"/>
      <c r="M6080" s="89"/>
      <c r="Q6080" s="105"/>
    </row>
    <row r="6081" spans="3:17" x14ac:dyDescent="0.3">
      <c r="C6081" s="87"/>
      <c r="H6081" s="86" t="e">
        <f>IF(I6081="fora",0%,G6081/QUÓRUM!$C$6)</f>
        <v>#DIV/0!</v>
      </c>
      <c r="I6081" s="87"/>
      <c r="J6081" s="88"/>
      <c r="K6081" s="88"/>
      <c r="L6081" s="89"/>
      <c r="M6081" s="89"/>
      <c r="Q6081" s="105"/>
    </row>
    <row r="6082" spans="3:17" x14ac:dyDescent="0.3">
      <c r="C6082" s="87"/>
      <c r="H6082" s="86" t="e">
        <f>IF(I6082="fora",0%,G6082/QUÓRUM!$C$6)</f>
        <v>#DIV/0!</v>
      </c>
      <c r="I6082" s="87"/>
      <c r="J6082" s="88"/>
      <c r="K6082" s="88"/>
      <c r="L6082" s="89"/>
      <c r="M6082" s="89"/>
      <c r="Q6082" s="105"/>
    </row>
    <row r="6083" spans="3:17" x14ac:dyDescent="0.3">
      <c r="C6083" s="87"/>
      <c r="H6083" s="86" t="e">
        <f>IF(I6083="fora",0%,G6083/QUÓRUM!$C$6)</f>
        <v>#DIV/0!</v>
      </c>
      <c r="I6083" s="87"/>
      <c r="J6083" s="88"/>
      <c r="K6083" s="88"/>
      <c r="L6083" s="89"/>
      <c r="M6083" s="89"/>
      <c r="Q6083" s="105"/>
    </row>
    <row r="6084" spans="3:17" x14ac:dyDescent="0.3">
      <c r="C6084" s="87"/>
      <c r="H6084" s="86" t="e">
        <f>IF(I6084="fora",0%,G6084/QUÓRUM!$C$6)</f>
        <v>#DIV/0!</v>
      </c>
      <c r="I6084" s="87"/>
      <c r="J6084" s="88"/>
      <c r="K6084" s="88"/>
      <c r="L6084" s="89"/>
      <c r="M6084" s="89"/>
      <c r="Q6084" s="105"/>
    </row>
    <row r="6085" spans="3:17" x14ac:dyDescent="0.3">
      <c r="C6085" s="87"/>
      <c r="H6085" s="86" t="e">
        <f>IF(I6085="fora",0%,G6085/QUÓRUM!$C$6)</f>
        <v>#DIV/0!</v>
      </c>
      <c r="I6085" s="87"/>
      <c r="J6085" s="88"/>
      <c r="K6085" s="88"/>
      <c r="L6085" s="89"/>
      <c r="M6085" s="89"/>
      <c r="Q6085" s="105"/>
    </row>
    <row r="6086" spans="3:17" x14ac:dyDescent="0.3">
      <c r="C6086" s="87"/>
      <c r="H6086" s="86" t="e">
        <f>IF(I6086="fora",0%,G6086/QUÓRUM!$C$6)</f>
        <v>#DIV/0!</v>
      </c>
      <c r="I6086" s="87"/>
      <c r="J6086" s="88"/>
      <c r="K6086" s="88"/>
      <c r="L6086" s="89"/>
      <c r="M6086" s="89"/>
      <c r="Q6086" s="105"/>
    </row>
    <row r="6087" spans="3:17" x14ac:dyDescent="0.3">
      <c r="C6087" s="87"/>
      <c r="H6087" s="86" t="e">
        <f>IF(I6087="fora",0%,G6087/QUÓRUM!$C$6)</f>
        <v>#DIV/0!</v>
      </c>
      <c r="I6087" s="87"/>
      <c r="J6087" s="88"/>
      <c r="K6087" s="88"/>
      <c r="L6087" s="89"/>
      <c r="M6087" s="89"/>
      <c r="Q6087" s="105"/>
    </row>
    <row r="6088" spans="3:17" x14ac:dyDescent="0.3">
      <c r="C6088" s="87"/>
      <c r="H6088" s="86" t="e">
        <f>IF(I6088="fora",0%,G6088/QUÓRUM!$C$6)</f>
        <v>#DIV/0!</v>
      </c>
      <c r="I6088" s="87"/>
      <c r="J6088" s="88"/>
      <c r="K6088" s="88"/>
      <c r="L6088" s="89"/>
      <c r="M6088" s="89"/>
      <c r="Q6088" s="105"/>
    </row>
    <row r="6089" spans="3:17" x14ac:dyDescent="0.3">
      <c r="C6089" s="87"/>
      <c r="H6089" s="86" t="e">
        <f>IF(I6089="fora",0%,G6089/QUÓRUM!$C$6)</f>
        <v>#DIV/0!</v>
      </c>
      <c r="I6089" s="87"/>
      <c r="J6089" s="88"/>
      <c r="K6089" s="88"/>
      <c r="L6089" s="89"/>
      <c r="M6089" s="89"/>
      <c r="Q6089" s="105"/>
    </row>
    <row r="6090" spans="3:17" x14ac:dyDescent="0.3">
      <c r="C6090" s="87"/>
      <c r="H6090" s="86" t="e">
        <f>IF(I6090="fora",0%,G6090/QUÓRUM!$C$6)</f>
        <v>#DIV/0!</v>
      </c>
      <c r="I6090" s="87"/>
      <c r="J6090" s="88"/>
      <c r="K6090" s="88"/>
      <c r="L6090" s="89"/>
      <c r="M6090" s="89"/>
      <c r="Q6090" s="105"/>
    </row>
    <row r="6091" spans="3:17" x14ac:dyDescent="0.3">
      <c r="C6091" s="87"/>
      <c r="H6091" s="86" t="e">
        <f>IF(I6091="fora",0%,G6091/QUÓRUM!$C$6)</f>
        <v>#DIV/0!</v>
      </c>
      <c r="I6091" s="87"/>
      <c r="J6091" s="88"/>
      <c r="K6091" s="88"/>
      <c r="L6091" s="89"/>
      <c r="M6091" s="89"/>
      <c r="Q6091" s="105"/>
    </row>
    <row r="6092" spans="3:17" x14ac:dyDescent="0.3">
      <c r="C6092" s="87"/>
      <c r="H6092" s="86" t="e">
        <f>IF(I6092="fora",0%,G6092/QUÓRUM!$C$6)</f>
        <v>#DIV/0!</v>
      </c>
      <c r="I6092" s="87"/>
      <c r="J6092" s="88"/>
      <c r="K6092" s="88"/>
      <c r="L6092" s="89"/>
      <c r="M6092" s="89"/>
      <c r="Q6092" s="105"/>
    </row>
    <row r="6093" spans="3:17" x14ac:dyDescent="0.3">
      <c r="C6093" s="87"/>
      <c r="H6093" s="86" t="e">
        <f>IF(I6093="fora",0%,G6093/QUÓRUM!$C$6)</f>
        <v>#DIV/0!</v>
      </c>
      <c r="I6093" s="87"/>
      <c r="J6093" s="88"/>
      <c r="K6093" s="88"/>
      <c r="L6093" s="89"/>
      <c r="M6093" s="89"/>
      <c r="Q6093" s="105"/>
    </row>
    <row r="6094" spans="3:17" x14ac:dyDescent="0.3">
      <c r="C6094" s="87"/>
      <c r="H6094" s="86" t="e">
        <f>IF(I6094="fora",0%,G6094/QUÓRUM!$C$6)</f>
        <v>#DIV/0!</v>
      </c>
      <c r="I6094" s="87"/>
      <c r="J6094" s="88"/>
      <c r="K6094" s="88"/>
      <c r="L6094" s="89"/>
      <c r="M6094" s="89"/>
      <c r="Q6094" s="105"/>
    </row>
    <row r="6095" spans="3:17" x14ac:dyDescent="0.3">
      <c r="C6095" s="87"/>
      <c r="H6095" s="86" t="e">
        <f>IF(I6095="fora",0%,G6095/QUÓRUM!$C$6)</f>
        <v>#DIV/0!</v>
      </c>
      <c r="I6095" s="87"/>
      <c r="J6095" s="88"/>
      <c r="K6095" s="88"/>
      <c r="L6095" s="89"/>
      <c r="M6095" s="89"/>
      <c r="Q6095" s="105"/>
    </row>
    <row r="6096" spans="3:17" x14ac:dyDescent="0.3">
      <c r="C6096" s="87"/>
      <c r="H6096" s="86" t="e">
        <f>IF(I6096="fora",0%,G6096/QUÓRUM!$C$6)</f>
        <v>#DIV/0!</v>
      </c>
      <c r="I6096" s="87"/>
      <c r="J6096" s="88"/>
      <c r="K6096" s="88"/>
      <c r="L6096" s="89"/>
      <c r="M6096" s="89"/>
      <c r="Q6096" s="105"/>
    </row>
    <row r="6097" spans="3:17" x14ac:dyDescent="0.3">
      <c r="C6097" s="87"/>
      <c r="H6097" s="86" t="e">
        <f>IF(I6097="fora",0%,G6097/QUÓRUM!$C$6)</f>
        <v>#DIV/0!</v>
      </c>
      <c r="I6097" s="87"/>
      <c r="J6097" s="88"/>
      <c r="K6097" s="88"/>
      <c r="L6097" s="89"/>
      <c r="M6097" s="89"/>
      <c r="Q6097" s="105"/>
    </row>
    <row r="6098" spans="3:17" x14ac:dyDescent="0.3">
      <c r="C6098" s="87"/>
      <c r="H6098" s="86" t="e">
        <f>IF(I6098="fora",0%,G6098/QUÓRUM!$C$6)</f>
        <v>#DIV/0!</v>
      </c>
      <c r="I6098" s="87"/>
      <c r="J6098" s="88"/>
      <c r="K6098" s="88"/>
      <c r="L6098" s="89"/>
      <c r="M6098" s="89"/>
      <c r="Q6098" s="105"/>
    </row>
    <row r="6099" spans="3:17" x14ac:dyDescent="0.3">
      <c r="C6099" s="87"/>
      <c r="H6099" s="86" t="e">
        <f>IF(I6099="fora",0%,G6099/QUÓRUM!$C$6)</f>
        <v>#DIV/0!</v>
      </c>
      <c r="I6099" s="87"/>
      <c r="J6099" s="88"/>
      <c r="K6099" s="88"/>
      <c r="L6099" s="89"/>
      <c r="M6099" s="89"/>
      <c r="Q6099" s="105"/>
    </row>
    <row r="6100" spans="3:17" x14ac:dyDescent="0.3">
      <c r="C6100" s="87"/>
      <c r="H6100" s="86" t="e">
        <f>IF(I6100="fora",0%,G6100/QUÓRUM!$C$6)</f>
        <v>#DIV/0!</v>
      </c>
      <c r="I6100" s="87"/>
      <c r="J6100" s="88"/>
      <c r="K6100" s="88"/>
      <c r="L6100" s="89"/>
      <c r="M6100" s="89"/>
      <c r="Q6100" s="105"/>
    </row>
    <row r="6101" spans="3:17" x14ac:dyDescent="0.3">
      <c r="C6101" s="87"/>
      <c r="H6101" s="86" t="e">
        <f>IF(I6101="fora",0%,G6101/QUÓRUM!$C$6)</f>
        <v>#DIV/0!</v>
      </c>
      <c r="I6101" s="87"/>
      <c r="J6101" s="88"/>
      <c r="K6101" s="88"/>
      <c r="L6101" s="89"/>
      <c r="M6101" s="89"/>
      <c r="Q6101" s="105"/>
    </row>
    <row r="6102" spans="3:17" x14ac:dyDescent="0.3">
      <c r="C6102" s="87"/>
      <c r="H6102" s="86" t="e">
        <f>IF(I6102="fora",0%,G6102/QUÓRUM!$C$6)</f>
        <v>#DIV/0!</v>
      </c>
      <c r="I6102" s="87"/>
      <c r="J6102" s="88"/>
      <c r="K6102" s="88"/>
      <c r="L6102" s="89"/>
      <c r="M6102" s="89"/>
      <c r="Q6102" s="105"/>
    </row>
    <row r="6103" spans="3:17" x14ac:dyDescent="0.3">
      <c r="C6103" s="87"/>
      <c r="H6103" s="86" t="e">
        <f>IF(I6103="fora",0%,G6103/QUÓRUM!$C$6)</f>
        <v>#DIV/0!</v>
      </c>
      <c r="I6103" s="87"/>
      <c r="J6103" s="88"/>
      <c r="K6103" s="88"/>
      <c r="L6103" s="89"/>
      <c r="M6103" s="89"/>
      <c r="Q6103" s="105"/>
    </row>
    <row r="6104" spans="3:17" x14ac:dyDescent="0.3">
      <c r="C6104" s="87"/>
      <c r="H6104" s="86" t="e">
        <f>IF(I6104="fora",0%,G6104/QUÓRUM!$C$6)</f>
        <v>#DIV/0!</v>
      </c>
      <c r="I6104" s="87"/>
      <c r="J6104" s="88"/>
      <c r="K6104" s="88"/>
      <c r="L6104" s="89"/>
      <c r="M6104" s="89"/>
      <c r="Q6104" s="105"/>
    </row>
    <row r="6105" spans="3:17" x14ac:dyDescent="0.3">
      <c r="C6105" s="87"/>
      <c r="H6105" s="86" t="e">
        <f>IF(I6105="fora",0%,G6105/QUÓRUM!$C$6)</f>
        <v>#DIV/0!</v>
      </c>
      <c r="I6105" s="87"/>
      <c r="J6105" s="88"/>
      <c r="K6105" s="88"/>
      <c r="L6105" s="89"/>
      <c r="M6105" s="89"/>
      <c r="Q6105" s="105"/>
    </row>
    <row r="6106" spans="3:17" x14ac:dyDescent="0.3">
      <c r="C6106" s="87"/>
      <c r="H6106" s="86" t="e">
        <f>IF(I6106="fora",0%,G6106/QUÓRUM!$C$6)</f>
        <v>#DIV/0!</v>
      </c>
      <c r="I6106" s="87"/>
      <c r="J6106" s="88"/>
      <c r="K6106" s="88"/>
      <c r="L6106" s="89"/>
      <c r="M6106" s="89"/>
      <c r="Q6106" s="105"/>
    </row>
    <row r="6107" spans="3:17" x14ac:dyDescent="0.3">
      <c r="C6107" s="87"/>
      <c r="H6107" s="86" t="e">
        <f>IF(I6107="fora",0%,G6107/QUÓRUM!$C$6)</f>
        <v>#DIV/0!</v>
      </c>
      <c r="I6107" s="87"/>
      <c r="J6107" s="88"/>
      <c r="K6107" s="88"/>
      <c r="L6107" s="89"/>
      <c r="M6107" s="89"/>
      <c r="Q6107" s="105"/>
    </row>
    <row r="6108" spans="3:17" x14ac:dyDescent="0.3">
      <c r="C6108" s="87"/>
      <c r="H6108" s="86" t="e">
        <f>IF(I6108="fora",0%,G6108/QUÓRUM!$C$6)</f>
        <v>#DIV/0!</v>
      </c>
      <c r="I6108" s="87"/>
      <c r="J6108" s="88"/>
      <c r="K6108" s="88"/>
      <c r="L6108" s="89"/>
      <c r="M6108" s="89"/>
      <c r="Q6108" s="105"/>
    </row>
    <row r="6109" spans="3:17" x14ac:dyDescent="0.3">
      <c r="C6109" s="87"/>
      <c r="H6109" s="86" t="e">
        <f>IF(I6109="fora",0%,G6109/QUÓRUM!$C$6)</f>
        <v>#DIV/0!</v>
      </c>
      <c r="I6109" s="87"/>
      <c r="J6109" s="88"/>
      <c r="K6109" s="88"/>
      <c r="L6109" s="89"/>
      <c r="M6109" s="89"/>
      <c r="Q6109" s="105"/>
    </row>
    <row r="6110" spans="3:17" x14ac:dyDescent="0.3">
      <c r="C6110" s="87"/>
      <c r="H6110" s="86" t="e">
        <f>IF(I6110="fora",0%,G6110/QUÓRUM!$C$6)</f>
        <v>#DIV/0!</v>
      </c>
      <c r="I6110" s="87"/>
      <c r="J6110" s="88"/>
      <c r="K6110" s="88"/>
      <c r="L6110" s="89"/>
      <c r="M6110" s="89"/>
      <c r="Q6110" s="105"/>
    </row>
    <row r="6111" spans="3:17" x14ac:dyDescent="0.3">
      <c r="C6111" s="87"/>
      <c r="H6111" s="86" t="e">
        <f>IF(I6111="fora",0%,G6111/QUÓRUM!$C$6)</f>
        <v>#DIV/0!</v>
      </c>
      <c r="I6111" s="87"/>
      <c r="J6111" s="88"/>
      <c r="K6111" s="88"/>
      <c r="L6111" s="89"/>
      <c r="M6111" s="89"/>
      <c r="Q6111" s="105"/>
    </row>
    <row r="6112" spans="3:17" x14ac:dyDescent="0.3">
      <c r="C6112" s="87"/>
      <c r="H6112" s="86" t="e">
        <f>IF(I6112="fora",0%,G6112/QUÓRUM!$C$6)</f>
        <v>#DIV/0!</v>
      </c>
      <c r="I6112" s="87"/>
      <c r="J6112" s="88"/>
      <c r="K6112" s="88"/>
      <c r="L6112" s="89"/>
      <c r="M6112" s="89"/>
      <c r="Q6112" s="105"/>
    </row>
    <row r="6113" spans="3:17" x14ac:dyDescent="0.3">
      <c r="C6113" s="87"/>
      <c r="H6113" s="86" t="e">
        <f>IF(I6113="fora",0%,G6113/QUÓRUM!$C$6)</f>
        <v>#DIV/0!</v>
      </c>
      <c r="I6113" s="87"/>
      <c r="J6113" s="88"/>
      <c r="K6113" s="88"/>
      <c r="L6113" s="89"/>
      <c r="M6113" s="89"/>
      <c r="Q6113" s="105"/>
    </row>
    <row r="6114" spans="3:17" x14ac:dyDescent="0.3">
      <c r="C6114" s="87"/>
      <c r="H6114" s="86" t="e">
        <f>IF(I6114="fora",0%,G6114/QUÓRUM!$C$6)</f>
        <v>#DIV/0!</v>
      </c>
      <c r="I6114" s="87"/>
      <c r="J6114" s="88"/>
      <c r="K6114" s="88"/>
      <c r="L6114" s="89"/>
      <c r="M6114" s="89"/>
      <c r="Q6114" s="105"/>
    </row>
    <row r="6115" spans="3:17" x14ac:dyDescent="0.3">
      <c r="C6115" s="87"/>
      <c r="H6115" s="86" t="e">
        <f>IF(I6115="fora",0%,G6115/QUÓRUM!$C$6)</f>
        <v>#DIV/0!</v>
      </c>
      <c r="I6115" s="87"/>
      <c r="J6115" s="88"/>
      <c r="K6115" s="88"/>
      <c r="L6115" s="89"/>
      <c r="M6115" s="89"/>
      <c r="Q6115" s="105"/>
    </row>
    <row r="6116" spans="3:17" x14ac:dyDescent="0.3">
      <c r="C6116" s="87"/>
      <c r="H6116" s="86" t="e">
        <f>IF(I6116="fora",0%,G6116/QUÓRUM!$C$6)</f>
        <v>#DIV/0!</v>
      </c>
      <c r="I6116" s="87"/>
      <c r="J6116" s="88"/>
      <c r="K6116" s="88"/>
      <c r="L6116" s="89"/>
      <c r="M6116" s="89"/>
      <c r="Q6116" s="105"/>
    </row>
    <row r="6117" spans="3:17" x14ac:dyDescent="0.3">
      <c r="C6117" s="87"/>
      <c r="H6117" s="86" t="e">
        <f>IF(I6117="fora",0%,G6117/QUÓRUM!$C$6)</f>
        <v>#DIV/0!</v>
      </c>
      <c r="I6117" s="87"/>
      <c r="J6117" s="88"/>
      <c r="K6117" s="88"/>
      <c r="L6117" s="89"/>
      <c r="M6117" s="89"/>
      <c r="Q6117" s="105"/>
    </row>
    <row r="6118" spans="3:17" x14ac:dyDescent="0.3">
      <c r="C6118" s="87"/>
      <c r="H6118" s="86" t="e">
        <f>IF(I6118="fora",0%,G6118/QUÓRUM!$C$6)</f>
        <v>#DIV/0!</v>
      </c>
      <c r="I6118" s="87"/>
      <c r="J6118" s="88"/>
      <c r="K6118" s="88"/>
      <c r="L6118" s="89"/>
      <c r="M6118" s="89"/>
      <c r="Q6118" s="105"/>
    </row>
    <row r="6119" spans="3:17" x14ac:dyDescent="0.3">
      <c r="C6119" s="87"/>
      <c r="H6119" s="86" t="e">
        <f>IF(I6119="fora",0%,G6119/QUÓRUM!$C$6)</f>
        <v>#DIV/0!</v>
      </c>
      <c r="I6119" s="87"/>
      <c r="J6119" s="88"/>
      <c r="K6119" s="88"/>
      <c r="L6119" s="89"/>
      <c r="M6119" s="89"/>
      <c r="Q6119" s="105"/>
    </row>
    <row r="6120" spans="3:17" x14ac:dyDescent="0.3">
      <c r="C6120" s="87"/>
      <c r="H6120" s="86" t="e">
        <f>IF(I6120="fora",0%,G6120/QUÓRUM!$C$6)</f>
        <v>#DIV/0!</v>
      </c>
      <c r="I6120" s="87"/>
      <c r="J6120" s="88"/>
      <c r="K6120" s="88"/>
      <c r="L6120" s="89"/>
      <c r="M6120" s="89"/>
      <c r="Q6120" s="105"/>
    </row>
    <row r="6121" spans="3:17" x14ac:dyDescent="0.3">
      <c r="C6121" s="87"/>
      <c r="H6121" s="86" t="e">
        <f>IF(I6121="fora",0%,G6121/QUÓRUM!$C$6)</f>
        <v>#DIV/0!</v>
      </c>
      <c r="I6121" s="87"/>
      <c r="J6121" s="88"/>
      <c r="K6121" s="88"/>
      <c r="L6121" s="89"/>
      <c r="M6121" s="89"/>
      <c r="Q6121" s="105"/>
    </row>
    <row r="6122" spans="3:17" x14ac:dyDescent="0.3">
      <c r="C6122" s="87"/>
      <c r="H6122" s="86" t="e">
        <f>IF(I6122="fora",0%,G6122/QUÓRUM!$C$6)</f>
        <v>#DIV/0!</v>
      </c>
      <c r="I6122" s="87"/>
      <c r="J6122" s="88"/>
      <c r="K6122" s="88"/>
      <c r="L6122" s="89"/>
      <c r="M6122" s="89"/>
      <c r="Q6122" s="105"/>
    </row>
    <row r="6123" spans="3:17" x14ac:dyDescent="0.3">
      <c r="C6123" s="87"/>
      <c r="H6123" s="86" t="e">
        <f>IF(I6123="fora",0%,G6123/QUÓRUM!$C$6)</f>
        <v>#DIV/0!</v>
      </c>
      <c r="I6123" s="87"/>
      <c r="J6123" s="88"/>
      <c r="K6123" s="88"/>
      <c r="L6123" s="89"/>
      <c r="M6123" s="89"/>
      <c r="Q6123" s="105"/>
    </row>
    <row r="6124" spans="3:17" x14ac:dyDescent="0.3">
      <c r="C6124" s="87"/>
      <c r="H6124" s="86" t="e">
        <f>IF(I6124="fora",0%,G6124/QUÓRUM!$C$6)</f>
        <v>#DIV/0!</v>
      </c>
      <c r="I6124" s="87"/>
      <c r="J6124" s="88"/>
      <c r="K6124" s="88"/>
      <c r="L6124" s="89"/>
      <c r="M6124" s="89"/>
      <c r="Q6124" s="105"/>
    </row>
    <row r="6125" spans="3:17" x14ac:dyDescent="0.3">
      <c r="C6125" s="87"/>
      <c r="H6125" s="86" t="e">
        <f>IF(I6125="fora",0%,G6125/QUÓRUM!$C$6)</f>
        <v>#DIV/0!</v>
      </c>
      <c r="I6125" s="87"/>
      <c r="J6125" s="88"/>
      <c r="K6125" s="88"/>
      <c r="L6125" s="89"/>
      <c r="M6125" s="89"/>
      <c r="Q6125" s="105"/>
    </row>
    <row r="6126" spans="3:17" x14ac:dyDescent="0.3">
      <c r="C6126" s="87"/>
      <c r="H6126" s="86" t="e">
        <f>IF(I6126="fora",0%,G6126/QUÓRUM!$C$6)</f>
        <v>#DIV/0!</v>
      </c>
      <c r="I6126" s="87"/>
      <c r="J6126" s="88"/>
      <c r="K6126" s="88"/>
      <c r="L6126" s="89"/>
      <c r="M6126" s="89"/>
      <c r="Q6126" s="105"/>
    </row>
    <row r="6127" spans="3:17" x14ac:dyDescent="0.3">
      <c r="C6127" s="87"/>
      <c r="H6127" s="86" t="e">
        <f>IF(I6127="fora",0%,G6127/QUÓRUM!$C$6)</f>
        <v>#DIV/0!</v>
      </c>
      <c r="I6127" s="87"/>
      <c r="J6127" s="88"/>
      <c r="K6127" s="88"/>
      <c r="L6127" s="89"/>
      <c r="M6127" s="89"/>
      <c r="Q6127" s="105"/>
    </row>
    <row r="6128" spans="3:17" x14ac:dyDescent="0.3">
      <c r="C6128" s="87"/>
      <c r="H6128" s="86" t="e">
        <f>IF(I6128="fora",0%,G6128/QUÓRUM!$C$6)</f>
        <v>#DIV/0!</v>
      </c>
      <c r="I6128" s="87"/>
      <c r="J6128" s="88"/>
      <c r="K6128" s="88"/>
      <c r="L6128" s="89"/>
      <c r="M6128" s="89"/>
      <c r="Q6128" s="105"/>
    </row>
    <row r="6129" spans="3:17" x14ac:dyDescent="0.3">
      <c r="C6129" s="87"/>
      <c r="H6129" s="86" t="e">
        <f>IF(I6129="fora",0%,G6129/QUÓRUM!$C$6)</f>
        <v>#DIV/0!</v>
      </c>
      <c r="I6129" s="87"/>
      <c r="J6129" s="88"/>
      <c r="K6129" s="88"/>
      <c r="L6129" s="89"/>
      <c r="M6129" s="89"/>
      <c r="Q6129" s="105"/>
    </row>
    <row r="6130" spans="3:17" x14ac:dyDescent="0.3">
      <c r="C6130" s="87"/>
      <c r="H6130" s="86" t="e">
        <f>IF(I6130="fora",0%,G6130/QUÓRUM!$C$6)</f>
        <v>#DIV/0!</v>
      </c>
      <c r="I6130" s="87"/>
      <c r="J6130" s="88"/>
      <c r="K6130" s="88"/>
      <c r="L6130" s="89"/>
      <c r="M6130" s="89"/>
      <c r="Q6130" s="105"/>
    </row>
    <row r="6131" spans="3:17" x14ac:dyDescent="0.3">
      <c r="C6131" s="87"/>
      <c r="H6131" s="86" t="e">
        <f>IF(I6131="fora",0%,G6131/QUÓRUM!$C$6)</f>
        <v>#DIV/0!</v>
      </c>
      <c r="I6131" s="87"/>
      <c r="J6131" s="88"/>
      <c r="K6131" s="88"/>
      <c r="L6131" s="89"/>
      <c r="M6131" s="89"/>
      <c r="Q6131" s="105"/>
    </row>
    <row r="6132" spans="3:17" x14ac:dyDescent="0.3">
      <c r="C6132" s="87"/>
      <c r="H6132" s="86" t="e">
        <f>IF(I6132="fora",0%,G6132/QUÓRUM!$C$6)</f>
        <v>#DIV/0!</v>
      </c>
      <c r="I6132" s="87"/>
      <c r="J6132" s="88"/>
      <c r="K6132" s="88"/>
      <c r="L6132" s="89"/>
      <c r="M6132" s="89"/>
      <c r="Q6132" s="105"/>
    </row>
    <row r="6133" spans="3:17" x14ac:dyDescent="0.3">
      <c r="C6133" s="87"/>
      <c r="H6133" s="86" t="e">
        <f>IF(I6133="fora",0%,G6133/QUÓRUM!$C$6)</f>
        <v>#DIV/0!</v>
      </c>
      <c r="I6133" s="87"/>
      <c r="J6133" s="88"/>
      <c r="K6133" s="88"/>
      <c r="L6133" s="89"/>
      <c r="M6133" s="89"/>
      <c r="Q6133" s="105"/>
    </row>
    <row r="6134" spans="3:17" x14ac:dyDescent="0.3">
      <c r="C6134" s="87"/>
      <c r="H6134" s="86" t="e">
        <f>IF(I6134="fora",0%,G6134/QUÓRUM!$C$6)</f>
        <v>#DIV/0!</v>
      </c>
      <c r="I6134" s="87"/>
      <c r="J6134" s="88"/>
      <c r="K6134" s="88"/>
      <c r="L6134" s="89"/>
      <c r="M6134" s="89"/>
      <c r="Q6134" s="105"/>
    </row>
    <row r="6135" spans="3:17" x14ac:dyDescent="0.3">
      <c r="C6135" s="87"/>
      <c r="H6135" s="86" t="e">
        <f>IF(I6135="fora",0%,G6135/QUÓRUM!$C$6)</f>
        <v>#DIV/0!</v>
      </c>
      <c r="I6135" s="87"/>
      <c r="J6135" s="88"/>
      <c r="K6135" s="88"/>
      <c r="L6135" s="89"/>
      <c r="M6135" s="89"/>
      <c r="Q6135" s="105"/>
    </row>
    <row r="6136" spans="3:17" x14ac:dyDescent="0.3">
      <c r="C6136" s="87"/>
      <c r="H6136" s="86" t="e">
        <f>IF(I6136="fora",0%,G6136/QUÓRUM!$C$6)</f>
        <v>#DIV/0!</v>
      </c>
      <c r="I6136" s="87"/>
      <c r="J6136" s="88"/>
      <c r="K6136" s="88"/>
      <c r="L6136" s="89"/>
      <c r="M6136" s="89"/>
      <c r="Q6136" s="105"/>
    </row>
    <row r="6137" spans="3:17" x14ac:dyDescent="0.3">
      <c r="C6137" s="87"/>
      <c r="H6137" s="86" t="e">
        <f>IF(I6137="fora",0%,G6137/QUÓRUM!$C$6)</f>
        <v>#DIV/0!</v>
      </c>
      <c r="I6137" s="87"/>
      <c r="J6137" s="88"/>
      <c r="K6137" s="88"/>
      <c r="L6137" s="89"/>
      <c r="M6137" s="89"/>
      <c r="Q6137" s="105"/>
    </row>
    <row r="6138" spans="3:17" x14ac:dyDescent="0.3">
      <c r="C6138" s="87"/>
      <c r="H6138" s="86" t="e">
        <f>IF(I6138="fora",0%,G6138/QUÓRUM!$C$6)</f>
        <v>#DIV/0!</v>
      </c>
      <c r="I6138" s="87"/>
      <c r="J6138" s="88"/>
      <c r="K6138" s="88"/>
      <c r="L6138" s="89"/>
      <c r="M6138" s="89"/>
      <c r="Q6138" s="105"/>
    </row>
    <row r="6139" spans="3:17" x14ac:dyDescent="0.3">
      <c r="C6139" s="87"/>
      <c r="H6139" s="86" t="e">
        <f>IF(I6139="fora",0%,G6139/QUÓRUM!$C$6)</f>
        <v>#DIV/0!</v>
      </c>
      <c r="I6139" s="87"/>
      <c r="J6139" s="88"/>
      <c r="K6139" s="88"/>
      <c r="L6139" s="89"/>
      <c r="M6139" s="89"/>
      <c r="Q6139" s="105"/>
    </row>
    <row r="6140" spans="3:17" x14ac:dyDescent="0.3">
      <c r="C6140" s="87"/>
      <c r="H6140" s="86" t="e">
        <f>IF(I6140="fora",0%,G6140/QUÓRUM!$C$6)</f>
        <v>#DIV/0!</v>
      </c>
      <c r="I6140" s="87"/>
      <c r="J6140" s="88"/>
      <c r="K6140" s="88"/>
      <c r="L6140" s="89"/>
      <c r="M6140" s="89"/>
      <c r="Q6140" s="105"/>
    </row>
    <row r="6141" spans="3:17" x14ac:dyDescent="0.3">
      <c r="C6141" s="87"/>
      <c r="H6141" s="86" t="e">
        <f>IF(I6141="fora",0%,G6141/QUÓRUM!$C$6)</f>
        <v>#DIV/0!</v>
      </c>
      <c r="I6141" s="87"/>
      <c r="J6141" s="88"/>
      <c r="K6141" s="88"/>
      <c r="L6141" s="89"/>
      <c r="M6141" s="89"/>
      <c r="Q6141" s="105"/>
    </row>
    <row r="6142" spans="3:17" x14ac:dyDescent="0.3">
      <c r="C6142" s="87"/>
      <c r="H6142" s="86" t="e">
        <f>IF(I6142="fora",0%,G6142/QUÓRUM!$C$6)</f>
        <v>#DIV/0!</v>
      </c>
      <c r="I6142" s="87"/>
      <c r="J6142" s="88"/>
      <c r="K6142" s="88"/>
      <c r="L6142" s="89"/>
      <c r="M6142" s="89"/>
      <c r="Q6142" s="105"/>
    </row>
    <row r="6143" spans="3:17" x14ac:dyDescent="0.3">
      <c r="C6143" s="87"/>
      <c r="H6143" s="86" t="e">
        <f>IF(I6143="fora",0%,G6143/QUÓRUM!$C$6)</f>
        <v>#DIV/0!</v>
      </c>
      <c r="I6143" s="87"/>
      <c r="J6143" s="88"/>
      <c r="K6143" s="88"/>
      <c r="L6143" s="89"/>
      <c r="M6143" s="89"/>
      <c r="Q6143" s="105"/>
    </row>
    <row r="6144" spans="3:17" x14ac:dyDescent="0.3">
      <c r="C6144" s="87"/>
      <c r="H6144" s="86" t="e">
        <f>IF(I6144="fora",0%,G6144/QUÓRUM!$C$6)</f>
        <v>#DIV/0!</v>
      </c>
      <c r="I6144" s="87"/>
      <c r="J6144" s="88"/>
      <c r="K6144" s="88"/>
      <c r="L6144" s="89"/>
      <c r="M6144" s="89"/>
      <c r="Q6144" s="105"/>
    </row>
    <row r="6145" spans="3:17" x14ac:dyDescent="0.3">
      <c r="C6145" s="87"/>
      <c r="H6145" s="86" t="e">
        <f>IF(I6145="fora",0%,G6145/QUÓRUM!$C$6)</f>
        <v>#DIV/0!</v>
      </c>
      <c r="I6145" s="87"/>
      <c r="J6145" s="88"/>
      <c r="K6145" s="88"/>
      <c r="L6145" s="89"/>
      <c r="M6145" s="89"/>
      <c r="Q6145" s="105"/>
    </row>
    <row r="6146" spans="3:17" x14ac:dyDescent="0.3">
      <c r="C6146" s="87"/>
      <c r="H6146" s="86" t="e">
        <f>IF(I6146="fora",0%,G6146/QUÓRUM!$C$6)</f>
        <v>#DIV/0!</v>
      </c>
      <c r="I6146" s="87"/>
      <c r="J6146" s="88"/>
      <c r="K6146" s="88"/>
      <c r="L6146" s="89"/>
      <c r="M6146" s="89"/>
      <c r="Q6146" s="105"/>
    </row>
    <row r="6147" spans="3:17" x14ac:dyDescent="0.3">
      <c r="C6147" s="87"/>
      <c r="H6147" s="86" t="e">
        <f>IF(I6147="fora",0%,G6147/QUÓRUM!$C$6)</f>
        <v>#DIV/0!</v>
      </c>
      <c r="I6147" s="87"/>
      <c r="J6147" s="88"/>
      <c r="K6147" s="88"/>
      <c r="L6147" s="89"/>
      <c r="M6147" s="89"/>
      <c r="Q6147" s="105"/>
    </row>
    <row r="6148" spans="3:17" x14ac:dyDescent="0.3">
      <c r="C6148" s="87"/>
      <c r="H6148" s="86" t="e">
        <f>IF(I6148="fora",0%,G6148/QUÓRUM!$C$6)</f>
        <v>#DIV/0!</v>
      </c>
      <c r="I6148" s="87"/>
      <c r="J6148" s="88"/>
      <c r="K6148" s="88"/>
      <c r="L6148" s="89"/>
      <c r="M6148" s="89"/>
      <c r="Q6148" s="105"/>
    </row>
    <row r="6149" spans="3:17" x14ac:dyDescent="0.3">
      <c r="C6149" s="87"/>
      <c r="H6149" s="86" t="e">
        <f>IF(I6149="fora",0%,G6149/QUÓRUM!$C$6)</f>
        <v>#DIV/0!</v>
      </c>
      <c r="I6149" s="87"/>
      <c r="J6149" s="88"/>
      <c r="K6149" s="88"/>
      <c r="L6149" s="89"/>
      <c r="M6149" s="89"/>
      <c r="Q6149" s="105"/>
    </row>
    <row r="6150" spans="3:17" x14ac:dyDescent="0.3">
      <c r="C6150" s="87"/>
      <c r="H6150" s="86" t="e">
        <f>IF(I6150="fora",0%,G6150/QUÓRUM!$C$6)</f>
        <v>#DIV/0!</v>
      </c>
      <c r="I6150" s="87"/>
      <c r="J6150" s="88"/>
      <c r="K6150" s="88"/>
      <c r="L6150" s="89"/>
      <c r="M6150" s="89"/>
      <c r="Q6150" s="105"/>
    </row>
    <row r="6151" spans="3:17" x14ac:dyDescent="0.3">
      <c r="C6151" s="87"/>
      <c r="H6151" s="86" t="e">
        <f>IF(I6151="fora",0%,G6151/QUÓRUM!$C$6)</f>
        <v>#DIV/0!</v>
      </c>
      <c r="I6151" s="87"/>
      <c r="J6151" s="88"/>
      <c r="K6151" s="88"/>
      <c r="L6151" s="89"/>
      <c r="M6151" s="89"/>
      <c r="Q6151" s="105"/>
    </row>
    <row r="6152" spans="3:17" x14ac:dyDescent="0.3">
      <c r="C6152" s="87"/>
      <c r="H6152" s="86" t="e">
        <f>IF(I6152="fora",0%,G6152/QUÓRUM!$C$6)</f>
        <v>#DIV/0!</v>
      </c>
      <c r="I6152" s="87"/>
      <c r="J6152" s="88"/>
      <c r="K6152" s="88"/>
      <c r="L6152" s="89"/>
      <c r="M6152" s="89"/>
      <c r="Q6152" s="105"/>
    </row>
    <row r="6153" spans="3:17" x14ac:dyDescent="0.3">
      <c r="C6153" s="87"/>
      <c r="H6153" s="86" t="e">
        <f>IF(I6153="fora",0%,G6153/QUÓRUM!$C$6)</f>
        <v>#DIV/0!</v>
      </c>
      <c r="I6153" s="87"/>
      <c r="J6153" s="88"/>
      <c r="K6153" s="88"/>
      <c r="L6153" s="89"/>
      <c r="M6153" s="89"/>
      <c r="Q6153" s="105"/>
    </row>
    <row r="6154" spans="3:17" x14ac:dyDescent="0.3">
      <c r="C6154" s="87"/>
      <c r="H6154" s="86" t="e">
        <f>IF(I6154="fora",0%,G6154/QUÓRUM!$C$6)</f>
        <v>#DIV/0!</v>
      </c>
      <c r="I6154" s="87"/>
      <c r="J6154" s="88"/>
      <c r="K6154" s="88"/>
      <c r="L6154" s="89"/>
      <c r="M6154" s="89"/>
      <c r="Q6154" s="105"/>
    </row>
    <row r="6155" spans="3:17" x14ac:dyDescent="0.3">
      <c r="C6155" s="87"/>
      <c r="H6155" s="86" t="e">
        <f>IF(I6155="fora",0%,G6155/QUÓRUM!$C$6)</f>
        <v>#DIV/0!</v>
      </c>
      <c r="I6155" s="87"/>
      <c r="J6155" s="88"/>
      <c r="K6155" s="88"/>
      <c r="L6155" s="89"/>
      <c r="M6155" s="89"/>
      <c r="Q6155" s="105"/>
    </row>
    <row r="6156" spans="3:17" x14ac:dyDescent="0.3">
      <c r="C6156" s="87"/>
      <c r="H6156" s="86" t="e">
        <f>IF(I6156="fora",0%,G6156/QUÓRUM!$C$6)</f>
        <v>#DIV/0!</v>
      </c>
      <c r="I6156" s="87"/>
      <c r="J6156" s="88"/>
      <c r="K6156" s="88"/>
      <c r="L6156" s="89"/>
      <c r="M6156" s="89"/>
      <c r="Q6156" s="105"/>
    </row>
    <row r="6157" spans="3:17" x14ac:dyDescent="0.3">
      <c r="C6157" s="87"/>
      <c r="H6157" s="86" t="e">
        <f>IF(I6157="fora",0%,G6157/QUÓRUM!$C$6)</f>
        <v>#DIV/0!</v>
      </c>
      <c r="I6157" s="87"/>
      <c r="J6157" s="88"/>
      <c r="K6157" s="88"/>
      <c r="L6157" s="89"/>
      <c r="M6157" s="89"/>
      <c r="Q6157" s="105"/>
    </row>
    <row r="6158" spans="3:17" x14ac:dyDescent="0.3">
      <c r="C6158" s="87"/>
      <c r="H6158" s="86" t="e">
        <f>IF(I6158="fora",0%,G6158/QUÓRUM!$C$6)</f>
        <v>#DIV/0!</v>
      </c>
      <c r="I6158" s="87"/>
      <c r="J6158" s="88"/>
      <c r="K6158" s="88"/>
      <c r="L6158" s="89"/>
      <c r="M6158" s="89"/>
      <c r="Q6158" s="105"/>
    </row>
    <row r="6159" spans="3:17" x14ac:dyDescent="0.3">
      <c r="C6159" s="87"/>
      <c r="H6159" s="86" t="e">
        <f>IF(I6159="fora",0%,G6159/QUÓRUM!$C$6)</f>
        <v>#DIV/0!</v>
      </c>
      <c r="I6159" s="87"/>
      <c r="J6159" s="88"/>
      <c r="K6159" s="88"/>
      <c r="L6159" s="89"/>
      <c r="M6159" s="89"/>
      <c r="Q6159" s="105"/>
    </row>
    <row r="6160" spans="3:17" x14ac:dyDescent="0.3">
      <c r="C6160" s="87"/>
      <c r="H6160" s="86" t="e">
        <f>IF(I6160="fora",0%,G6160/QUÓRUM!$C$6)</f>
        <v>#DIV/0!</v>
      </c>
      <c r="I6160" s="87"/>
      <c r="J6160" s="88"/>
      <c r="K6160" s="88"/>
      <c r="L6160" s="89"/>
      <c r="M6160" s="89"/>
      <c r="Q6160" s="105"/>
    </row>
    <row r="6161" spans="3:17" x14ac:dyDescent="0.3">
      <c r="C6161" s="87"/>
      <c r="H6161" s="86" t="e">
        <f>IF(I6161="fora",0%,G6161/QUÓRUM!$C$6)</f>
        <v>#DIV/0!</v>
      </c>
      <c r="I6161" s="87"/>
      <c r="J6161" s="88"/>
      <c r="K6161" s="88"/>
      <c r="L6161" s="89"/>
      <c r="M6161" s="89"/>
      <c r="Q6161" s="105"/>
    </row>
    <row r="6162" spans="3:17" x14ac:dyDescent="0.3">
      <c r="C6162" s="87"/>
      <c r="H6162" s="86" t="e">
        <f>IF(I6162="fora",0%,G6162/QUÓRUM!$C$6)</f>
        <v>#DIV/0!</v>
      </c>
      <c r="I6162" s="87"/>
      <c r="J6162" s="88"/>
      <c r="K6162" s="88"/>
      <c r="L6162" s="89"/>
      <c r="M6162" s="89"/>
      <c r="Q6162" s="105"/>
    </row>
    <row r="6163" spans="3:17" x14ac:dyDescent="0.3">
      <c r="C6163" s="87"/>
      <c r="H6163" s="86" t="e">
        <f>IF(I6163="fora",0%,G6163/QUÓRUM!$C$6)</f>
        <v>#DIV/0!</v>
      </c>
      <c r="I6163" s="87"/>
      <c r="J6163" s="88"/>
      <c r="K6163" s="88"/>
      <c r="L6163" s="89"/>
      <c r="M6163" s="89"/>
      <c r="Q6163" s="105"/>
    </row>
    <row r="6164" spans="3:17" x14ac:dyDescent="0.3">
      <c r="C6164" s="87"/>
      <c r="H6164" s="86" t="e">
        <f>IF(I6164="fora",0%,G6164/QUÓRUM!$C$6)</f>
        <v>#DIV/0!</v>
      </c>
      <c r="I6164" s="87"/>
      <c r="J6164" s="88"/>
      <c r="K6164" s="88"/>
      <c r="L6164" s="89"/>
      <c r="M6164" s="89"/>
      <c r="Q6164" s="105"/>
    </row>
    <row r="6165" spans="3:17" x14ac:dyDescent="0.3">
      <c r="C6165" s="87"/>
      <c r="H6165" s="86" t="e">
        <f>IF(I6165="fora",0%,G6165/QUÓRUM!$C$6)</f>
        <v>#DIV/0!</v>
      </c>
      <c r="I6165" s="87"/>
      <c r="J6165" s="88"/>
      <c r="K6165" s="88"/>
      <c r="L6165" s="89"/>
      <c r="M6165" s="89"/>
      <c r="Q6165" s="105"/>
    </row>
    <row r="6166" spans="3:17" x14ac:dyDescent="0.3">
      <c r="C6166" s="87"/>
      <c r="H6166" s="86" t="e">
        <f>IF(I6166="fora",0%,G6166/QUÓRUM!$C$6)</f>
        <v>#DIV/0!</v>
      </c>
      <c r="I6166" s="87"/>
      <c r="J6166" s="88"/>
      <c r="K6166" s="88"/>
      <c r="L6166" s="89"/>
      <c r="M6166" s="89"/>
      <c r="Q6166" s="105"/>
    </row>
    <row r="6167" spans="3:17" x14ac:dyDescent="0.3">
      <c r="C6167" s="87"/>
      <c r="H6167" s="86" t="e">
        <f>IF(I6167="fora",0%,G6167/QUÓRUM!$C$6)</f>
        <v>#DIV/0!</v>
      </c>
      <c r="I6167" s="87"/>
      <c r="J6167" s="88"/>
      <c r="K6167" s="88"/>
      <c r="L6167" s="89"/>
      <c r="M6167" s="89"/>
      <c r="Q6167" s="105"/>
    </row>
    <row r="6168" spans="3:17" x14ac:dyDescent="0.3">
      <c r="C6168" s="87"/>
      <c r="H6168" s="86" t="e">
        <f>IF(I6168="fora",0%,G6168/QUÓRUM!$C$6)</f>
        <v>#DIV/0!</v>
      </c>
      <c r="I6168" s="87"/>
      <c r="J6168" s="88"/>
      <c r="K6168" s="88"/>
      <c r="L6168" s="89"/>
      <c r="M6168" s="89"/>
      <c r="Q6168" s="105"/>
    </row>
    <row r="6169" spans="3:17" x14ac:dyDescent="0.3">
      <c r="C6169" s="87"/>
      <c r="H6169" s="86" t="e">
        <f>IF(I6169="fora",0%,G6169/QUÓRUM!$C$6)</f>
        <v>#DIV/0!</v>
      </c>
      <c r="I6169" s="87"/>
      <c r="J6169" s="88"/>
      <c r="K6169" s="88"/>
      <c r="L6169" s="89"/>
      <c r="M6169" s="89"/>
      <c r="Q6169" s="105"/>
    </row>
    <row r="6170" spans="3:17" x14ac:dyDescent="0.3">
      <c r="C6170" s="87"/>
      <c r="H6170" s="86" t="e">
        <f>IF(I6170="fora",0%,G6170/QUÓRUM!$C$6)</f>
        <v>#DIV/0!</v>
      </c>
      <c r="I6170" s="87"/>
      <c r="J6170" s="88"/>
      <c r="K6170" s="88"/>
      <c r="L6170" s="89"/>
      <c r="M6170" s="89"/>
      <c r="Q6170" s="105"/>
    </row>
    <row r="6171" spans="3:17" x14ac:dyDescent="0.3">
      <c r="C6171" s="87"/>
      <c r="H6171" s="86" t="e">
        <f>IF(I6171="fora",0%,G6171/QUÓRUM!$C$6)</f>
        <v>#DIV/0!</v>
      </c>
      <c r="I6171" s="87"/>
      <c r="J6171" s="88"/>
      <c r="K6171" s="88"/>
      <c r="L6171" s="89"/>
      <c r="M6171" s="89"/>
      <c r="Q6171" s="105"/>
    </row>
    <row r="6172" spans="3:17" x14ac:dyDescent="0.3">
      <c r="C6172" s="87"/>
      <c r="H6172" s="86" t="e">
        <f>IF(I6172="fora",0%,G6172/QUÓRUM!$C$6)</f>
        <v>#DIV/0!</v>
      </c>
      <c r="I6172" s="87"/>
      <c r="J6172" s="88"/>
      <c r="K6172" s="88"/>
      <c r="L6172" s="89"/>
      <c r="M6172" s="89"/>
      <c r="Q6172" s="105"/>
    </row>
    <row r="6173" spans="3:17" x14ac:dyDescent="0.3">
      <c r="C6173" s="87"/>
      <c r="H6173" s="86" t="e">
        <f>IF(I6173="fora",0%,G6173/QUÓRUM!$C$6)</f>
        <v>#DIV/0!</v>
      </c>
      <c r="I6173" s="87"/>
      <c r="J6173" s="88"/>
      <c r="K6173" s="88"/>
      <c r="L6173" s="89"/>
      <c r="M6173" s="89"/>
      <c r="Q6173" s="105"/>
    </row>
    <row r="6174" spans="3:17" x14ac:dyDescent="0.3">
      <c r="C6174" s="87"/>
      <c r="H6174" s="86" t="e">
        <f>IF(I6174="fora",0%,G6174/QUÓRUM!$C$6)</f>
        <v>#DIV/0!</v>
      </c>
      <c r="I6174" s="87"/>
      <c r="J6174" s="88"/>
      <c r="K6174" s="88"/>
      <c r="L6174" s="89"/>
      <c r="M6174" s="89"/>
      <c r="Q6174" s="105"/>
    </row>
    <row r="6175" spans="3:17" x14ac:dyDescent="0.3">
      <c r="C6175" s="87"/>
      <c r="H6175" s="86" t="e">
        <f>IF(I6175="fora",0%,G6175/QUÓRUM!$C$6)</f>
        <v>#DIV/0!</v>
      </c>
      <c r="I6175" s="87"/>
      <c r="J6175" s="88"/>
      <c r="K6175" s="88"/>
      <c r="L6175" s="89"/>
      <c r="M6175" s="89"/>
      <c r="Q6175" s="105"/>
    </row>
    <row r="6176" spans="3:17" x14ac:dyDescent="0.3">
      <c r="C6176" s="87"/>
      <c r="H6176" s="86" t="e">
        <f>IF(I6176="fora",0%,G6176/QUÓRUM!$C$6)</f>
        <v>#DIV/0!</v>
      </c>
      <c r="I6176" s="87"/>
      <c r="J6176" s="88"/>
      <c r="K6176" s="88"/>
      <c r="L6176" s="89"/>
      <c r="M6176" s="89"/>
      <c r="Q6176" s="105"/>
    </row>
    <row r="6177" spans="3:17" x14ac:dyDescent="0.3">
      <c r="C6177" s="87"/>
      <c r="H6177" s="86" t="e">
        <f>IF(I6177="fora",0%,G6177/QUÓRUM!$C$6)</f>
        <v>#DIV/0!</v>
      </c>
      <c r="I6177" s="87"/>
      <c r="J6177" s="88"/>
      <c r="K6177" s="88"/>
      <c r="L6177" s="89"/>
      <c r="M6177" s="89"/>
      <c r="Q6177" s="105"/>
    </row>
    <row r="6178" spans="3:17" x14ac:dyDescent="0.3">
      <c r="C6178" s="87"/>
      <c r="H6178" s="86" t="e">
        <f>IF(I6178="fora",0%,G6178/QUÓRUM!$C$6)</f>
        <v>#DIV/0!</v>
      </c>
      <c r="I6178" s="87"/>
      <c r="J6178" s="88"/>
      <c r="K6178" s="88"/>
      <c r="L6178" s="89"/>
      <c r="M6178" s="89"/>
      <c r="Q6178" s="105"/>
    </row>
    <row r="6179" spans="3:17" x14ac:dyDescent="0.3">
      <c r="C6179" s="87"/>
      <c r="H6179" s="86" t="e">
        <f>IF(I6179="fora",0%,G6179/QUÓRUM!$C$6)</f>
        <v>#DIV/0!</v>
      </c>
      <c r="I6179" s="87"/>
      <c r="J6179" s="88"/>
      <c r="K6179" s="88"/>
      <c r="L6179" s="89"/>
      <c r="M6179" s="89"/>
      <c r="Q6179" s="105"/>
    </row>
    <row r="6180" spans="3:17" x14ac:dyDescent="0.3">
      <c r="C6180" s="87"/>
      <c r="H6180" s="86" t="e">
        <f>IF(I6180="fora",0%,G6180/QUÓRUM!$C$6)</f>
        <v>#DIV/0!</v>
      </c>
      <c r="I6180" s="87"/>
      <c r="J6180" s="88"/>
      <c r="K6180" s="88"/>
      <c r="L6180" s="89"/>
      <c r="M6180" s="89"/>
      <c r="Q6180" s="105"/>
    </row>
    <row r="6181" spans="3:17" x14ac:dyDescent="0.3">
      <c r="C6181" s="87"/>
      <c r="H6181" s="86" t="e">
        <f>IF(I6181="fora",0%,G6181/QUÓRUM!$C$6)</f>
        <v>#DIV/0!</v>
      </c>
      <c r="I6181" s="87"/>
      <c r="J6181" s="88"/>
      <c r="K6181" s="88"/>
      <c r="L6181" s="89"/>
      <c r="M6181" s="89"/>
      <c r="Q6181" s="105"/>
    </row>
    <row r="6182" spans="3:17" x14ac:dyDescent="0.3">
      <c r="C6182" s="87"/>
      <c r="H6182" s="86" t="e">
        <f>IF(I6182="fora",0%,G6182/QUÓRUM!$C$6)</f>
        <v>#DIV/0!</v>
      </c>
      <c r="I6182" s="87"/>
      <c r="J6182" s="88"/>
      <c r="K6182" s="88"/>
      <c r="L6182" s="89"/>
      <c r="M6182" s="89"/>
      <c r="Q6182" s="105"/>
    </row>
    <row r="6183" spans="3:17" x14ac:dyDescent="0.3">
      <c r="C6183" s="87"/>
      <c r="H6183" s="86" t="e">
        <f>IF(I6183="fora",0%,G6183/QUÓRUM!$C$6)</f>
        <v>#DIV/0!</v>
      </c>
      <c r="I6183" s="87"/>
      <c r="J6183" s="88"/>
      <c r="K6183" s="88"/>
      <c r="L6183" s="89"/>
      <c r="M6183" s="89"/>
      <c r="Q6183" s="105"/>
    </row>
    <row r="6184" spans="3:17" x14ac:dyDescent="0.3">
      <c r="C6184" s="87"/>
      <c r="H6184" s="86" t="e">
        <f>IF(I6184="fora",0%,G6184/QUÓRUM!$C$6)</f>
        <v>#DIV/0!</v>
      </c>
      <c r="I6184" s="87"/>
      <c r="J6184" s="88"/>
      <c r="K6184" s="88"/>
      <c r="L6184" s="89"/>
      <c r="M6184" s="89"/>
      <c r="Q6184" s="105"/>
    </row>
    <row r="6185" spans="3:17" x14ac:dyDescent="0.3">
      <c r="C6185" s="87"/>
      <c r="H6185" s="86" t="e">
        <f>IF(I6185="fora",0%,G6185/QUÓRUM!$C$6)</f>
        <v>#DIV/0!</v>
      </c>
      <c r="I6185" s="87"/>
      <c r="J6185" s="88"/>
      <c r="K6185" s="88"/>
      <c r="L6185" s="89"/>
      <c r="M6185" s="89"/>
      <c r="Q6185" s="105"/>
    </row>
    <row r="6186" spans="3:17" x14ac:dyDescent="0.3">
      <c r="C6186" s="87"/>
      <c r="H6186" s="86" t="e">
        <f>IF(I6186="fora",0%,G6186/QUÓRUM!$C$6)</f>
        <v>#DIV/0!</v>
      </c>
      <c r="I6186" s="87"/>
      <c r="J6186" s="88"/>
      <c r="K6186" s="88"/>
      <c r="L6186" s="89"/>
      <c r="M6186" s="89"/>
      <c r="Q6186" s="105"/>
    </row>
    <row r="6187" spans="3:17" x14ac:dyDescent="0.3">
      <c r="C6187" s="87"/>
      <c r="H6187" s="86" t="e">
        <f>IF(I6187="fora",0%,G6187/QUÓRUM!$C$6)</f>
        <v>#DIV/0!</v>
      </c>
      <c r="I6187" s="87"/>
      <c r="J6187" s="88"/>
      <c r="K6187" s="88"/>
      <c r="L6187" s="89"/>
      <c r="M6187" s="89"/>
      <c r="Q6187" s="105"/>
    </row>
    <row r="6188" spans="3:17" x14ac:dyDescent="0.3">
      <c r="C6188" s="87"/>
      <c r="H6188" s="86" t="e">
        <f>IF(I6188="fora",0%,G6188/QUÓRUM!$C$6)</f>
        <v>#DIV/0!</v>
      </c>
      <c r="I6188" s="87"/>
      <c r="J6188" s="88"/>
      <c r="K6188" s="88"/>
      <c r="L6188" s="89"/>
      <c r="M6188" s="89"/>
      <c r="Q6188" s="105"/>
    </row>
    <row r="6189" spans="3:17" x14ac:dyDescent="0.3">
      <c r="C6189" s="87"/>
      <c r="H6189" s="86" t="e">
        <f>IF(I6189="fora",0%,G6189/QUÓRUM!$C$6)</f>
        <v>#DIV/0!</v>
      </c>
      <c r="I6189" s="87"/>
      <c r="J6189" s="88"/>
      <c r="K6189" s="88"/>
      <c r="L6189" s="89"/>
      <c r="M6189" s="89"/>
      <c r="Q6189" s="105"/>
    </row>
    <row r="6190" spans="3:17" x14ac:dyDescent="0.3">
      <c r="C6190" s="87"/>
      <c r="H6190" s="86" t="e">
        <f>IF(I6190="fora",0%,G6190/QUÓRUM!$C$6)</f>
        <v>#DIV/0!</v>
      </c>
      <c r="I6190" s="87"/>
      <c r="J6190" s="88"/>
      <c r="K6190" s="88"/>
      <c r="L6190" s="89"/>
      <c r="M6190" s="89"/>
      <c r="Q6190" s="105"/>
    </row>
    <row r="6191" spans="3:17" x14ac:dyDescent="0.3">
      <c r="C6191" s="87"/>
      <c r="H6191" s="86" t="e">
        <f>IF(I6191="fora",0%,G6191/QUÓRUM!$C$6)</f>
        <v>#DIV/0!</v>
      </c>
      <c r="I6191" s="87"/>
      <c r="J6191" s="88"/>
      <c r="K6191" s="88"/>
      <c r="L6191" s="89"/>
      <c r="M6191" s="89"/>
      <c r="Q6191" s="105"/>
    </row>
    <row r="6192" spans="3:17" x14ac:dyDescent="0.3">
      <c r="C6192" s="87"/>
      <c r="H6192" s="86" t="e">
        <f>IF(I6192="fora",0%,G6192/QUÓRUM!$C$6)</f>
        <v>#DIV/0!</v>
      </c>
      <c r="I6192" s="87"/>
      <c r="J6192" s="88"/>
      <c r="K6192" s="88"/>
      <c r="L6192" s="89"/>
      <c r="M6192" s="89"/>
      <c r="Q6192" s="105"/>
    </row>
    <row r="6193" spans="3:17" x14ac:dyDescent="0.3">
      <c r="C6193" s="87"/>
      <c r="H6193" s="86" t="e">
        <f>IF(I6193="fora",0%,G6193/QUÓRUM!$C$6)</f>
        <v>#DIV/0!</v>
      </c>
      <c r="I6193" s="87"/>
      <c r="J6193" s="88"/>
      <c r="K6193" s="88"/>
      <c r="L6193" s="89"/>
      <c r="M6193" s="89"/>
      <c r="Q6193" s="105"/>
    </row>
    <row r="6194" spans="3:17" x14ac:dyDescent="0.3">
      <c r="C6194" s="87"/>
      <c r="H6194" s="86" t="e">
        <f>IF(I6194="fora",0%,G6194/QUÓRUM!$C$6)</f>
        <v>#DIV/0!</v>
      </c>
      <c r="I6194" s="87"/>
      <c r="J6194" s="88"/>
      <c r="K6194" s="88"/>
      <c r="L6194" s="89"/>
      <c r="M6194" s="89"/>
      <c r="Q6194" s="105"/>
    </row>
    <row r="6195" spans="3:17" x14ac:dyDescent="0.3">
      <c r="C6195" s="87"/>
      <c r="H6195" s="86" t="e">
        <f>IF(I6195="fora",0%,G6195/QUÓRUM!$C$6)</f>
        <v>#DIV/0!</v>
      </c>
      <c r="I6195" s="87"/>
      <c r="J6195" s="88"/>
      <c r="K6195" s="88"/>
      <c r="L6195" s="89"/>
      <c r="M6195" s="89"/>
      <c r="Q6195" s="105"/>
    </row>
    <row r="6196" spans="3:17" x14ac:dyDescent="0.3">
      <c r="C6196" s="87"/>
      <c r="H6196" s="86" t="e">
        <f>IF(I6196="fora",0%,G6196/QUÓRUM!$C$6)</f>
        <v>#DIV/0!</v>
      </c>
      <c r="I6196" s="87"/>
      <c r="J6196" s="88"/>
      <c r="K6196" s="88"/>
      <c r="L6196" s="89"/>
      <c r="M6196" s="89"/>
      <c r="Q6196" s="105"/>
    </row>
    <row r="6197" spans="3:17" x14ac:dyDescent="0.3">
      <c r="C6197" s="87"/>
      <c r="H6197" s="86" t="e">
        <f>IF(I6197="fora",0%,G6197/QUÓRUM!$C$6)</f>
        <v>#DIV/0!</v>
      </c>
      <c r="I6197" s="87"/>
      <c r="J6197" s="88"/>
      <c r="K6197" s="88"/>
      <c r="L6197" s="89"/>
      <c r="M6197" s="89"/>
      <c r="Q6197" s="105"/>
    </row>
    <row r="6198" spans="3:17" x14ac:dyDescent="0.3">
      <c r="C6198" s="87"/>
      <c r="H6198" s="86" t="e">
        <f>IF(I6198="fora",0%,G6198/QUÓRUM!$C$6)</f>
        <v>#DIV/0!</v>
      </c>
      <c r="I6198" s="87"/>
      <c r="J6198" s="88"/>
      <c r="K6198" s="88"/>
      <c r="L6198" s="89"/>
      <c r="M6198" s="89"/>
      <c r="Q6198" s="105"/>
    </row>
    <row r="6199" spans="3:17" x14ac:dyDescent="0.3">
      <c r="C6199" s="87"/>
      <c r="H6199" s="86" t="e">
        <f>IF(I6199="fora",0%,G6199/QUÓRUM!$C$6)</f>
        <v>#DIV/0!</v>
      </c>
      <c r="I6199" s="87"/>
      <c r="J6199" s="88"/>
      <c r="K6199" s="88"/>
      <c r="L6199" s="89"/>
      <c r="M6199" s="89"/>
      <c r="Q6199" s="105"/>
    </row>
    <row r="6200" spans="3:17" x14ac:dyDescent="0.3">
      <c r="C6200" s="87"/>
      <c r="H6200" s="86" t="e">
        <f>IF(I6200="fora",0%,G6200/QUÓRUM!$C$6)</f>
        <v>#DIV/0!</v>
      </c>
      <c r="I6200" s="87"/>
      <c r="J6200" s="88"/>
      <c r="K6200" s="88"/>
      <c r="L6200" s="89"/>
      <c r="M6200" s="89"/>
      <c r="Q6200" s="105"/>
    </row>
    <row r="6201" spans="3:17" x14ac:dyDescent="0.3">
      <c r="C6201" s="87"/>
      <c r="H6201" s="86" t="e">
        <f>IF(I6201="fora",0%,G6201/QUÓRUM!$C$6)</f>
        <v>#DIV/0!</v>
      </c>
      <c r="I6201" s="87"/>
      <c r="J6201" s="88"/>
      <c r="K6201" s="88"/>
      <c r="L6201" s="89"/>
      <c r="M6201" s="89"/>
      <c r="Q6201" s="105"/>
    </row>
    <row r="6202" spans="3:17" x14ac:dyDescent="0.3">
      <c r="C6202" s="87"/>
      <c r="H6202" s="86" t="e">
        <f>IF(I6202="fora",0%,G6202/QUÓRUM!$C$6)</f>
        <v>#DIV/0!</v>
      </c>
      <c r="I6202" s="87"/>
      <c r="J6202" s="88"/>
      <c r="K6202" s="88"/>
      <c r="L6202" s="89"/>
      <c r="M6202" s="89"/>
      <c r="Q6202" s="105"/>
    </row>
    <row r="6203" spans="3:17" x14ac:dyDescent="0.3">
      <c r="C6203" s="87"/>
      <c r="H6203" s="86" t="e">
        <f>IF(I6203="fora",0%,G6203/QUÓRUM!$C$6)</f>
        <v>#DIV/0!</v>
      </c>
      <c r="I6203" s="87"/>
      <c r="J6203" s="88"/>
      <c r="K6203" s="88"/>
      <c r="L6203" s="89"/>
      <c r="M6203" s="89"/>
      <c r="Q6203" s="105"/>
    </row>
    <row r="6204" spans="3:17" x14ac:dyDescent="0.3">
      <c r="C6204" s="87"/>
      <c r="H6204" s="86" t="e">
        <f>IF(I6204="fora",0%,G6204/QUÓRUM!$C$6)</f>
        <v>#DIV/0!</v>
      </c>
      <c r="I6204" s="87"/>
      <c r="J6204" s="88"/>
      <c r="K6204" s="88"/>
      <c r="L6204" s="89"/>
      <c r="M6204" s="89"/>
      <c r="Q6204" s="105"/>
    </row>
    <row r="6205" spans="3:17" x14ac:dyDescent="0.3">
      <c r="C6205" s="87"/>
      <c r="H6205" s="86" t="e">
        <f>IF(I6205="fora",0%,G6205/QUÓRUM!$C$6)</f>
        <v>#DIV/0!</v>
      </c>
      <c r="I6205" s="87"/>
      <c r="J6205" s="88"/>
      <c r="K6205" s="88"/>
      <c r="L6205" s="89"/>
      <c r="M6205" s="89"/>
      <c r="Q6205" s="105"/>
    </row>
    <row r="6206" spans="3:17" x14ac:dyDescent="0.3">
      <c r="C6206" s="87"/>
      <c r="H6206" s="86" t="e">
        <f>IF(I6206="fora",0%,G6206/QUÓRUM!$C$6)</f>
        <v>#DIV/0!</v>
      </c>
      <c r="I6206" s="87"/>
      <c r="J6206" s="88"/>
      <c r="K6206" s="88"/>
      <c r="L6206" s="89"/>
      <c r="M6206" s="89"/>
      <c r="Q6206" s="105"/>
    </row>
    <row r="6207" spans="3:17" x14ac:dyDescent="0.3">
      <c r="C6207" s="87"/>
      <c r="H6207" s="86" t="e">
        <f>IF(I6207="fora",0%,G6207/QUÓRUM!$C$6)</f>
        <v>#DIV/0!</v>
      </c>
      <c r="I6207" s="87"/>
      <c r="J6207" s="88"/>
      <c r="K6207" s="88"/>
      <c r="L6207" s="89"/>
      <c r="M6207" s="89"/>
      <c r="Q6207" s="105"/>
    </row>
    <row r="6208" spans="3:17" x14ac:dyDescent="0.3">
      <c r="C6208" s="87"/>
      <c r="H6208" s="86" t="e">
        <f>IF(I6208="fora",0%,G6208/QUÓRUM!$C$6)</f>
        <v>#DIV/0!</v>
      </c>
      <c r="I6208" s="87"/>
      <c r="J6208" s="88"/>
      <c r="K6208" s="88"/>
      <c r="L6208" s="89"/>
      <c r="M6208" s="89"/>
      <c r="Q6208" s="105"/>
    </row>
    <row r="6209" spans="3:17" x14ac:dyDescent="0.3">
      <c r="C6209" s="87"/>
      <c r="H6209" s="86" t="e">
        <f>IF(I6209="fora",0%,G6209/QUÓRUM!$C$6)</f>
        <v>#DIV/0!</v>
      </c>
      <c r="I6209" s="87"/>
      <c r="J6209" s="88"/>
      <c r="K6209" s="88"/>
      <c r="L6209" s="89"/>
      <c r="M6209" s="89"/>
      <c r="Q6209" s="105"/>
    </row>
    <row r="6210" spans="3:17" x14ac:dyDescent="0.3">
      <c r="C6210" s="87"/>
      <c r="H6210" s="86" t="e">
        <f>IF(I6210="fora",0%,G6210/QUÓRUM!$C$6)</f>
        <v>#DIV/0!</v>
      </c>
      <c r="I6210" s="87"/>
      <c r="J6210" s="88"/>
      <c r="K6210" s="88"/>
      <c r="L6210" s="89"/>
      <c r="M6210" s="89"/>
      <c r="Q6210" s="105"/>
    </row>
    <row r="6211" spans="3:17" x14ac:dyDescent="0.3">
      <c r="C6211" s="87"/>
      <c r="H6211" s="86" t="e">
        <f>IF(I6211="fora",0%,G6211/QUÓRUM!$C$6)</f>
        <v>#DIV/0!</v>
      </c>
      <c r="I6211" s="87"/>
      <c r="J6211" s="88"/>
      <c r="K6211" s="88"/>
      <c r="L6211" s="89"/>
      <c r="M6211" s="89"/>
      <c r="Q6211" s="105"/>
    </row>
    <row r="6212" spans="3:17" x14ac:dyDescent="0.3">
      <c r="C6212" s="87"/>
      <c r="H6212" s="86" t="e">
        <f>IF(I6212="fora",0%,G6212/QUÓRUM!$C$6)</f>
        <v>#DIV/0!</v>
      </c>
      <c r="I6212" s="87"/>
      <c r="J6212" s="88"/>
      <c r="K6212" s="88"/>
      <c r="L6212" s="89"/>
      <c r="M6212" s="89"/>
      <c r="Q6212" s="105"/>
    </row>
    <row r="6213" spans="3:17" x14ac:dyDescent="0.3">
      <c r="C6213" s="87"/>
      <c r="H6213" s="86" t="e">
        <f>IF(I6213="fora",0%,G6213/QUÓRUM!$C$6)</f>
        <v>#DIV/0!</v>
      </c>
      <c r="I6213" s="87"/>
      <c r="J6213" s="88"/>
      <c r="K6213" s="88"/>
      <c r="L6213" s="89"/>
      <c r="M6213" s="89"/>
      <c r="Q6213" s="105"/>
    </row>
    <row r="6214" spans="3:17" x14ac:dyDescent="0.3">
      <c r="C6214" s="87"/>
      <c r="H6214" s="86" t="e">
        <f>IF(I6214="fora",0%,G6214/QUÓRUM!$C$6)</f>
        <v>#DIV/0!</v>
      </c>
      <c r="I6214" s="87"/>
      <c r="J6214" s="88"/>
      <c r="K6214" s="88"/>
      <c r="L6214" s="89"/>
      <c r="M6214" s="89"/>
      <c r="Q6214" s="105"/>
    </row>
    <row r="6215" spans="3:17" x14ac:dyDescent="0.3">
      <c r="C6215" s="87"/>
      <c r="H6215" s="86" t="e">
        <f>IF(I6215="fora",0%,G6215/QUÓRUM!$C$6)</f>
        <v>#DIV/0!</v>
      </c>
      <c r="I6215" s="87"/>
      <c r="J6215" s="88"/>
      <c r="K6215" s="88"/>
      <c r="L6215" s="89"/>
      <c r="M6215" s="89"/>
      <c r="Q6215" s="105"/>
    </row>
    <row r="6216" spans="3:17" x14ac:dyDescent="0.3">
      <c r="C6216" s="87"/>
      <c r="H6216" s="86" t="e">
        <f>IF(I6216="fora",0%,G6216/QUÓRUM!$C$6)</f>
        <v>#DIV/0!</v>
      </c>
      <c r="I6216" s="87"/>
      <c r="J6216" s="88"/>
      <c r="K6216" s="88"/>
      <c r="L6216" s="89"/>
      <c r="M6216" s="89"/>
      <c r="Q6216" s="105"/>
    </row>
    <row r="6217" spans="3:17" x14ac:dyDescent="0.3">
      <c r="C6217" s="87"/>
      <c r="H6217" s="86" t="e">
        <f>IF(I6217="fora",0%,G6217/QUÓRUM!$C$6)</f>
        <v>#DIV/0!</v>
      </c>
      <c r="I6217" s="87"/>
      <c r="J6217" s="88"/>
      <c r="K6217" s="88"/>
      <c r="L6217" s="89"/>
      <c r="M6217" s="89"/>
      <c r="Q6217" s="105"/>
    </row>
    <row r="6218" spans="3:17" x14ac:dyDescent="0.3">
      <c r="C6218" s="87"/>
      <c r="H6218" s="86" t="e">
        <f>IF(I6218="fora",0%,G6218/QUÓRUM!$C$6)</f>
        <v>#DIV/0!</v>
      </c>
      <c r="I6218" s="87"/>
      <c r="J6218" s="88"/>
      <c r="K6218" s="88"/>
      <c r="L6218" s="89"/>
      <c r="M6218" s="89"/>
      <c r="Q6218" s="105"/>
    </row>
    <row r="6219" spans="3:17" x14ac:dyDescent="0.3">
      <c r="C6219" s="87"/>
      <c r="H6219" s="86" t="e">
        <f>IF(I6219="fora",0%,G6219/QUÓRUM!$C$6)</f>
        <v>#DIV/0!</v>
      </c>
      <c r="I6219" s="87"/>
      <c r="J6219" s="88"/>
      <c r="K6219" s="88"/>
      <c r="L6219" s="89"/>
      <c r="M6219" s="89"/>
      <c r="Q6219" s="105"/>
    </row>
    <row r="6220" spans="3:17" x14ac:dyDescent="0.3">
      <c r="C6220" s="87"/>
      <c r="H6220" s="86" t="e">
        <f>IF(I6220="fora",0%,G6220/QUÓRUM!$C$6)</f>
        <v>#DIV/0!</v>
      </c>
      <c r="I6220" s="87"/>
      <c r="J6220" s="88"/>
      <c r="K6220" s="88"/>
      <c r="L6220" s="89"/>
      <c r="M6220" s="89"/>
      <c r="Q6220" s="105"/>
    </row>
    <row r="6221" spans="3:17" x14ac:dyDescent="0.3">
      <c r="C6221" s="87"/>
      <c r="H6221" s="86" t="e">
        <f>IF(I6221="fora",0%,G6221/QUÓRUM!$C$6)</f>
        <v>#DIV/0!</v>
      </c>
      <c r="I6221" s="87"/>
      <c r="J6221" s="88"/>
      <c r="K6221" s="88"/>
      <c r="L6221" s="89"/>
      <c r="M6221" s="89"/>
      <c r="Q6221" s="105"/>
    </row>
    <row r="6222" spans="3:17" x14ac:dyDescent="0.3">
      <c r="C6222" s="87"/>
      <c r="H6222" s="86" t="e">
        <f>IF(I6222="fora",0%,G6222/QUÓRUM!$C$6)</f>
        <v>#DIV/0!</v>
      </c>
      <c r="I6222" s="87"/>
      <c r="J6222" s="88"/>
      <c r="K6222" s="88"/>
      <c r="L6222" s="89"/>
      <c r="M6222" s="89"/>
      <c r="Q6222" s="105"/>
    </row>
    <row r="6223" spans="3:17" x14ac:dyDescent="0.3">
      <c r="C6223" s="87"/>
      <c r="H6223" s="86" t="e">
        <f>IF(I6223="fora",0%,G6223/QUÓRUM!$C$6)</f>
        <v>#DIV/0!</v>
      </c>
      <c r="I6223" s="87"/>
      <c r="J6223" s="88"/>
      <c r="K6223" s="88"/>
      <c r="L6223" s="89"/>
      <c r="M6223" s="89"/>
      <c r="Q6223" s="105"/>
    </row>
    <row r="6224" spans="3:17" x14ac:dyDescent="0.3">
      <c r="C6224" s="87"/>
      <c r="H6224" s="86" t="e">
        <f>IF(I6224="fora",0%,G6224/QUÓRUM!$C$6)</f>
        <v>#DIV/0!</v>
      </c>
      <c r="I6224" s="87"/>
      <c r="J6224" s="88"/>
      <c r="K6224" s="88"/>
      <c r="L6224" s="89"/>
      <c r="M6224" s="89"/>
      <c r="Q6224" s="105"/>
    </row>
    <row r="6225" spans="3:17" x14ac:dyDescent="0.3">
      <c r="C6225" s="87"/>
      <c r="H6225" s="86" t="e">
        <f>IF(I6225="fora",0%,G6225/QUÓRUM!$C$6)</f>
        <v>#DIV/0!</v>
      </c>
      <c r="I6225" s="87"/>
      <c r="J6225" s="88"/>
      <c r="K6225" s="88"/>
      <c r="L6225" s="89"/>
      <c r="M6225" s="89"/>
      <c r="Q6225" s="105"/>
    </row>
    <row r="6226" spans="3:17" x14ac:dyDescent="0.3">
      <c r="C6226" s="87"/>
      <c r="H6226" s="86" t="e">
        <f>IF(I6226="fora",0%,G6226/QUÓRUM!$C$6)</f>
        <v>#DIV/0!</v>
      </c>
      <c r="I6226" s="87"/>
      <c r="J6226" s="88"/>
      <c r="K6226" s="88"/>
      <c r="L6226" s="89"/>
      <c r="M6226" s="89"/>
      <c r="Q6226" s="105"/>
    </row>
    <row r="6227" spans="3:17" x14ac:dyDescent="0.3">
      <c r="C6227" s="87"/>
      <c r="H6227" s="86" t="e">
        <f>IF(I6227="fora",0%,G6227/QUÓRUM!$C$6)</f>
        <v>#DIV/0!</v>
      </c>
      <c r="I6227" s="87"/>
      <c r="J6227" s="88"/>
      <c r="K6227" s="88"/>
      <c r="L6227" s="89"/>
      <c r="M6227" s="89"/>
      <c r="Q6227" s="105"/>
    </row>
    <row r="6228" spans="3:17" x14ac:dyDescent="0.3">
      <c r="C6228" s="87"/>
      <c r="H6228" s="86" t="e">
        <f>IF(I6228="fora",0%,G6228/QUÓRUM!$C$6)</f>
        <v>#DIV/0!</v>
      </c>
      <c r="I6228" s="87"/>
      <c r="J6228" s="88"/>
      <c r="K6228" s="88"/>
      <c r="L6228" s="89"/>
      <c r="M6228" s="89"/>
      <c r="Q6228" s="105"/>
    </row>
    <row r="6229" spans="3:17" x14ac:dyDescent="0.3">
      <c r="C6229" s="87"/>
      <c r="H6229" s="86" t="e">
        <f>IF(I6229="fora",0%,G6229/QUÓRUM!$C$6)</f>
        <v>#DIV/0!</v>
      </c>
      <c r="I6229" s="87"/>
      <c r="J6229" s="88"/>
      <c r="K6229" s="88"/>
      <c r="L6229" s="89"/>
      <c r="M6229" s="89"/>
      <c r="Q6229" s="105"/>
    </row>
    <row r="6230" spans="3:17" x14ac:dyDescent="0.3">
      <c r="C6230" s="87"/>
      <c r="H6230" s="86" t="e">
        <f>IF(I6230="fora",0%,G6230/QUÓRUM!$C$6)</f>
        <v>#DIV/0!</v>
      </c>
      <c r="I6230" s="87"/>
      <c r="J6230" s="88"/>
      <c r="K6230" s="88"/>
      <c r="L6230" s="89"/>
      <c r="M6230" s="89"/>
      <c r="Q6230" s="105"/>
    </row>
    <row r="6231" spans="3:17" x14ac:dyDescent="0.3">
      <c r="C6231" s="87"/>
      <c r="H6231" s="86" t="e">
        <f>IF(I6231="fora",0%,G6231/QUÓRUM!$C$6)</f>
        <v>#DIV/0!</v>
      </c>
      <c r="I6231" s="87"/>
      <c r="J6231" s="88"/>
      <c r="K6231" s="88"/>
      <c r="L6231" s="89"/>
      <c r="M6231" s="89"/>
      <c r="Q6231" s="105"/>
    </row>
    <row r="6232" spans="3:17" x14ac:dyDescent="0.3">
      <c r="C6232" s="87"/>
      <c r="H6232" s="86" t="e">
        <f>IF(I6232="fora",0%,G6232/QUÓRUM!$C$6)</f>
        <v>#DIV/0!</v>
      </c>
      <c r="I6232" s="87"/>
      <c r="J6232" s="88"/>
      <c r="K6232" s="88"/>
      <c r="L6232" s="89"/>
      <c r="M6232" s="89"/>
      <c r="Q6232" s="105"/>
    </row>
    <row r="6233" spans="3:17" x14ac:dyDescent="0.3">
      <c r="C6233" s="87"/>
      <c r="H6233" s="86" t="e">
        <f>IF(I6233="fora",0%,G6233/QUÓRUM!$C$6)</f>
        <v>#DIV/0!</v>
      </c>
      <c r="I6233" s="87"/>
      <c r="J6233" s="88"/>
      <c r="K6233" s="88"/>
      <c r="L6233" s="89"/>
      <c r="M6233" s="89"/>
      <c r="Q6233" s="105"/>
    </row>
    <row r="6234" spans="3:17" x14ac:dyDescent="0.3">
      <c r="C6234" s="87"/>
      <c r="H6234" s="86" t="e">
        <f>IF(I6234="fora",0%,G6234/QUÓRUM!$C$6)</f>
        <v>#DIV/0!</v>
      </c>
      <c r="I6234" s="87"/>
      <c r="J6234" s="88"/>
      <c r="K6234" s="88"/>
      <c r="L6234" s="89"/>
      <c r="M6234" s="89"/>
      <c r="Q6234" s="105"/>
    </row>
    <row r="6235" spans="3:17" x14ac:dyDescent="0.3">
      <c r="C6235" s="87"/>
      <c r="H6235" s="86" t="e">
        <f>IF(I6235="fora",0%,G6235/QUÓRUM!$C$6)</f>
        <v>#DIV/0!</v>
      </c>
      <c r="I6235" s="87"/>
      <c r="J6235" s="88"/>
      <c r="K6235" s="88"/>
      <c r="L6235" s="89"/>
      <c r="M6235" s="89"/>
      <c r="Q6235" s="105"/>
    </row>
    <row r="6236" spans="3:17" x14ac:dyDescent="0.3">
      <c r="C6236" s="87"/>
      <c r="H6236" s="86" t="e">
        <f>IF(I6236="fora",0%,G6236/QUÓRUM!$C$6)</f>
        <v>#DIV/0!</v>
      </c>
      <c r="I6236" s="87"/>
      <c r="J6236" s="88"/>
      <c r="K6236" s="88"/>
      <c r="L6236" s="89"/>
      <c r="M6236" s="89"/>
      <c r="Q6236" s="105"/>
    </row>
    <row r="6237" spans="3:17" x14ac:dyDescent="0.3">
      <c r="C6237" s="87"/>
      <c r="H6237" s="86" t="e">
        <f>IF(I6237="fora",0%,G6237/QUÓRUM!$C$6)</f>
        <v>#DIV/0!</v>
      </c>
      <c r="I6237" s="87"/>
      <c r="J6237" s="88"/>
      <c r="K6237" s="88"/>
      <c r="L6237" s="89"/>
      <c r="M6237" s="89"/>
      <c r="Q6237" s="105"/>
    </row>
    <row r="6238" spans="3:17" x14ac:dyDescent="0.3">
      <c r="C6238" s="87"/>
      <c r="H6238" s="86" t="e">
        <f>IF(I6238="fora",0%,G6238/QUÓRUM!$C$6)</f>
        <v>#DIV/0!</v>
      </c>
      <c r="I6238" s="87"/>
      <c r="J6238" s="88"/>
      <c r="K6238" s="88"/>
      <c r="L6238" s="89"/>
      <c r="M6238" s="89"/>
      <c r="Q6238" s="105"/>
    </row>
    <row r="6239" spans="3:17" x14ac:dyDescent="0.3">
      <c r="C6239" s="87"/>
      <c r="H6239" s="86" t="e">
        <f>IF(I6239="fora",0%,G6239/QUÓRUM!$C$6)</f>
        <v>#DIV/0!</v>
      </c>
      <c r="I6239" s="87"/>
      <c r="J6239" s="88"/>
      <c r="K6239" s="88"/>
      <c r="L6239" s="89"/>
      <c r="M6239" s="89"/>
      <c r="Q6239" s="105"/>
    </row>
    <row r="6240" spans="3:17" x14ac:dyDescent="0.3">
      <c r="C6240" s="87"/>
      <c r="H6240" s="86" t="e">
        <f>IF(I6240="fora",0%,G6240/QUÓRUM!$C$6)</f>
        <v>#DIV/0!</v>
      </c>
      <c r="I6240" s="87"/>
      <c r="J6240" s="88"/>
      <c r="K6240" s="88"/>
      <c r="L6240" s="89"/>
      <c r="M6240" s="89"/>
      <c r="Q6240" s="105"/>
    </row>
    <row r="6241" spans="3:17" x14ac:dyDescent="0.3">
      <c r="C6241" s="87"/>
      <c r="H6241" s="86" t="e">
        <f>IF(I6241="fora",0%,G6241/QUÓRUM!$C$6)</f>
        <v>#DIV/0!</v>
      </c>
      <c r="I6241" s="87"/>
      <c r="J6241" s="88"/>
      <c r="K6241" s="88"/>
      <c r="L6241" s="89"/>
      <c r="M6241" s="89"/>
      <c r="Q6241" s="105"/>
    </row>
    <row r="6242" spans="3:17" x14ac:dyDescent="0.3">
      <c r="C6242" s="87"/>
      <c r="H6242" s="86" t="e">
        <f>IF(I6242="fora",0%,G6242/QUÓRUM!$C$6)</f>
        <v>#DIV/0!</v>
      </c>
      <c r="I6242" s="87"/>
      <c r="J6242" s="88"/>
      <c r="K6242" s="88"/>
      <c r="L6242" s="89"/>
      <c r="M6242" s="89"/>
      <c r="Q6242" s="105"/>
    </row>
    <row r="6243" spans="3:17" x14ac:dyDescent="0.3">
      <c r="C6243" s="87"/>
      <c r="H6243" s="86" t="e">
        <f>IF(I6243="fora",0%,G6243/QUÓRUM!$C$6)</f>
        <v>#DIV/0!</v>
      </c>
      <c r="I6243" s="87"/>
      <c r="J6243" s="88"/>
      <c r="K6243" s="88"/>
      <c r="L6243" s="89"/>
      <c r="M6243" s="89"/>
      <c r="Q6243" s="105"/>
    </row>
    <row r="6244" spans="3:17" x14ac:dyDescent="0.3">
      <c r="C6244" s="87"/>
      <c r="H6244" s="86" t="e">
        <f>IF(I6244="fora",0%,G6244/QUÓRUM!$C$6)</f>
        <v>#DIV/0!</v>
      </c>
      <c r="I6244" s="87"/>
      <c r="J6244" s="88"/>
      <c r="K6244" s="88"/>
      <c r="L6244" s="89"/>
      <c r="M6244" s="89"/>
      <c r="Q6244" s="105"/>
    </row>
    <row r="6245" spans="3:17" x14ac:dyDescent="0.3">
      <c r="C6245" s="87"/>
      <c r="G6245" s="115"/>
      <c r="H6245" s="86" t="e">
        <f>IF(I6245="fora",0%,G6245/QUÓRUM!$C$6)</f>
        <v>#DIV/0!</v>
      </c>
      <c r="I6245" s="87"/>
      <c r="J6245" s="88"/>
      <c r="K6245" s="88"/>
      <c r="L6245" s="89"/>
      <c r="M6245" s="89"/>
      <c r="Q6245" s="105"/>
    </row>
    <row r="6246" spans="3:17" x14ac:dyDescent="0.3">
      <c r="C6246" s="87"/>
      <c r="H6246" s="86" t="e">
        <f>IF(I6246="fora",0%,G6246/QUÓRUM!$C$6)</f>
        <v>#DIV/0!</v>
      </c>
      <c r="I6246" s="87"/>
      <c r="J6246" s="88"/>
      <c r="K6246" s="88"/>
      <c r="L6246" s="89"/>
      <c r="M6246" s="89"/>
      <c r="Q6246" s="105"/>
    </row>
    <row r="6247" spans="3:17" x14ac:dyDescent="0.3">
      <c r="C6247" s="87"/>
      <c r="H6247" s="86" t="e">
        <f>IF(I6247="fora",0%,G6247/QUÓRUM!$C$6)</f>
        <v>#DIV/0!</v>
      </c>
      <c r="I6247" s="87"/>
      <c r="J6247" s="88"/>
      <c r="K6247" s="88"/>
      <c r="L6247" s="89"/>
      <c r="M6247" s="89"/>
      <c r="Q6247" s="105"/>
    </row>
    <row r="6248" spans="3:17" x14ac:dyDescent="0.3">
      <c r="C6248" s="87"/>
      <c r="G6248" s="115"/>
      <c r="H6248" s="86" t="e">
        <f>IF(I6248="fora",0%,G6248/QUÓRUM!$C$6)</f>
        <v>#DIV/0!</v>
      </c>
      <c r="I6248" s="87"/>
      <c r="J6248" s="88"/>
      <c r="K6248" s="88"/>
      <c r="L6248" s="89"/>
      <c r="M6248" s="89"/>
      <c r="Q6248" s="105"/>
    </row>
    <row r="6249" spans="3:17" x14ac:dyDescent="0.3">
      <c r="C6249" s="87"/>
      <c r="H6249" s="86" t="e">
        <f>IF(I6249="fora",0%,G6249/QUÓRUM!$C$6)</f>
        <v>#DIV/0!</v>
      </c>
      <c r="I6249" s="87"/>
      <c r="J6249" s="88"/>
      <c r="K6249" s="88"/>
      <c r="L6249" s="89"/>
      <c r="M6249" s="89"/>
      <c r="Q6249" s="105"/>
    </row>
    <row r="6250" spans="3:17" x14ac:dyDescent="0.3">
      <c r="C6250" s="87"/>
      <c r="H6250" s="86" t="e">
        <f>IF(I6250="fora",0%,G6250/QUÓRUM!$C$6)</f>
        <v>#DIV/0!</v>
      </c>
      <c r="I6250" s="87"/>
      <c r="J6250" s="88"/>
      <c r="K6250" s="88"/>
      <c r="L6250" s="89"/>
      <c r="M6250" s="89"/>
      <c r="Q6250" s="105"/>
    </row>
    <row r="6251" spans="3:17" x14ac:dyDescent="0.3">
      <c r="C6251" s="87"/>
      <c r="H6251" s="86" t="e">
        <f>IF(I6251="fora",0%,G6251/QUÓRUM!$C$6)</f>
        <v>#DIV/0!</v>
      </c>
      <c r="I6251" s="87"/>
      <c r="J6251" s="88"/>
      <c r="K6251" s="88"/>
      <c r="L6251" s="89"/>
      <c r="M6251" s="89"/>
      <c r="Q6251" s="105"/>
    </row>
    <row r="6252" spans="3:17" x14ac:dyDescent="0.3">
      <c r="C6252" s="87"/>
      <c r="H6252" s="86" t="e">
        <f>IF(I6252="fora",0%,G6252/QUÓRUM!$C$6)</f>
        <v>#DIV/0!</v>
      </c>
      <c r="I6252" s="87"/>
      <c r="J6252" s="88"/>
      <c r="K6252" s="88"/>
      <c r="L6252" s="89"/>
      <c r="M6252" s="89"/>
      <c r="Q6252" s="105"/>
    </row>
    <row r="6253" spans="3:17" x14ac:dyDescent="0.3">
      <c r="C6253" s="87"/>
      <c r="H6253" s="86" t="e">
        <f>IF(I6253="fora",0%,G6253/QUÓRUM!$C$6)</f>
        <v>#DIV/0!</v>
      </c>
      <c r="I6253" s="87"/>
      <c r="J6253" s="88"/>
      <c r="K6253" s="88"/>
      <c r="L6253" s="89"/>
      <c r="M6253" s="89"/>
      <c r="Q6253" s="105"/>
    </row>
    <row r="6254" spans="3:17" x14ac:dyDescent="0.3">
      <c r="C6254" s="87"/>
      <c r="H6254" s="86" t="e">
        <f>IF(I6254="fora",0%,G6254/QUÓRUM!$C$6)</f>
        <v>#DIV/0!</v>
      </c>
      <c r="I6254" s="87"/>
      <c r="J6254" s="88"/>
      <c r="K6254" s="88"/>
      <c r="L6254" s="89"/>
      <c r="M6254" s="89"/>
      <c r="Q6254" s="105"/>
    </row>
    <row r="6255" spans="3:17" x14ac:dyDescent="0.3">
      <c r="C6255" s="87"/>
      <c r="H6255" s="86" t="e">
        <f>IF(I6255="fora",0%,G6255/QUÓRUM!$C$6)</f>
        <v>#DIV/0!</v>
      </c>
      <c r="I6255" s="87"/>
      <c r="J6255" s="88"/>
      <c r="K6255" s="88"/>
      <c r="L6255" s="89"/>
      <c r="M6255" s="89"/>
      <c r="Q6255" s="105"/>
    </row>
    <row r="6256" spans="3:17" x14ac:dyDescent="0.3">
      <c r="C6256" s="87"/>
      <c r="H6256" s="86" t="e">
        <f>IF(I6256="fora",0%,G6256/QUÓRUM!$C$6)</f>
        <v>#DIV/0!</v>
      </c>
      <c r="I6256" s="87"/>
      <c r="J6256" s="88"/>
      <c r="K6256" s="88"/>
      <c r="L6256" s="89"/>
      <c r="M6256" s="89"/>
      <c r="Q6256" s="105"/>
    </row>
    <row r="6257" spans="3:17" x14ac:dyDescent="0.3">
      <c r="C6257" s="87"/>
      <c r="H6257" s="86" t="e">
        <f>IF(I6257="fora",0%,G6257/QUÓRUM!$C$6)</f>
        <v>#DIV/0!</v>
      </c>
      <c r="I6257" s="87"/>
      <c r="J6257" s="88"/>
      <c r="K6257" s="88"/>
      <c r="L6257" s="89"/>
      <c r="M6257" s="89"/>
      <c r="Q6257" s="105"/>
    </row>
    <row r="6258" spans="3:17" x14ac:dyDescent="0.3">
      <c r="C6258" s="87"/>
      <c r="H6258" s="86" t="e">
        <f>IF(I6258="fora",0%,G6258/QUÓRUM!$C$6)</f>
        <v>#DIV/0!</v>
      </c>
      <c r="I6258" s="87"/>
      <c r="J6258" s="88"/>
      <c r="K6258" s="88"/>
      <c r="L6258" s="89"/>
      <c r="M6258" s="89"/>
      <c r="Q6258" s="105"/>
    </row>
    <row r="6259" spans="3:17" x14ac:dyDescent="0.3">
      <c r="C6259" s="87"/>
      <c r="H6259" s="86" t="e">
        <f>IF(I6259="fora",0%,G6259/QUÓRUM!$C$6)</f>
        <v>#DIV/0!</v>
      </c>
      <c r="I6259" s="87"/>
      <c r="J6259" s="88"/>
      <c r="K6259" s="88"/>
      <c r="L6259" s="89"/>
      <c r="M6259" s="89"/>
      <c r="Q6259" s="105"/>
    </row>
    <row r="6260" spans="3:17" x14ac:dyDescent="0.3">
      <c r="C6260" s="87"/>
      <c r="H6260" s="86" t="e">
        <f>IF(I6260="fora",0%,G6260/QUÓRUM!$C$6)</f>
        <v>#DIV/0!</v>
      </c>
      <c r="I6260" s="87"/>
      <c r="J6260" s="88"/>
      <c r="K6260" s="88"/>
      <c r="L6260" s="89"/>
      <c r="M6260" s="89"/>
      <c r="Q6260" s="105"/>
    </row>
    <row r="6261" spans="3:17" x14ac:dyDescent="0.3">
      <c r="C6261" s="87"/>
      <c r="H6261" s="86" t="e">
        <f>IF(I6261="fora",0%,G6261/QUÓRUM!$C$6)</f>
        <v>#DIV/0!</v>
      </c>
      <c r="I6261" s="87"/>
      <c r="J6261" s="88"/>
      <c r="K6261" s="88"/>
      <c r="L6261" s="89"/>
      <c r="M6261" s="89"/>
      <c r="Q6261" s="105"/>
    </row>
    <row r="6262" spans="3:17" x14ac:dyDescent="0.3">
      <c r="C6262" s="87"/>
      <c r="H6262" s="86" t="e">
        <f>IF(I6262="fora",0%,G6262/QUÓRUM!$C$6)</f>
        <v>#DIV/0!</v>
      </c>
      <c r="I6262" s="87"/>
      <c r="J6262" s="88"/>
      <c r="K6262" s="88"/>
      <c r="L6262" s="89"/>
      <c r="M6262" s="89"/>
      <c r="Q6262" s="105"/>
    </row>
    <row r="6263" spans="3:17" x14ac:dyDescent="0.3">
      <c r="C6263" s="87"/>
      <c r="H6263" s="86" t="e">
        <f>IF(I6263="fora",0%,G6263/QUÓRUM!$C$6)</f>
        <v>#DIV/0!</v>
      </c>
      <c r="I6263" s="87"/>
      <c r="J6263" s="88"/>
      <c r="K6263" s="88"/>
      <c r="L6263" s="89"/>
      <c r="M6263" s="89"/>
      <c r="Q6263" s="105"/>
    </row>
    <row r="6264" spans="3:17" x14ac:dyDescent="0.3">
      <c r="C6264" s="87"/>
      <c r="H6264" s="86" t="e">
        <f>IF(I6264="fora",0%,G6264/QUÓRUM!$C$6)</f>
        <v>#DIV/0!</v>
      </c>
      <c r="I6264" s="87"/>
      <c r="J6264" s="88"/>
      <c r="K6264" s="88"/>
      <c r="L6264" s="89"/>
      <c r="M6264" s="89"/>
      <c r="Q6264" s="105"/>
    </row>
    <row r="6265" spans="3:17" x14ac:dyDescent="0.3">
      <c r="C6265" s="87"/>
      <c r="H6265" s="86" t="e">
        <f>IF(I6265="fora",0%,G6265/QUÓRUM!$C$6)</f>
        <v>#DIV/0!</v>
      </c>
      <c r="I6265" s="87"/>
      <c r="J6265" s="88"/>
      <c r="K6265" s="88"/>
      <c r="L6265" s="89"/>
      <c r="M6265" s="89"/>
      <c r="Q6265" s="105"/>
    </row>
    <row r="6266" spans="3:17" x14ac:dyDescent="0.3">
      <c r="C6266" s="87"/>
      <c r="H6266" s="86" t="e">
        <f>IF(I6266="fora",0%,G6266/QUÓRUM!$C$6)</f>
        <v>#DIV/0!</v>
      </c>
      <c r="I6266" s="87"/>
      <c r="J6266" s="88"/>
      <c r="K6266" s="88"/>
      <c r="L6266" s="89"/>
      <c r="M6266" s="89"/>
      <c r="Q6266" s="105"/>
    </row>
    <row r="6267" spans="3:17" x14ac:dyDescent="0.3">
      <c r="C6267" s="87"/>
      <c r="G6267" s="115"/>
      <c r="H6267" s="86" t="e">
        <f>IF(I6267="fora",0%,G6267/QUÓRUM!$C$6)</f>
        <v>#DIV/0!</v>
      </c>
      <c r="I6267" s="87"/>
      <c r="J6267" s="88"/>
      <c r="K6267" s="88"/>
      <c r="L6267" s="89"/>
      <c r="M6267" s="89"/>
      <c r="Q6267" s="105"/>
    </row>
    <row r="6268" spans="3:17" x14ac:dyDescent="0.3">
      <c r="C6268" s="87"/>
      <c r="H6268" s="86" t="e">
        <f>IF(I6268="fora",0%,G6268/QUÓRUM!$C$6)</f>
        <v>#DIV/0!</v>
      </c>
      <c r="I6268" s="87"/>
      <c r="J6268" s="88"/>
      <c r="K6268" s="88"/>
      <c r="L6268" s="89"/>
      <c r="M6268" s="89"/>
      <c r="Q6268" s="105"/>
    </row>
    <row r="6269" spans="3:17" x14ac:dyDescent="0.3">
      <c r="C6269" s="87"/>
      <c r="H6269" s="86" t="e">
        <f>IF(I6269="fora",0%,G6269/QUÓRUM!$C$6)</f>
        <v>#DIV/0!</v>
      </c>
      <c r="I6269" s="87"/>
      <c r="J6269" s="88"/>
      <c r="K6269" s="88"/>
      <c r="L6269" s="89"/>
      <c r="M6269" s="89"/>
      <c r="Q6269" s="105"/>
    </row>
    <row r="6270" spans="3:17" x14ac:dyDescent="0.3">
      <c r="C6270" s="87"/>
      <c r="H6270" s="86" t="e">
        <f>IF(I6270="fora",0%,G6270/QUÓRUM!$C$6)</f>
        <v>#DIV/0!</v>
      </c>
      <c r="I6270" s="87"/>
      <c r="J6270" s="88"/>
      <c r="K6270" s="88"/>
      <c r="L6270" s="89"/>
      <c r="M6270" s="89"/>
      <c r="Q6270" s="105"/>
    </row>
    <row r="6271" spans="3:17" x14ac:dyDescent="0.3">
      <c r="C6271" s="87"/>
      <c r="H6271" s="86" t="e">
        <f>IF(I6271="fora",0%,G6271/QUÓRUM!$C$6)</f>
        <v>#DIV/0!</v>
      </c>
      <c r="I6271" s="87"/>
      <c r="J6271" s="88"/>
      <c r="K6271" s="88"/>
      <c r="L6271" s="89"/>
      <c r="M6271" s="89"/>
      <c r="Q6271" s="105"/>
    </row>
    <row r="6272" spans="3:17" x14ac:dyDescent="0.3">
      <c r="C6272" s="87"/>
      <c r="H6272" s="86" t="e">
        <f>IF(I6272="fora",0%,G6272/QUÓRUM!$C$6)</f>
        <v>#DIV/0!</v>
      </c>
      <c r="I6272" s="87"/>
      <c r="J6272" s="88"/>
      <c r="K6272" s="88"/>
      <c r="L6272" s="89"/>
      <c r="M6272" s="89"/>
      <c r="Q6272" s="105"/>
    </row>
    <row r="6273" spans="3:17" x14ac:dyDescent="0.3">
      <c r="C6273" s="87"/>
      <c r="H6273" s="86" t="e">
        <f>IF(I6273="fora",0%,G6273/QUÓRUM!$C$6)</f>
        <v>#DIV/0!</v>
      </c>
      <c r="I6273" s="87"/>
      <c r="J6273" s="88"/>
      <c r="K6273" s="88"/>
      <c r="L6273" s="89"/>
      <c r="M6273" s="89"/>
      <c r="Q6273" s="105"/>
    </row>
    <row r="6274" spans="3:17" x14ac:dyDescent="0.3">
      <c r="C6274" s="87"/>
      <c r="H6274" s="86" t="e">
        <f>IF(I6274="fora",0%,G6274/QUÓRUM!$C$6)</f>
        <v>#DIV/0!</v>
      </c>
      <c r="I6274" s="87"/>
      <c r="J6274" s="88"/>
      <c r="K6274" s="88"/>
      <c r="L6274" s="89"/>
      <c r="M6274" s="89"/>
      <c r="Q6274" s="105"/>
    </row>
    <row r="6275" spans="3:17" x14ac:dyDescent="0.3">
      <c r="C6275" s="87"/>
      <c r="H6275" s="86" t="e">
        <f>IF(I6275="fora",0%,G6275/QUÓRUM!$C$6)</f>
        <v>#DIV/0!</v>
      </c>
      <c r="I6275" s="87"/>
      <c r="J6275" s="88"/>
      <c r="K6275" s="88"/>
      <c r="L6275" s="89"/>
      <c r="M6275" s="89"/>
      <c r="Q6275" s="105"/>
    </row>
    <row r="6276" spans="3:17" x14ac:dyDescent="0.3">
      <c r="C6276" s="87"/>
      <c r="H6276" s="86" t="e">
        <f>IF(I6276="fora",0%,G6276/QUÓRUM!$C$6)</f>
        <v>#DIV/0!</v>
      </c>
      <c r="I6276" s="87"/>
      <c r="J6276" s="88"/>
      <c r="K6276" s="88"/>
      <c r="L6276" s="89"/>
      <c r="M6276" s="89"/>
      <c r="Q6276" s="105"/>
    </row>
    <row r="6277" spans="3:17" x14ac:dyDescent="0.3">
      <c r="C6277" s="87"/>
      <c r="H6277" s="86" t="e">
        <f>IF(I6277="fora",0%,G6277/QUÓRUM!$C$6)</f>
        <v>#DIV/0!</v>
      </c>
      <c r="I6277" s="87"/>
      <c r="J6277" s="88"/>
      <c r="K6277" s="88"/>
      <c r="L6277" s="89"/>
      <c r="M6277" s="89"/>
      <c r="Q6277" s="105"/>
    </row>
    <row r="6278" spans="3:17" x14ac:dyDescent="0.3">
      <c r="C6278" s="87"/>
      <c r="H6278" s="86" t="e">
        <f>IF(I6278="fora",0%,G6278/QUÓRUM!$C$6)</f>
        <v>#DIV/0!</v>
      </c>
      <c r="I6278" s="87"/>
      <c r="J6278" s="88"/>
      <c r="K6278" s="88"/>
      <c r="L6278" s="89"/>
      <c r="M6278" s="89"/>
      <c r="Q6278" s="105"/>
    </row>
    <row r="6279" spans="3:17" x14ac:dyDescent="0.3">
      <c r="C6279" s="87"/>
      <c r="H6279" s="86" t="e">
        <f>IF(I6279="fora",0%,G6279/QUÓRUM!$C$6)</f>
        <v>#DIV/0!</v>
      </c>
      <c r="I6279" s="87"/>
      <c r="J6279" s="88"/>
      <c r="K6279" s="88"/>
      <c r="L6279" s="89"/>
      <c r="M6279" s="89"/>
      <c r="Q6279" s="105"/>
    </row>
    <row r="6280" spans="3:17" x14ac:dyDescent="0.3">
      <c r="C6280" s="87"/>
      <c r="H6280" s="86" t="e">
        <f>IF(I6280="fora",0%,G6280/QUÓRUM!$C$6)</f>
        <v>#DIV/0!</v>
      </c>
      <c r="I6280" s="87"/>
      <c r="J6280" s="88"/>
      <c r="K6280" s="88"/>
      <c r="L6280" s="89"/>
      <c r="M6280" s="89"/>
      <c r="Q6280" s="105"/>
    </row>
    <row r="6281" spans="3:17" x14ac:dyDescent="0.3">
      <c r="C6281" s="87"/>
      <c r="H6281" s="86" t="e">
        <f>IF(I6281="fora",0%,G6281/QUÓRUM!$C$6)</f>
        <v>#DIV/0!</v>
      </c>
      <c r="I6281" s="87"/>
      <c r="J6281" s="88"/>
      <c r="K6281" s="88"/>
      <c r="L6281" s="89"/>
      <c r="M6281" s="89"/>
      <c r="Q6281" s="105"/>
    </row>
    <row r="6282" spans="3:17" x14ac:dyDescent="0.3">
      <c r="C6282" s="87"/>
      <c r="H6282" s="86" t="e">
        <f>IF(I6282="fora",0%,G6282/QUÓRUM!$C$6)</f>
        <v>#DIV/0!</v>
      </c>
      <c r="I6282" s="87"/>
      <c r="J6282" s="88"/>
      <c r="K6282" s="88"/>
      <c r="L6282" s="89"/>
      <c r="M6282" s="89"/>
      <c r="Q6282" s="105"/>
    </row>
    <row r="6283" spans="3:17" x14ac:dyDescent="0.3">
      <c r="C6283" s="87"/>
      <c r="H6283" s="86" t="e">
        <f>IF(I6283="fora",0%,G6283/QUÓRUM!$C$6)</f>
        <v>#DIV/0!</v>
      </c>
      <c r="I6283" s="87"/>
      <c r="J6283" s="88"/>
      <c r="K6283" s="88"/>
      <c r="L6283" s="89"/>
      <c r="M6283" s="89"/>
      <c r="Q6283" s="105"/>
    </row>
    <row r="6284" spans="3:17" x14ac:dyDescent="0.3">
      <c r="C6284" s="87"/>
      <c r="H6284" s="86" t="e">
        <f>IF(I6284="fora",0%,G6284/QUÓRUM!$C$6)</f>
        <v>#DIV/0!</v>
      </c>
      <c r="I6284" s="87"/>
      <c r="J6284" s="88"/>
      <c r="K6284" s="88"/>
      <c r="L6284" s="89"/>
      <c r="M6284" s="89"/>
      <c r="Q6284" s="105"/>
    </row>
    <row r="6285" spans="3:17" x14ac:dyDescent="0.3">
      <c r="C6285" s="87"/>
      <c r="H6285" s="86" t="e">
        <f>IF(I6285="fora",0%,G6285/QUÓRUM!$C$6)</f>
        <v>#DIV/0!</v>
      </c>
      <c r="I6285" s="87"/>
      <c r="J6285" s="88"/>
      <c r="K6285" s="88"/>
      <c r="L6285" s="89"/>
      <c r="M6285" s="89"/>
      <c r="Q6285" s="105"/>
    </row>
    <row r="6286" spans="3:17" x14ac:dyDescent="0.3">
      <c r="C6286" s="87"/>
      <c r="H6286" s="86" t="e">
        <f>IF(I6286="fora",0%,G6286/QUÓRUM!$C$6)</f>
        <v>#DIV/0!</v>
      </c>
      <c r="I6286" s="87"/>
      <c r="J6286" s="88"/>
      <c r="K6286" s="88"/>
      <c r="L6286" s="89"/>
      <c r="M6286" s="89"/>
      <c r="Q6286" s="105"/>
    </row>
    <row r="6287" spans="3:17" x14ac:dyDescent="0.3">
      <c r="C6287" s="87"/>
      <c r="H6287" s="86" t="e">
        <f>IF(I6287="fora",0%,G6287/QUÓRUM!$C$6)</f>
        <v>#DIV/0!</v>
      </c>
      <c r="I6287" s="87"/>
      <c r="J6287" s="88"/>
      <c r="K6287" s="88"/>
      <c r="L6287" s="89"/>
      <c r="M6287" s="89"/>
      <c r="Q6287" s="105"/>
    </row>
    <row r="6288" spans="3:17" x14ac:dyDescent="0.3">
      <c r="C6288" s="87"/>
      <c r="H6288" s="86" t="e">
        <f>IF(I6288="fora",0%,G6288/QUÓRUM!$C$6)</f>
        <v>#DIV/0!</v>
      </c>
      <c r="I6288" s="87"/>
      <c r="J6288" s="88"/>
      <c r="K6288" s="88"/>
      <c r="L6288" s="89"/>
      <c r="M6288" s="89"/>
      <c r="Q6288" s="105"/>
    </row>
    <row r="6289" spans="3:17" x14ac:dyDescent="0.3">
      <c r="C6289" s="87"/>
      <c r="H6289" s="86" t="e">
        <f>IF(I6289="fora",0%,G6289/QUÓRUM!$C$6)</f>
        <v>#DIV/0!</v>
      </c>
      <c r="I6289" s="87"/>
      <c r="J6289" s="88"/>
      <c r="K6289" s="88"/>
      <c r="L6289" s="89"/>
      <c r="M6289" s="89"/>
      <c r="Q6289" s="105"/>
    </row>
    <row r="6290" spans="3:17" x14ac:dyDescent="0.3">
      <c r="C6290" s="87"/>
      <c r="H6290" s="86" t="e">
        <f>IF(I6290="fora",0%,G6290/QUÓRUM!$C$6)</f>
        <v>#DIV/0!</v>
      </c>
      <c r="I6290" s="87"/>
      <c r="J6290" s="88"/>
      <c r="K6290" s="88"/>
      <c r="L6290" s="89"/>
      <c r="M6290" s="89"/>
      <c r="Q6290" s="105"/>
    </row>
    <row r="6291" spans="3:17" x14ac:dyDescent="0.3">
      <c r="C6291" s="87"/>
      <c r="H6291" s="86" t="e">
        <f>IF(I6291="fora",0%,G6291/QUÓRUM!$C$6)</f>
        <v>#DIV/0!</v>
      </c>
      <c r="I6291" s="87"/>
      <c r="J6291" s="88"/>
      <c r="K6291" s="88"/>
      <c r="L6291" s="89"/>
      <c r="M6291" s="89"/>
      <c r="Q6291" s="105"/>
    </row>
    <row r="6292" spans="3:17" x14ac:dyDescent="0.3">
      <c r="C6292" s="87"/>
      <c r="H6292" s="86" t="e">
        <f>IF(I6292="fora",0%,G6292/QUÓRUM!$C$6)</f>
        <v>#DIV/0!</v>
      </c>
      <c r="I6292" s="87"/>
      <c r="J6292" s="88"/>
      <c r="K6292" s="88"/>
      <c r="L6292" s="89"/>
      <c r="M6292" s="89"/>
      <c r="Q6292" s="105"/>
    </row>
    <row r="6293" spans="3:17" x14ac:dyDescent="0.3">
      <c r="C6293" s="87"/>
      <c r="H6293" s="86" t="e">
        <f>IF(I6293="fora",0%,G6293/QUÓRUM!$C$6)</f>
        <v>#DIV/0!</v>
      </c>
      <c r="I6293" s="87"/>
      <c r="J6293" s="88"/>
      <c r="K6293" s="88"/>
      <c r="L6293" s="89"/>
      <c r="M6293" s="89"/>
      <c r="Q6293" s="105"/>
    </row>
    <row r="6294" spans="3:17" x14ac:dyDescent="0.3">
      <c r="C6294" s="87"/>
      <c r="H6294" s="86" t="e">
        <f>IF(I6294="fora",0%,G6294/QUÓRUM!$C$6)</f>
        <v>#DIV/0!</v>
      </c>
      <c r="I6294" s="87"/>
      <c r="J6294" s="88"/>
      <c r="K6294" s="88"/>
      <c r="L6294" s="89"/>
      <c r="M6294" s="89"/>
      <c r="Q6294" s="105"/>
    </row>
    <row r="6295" spans="3:17" x14ac:dyDescent="0.3">
      <c r="C6295" s="87"/>
      <c r="H6295" s="86" t="e">
        <f>IF(I6295="fora",0%,G6295/QUÓRUM!$C$6)</f>
        <v>#DIV/0!</v>
      </c>
      <c r="I6295" s="87"/>
      <c r="J6295" s="88"/>
      <c r="K6295" s="88"/>
      <c r="L6295" s="89"/>
      <c r="M6295" s="89"/>
      <c r="Q6295" s="105"/>
    </row>
    <row r="6296" spans="3:17" x14ac:dyDescent="0.3">
      <c r="C6296" s="87"/>
      <c r="H6296" s="86" t="e">
        <f>IF(I6296="fora",0%,G6296/QUÓRUM!$C$6)</f>
        <v>#DIV/0!</v>
      </c>
      <c r="I6296" s="87"/>
      <c r="J6296" s="88"/>
      <c r="K6296" s="88"/>
      <c r="L6296" s="89"/>
      <c r="M6296" s="89"/>
      <c r="Q6296" s="105"/>
    </row>
    <row r="6297" spans="3:17" x14ac:dyDescent="0.3">
      <c r="C6297" s="87"/>
      <c r="H6297" s="86" t="e">
        <f>IF(I6297="fora",0%,G6297/QUÓRUM!$C$6)</f>
        <v>#DIV/0!</v>
      </c>
      <c r="I6297" s="87"/>
      <c r="J6297" s="88"/>
      <c r="K6297" s="88"/>
      <c r="L6297" s="89"/>
      <c r="M6297" s="89"/>
      <c r="Q6297" s="105"/>
    </row>
    <row r="6298" spans="3:17" x14ac:dyDescent="0.3">
      <c r="C6298" s="87"/>
      <c r="H6298" s="86" t="e">
        <f>IF(I6298="fora",0%,G6298/QUÓRUM!$C$6)</f>
        <v>#DIV/0!</v>
      </c>
      <c r="I6298" s="87"/>
      <c r="J6298" s="88"/>
      <c r="K6298" s="88"/>
      <c r="L6298" s="89"/>
      <c r="M6298" s="89"/>
      <c r="Q6298" s="105"/>
    </row>
    <row r="6299" spans="3:17" x14ac:dyDescent="0.3">
      <c r="C6299" s="87"/>
      <c r="H6299" s="86" t="e">
        <f>IF(I6299="fora",0%,G6299/QUÓRUM!$C$6)</f>
        <v>#DIV/0!</v>
      </c>
      <c r="I6299" s="87"/>
      <c r="J6299" s="88"/>
      <c r="K6299" s="88"/>
      <c r="L6299" s="89"/>
      <c r="M6299" s="89"/>
      <c r="Q6299" s="105"/>
    </row>
    <row r="6300" spans="3:17" x14ac:dyDescent="0.3">
      <c r="C6300" s="87"/>
      <c r="H6300" s="86" t="e">
        <f>IF(I6300="fora",0%,G6300/QUÓRUM!$C$6)</f>
        <v>#DIV/0!</v>
      </c>
      <c r="I6300" s="87"/>
      <c r="J6300" s="88"/>
      <c r="K6300" s="88"/>
      <c r="L6300" s="89"/>
      <c r="M6300" s="89"/>
      <c r="Q6300" s="105"/>
    </row>
    <row r="6301" spans="3:17" x14ac:dyDescent="0.3">
      <c r="C6301" s="87"/>
      <c r="H6301" s="86" t="e">
        <f>IF(I6301="fora",0%,G6301/QUÓRUM!$C$6)</f>
        <v>#DIV/0!</v>
      </c>
      <c r="I6301" s="87"/>
      <c r="J6301" s="88"/>
      <c r="K6301" s="88"/>
      <c r="L6301" s="89"/>
      <c r="M6301" s="89"/>
      <c r="Q6301" s="105"/>
    </row>
    <row r="6302" spans="3:17" x14ac:dyDescent="0.3">
      <c r="C6302" s="87"/>
      <c r="H6302" s="86" t="e">
        <f>IF(I6302="fora",0%,G6302/QUÓRUM!$C$6)</f>
        <v>#DIV/0!</v>
      </c>
      <c r="I6302" s="87"/>
      <c r="J6302" s="88"/>
      <c r="K6302" s="88"/>
      <c r="L6302" s="89"/>
      <c r="M6302" s="89"/>
      <c r="Q6302" s="105"/>
    </row>
    <row r="6303" spans="3:17" x14ac:dyDescent="0.3">
      <c r="C6303" s="87"/>
      <c r="H6303" s="86" t="e">
        <f>IF(I6303="fora",0%,G6303/QUÓRUM!$C$6)</f>
        <v>#DIV/0!</v>
      </c>
      <c r="I6303" s="87"/>
      <c r="J6303" s="88"/>
      <c r="K6303" s="88"/>
      <c r="L6303" s="89"/>
      <c r="M6303" s="89"/>
      <c r="Q6303" s="105"/>
    </row>
    <row r="6304" spans="3:17" x14ac:dyDescent="0.3">
      <c r="C6304" s="87"/>
      <c r="H6304" s="86" t="e">
        <f>IF(I6304="fora",0%,G6304/QUÓRUM!$C$6)</f>
        <v>#DIV/0!</v>
      </c>
      <c r="I6304" s="87"/>
      <c r="J6304" s="88"/>
      <c r="K6304" s="88"/>
      <c r="L6304" s="89"/>
      <c r="M6304" s="89"/>
      <c r="Q6304" s="105"/>
    </row>
    <row r="6305" spans="3:17" x14ac:dyDescent="0.3">
      <c r="C6305" s="87"/>
      <c r="H6305" s="86" t="e">
        <f>IF(I6305="fora",0%,G6305/QUÓRUM!$C$6)</f>
        <v>#DIV/0!</v>
      </c>
      <c r="I6305" s="87"/>
      <c r="J6305" s="88"/>
      <c r="K6305" s="88"/>
      <c r="L6305" s="89"/>
      <c r="M6305" s="89"/>
      <c r="Q6305" s="105"/>
    </row>
    <row r="6306" spans="3:17" x14ac:dyDescent="0.3">
      <c r="C6306" s="87"/>
      <c r="H6306" s="86" t="e">
        <f>IF(I6306="fora",0%,G6306/QUÓRUM!$C$6)</f>
        <v>#DIV/0!</v>
      </c>
      <c r="I6306" s="87"/>
      <c r="J6306" s="88"/>
      <c r="K6306" s="88"/>
      <c r="L6306" s="89"/>
      <c r="M6306" s="89"/>
      <c r="Q6306" s="105"/>
    </row>
    <row r="6307" spans="3:17" x14ac:dyDescent="0.3">
      <c r="C6307" s="87"/>
      <c r="H6307" s="86" t="e">
        <f>IF(I6307="fora",0%,G6307/QUÓRUM!$C$6)</f>
        <v>#DIV/0!</v>
      </c>
      <c r="I6307" s="87"/>
      <c r="J6307" s="88"/>
      <c r="K6307" s="88"/>
      <c r="L6307" s="89"/>
      <c r="M6307" s="89"/>
      <c r="Q6307" s="105"/>
    </row>
    <row r="6308" spans="3:17" x14ac:dyDescent="0.3">
      <c r="C6308" s="87"/>
      <c r="H6308" s="86" t="e">
        <f>IF(I6308="fora",0%,G6308/QUÓRUM!$C$6)</f>
        <v>#DIV/0!</v>
      </c>
      <c r="I6308" s="87"/>
      <c r="J6308" s="88"/>
      <c r="K6308" s="88"/>
      <c r="L6308" s="89"/>
      <c r="M6308" s="89"/>
      <c r="Q6308" s="105"/>
    </row>
    <row r="6309" spans="3:17" x14ac:dyDescent="0.3">
      <c r="C6309" s="87"/>
      <c r="H6309" s="86" t="e">
        <f>IF(I6309="fora",0%,G6309/QUÓRUM!$C$6)</f>
        <v>#DIV/0!</v>
      </c>
      <c r="I6309" s="87"/>
      <c r="J6309" s="88"/>
      <c r="K6309" s="88"/>
      <c r="L6309" s="89"/>
      <c r="M6309" s="89"/>
      <c r="Q6309" s="105"/>
    </row>
    <row r="6310" spans="3:17" x14ac:dyDescent="0.3">
      <c r="C6310" s="87"/>
      <c r="H6310" s="86" t="e">
        <f>IF(I6310="fora",0%,G6310/QUÓRUM!$C$6)</f>
        <v>#DIV/0!</v>
      </c>
      <c r="I6310" s="87"/>
      <c r="J6310" s="88"/>
      <c r="K6310" s="88"/>
      <c r="L6310" s="89"/>
      <c r="M6310" s="89"/>
      <c r="Q6310" s="105"/>
    </row>
    <row r="6311" spans="3:17" x14ac:dyDescent="0.3">
      <c r="C6311" s="87"/>
      <c r="H6311" s="86" t="e">
        <f>IF(I6311="fora",0%,G6311/QUÓRUM!$C$6)</f>
        <v>#DIV/0!</v>
      </c>
      <c r="I6311" s="87"/>
      <c r="J6311" s="88"/>
      <c r="K6311" s="88"/>
      <c r="L6311" s="89"/>
      <c r="M6311" s="89"/>
      <c r="Q6311" s="105"/>
    </row>
    <row r="6312" spans="3:17" x14ac:dyDescent="0.3">
      <c r="C6312" s="87"/>
      <c r="H6312" s="86" t="e">
        <f>IF(I6312="fora",0%,G6312/QUÓRUM!$C$6)</f>
        <v>#DIV/0!</v>
      </c>
      <c r="I6312" s="87"/>
      <c r="J6312" s="88"/>
      <c r="K6312" s="88"/>
      <c r="L6312" s="89"/>
      <c r="M6312" s="89"/>
      <c r="Q6312" s="105"/>
    </row>
    <row r="6313" spans="3:17" x14ac:dyDescent="0.3">
      <c r="C6313" s="87"/>
      <c r="H6313" s="86" t="e">
        <f>IF(I6313="fora",0%,G6313/QUÓRUM!$C$6)</f>
        <v>#DIV/0!</v>
      </c>
      <c r="I6313" s="87"/>
      <c r="J6313" s="88"/>
      <c r="K6313" s="88"/>
      <c r="L6313" s="89"/>
      <c r="M6313" s="89"/>
      <c r="Q6313" s="105"/>
    </row>
    <row r="6314" spans="3:17" x14ac:dyDescent="0.3">
      <c r="C6314" s="87"/>
      <c r="H6314" s="86" t="e">
        <f>IF(I6314="fora",0%,G6314/QUÓRUM!$C$6)</f>
        <v>#DIV/0!</v>
      </c>
      <c r="I6314" s="87"/>
      <c r="J6314" s="88"/>
      <c r="K6314" s="88"/>
      <c r="L6314" s="89"/>
      <c r="M6314" s="89"/>
      <c r="Q6314" s="105"/>
    </row>
    <row r="6315" spans="3:17" x14ac:dyDescent="0.3">
      <c r="C6315" s="87"/>
      <c r="H6315" s="86" t="e">
        <f>IF(I6315="fora",0%,G6315/QUÓRUM!$C$6)</f>
        <v>#DIV/0!</v>
      </c>
      <c r="I6315" s="87"/>
      <c r="J6315" s="88"/>
      <c r="K6315" s="88"/>
      <c r="L6315" s="89"/>
      <c r="M6315" s="89"/>
      <c r="Q6315" s="105"/>
    </row>
    <row r="6316" spans="3:17" x14ac:dyDescent="0.3">
      <c r="C6316" s="87"/>
      <c r="H6316" s="86" t="e">
        <f>IF(I6316="fora",0%,G6316/QUÓRUM!$C$6)</f>
        <v>#DIV/0!</v>
      </c>
      <c r="I6316" s="87"/>
      <c r="J6316" s="88"/>
      <c r="K6316" s="88"/>
      <c r="L6316" s="89"/>
      <c r="M6316" s="89"/>
      <c r="Q6316" s="105"/>
    </row>
    <row r="6317" spans="3:17" x14ac:dyDescent="0.3">
      <c r="C6317" s="87"/>
      <c r="H6317" s="86" t="e">
        <f>IF(I6317="fora",0%,G6317/QUÓRUM!$C$6)</f>
        <v>#DIV/0!</v>
      </c>
      <c r="I6317" s="87"/>
      <c r="J6317" s="88"/>
      <c r="K6317" s="88"/>
      <c r="L6317" s="89"/>
      <c r="M6317" s="89"/>
      <c r="Q6317" s="105"/>
    </row>
    <row r="6318" spans="3:17" x14ac:dyDescent="0.3">
      <c r="C6318" s="87"/>
      <c r="H6318" s="86" t="e">
        <f>IF(I6318="fora",0%,G6318/QUÓRUM!$C$6)</f>
        <v>#DIV/0!</v>
      </c>
      <c r="I6318" s="87"/>
      <c r="J6318" s="88"/>
      <c r="K6318" s="88"/>
      <c r="L6318" s="89"/>
      <c r="M6318" s="89"/>
      <c r="Q6318" s="105"/>
    </row>
    <row r="6319" spans="3:17" x14ac:dyDescent="0.3">
      <c r="C6319" s="87"/>
      <c r="H6319" s="86" t="e">
        <f>IF(I6319="fora",0%,G6319/QUÓRUM!$C$6)</f>
        <v>#DIV/0!</v>
      </c>
      <c r="I6319" s="87"/>
      <c r="J6319" s="88"/>
      <c r="K6319" s="88"/>
      <c r="L6319" s="89"/>
      <c r="M6319" s="89"/>
      <c r="Q6319" s="105"/>
    </row>
    <row r="6320" spans="3:17" x14ac:dyDescent="0.3">
      <c r="C6320" s="87"/>
      <c r="H6320" s="86" t="e">
        <f>IF(I6320="fora",0%,G6320/QUÓRUM!$C$6)</f>
        <v>#DIV/0!</v>
      </c>
      <c r="I6320" s="87"/>
      <c r="J6320" s="88"/>
      <c r="K6320" s="88"/>
      <c r="L6320" s="89"/>
      <c r="M6320" s="89"/>
      <c r="Q6320" s="105"/>
    </row>
    <row r="6321" spans="3:17" x14ac:dyDescent="0.3">
      <c r="C6321" s="87"/>
      <c r="H6321" s="86" t="e">
        <f>IF(I6321="fora",0%,G6321/QUÓRUM!$C$6)</f>
        <v>#DIV/0!</v>
      </c>
      <c r="I6321" s="87"/>
      <c r="J6321" s="88"/>
      <c r="K6321" s="88"/>
      <c r="L6321" s="89"/>
      <c r="M6321" s="89"/>
      <c r="Q6321" s="105"/>
    </row>
    <row r="6322" spans="3:17" x14ac:dyDescent="0.3">
      <c r="C6322" s="87"/>
      <c r="H6322" s="86" t="e">
        <f>IF(I6322="fora",0%,G6322/QUÓRUM!$C$6)</f>
        <v>#DIV/0!</v>
      </c>
      <c r="I6322" s="87"/>
      <c r="J6322" s="88"/>
      <c r="K6322" s="88"/>
      <c r="L6322" s="89"/>
      <c r="M6322" s="89"/>
      <c r="Q6322" s="105"/>
    </row>
    <row r="6323" spans="3:17" x14ac:dyDescent="0.3">
      <c r="C6323" s="87"/>
      <c r="H6323" s="86" t="e">
        <f>IF(I6323="fora",0%,G6323/QUÓRUM!$C$6)</f>
        <v>#DIV/0!</v>
      </c>
      <c r="I6323" s="87"/>
      <c r="J6323" s="88"/>
      <c r="K6323" s="88"/>
      <c r="L6323" s="89"/>
      <c r="M6323" s="89"/>
      <c r="Q6323" s="105"/>
    </row>
    <row r="6324" spans="3:17" x14ac:dyDescent="0.3">
      <c r="C6324" s="87"/>
      <c r="H6324" s="86" t="e">
        <f>IF(I6324="fora",0%,G6324/QUÓRUM!$C$6)</f>
        <v>#DIV/0!</v>
      </c>
      <c r="I6324" s="87"/>
      <c r="J6324" s="88"/>
      <c r="K6324" s="88"/>
      <c r="L6324" s="89"/>
      <c r="M6324" s="89"/>
      <c r="Q6324" s="105"/>
    </row>
    <row r="6325" spans="3:17" x14ac:dyDescent="0.3">
      <c r="C6325" s="87"/>
      <c r="H6325" s="86" t="e">
        <f>IF(I6325="fora",0%,G6325/QUÓRUM!$C$6)</f>
        <v>#DIV/0!</v>
      </c>
      <c r="I6325" s="87"/>
      <c r="J6325" s="88"/>
      <c r="K6325" s="88"/>
      <c r="L6325" s="89"/>
      <c r="M6325" s="89"/>
      <c r="Q6325" s="105"/>
    </row>
    <row r="6326" spans="3:17" x14ac:dyDescent="0.3">
      <c r="C6326" s="87"/>
      <c r="H6326" s="86" t="e">
        <f>IF(I6326="fora",0%,G6326/QUÓRUM!$C$6)</f>
        <v>#DIV/0!</v>
      </c>
      <c r="I6326" s="87"/>
      <c r="J6326" s="88"/>
      <c r="K6326" s="88"/>
      <c r="L6326" s="89"/>
      <c r="M6326" s="89"/>
      <c r="Q6326" s="105"/>
    </row>
    <row r="6327" spans="3:17" x14ac:dyDescent="0.3">
      <c r="C6327" s="87"/>
      <c r="H6327" s="86" t="e">
        <f>IF(I6327="fora",0%,G6327/QUÓRUM!$C$6)</f>
        <v>#DIV/0!</v>
      </c>
      <c r="I6327" s="87"/>
      <c r="J6327" s="88"/>
      <c r="K6327" s="88"/>
      <c r="L6327" s="89"/>
      <c r="M6327" s="89"/>
      <c r="Q6327" s="105"/>
    </row>
    <row r="6328" spans="3:17" x14ac:dyDescent="0.3">
      <c r="C6328" s="87"/>
      <c r="H6328" s="86" t="e">
        <f>IF(I6328="fora",0%,G6328/QUÓRUM!$C$6)</f>
        <v>#DIV/0!</v>
      </c>
      <c r="I6328" s="87"/>
      <c r="J6328" s="88"/>
      <c r="K6328" s="88"/>
      <c r="L6328" s="89"/>
      <c r="M6328" s="89"/>
      <c r="Q6328" s="105"/>
    </row>
    <row r="6329" spans="3:17" x14ac:dyDescent="0.3">
      <c r="C6329" s="87"/>
      <c r="H6329" s="86" t="e">
        <f>IF(I6329="fora",0%,G6329/QUÓRUM!$C$6)</f>
        <v>#DIV/0!</v>
      </c>
      <c r="I6329" s="87"/>
      <c r="J6329" s="88"/>
      <c r="K6329" s="88"/>
      <c r="L6329" s="89"/>
      <c r="M6329" s="89"/>
      <c r="Q6329" s="105"/>
    </row>
    <row r="6330" spans="3:17" x14ac:dyDescent="0.3">
      <c r="C6330" s="87"/>
      <c r="H6330" s="86" t="e">
        <f>IF(I6330="fora",0%,G6330/QUÓRUM!$C$6)</f>
        <v>#DIV/0!</v>
      </c>
      <c r="I6330" s="87"/>
      <c r="J6330" s="88"/>
      <c r="K6330" s="88"/>
      <c r="L6330" s="89"/>
      <c r="M6330" s="89"/>
      <c r="Q6330" s="105"/>
    </row>
    <row r="6331" spans="3:17" x14ac:dyDescent="0.3">
      <c r="C6331" s="87"/>
      <c r="H6331" s="86" t="e">
        <f>IF(I6331="fora",0%,G6331/QUÓRUM!$C$6)</f>
        <v>#DIV/0!</v>
      </c>
      <c r="I6331" s="87"/>
      <c r="J6331" s="88"/>
      <c r="K6331" s="88"/>
      <c r="L6331" s="89"/>
      <c r="M6331" s="89"/>
      <c r="Q6331" s="105"/>
    </row>
    <row r="6332" spans="3:17" x14ac:dyDescent="0.3">
      <c r="C6332" s="87"/>
      <c r="H6332" s="86" t="e">
        <f>IF(I6332="fora",0%,G6332/QUÓRUM!$C$6)</f>
        <v>#DIV/0!</v>
      </c>
      <c r="I6332" s="87"/>
      <c r="J6332" s="88"/>
      <c r="K6332" s="88"/>
      <c r="L6332" s="89"/>
      <c r="M6332" s="89"/>
      <c r="Q6332" s="105"/>
    </row>
    <row r="6333" spans="3:17" x14ac:dyDescent="0.3">
      <c r="C6333" s="87"/>
      <c r="H6333" s="86" t="e">
        <f>IF(I6333="fora",0%,G6333/QUÓRUM!$C$6)</f>
        <v>#DIV/0!</v>
      </c>
      <c r="I6333" s="87"/>
      <c r="J6333" s="88"/>
      <c r="K6333" s="88"/>
      <c r="L6333" s="89"/>
      <c r="M6333" s="89"/>
      <c r="Q6333" s="105"/>
    </row>
    <row r="6334" spans="3:17" x14ac:dyDescent="0.3">
      <c r="C6334" s="87"/>
      <c r="H6334" s="86" t="e">
        <f>IF(I6334="fora",0%,G6334/QUÓRUM!$C$6)</f>
        <v>#DIV/0!</v>
      </c>
      <c r="I6334" s="87"/>
      <c r="J6334" s="88"/>
      <c r="K6334" s="88"/>
      <c r="L6334" s="89"/>
      <c r="M6334" s="89"/>
      <c r="Q6334" s="105"/>
    </row>
    <row r="6335" spans="3:17" x14ac:dyDescent="0.3">
      <c r="C6335" s="87"/>
      <c r="H6335" s="86" t="e">
        <f>IF(I6335="fora",0%,G6335/QUÓRUM!$C$6)</f>
        <v>#DIV/0!</v>
      </c>
      <c r="I6335" s="87"/>
      <c r="J6335" s="88"/>
      <c r="K6335" s="88"/>
      <c r="L6335" s="89"/>
      <c r="M6335" s="89"/>
      <c r="Q6335" s="105"/>
    </row>
    <row r="6336" spans="3:17" x14ac:dyDescent="0.3">
      <c r="C6336" s="87"/>
      <c r="H6336" s="86" t="e">
        <f>IF(I6336="fora",0%,G6336/QUÓRUM!$C$6)</f>
        <v>#DIV/0!</v>
      </c>
      <c r="I6336" s="87"/>
      <c r="J6336" s="88"/>
      <c r="K6336" s="88"/>
      <c r="L6336" s="89"/>
      <c r="M6336" s="89"/>
      <c r="Q6336" s="105"/>
    </row>
    <row r="6337" spans="3:17" x14ac:dyDescent="0.3">
      <c r="C6337" s="87"/>
      <c r="H6337" s="86" t="e">
        <f>IF(I6337="fora",0%,G6337/QUÓRUM!$C$6)</f>
        <v>#DIV/0!</v>
      </c>
      <c r="I6337" s="87"/>
      <c r="J6337" s="88"/>
      <c r="K6337" s="88"/>
      <c r="L6337" s="89"/>
      <c r="M6337" s="89"/>
      <c r="Q6337" s="105"/>
    </row>
    <row r="6338" spans="3:17" x14ac:dyDescent="0.3">
      <c r="C6338" s="87"/>
      <c r="H6338" s="86" t="e">
        <f>IF(I6338="fora",0%,G6338/QUÓRUM!$C$6)</f>
        <v>#DIV/0!</v>
      </c>
      <c r="I6338" s="87"/>
      <c r="J6338" s="88"/>
      <c r="K6338" s="88"/>
      <c r="L6338" s="89"/>
      <c r="M6338" s="89"/>
      <c r="Q6338" s="105"/>
    </row>
    <row r="6339" spans="3:17" x14ac:dyDescent="0.3">
      <c r="C6339" s="87"/>
      <c r="H6339" s="86" t="e">
        <f>IF(I6339="fora",0%,G6339/QUÓRUM!$C$6)</f>
        <v>#DIV/0!</v>
      </c>
      <c r="I6339" s="87"/>
      <c r="J6339" s="88"/>
      <c r="K6339" s="88"/>
      <c r="L6339" s="89"/>
      <c r="M6339" s="89"/>
      <c r="Q6339" s="105"/>
    </row>
    <row r="6340" spans="3:17" x14ac:dyDescent="0.3">
      <c r="C6340" s="87"/>
      <c r="H6340" s="86" t="e">
        <f>IF(I6340="fora",0%,G6340/QUÓRUM!$C$6)</f>
        <v>#DIV/0!</v>
      </c>
      <c r="I6340" s="87"/>
      <c r="J6340" s="88"/>
      <c r="K6340" s="88"/>
      <c r="L6340" s="89"/>
      <c r="M6340" s="89"/>
      <c r="Q6340" s="105"/>
    </row>
    <row r="6341" spans="3:17" x14ac:dyDescent="0.3">
      <c r="C6341" s="87"/>
      <c r="H6341" s="86" t="e">
        <f>IF(I6341="fora",0%,G6341/QUÓRUM!$C$6)</f>
        <v>#DIV/0!</v>
      </c>
      <c r="I6341" s="87"/>
      <c r="J6341" s="88"/>
      <c r="K6341" s="88"/>
      <c r="L6341" s="89"/>
      <c r="M6341" s="89"/>
      <c r="Q6341" s="105"/>
    </row>
    <row r="6342" spans="3:17" x14ac:dyDescent="0.3">
      <c r="C6342" s="87"/>
      <c r="H6342" s="86" t="e">
        <f>IF(I6342="fora",0%,G6342/QUÓRUM!$C$6)</f>
        <v>#DIV/0!</v>
      </c>
      <c r="I6342" s="87"/>
      <c r="J6342" s="88"/>
      <c r="K6342" s="88"/>
      <c r="L6342" s="89"/>
      <c r="M6342" s="89"/>
      <c r="Q6342" s="105"/>
    </row>
    <row r="6343" spans="3:17" x14ac:dyDescent="0.3">
      <c r="C6343" s="87"/>
      <c r="H6343" s="86" t="e">
        <f>IF(I6343="fora",0%,G6343/QUÓRUM!$C$6)</f>
        <v>#DIV/0!</v>
      </c>
      <c r="I6343" s="87"/>
      <c r="J6343" s="88"/>
      <c r="K6343" s="88"/>
      <c r="L6343" s="89"/>
      <c r="M6343" s="89"/>
      <c r="Q6343" s="105"/>
    </row>
    <row r="6344" spans="3:17" x14ac:dyDescent="0.3">
      <c r="C6344" s="87"/>
      <c r="H6344" s="86" t="e">
        <f>IF(I6344="fora",0%,G6344/QUÓRUM!$C$6)</f>
        <v>#DIV/0!</v>
      </c>
      <c r="I6344" s="87"/>
      <c r="J6344" s="88"/>
      <c r="K6344" s="88"/>
      <c r="L6344" s="89"/>
      <c r="M6344" s="89"/>
      <c r="Q6344" s="105"/>
    </row>
    <row r="6345" spans="3:17" x14ac:dyDescent="0.3">
      <c r="C6345" s="87"/>
      <c r="H6345" s="86" t="e">
        <f>IF(I6345="fora",0%,G6345/QUÓRUM!$C$6)</f>
        <v>#DIV/0!</v>
      </c>
      <c r="I6345" s="87"/>
      <c r="J6345" s="88"/>
      <c r="K6345" s="88"/>
      <c r="L6345" s="89"/>
      <c r="M6345" s="89"/>
      <c r="Q6345" s="105"/>
    </row>
    <row r="6346" spans="3:17" x14ac:dyDescent="0.3">
      <c r="C6346" s="87"/>
      <c r="H6346" s="86" t="e">
        <f>IF(I6346="fora",0%,G6346/QUÓRUM!$C$6)</f>
        <v>#DIV/0!</v>
      </c>
      <c r="I6346" s="87"/>
      <c r="J6346" s="88"/>
      <c r="K6346" s="88"/>
      <c r="L6346" s="89"/>
      <c r="M6346" s="89"/>
      <c r="Q6346" s="105"/>
    </row>
    <row r="6347" spans="3:17" x14ac:dyDescent="0.3">
      <c r="C6347" s="87"/>
      <c r="H6347" s="86" t="e">
        <f>IF(I6347="fora",0%,G6347/QUÓRUM!$C$6)</f>
        <v>#DIV/0!</v>
      </c>
      <c r="I6347" s="87"/>
      <c r="J6347" s="88"/>
      <c r="K6347" s="88"/>
      <c r="L6347" s="89"/>
      <c r="M6347" s="89"/>
      <c r="Q6347" s="105"/>
    </row>
    <row r="6348" spans="3:17" x14ac:dyDescent="0.3">
      <c r="C6348" s="87"/>
      <c r="H6348" s="86" t="e">
        <f>IF(I6348="fora",0%,G6348/QUÓRUM!$C$6)</f>
        <v>#DIV/0!</v>
      </c>
      <c r="I6348" s="87"/>
      <c r="J6348" s="88"/>
      <c r="K6348" s="88"/>
      <c r="L6348" s="89"/>
      <c r="M6348" s="89"/>
      <c r="Q6348" s="105"/>
    </row>
    <row r="6349" spans="3:17" x14ac:dyDescent="0.3">
      <c r="C6349" s="87"/>
      <c r="H6349" s="86" t="e">
        <f>IF(I6349="fora",0%,G6349/QUÓRUM!$C$6)</f>
        <v>#DIV/0!</v>
      </c>
      <c r="I6349" s="87"/>
      <c r="J6349" s="88"/>
      <c r="K6349" s="88"/>
      <c r="L6349" s="89"/>
      <c r="M6349" s="89"/>
      <c r="Q6349" s="105"/>
    </row>
    <row r="6350" spans="3:17" x14ac:dyDescent="0.3">
      <c r="C6350" s="87"/>
      <c r="H6350" s="86" t="e">
        <f>IF(I6350="fora",0%,G6350/QUÓRUM!$C$6)</f>
        <v>#DIV/0!</v>
      </c>
      <c r="I6350" s="87"/>
      <c r="J6350" s="88"/>
      <c r="K6350" s="88"/>
      <c r="L6350" s="89"/>
      <c r="M6350" s="89"/>
      <c r="Q6350" s="105"/>
    </row>
    <row r="6351" spans="3:17" x14ac:dyDescent="0.3">
      <c r="C6351" s="87"/>
      <c r="H6351" s="86" t="e">
        <f>IF(I6351="fora",0%,G6351/QUÓRUM!$C$6)</f>
        <v>#DIV/0!</v>
      </c>
      <c r="I6351" s="87"/>
      <c r="J6351" s="88"/>
      <c r="K6351" s="88"/>
      <c r="L6351" s="89"/>
      <c r="M6351" s="89"/>
      <c r="Q6351" s="105"/>
    </row>
    <row r="6352" spans="3:17" x14ac:dyDescent="0.3">
      <c r="C6352" s="87"/>
      <c r="H6352" s="86" t="e">
        <f>IF(I6352="fora",0%,G6352/QUÓRUM!$C$6)</f>
        <v>#DIV/0!</v>
      </c>
      <c r="I6352" s="87"/>
      <c r="J6352" s="88"/>
      <c r="K6352" s="88"/>
      <c r="L6352" s="89"/>
      <c r="M6352" s="89"/>
      <c r="Q6352" s="105"/>
    </row>
    <row r="6353" spans="3:17" x14ac:dyDescent="0.3">
      <c r="C6353" s="87"/>
      <c r="H6353" s="86" t="e">
        <f>IF(I6353="fora",0%,G6353/QUÓRUM!$C$6)</f>
        <v>#DIV/0!</v>
      </c>
      <c r="I6353" s="87"/>
      <c r="J6353" s="88"/>
      <c r="K6353" s="88"/>
      <c r="L6353" s="89"/>
      <c r="M6353" s="89"/>
      <c r="Q6353" s="105"/>
    </row>
    <row r="6354" spans="3:17" x14ac:dyDescent="0.3">
      <c r="C6354" s="87"/>
      <c r="H6354" s="86" t="e">
        <f>IF(I6354="fora",0%,G6354/QUÓRUM!$C$6)</f>
        <v>#DIV/0!</v>
      </c>
      <c r="I6354" s="87"/>
      <c r="J6354" s="88"/>
      <c r="K6354" s="88"/>
      <c r="L6354" s="89"/>
      <c r="M6354" s="89"/>
      <c r="Q6354" s="105"/>
    </row>
    <row r="6355" spans="3:17" x14ac:dyDescent="0.3">
      <c r="C6355" s="87"/>
      <c r="H6355" s="86" t="e">
        <f>IF(I6355="fora",0%,G6355/QUÓRUM!$C$6)</f>
        <v>#DIV/0!</v>
      </c>
      <c r="I6355" s="87"/>
      <c r="J6355" s="88"/>
      <c r="K6355" s="88"/>
      <c r="L6355" s="89"/>
      <c r="M6355" s="89"/>
      <c r="Q6355" s="105"/>
    </row>
    <row r="6356" spans="3:17" x14ac:dyDescent="0.3">
      <c r="C6356" s="87"/>
      <c r="H6356" s="86" t="e">
        <f>IF(I6356="fora",0%,G6356/QUÓRUM!$C$6)</f>
        <v>#DIV/0!</v>
      </c>
      <c r="I6356" s="87"/>
      <c r="J6356" s="88"/>
      <c r="K6356" s="88"/>
      <c r="L6356" s="89"/>
      <c r="M6356" s="89"/>
      <c r="Q6356" s="105"/>
    </row>
    <row r="6357" spans="3:17" x14ac:dyDescent="0.3">
      <c r="C6357" s="87"/>
      <c r="H6357" s="86" t="e">
        <f>IF(I6357="fora",0%,G6357/QUÓRUM!$C$6)</f>
        <v>#DIV/0!</v>
      </c>
      <c r="I6357" s="87"/>
      <c r="J6357" s="88"/>
      <c r="K6357" s="88"/>
      <c r="L6357" s="89"/>
      <c r="M6357" s="89"/>
      <c r="Q6357" s="105"/>
    </row>
    <row r="6358" spans="3:17" x14ac:dyDescent="0.3">
      <c r="C6358" s="87"/>
      <c r="H6358" s="86" t="e">
        <f>IF(I6358="fora",0%,G6358/QUÓRUM!$C$6)</f>
        <v>#DIV/0!</v>
      </c>
      <c r="I6358" s="87"/>
      <c r="J6358" s="88"/>
      <c r="K6358" s="88"/>
      <c r="L6358" s="89"/>
      <c r="M6358" s="89"/>
      <c r="Q6358" s="105"/>
    </row>
    <row r="6359" spans="3:17" x14ac:dyDescent="0.3">
      <c r="C6359" s="87"/>
      <c r="H6359" s="86" t="e">
        <f>IF(I6359="fora",0%,G6359/QUÓRUM!$C$6)</f>
        <v>#DIV/0!</v>
      </c>
      <c r="I6359" s="87"/>
      <c r="J6359" s="88"/>
      <c r="K6359" s="88"/>
      <c r="L6359" s="89"/>
      <c r="M6359" s="89"/>
      <c r="Q6359" s="105"/>
    </row>
    <row r="6360" spans="3:17" x14ac:dyDescent="0.3">
      <c r="C6360" s="87"/>
      <c r="H6360" s="86" t="e">
        <f>IF(I6360="fora",0%,G6360/QUÓRUM!$C$6)</f>
        <v>#DIV/0!</v>
      </c>
      <c r="I6360" s="87"/>
      <c r="J6360" s="88"/>
      <c r="K6360" s="88"/>
      <c r="L6360" s="89"/>
      <c r="M6360" s="89"/>
      <c r="Q6360" s="105"/>
    </row>
    <row r="6361" spans="3:17" x14ac:dyDescent="0.3">
      <c r="C6361" s="87"/>
      <c r="H6361" s="86" t="e">
        <f>IF(I6361="fora",0%,G6361/QUÓRUM!$C$6)</f>
        <v>#DIV/0!</v>
      </c>
      <c r="I6361" s="87"/>
      <c r="J6361" s="88"/>
      <c r="K6361" s="88"/>
      <c r="L6361" s="89"/>
      <c r="M6361" s="89"/>
      <c r="Q6361" s="105"/>
    </row>
    <row r="6362" spans="3:17" x14ac:dyDescent="0.3">
      <c r="C6362" s="87"/>
      <c r="H6362" s="86" t="e">
        <f>IF(I6362="fora",0%,G6362/QUÓRUM!$C$6)</f>
        <v>#DIV/0!</v>
      </c>
      <c r="I6362" s="87"/>
      <c r="J6362" s="88"/>
      <c r="K6362" s="88"/>
      <c r="L6362" s="89"/>
      <c r="M6362" s="89"/>
      <c r="Q6362" s="105"/>
    </row>
    <row r="6363" spans="3:17" x14ac:dyDescent="0.3">
      <c r="C6363" s="87"/>
      <c r="H6363" s="86" t="e">
        <f>IF(I6363="fora",0%,G6363/QUÓRUM!$C$6)</f>
        <v>#DIV/0!</v>
      </c>
      <c r="I6363" s="87"/>
      <c r="J6363" s="88"/>
      <c r="K6363" s="88"/>
      <c r="L6363" s="89"/>
      <c r="M6363" s="89"/>
      <c r="Q6363" s="105"/>
    </row>
    <row r="6364" spans="3:17" x14ac:dyDescent="0.3">
      <c r="C6364" s="87"/>
      <c r="H6364" s="86" t="e">
        <f>IF(I6364="fora",0%,G6364/QUÓRUM!$C$6)</f>
        <v>#DIV/0!</v>
      </c>
      <c r="I6364" s="87"/>
      <c r="J6364" s="88"/>
      <c r="K6364" s="88"/>
      <c r="L6364" s="89"/>
      <c r="M6364" s="89"/>
      <c r="Q6364" s="105"/>
    </row>
    <row r="6365" spans="3:17" x14ac:dyDescent="0.3">
      <c r="C6365" s="87"/>
      <c r="H6365" s="86" t="e">
        <f>IF(I6365="fora",0%,G6365/QUÓRUM!$C$6)</f>
        <v>#DIV/0!</v>
      </c>
      <c r="I6365" s="87"/>
      <c r="J6365" s="88"/>
      <c r="K6365" s="88"/>
      <c r="L6365" s="89"/>
      <c r="M6365" s="89"/>
      <c r="Q6365" s="105"/>
    </row>
    <row r="6366" spans="3:17" x14ac:dyDescent="0.3">
      <c r="C6366" s="87"/>
      <c r="H6366" s="86" t="e">
        <f>IF(I6366="fora",0%,G6366/QUÓRUM!$C$6)</f>
        <v>#DIV/0!</v>
      </c>
      <c r="I6366" s="87"/>
      <c r="J6366" s="88"/>
      <c r="K6366" s="88"/>
      <c r="L6366" s="89"/>
      <c r="M6366" s="89"/>
      <c r="Q6366" s="105"/>
    </row>
    <row r="6367" spans="3:17" x14ac:dyDescent="0.3">
      <c r="C6367" s="87"/>
      <c r="H6367" s="86" t="e">
        <f>IF(I6367="fora",0%,G6367/QUÓRUM!$C$6)</f>
        <v>#DIV/0!</v>
      </c>
      <c r="I6367" s="87"/>
      <c r="J6367" s="88"/>
      <c r="K6367" s="88"/>
      <c r="L6367" s="89"/>
      <c r="M6367" s="89"/>
      <c r="Q6367" s="105"/>
    </row>
    <row r="6368" spans="3:17" x14ac:dyDescent="0.3">
      <c r="C6368" s="87"/>
      <c r="H6368" s="86" t="e">
        <f>IF(I6368="fora",0%,G6368/QUÓRUM!$C$6)</f>
        <v>#DIV/0!</v>
      </c>
      <c r="I6368" s="87"/>
      <c r="J6368" s="88"/>
      <c r="K6368" s="88"/>
      <c r="L6368" s="89"/>
      <c r="M6368" s="89"/>
      <c r="Q6368" s="105"/>
    </row>
    <row r="6369" spans="3:17" x14ac:dyDescent="0.3">
      <c r="C6369" s="87"/>
      <c r="H6369" s="86" t="e">
        <f>IF(I6369="fora",0%,G6369/QUÓRUM!$C$6)</f>
        <v>#DIV/0!</v>
      </c>
      <c r="I6369" s="87"/>
      <c r="J6369" s="88"/>
      <c r="K6369" s="88"/>
      <c r="L6369" s="89"/>
      <c r="M6369" s="89"/>
      <c r="Q6369" s="105"/>
    </row>
    <row r="6370" spans="3:17" x14ac:dyDescent="0.3">
      <c r="C6370" s="87"/>
      <c r="H6370" s="86" t="e">
        <f>IF(I6370="fora",0%,G6370/QUÓRUM!$C$6)</f>
        <v>#DIV/0!</v>
      </c>
      <c r="I6370" s="87"/>
      <c r="J6370" s="88"/>
      <c r="K6370" s="88"/>
      <c r="L6370" s="89"/>
      <c r="M6370" s="89"/>
      <c r="Q6370" s="105"/>
    </row>
    <row r="6371" spans="3:17" x14ac:dyDescent="0.3">
      <c r="C6371" s="87"/>
      <c r="H6371" s="86" t="e">
        <f>IF(I6371="fora",0%,G6371/QUÓRUM!$C$6)</f>
        <v>#DIV/0!</v>
      </c>
      <c r="I6371" s="87"/>
      <c r="J6371" s="88"/>
      <c r="K6371" s="88"/>
      <c r="L6371" s="89"/>
      <c r="M6371" s="89"/>
      <c r="Q6371" s="105"/>
    </row>
    <row r="6372" spans="3:17" x14ac:dyDescent="0.3">
      <c r="C6372" s="87"/>
      <c r="H6372" s="86" t="e">
        <f>IF(I6372="fora",0%,G6372/QUÓRUM!$C$6)</f>
        <v>#DIV/0!</v>
      </c>
      <c r="I6372" s="87"/>
      <c r="J6372" s="88"/>
      <c r="K6372" s="88"/>
      <c r="L6372" s="89"/>
      <c r="M6372" s="89"/>
      <c r="Q6372" s="105"/>
    </row>
    <row r="6373" spans="3:17" x14ac:dyDescent="0.3">
      <c r="C6373" s="87"/>
      <c r="H6373" s="86" t="e">
        <f>IF(I6373="fora",0%,G6373/QUÓRUM!$C$6)</f>
        <v>#DIV/0!</v>
      </c>
      <c r="I6373" s="87"/>
      <c r="J6373" s="88"/>
      <c r="K6373" s="88"/>
      <c r="L6373" s="89"/>
      <c r="M6373" s="89"/>
      <c r="Q6373" s="105"/>
    </row>
    <row r="6374" spans="3:17" x14ac:dyDescent="0.3">
      <c r="C6374" s="87"/>
      <c r="H6374" s="86" t="e">
        <f>IF(I6374="fora",0%,G6374/QUÓRUM!$C$6)</f>
        <v>#DIV/0!</v>
      </c>
      <c r="I6374" s="87"/>
      <c r="J6374" s="88"/>
      <c r="K6374" s="88"/>
      <c r="L6374" s="89"/>
      <c r="M6374" s="89"/>
      <c r="Q6374" s="105"/>
    </row>
    <row r="6375" spans="3:17" x14ac:dyDescent="0.3">
      <c r="C6375" s="87"/>
      <c r="H6375" s="86" t="e">
        <f>IF(I6375="fora",0%,G6375/QUÓRUM!$C$6)</f>
        <v>#DIV/0!</v>
      </c>
      <c r="I6375" s="87"/>
      <c r="J6375" s="88"/>
      <c r="K6375" s="88"/>
      <c r="L6375" s="89"/>
      <c r="M6375" s="89"/>
      <c r="Q6375" s="105"/>
    </row>
    <row r="6376" spans="3:17" x14ac:dyDescent="0.3">
      <c r="C6376" s="87"/>
      <c r="H6376" s="86" t="e">
        <f>IF(I6376="fora",0%,G6376/QUÓRUM!$C$6)</f>
        <v>#DIV/0!</v>
      </c>
      <c r="I6376" s="87"/>
      <c r="J6376" s="88"/>
      <c r="K6376" s="88"/>
      <c r="L6376" s="89"/>
      <c r="M6376" s="89"/>
      <c r="Q6376" s="105"/>
    </row>
    <row r="6377" spans="3:17" x14ac:dyDescent="0.3">
      <c r="C6377" s="87"/>
      <c r="H6377" s="86" t="e">
        <f>IF(I6377="fora",0%,G6377/QUÓRUM!$C$6)</f>
        <v>#DIV/0!</v>
      </c>
      <c r="I6377" s="87"/>
      <c r="J6377" s="88"/>
      <c r="K6377" s="88"/>
      <c r="L6377" s="89"/>
      <c r="M6377" s="89"/>
      <c r="Q6377" s="105"/>
    </row>
    <row r="6378" spans="3:17" x14ac:dyDescent="0.3">
      <c r="C6378" s="87"/>
      <c r="H6378" s="86" t="e">
        <f>IF(I6378="fora",0%,G6378/QUÓRUM!$C$6)</f>
        <v>#DIV/0!</v>
      </c>
      <c r="I6378" s="87"/>
      <c r="J6378" s="88"/>
      <c r="K6378" s="88"/>
      <c r="L6378" s="89"/>
      <c r="M6378" s="89"/>
      <c r="Q6378" s="105"/>
    </row>
    <row r="6379" spans="3:17" x14ac:dyDescent="0.3">
      <c r="C6379" s="87"/>
      <c r="H6379" s="86" t="e">
        <f>IF(I6379="fora",0%,G6379/QUÓRUM!$C$6)</f>
        <v>#DIV/0!</v>
      </c>
      <c r="I6379" s="87"/>
      <c r="J6379" s="88"/>
      <c r="K6379" s="88"/>
      <c r="L6379" s="89"/>
      <c r="M6379" s="89"/>
      <c r="Q6379" s="105"/>
    </row>
    <row r="6380" spans="3:17" x14ac:dyDescent="0.3">
      <c r="C6380" s="87"/>
      <c r="H6380" s="86" t="e">
        <f>IF(I6380="fora",0%,G6380/QUÓRUM!$C$6)</f>
        <v>#DIV/0!</v>
      </c>
      <c r="I6380" s="87"/>
      <c r="J6380" s="88"/>
      <c r="K6380" s="88"/>
      <c r="L6380" s="89"/>
      <c r="M6380" s="89"/>
      <c r="Q6380" s="105"/>
    </row>
    <row r="6381" spans="3:17" x14ac:dyDescent="0.3">
      <c r="C6381" s="87"/>
      <c r="H6381" s="86" t="e">
        <f>IF(I6381="fora",0%,G6381/QUÓRUM!$C$6)</f>
        <v>#DIV/0!</v>
      </c>
      <c r="I6381" s="87"/>
      <c r="J6381" s="88"/>
      <c r="K6381" s="88"/>
      <c r="L6381" s="89"/>
      <c r="M6381" s="89"/>
      <c r="Q6381" s="105"/>
    </row>
    <row r="6382" spans="3:17" x14ac:dyDescent="0.3">
      <c r="C6382" s="87"/>
      <c r="H6382" s="86" t="e">
        <f>IF(I6382="fora",0%,G6382/QUÓRUM!$C$6)</f>
        <v>#DIV/0!</v>
      </c>
      <c r="I6382" s="87"/>
      <c r="J6382" s="88"/>
      <c r="K6382" s="88"/>
      <c r="L6382" s="89"/>
      <c r="M6382" s="89"/>
      <c r="Q6382" s="105"/>
    </row>
    <row r="6383" spans="3:17" x14ac:dyDescent="0.3">
      <c r="C6383" s="87"/>
      <c r="H6383" s="86" t="e">
        <f>IF(I6383="fora",0%,G6383/QUÓRUM!$C$6)</f>
        <v>#DIV/0!</v>
      </c>
      <c r="I6383" s="87"/>
      <c r="J6383" s="88"/>
      <c r="K6383" s="88"/>
      <c r="L6383" s="89"/>
      <c r="M6383" s="89"/>
      <c r="Q6383" s="105"/>
    </row>
    <row r="6384" spans="3:17" x14ac:dyDescent="0.3">
      <c r="C6384" s="87"/>
      <c r="H6384" s="86" t="e">
        <f>IF(I6384="fora",0%,G6384/QUÓRUM!$C$6)</f>
        <v>#DIV/0!</v>
      </c>
      <c r="I6384" s="87"/>
      <c r="J6384" s="88"/>
      <c r="K6384" s="88"/>
      <c r="L6384" s="89"/>
      <c r="M6384" s="89"/>
      <c r="Q6384" s="105"/>
    </row>
    <row r="6385" spans="3:17" x14ac:dyDescent="0.3">
      <c r="C6385" s="87"/>
      <c r="H6385" s="86" t="e">
        <f>IF(I6385="fora",0%,G6385/QUÓRUM!$C$6)</f>
        <v>#DIV/0!</v>
      </c>
      <c r="I6385" s="87"/>
      <c r="J6385" s="88"/>
      <c r="K6385" s="88"/>
      <c r="L6385" s="89"/>
      <c r="M6385" s="89"/>
      <c r="Q6385" s="105"/>
    </row>
    <row r="6386" spans="3:17" x14ac:dyDescent="0.3">
      <c r="C6386" s="87"/>
      <c r="H6386" s="86" t="e">
        <f>IF(I6386="fora",0%,G6386/QUÓRUM!$C$6)</f>
        <v>#DIV/0!</v>
      </c>
      <c r="I6386" s="87"/>
      <c r="J6386" s="88"/>
      <c r="K6386" s="88"/>
      <c r="L6386" s="89"/>
      <c r="M6386" s="89"/>
      <c r="Q6386" s="105"/>
    </row>
    <row r="6387" spans="3:17" x14ac:dyDescent="0.3">
      <c r="C6387" s="87"/>
      <c r="H6387" s="86" t="e">
        <f>IF(I6387="fora",0%,G6387/QUÓRUM!$C$6)</f>
        <v>#DIV/0!</v>
      </c>
      <c r="I6387" s="87"/>
      <c r="J6387" s="88"/>
      <c r="K6387" s="88"/>
      <c r="L6387" s="89"/>
      <c r="M6387" s="89"/>
      <c r="Q6387" s="105"/>
    </row>
    <row r="6388" spans="3:17" x14ac:dyDescent="0.3">
      <c r="C6388" s="87"/>
      <c r="H6388" s="86" t="e">
        <f>IF(I6388="fora",0%,G6388/QUÓRUM!$C$6)</f>
        <v>#DIV/0!</v>
      </c>
      <c r="I6388" s="87"/>
      <c r="J6388" s="88"/>
      <c r="K6388" s="88"/>
      <c r="L6388" s="89"/>
      <c r="M6388" s="89"/>
      <c r="Q6388" s="105"/>
    </row>
    <row r="6389" spans="3:17" x14ac:dyDescent="0.3">
      <c r="C6389" s="87"/>
      <c r="H6389" s="86" t="e">
        <f>IF(I6389="fora",0%,G6389/QUÓRUM!$C$6)</f>
        <v>#DIV/0!</v>
      </c>
      <c r="I6389" s="87"/>
      <c r="J6389" s="88"/>
      <c r="K6389" s="88"/>
      <c r="L6389" s="89"/>
      <c r="M6389" s="89"/>
      <c r="Q6389" s="105"/>
    </row>
    <row r="6390" spans="3:17" x14ac:dyDescent="0.3">
      <c r="C6390" s="87"/>
      <c r="H6390" s="86" t="e">
        <f>IF(I6390="fora",0%,G6390/QUÓRUM!$C$6)</f>
        <v>#DIV/0!</v>
      </c>
      <c r="I6390" s="87"/>
      <c r="J6390" s="88"/>
      <c r="K6390" s="88"/>
      <c r="L6390" s="89"/>
      <c r="M6390" s="89"/>
      <c r="Q6390" s="105"/>
    </row>
    <row r="6391" spans="3:17" x14ac:dyDescent="0.3">
      <c r="C6391" s="87"/>
      <c r="H6391" s="86" t="e">
        <f>IF(I6391="fora",0%,G6391/QUÓRUM!$C$6)</f>
        <v>#DIV/0!</v>
      </c>
      <c r="I6391" s="87"/>
      <c r="J6391" s="88"/>
      <c r="K6391" s="88"/>
      <c r="L6391" s="89"/>
      <c r="M6391" s="89"/>
      <c r="Q6391" s="105"/>
    </row>
    <row r="6392" spans="3:17" x14ac:dyDescent="0.3">
      <c r="C6392" s="87"/>
      <c r="H6392" s="86" t="e">
        <f>IF(I6392="fora",0%,G6392/QUÓRUM!$C$6)</f>
        <v>#DIV/0!</v>
      </c>
      <c r="I6392" s="87"/>
      <c r="J6392" s="88"/>
      <c r="K6392" s="88"/>
      <c r="L6392" s="89"/>
      <c r="M6392" s="89"/>
      <c r="Q6392" s="105"/>
    </row>
    <row r="6393" spans="3:17" x14ac:dyDescent="0.3">
      <c r="C6393" s="87"/>
      <c r="H6393" s="86" t="e">
        <f>IF(I6393="fora",0%,G6393/QUÓRUM!$C$6)</f>
        <v>#DIV/0!</v>
      </c>
      <c r="I6393" s="87"/>
      <c r="J6393" s="88"/>
      <c r="K6393" s="88"/>
      <c r="L6393" s="89"/>
      <c r="M6393" s="89"/>
      <c r="Q6393" s="105"/>
    </row>
    <row r="6394" spans="3:17" x14ac:dyDescent="0.3">
      <c r="C6394" s="87"/>
      <c r="H6394" s="86" t="e">
        <f>IF(I6394="fora",0%,G6394/QUÓRUM!$C$6)</f>
        <v>#DIV/0!</v>
      </c>
      <c r="I6394" s="87"/>
      <c r="J6394" s="88"/>
      <c r="K6394" s="88"/>
      <c r="L6394" s="89"/>
      <c r="M6394" s="89"/>
      <c r="Q6394" s="105"/>
    </row>
    <row r="6395" spans="3:17" x14ac:dyDescent="0.3">
      <c r="C6395" s="87"/>
      <c r="H6395" s="86" t="e">
        <f>IF(I6395="fora",0%,G6395/QUÓRUM!$C$6)</f>
        <v>#DIV/0!</v>
      </c>
      <c r="I6395" s="87"/>
      <c r="J6395" s="88"/>
      <c r="K6395" s="88"/>
      <c r="L6395" s="89"/>
      <c r="M6395" s="89"/>
      <c r="Q6395" s="105"/>
    </row>
    <row r="6396" spans="3:17" x14ac:dyDescent="0.3">
      <c r="C6396" s="87"/>
      <c r="H6396" s="86" t="e">
        <f>IF(I6396="fora",0%,G6396/QUÓRUM!$C$6)</f>
        <v>#DIV/0!</v>
      </c>
      <c r="I6396" s="87"/>
      <c r="J6396" s="88"/>
      <c r="K6396" s="88"/>
      <c r="L6396" s="89"/>
      <c r="M6396" s="89"/>
      <c r="Q6396" s="105"/>
    </row>
    <row r="6397" spans="3:17" x14ac:dyDescent="0.3">
      <c r="C6397" s="87"/>
      <c r="H6397" s="86" t="e">
        <f>IF(I6397="fora",0%,G6397/QUÓRUM!$C$6)</f>
        <v>#DIV/0!</v>
      </c>
      <c r="I6397" s="87"/>
      <c r="J6397" s="88"/>
      <c r="K6397" s="88"/>
      <c r="L6397" s="89"/>
      <c r="M6397" s="89"/>
      <c r="Q6397" s="105"/>
    </row>
    <row r="6398" spans="3:17" x14ac:dyDescent="0.3">
      <c r="C6398" s="87"/>
      <c r="H6398" s="86" t="e">
        <f>IF(I6398="fora",0%,G6398/QUÓRUM!$C$6)</f>
        <v>#DIV/0!</v>
      </c>
      <c r="I6398" s="87"/>
      <c r="J6398" s="88"/>
      <c r="K6398" s="88"/>
      <c r="L6398" s="89"/>
      <c r="M6398" s="89"/>
      <c r="Q6398" s="105"/>
    </row>
    <row r="6399" spans="3:17" x14ac:dyDescent="0.3">
      <c r="C6399" s="87"/>
      <c r="H6399" s="86" t="e">
        <f>IF(I6399="fora",0%,G6399/QUÓRUM!$C$6)</f>
        <v>#DIV/0!</v>
      </c>
      <c r="I6399" s="87"/>
      <c r="J6399" s="88"/>
      <c r="K6399" s="88"/>
      <c r="L6399" s="89"/>
      <c r="M6399" s="89"/>
      <c r="Q6399" s="105"/>
    </row>
    <row r="6400" spans="3:17" x14ac:dyDescent="0.3">
      <c r="C6400" s="87"/>
      <c r="H6400" s="86" t="e">
        <f>IF(I6400="fora",0%,G6400/QUÓRUM!$C$6)</f>
        <v>#DIV/0!</v>
      </c>
      <c r="I6400" s="87"/>
      <c r="J6400" s="88"/>
      <c r="K6400" s="88"/>
      <c r="L6400" s="89"/>
      <c r="M6400" s="89"/>
      <c r="Q6400" s="105"/>
    </row>
    <row r="6401" spans="3:17" x14ac:dyDescent="0.3">
      <c r="C6401" s="87"/>
      <c r="H6401" s="86" t="e">
        <f>IF(I6401="fora",0%,G6401/QUÓRUM!$C$6)</f>
        <v>#DIV/0!</v>
      </c>
      <c r="I6401" s="87"/>
      <c r="J6401" s="88"/>
      <c r="K6401" s="88"/>
      <c r="L6401" s="89"/>
      <c r="M6401" s="89"/>
      <c r="Q6401" s="105"/>
    </row>
    <row r="6402" spans="3:17" x14ac:dyDescent="0.3">
      <c r="C6402" s="87"/>
      <c r="H6402" s="86" t="e">
        <f>IF(I6402="fora",0%,G6402/QUÓRUM!$C$6)</f>
        <v>#DIV/0!</v>
      </c>
      <c r="I6402" s="87"/>
      <c r="J6402" s="88"/>
      <c r="K6402" s="88"/>
      <c r="L6402" s="89"/>
      <c r="M6402" s="89"/>
      <c r="Q6402" s="105"/>
    </row>
    <row r="6403" spans="3:17" x14ac:dyDescent="0.3">
      <c r="C6403" s="87"/>
      <c r="H6403" s="86" t="e">
        <f>IF(I6403="fora",0%,G6403/QUÓRUM!$C$6)</f>
        <v>#DIV/0!</v>
      </c>
      <c r="I6403" s="87"/>
      <c r="J6403" s="88"/>
      <c r="K6403" s="88"/>
      <c r="L6403" s="89"/>
      <c r="M6403" s="89"/>
      <c r="Q6403" s="105"/>
    </row>
    <row r="6404" spans="3:17" x14ac:dyDescent="0.3">
      <c r="C6404" s="87"/>
      <c r="H6404" s="86" t="e">
        <f>IF(I6404="fora",0%,G6404/QUÓRUM!$C$6)</f>
        <v>#DIV/0!</v>
      </c>
      <c r="I6404" s="87"/>
      <c r="J6404" s="88"/>
      <c r="K6404" s="88"/>
      <c r="L6404" s="89"/>
      <c r="M6404" s="89"/>
      <c r="Q6404" s="105"/>
    </row>
    <row r="6405" spans="3:17" x14ac:dyDescent="0.3">
      <c r="C6405" s="87"/>
      <c r="H6405" s="86" t="e">
        <f>IF(I6405="fora",0%,G6405/QUÓRUM!$C$6)</f>
        <v>#DIV/0!</v>
      </c>
      <c r="I6405" s="87"/>
      <c r="J6405" s="88"/>
      <c r="K6405" s="88"/>
      <c r="L6405" s="89"/>
      <c r="M6405" s="89"/>
      <c r="Q6405" s="105"/>
    </row>
    <row r="6406" spans="3:17" x14ac:dyDescent="0.3">
      <c r="C6406" s="87"/>
      <c r="H6406" s="86" t="e">
        <f>IF(I6406="fora",0%,G6406/QUÓRUM!$C$6)</f>
        <v>#DIV/0!</v>
      </c>
      <c r="I6406" s="87"/>
      <c r="J6406" s="88"/>
      <c r="K6406" s="88"/>
      <c r="L6406" s="89"/>
      <c r="M6406" s="89"/>
      <c r="Q6406" s="105"/>
    </row>
    <row r="6407" spans="3:17" x14ac:dyDescent="0.3">
      <c r="C6407" s="87"/>
      <c r="H6407" s="86" t="e">
        <f>IF(I6407="fora",0%,G6407/QUÓRUM!$C$6)</f>
        <v>#DIV/0!</v>
      </c>
      <c r="I6407" s="87"/>
      <c r="J6407" s="88"/>
      <c r="K6407" s="88"/>
      <c r="L6407" s="89"/>
      <c r="M6407" s="89"/>
      <c r="Q6407" s="105"/>
    </row>
    <row r="6408" spans="3:17" x14ac:dyDescent="0.3">
      <c r="C6408" s="87"/>
      <c r="H6408" s="86" t="e">
        <f>IF(I6408="fora",0%,G6408/QUÓRUM!$C$6)</f>
        <v>#DIV/0!</v>
      </c>
      <c r="I6408" s="87"/>
      <c r="J6408" s="88"/>
      <c r="K6408" s="88"/>
      <c r="L6408" s="89"/>
      <c r="M6408" s="89"/>
      <c r="Q6408" s="105"/>
    </row>
    <row r="6409" spans="3:17" x14ac:dyDescent="0.3">
      <c r="C6409" s="87"/>
      <c r="H6409" s="86" t="e">
        <f>IF(I6409="fora",0%,G6409/QUÓRUM!$C$6)</f>
        <v>#DIV/0!</v>
      </c>
      <c r="I6409" s="87"/>
      <c r="J6409" s="88"/>
      <c r="K6409" s="88"/>
      <c r="L6409" s="89"/>
      <c r="M6409" s="89"/>
      <c r="Q6409" s="105"/>
    </row>
    <row r="6410" spans="3:17" x14ac:dyDescent="0.3">
      <c r="C6410" s="87"/>
      <c r="H6410" s="86" t="e">
        <f>IF(I6410="fora",0%,G6410/QUÓRUM!$C$6)</f>
        <v>#DIV/0!</v>
      </c>
      <c r="I6410" s="87"/>
      <c r="J6410" s="88"/>
      <c r="K6410" s="88"/>
      <c r="L6410" s="89"/>
      <c r="M6410" s="89"/>
      <c r="Q6410" s="105"/>
    </row>
    <row r="6411" spans="3:17" x14ac:dyDescent="0.3">
      <c r="C6411" s="87"/>
      <c r="H6411" s="86" t="e">
        <f>IF(I6411="fora",0%,G6411/QUÓRUM!$C$6)</f>
        <v>#DIV/0!</v>
      </c>
      <c r="I6411" s="87"/>
      <c r="J6411" s="88"/>
      <c r="K6411" s="88"/>
      <c r="L6411" s="89"/>
      <c r="M6411" s="89"/>
      <c r="Q6411" s="105"/>
    </row>
    <row r="6412" spans="3:17" x14ac:dyDescent="0.3">
      <c r="C6412" s="87"/>
      <c r="H6412" s="86" t="e">
        <f>IF(I6412="fora",0%,G6412/QUÓRUM!$C$6)</f>
        <v>#DIV/0!</v>
      </c>
      <c r="I6412" s="87"/>
      <c r="J6412" s="88"/>
      <c r="K6412" s="88"/>
      <c r="L6412" s="89"/>
      <c r="M6412" s="89"/>
      <c r="Q6412" s="105"/>
    </row>
    <row r="6413" spans="3:17" x14ac:dyDescent="0.3">
      <c r="C6413" s="87"/>
      <c r="H6413" s="86" t="e">
        <f>IF(I6413="fora",0%,G6413/QUÓRUM!$C$6)</f>
        <v>#DIV/0!</v>
      </c>
      <c r="I6413" s="87"/>
      <c r="J6413" s="88"/>
      <c r="K6413" s="88"/>
      <c r="L6413" s="89"/>
      <c r="M6413" s="89"/>
      <c r="Q6413" s="105"/>
    </row>
    <row r="6414" spans="3:17" x14ac:dyDescent="0.3">
      <c r="C6414" s="87"/>
      <c r="H6414" s="86" t="e">
        <f>IF(I6414="fora",0%,G6414/QUÓRUM!$C$6)</f>
        <v>#DIV/0!</v>
      </c>
      <c r="I6414" s="87"/>
      <c r="J6414" s="88"/>
      <c r="K6414" s="88"/>
      <c r="L6414" s="89"/>
      <c r="M6414" s="89"/>
      <c r="Q6414" s="105"/>
    </row>
    <row r="6415" spans="3:17" x14ac:dyDescent="0.3">
      <c r="C6415" s="87"/>
      <c r="H6415" s="86" t="e">
        <f>IF(I6415="fora",0%,G6415/QUÓRUM!$C$6)</f>
        <v>#DIV/0!</v>
      </c>
      <c r="I6415" s="87"/>
      <c r="J6415" s="88"/>
      <c r="K6415" s="88"/>
      <c r="L6415" s="89"/>
      <c r="M6415" s="89"/>
      <c r="Q6415" s="105"/>
    </row>
    <row r="6416" spans="3:17" x14ac:dyDescent="0.3">
      <c r="C6416" s="87"/>
      <c r="H6416" s="86" t="e">
        <f>IF(I6416="fora",0%,G6416/QUÓRUM!$C$6)</f>
        <v>#DIV/0!</v>
      </c>
      <c r="I6416" s="87"/>
      <c r="J6416" s="88"/>
      <c r="K6416" s="88"/>
      <c r="L6416" s="89"/>
      <c r="M6416" s="89"/>
      <c r="Q6416" s="105"/>
    </row>
    <row r="6417" spans="3:17" x14ac:dyDescent="0.3">
      <c r="C6417" s="87"/>
      <c r="H6417" s="86" t="e">
        <f>IF(I6417="fora",0%,G6417/QUÓRUM!$C$6)</f>
        <v>#DIV/0!</v>
      </c>
      <c r="I6417" s="87"/>
      <c r="J6417" s="88"/>
      <c r="K6417" s="88"/>
      <c r="L6417" s="89"/>
      <c r="M6417" s="89"/>
      <c r="Q6417" s="105"/>
    </row>
    <row r="6418" spans="3:17" x14ac:dyDescent="0.3">
      <c r="C6418" s="87"/>
      <c r="H6418" s="86" t="e">
        <f>IF(I6418="fora",0%,G6418/QUÓRUM!$C$6)</f>
        <v>#DIV/0!</v>
      </c>
      <c r="I6418" s="87"/>
      <c r="J6418" s="88"/>
      <c r="K6418" s="88"/>
      <c r="L6418" s="89"/>
      <c r="M6418" s="89"/>
      <c r="Q6418" s="105"/>
    </row>
    <row r="6419" spans="3:17" x14ac:dyDescent="0.3">
      <c r="C6419" s="87"/>
      <c r="H6419" s="86" t="e">
        <f>IF(I6419="fora",0%,G6419/QUÓRUM!$C$6)</f>
        <v>#DIV/0!</v>
      </c>
      <c r="I6419" s="87"/>
      <c r="J6419" s="88"/>
      <c r="K6419" s="88"/>
      <c r="L6419" s="89"/>
      <c r="M6419" s="89"/>
      <c r="Q6419" s="105"/>
    </row>
    <row r="6420" spans="3:17" x14ac:dyDescent="0.3">
      <c r="C6420" s="87"/>
      <c r="H6420" s="86" t="e">
        <f>IF(I6420="fora",0%,G6420/QUÓRUM!$C$6)</f>
        <v>#DIV/0!</v>
      </c>
      <c r="I6420" s="87"/>
      <c r="J6420" s="88"/>
      <c r="K6420" s="88"/>
      <c r="L6420" s="89"/>
      <c r="M6420" s="89"/>
      <c r="Q6420" s="105"/>
    </row>
    <row r="6421" spans="3:17" x14ac:dyDescent="0.3">
      <c r="C6421" s="87"/>
      <c r="H6421" s="86" t="e">
        <f>IF(I6421="fora",0%,G6421/QUÓRUM!$C$6)</f>
        <v>#DIV/0!</v>
      </c>
      <c r="I6421" s="87"/>
      <c r="J6421" s="88"/>
      <c r="K6421" s="88"/>
      <c r="L6421" s="89"/>
      <c r="M6421" s="89"/>
      <c r="Q6421" s="105"/>
    </row>
    <row r="6422" spans="3:17" x14ac:dyDescent="0.3">
      <c r="C6422" s="87"/>
      <c r="H6422" s="86" t="e">
        <f>IF(I6422="fora",0%,G6422/QUÓRUM!$C$6)</f>
        <v>#DIV/0!</v>
      </c>
      <c r="I6422" s="87"/>
      <c r="J6422" s="88"/>
      <c r="K6422" s="88"/>
      <c r="L6422" s="89"/>
      <c r="M6422" s="89"/>
      <c r="Q6422" s="105"/>
    </row>
    <row r="6423" spans="3:17" x14ac:dyDescent="0.3">
      <c r="C6423" s="87"/>
      <c r="H6423" s="86" t="e">
        <f>IF(I6423="fora",0%,G6423/QUÓRUM!$C$6)</f>
        <v>#DIV/0!</v>
      </c>
      <c r="I6423" s="87"/>
      <c r="J6423" s="88"/>
      <c r="K6423" s="88"/>
      <c r="L6423" s="89"/>
      <c r="M6423" s="89"/>
      <c r="Q6423" s="105"/>
    </row>
    <row r="6424" spans="3:17" x14ac:dyDescent="0.3">
      <c r="C6424" s="87"/>
      <c r="H6424" s="86" t="e">
        <f>IF(I6424="fora",0%,G6424/QUÓRUM!$C$6)</f>
        <v>#DIV/0!</v>
      </c>
      <c r="I6424" s="87"/>
      <c r="J6424" s="88"/>
      <c r="K6424" s="88"/>
      <c r="L6424" s="89"/>
      <c r="M6424" s="89"/>
      <c r="Q6424" s="105"/>
    </row>
    <row r="6425" spans="3:17" x14ac:dyDescent="0.3">
      <c r="C6425" s="87"/>
      <c r="H6425" s="86" t="e">
        <f>IF(I6425="fora",0%,G6425/QUÓRUM!$C$6)</f>
        <v>#DIV/0!</v>
      </c>
      <c r="I6425" s="87"/>
      <c r="J6425" s="88"/>
      <c r="K6425" s="88"/>
      <c r="L6425" s="89"/>
      <c r="M6425" s="89"/>
      <c r="Q6425" s="105"/>
    </row>
    <row r="6426" spans="3:17" x14ac:dyDescent="0.3">
      <c r="C6426" s="87"/>
      <c r="H6426" s="86" t="e">
        <f>IF(I6426="fora",0%,G6426/QUÓRUM!$C$6)</f>
        <v>#DIV/0!</v>
      </c>
      <c r="I6426" s="87"/>
      <c r="J6426" s="88"/>
      <c r="K6426" s="88"/>
      <c r="L6426" s="89"/>
      <c r="M6426" s="89"/>
      <c r="Q6426" s="105"/>
    </row>
    <row r="6427" spans="3:17" x14ac:dyDescent="0.3">
      <c r="C6427" s="87"/>
      <c r="H6427" s="86" t="e">
        <f>IF(I6427="fora",0%,G6427/QUÓRUM!$C$6)</f>
        <v>#DIV/0!</v>
      </c>
      <c r="I6427" s="87"/>
      <c r="J6427" s="88"/>
      <c r="K6427" s="88"/>
      <c r="L6427" s="89"/>
      <c r="M6427" s="89"/>
      <c r="Q6427" s="105"/>
    </row>
    <row r="6428" spans="3:17" x14ac:dyDescent="0.3">
      <c r="C6428" s="87"/>
      <c r="H6428" s="86" t="e">
        <f>IF(I6428="fora",0%,G6428/QUÓRUM!$C$6)</f>
        <v>#DIV/0!</v>
      </c>
      <c r="I6428" s="87"/>
      <c r="J6428" s="88"/>
      <c r="K6428" s="88"/>
      <c r="L6428" s="89"/>
      <c r="M6428" s="89"/>
      <c r="Q6428" s="105"/>
    </row>
    <row r="6429" spans="3:17" x14ac:dyDescent="0.3">
      <c r="C6429" s="87"/>
      <c r="H6429" s="86" t="e">
        <f>IF(I6429="fora",0%,G6429/QUÓRUM!$C$6)</f>
        <v>#DIV/0!</v>
      </c>
      <c r="I6429" s="87"/>
      <c r="J6429" s="88"/>
      <c r="K6429" s="88"/>
      <c r="L6429" s="89"/>
      <c r="M6429" s="89"/>
      <c r="Q6429" s="105"/>
    </row>
    <row r="6430" spans="3:17" x14ac:dyDescent="0.3">
      <c r="C6430" s="87"/>
      <c r="H6430" s="86" t="e">
        <f>IF(I6430="fora",0%,G6430/QUÓRUM!$C$6)</f>
        <v>#DIV/0!</v>
      </c>
      <c r="I6430" s="87"/>
      <c r="J6430" s="88"/>
      <c r="K6430" s="88"/>
      <c r="L6430" s="89"/>
      <c r="M6430" s="89"/>
      <c r="Q6430" s="105"/>
    </row>
    <row r="6431" spans="3:17" x14ac:dyDescent="0.3">
      <c r="C6431" s="87"/>
      <c r="H6431" s="86" t="e">
        <f>IF(I6431="fora",0%,G6431/QUÓRUM!$C$6)</f>
        <v>#DIV/0!</v>
      </c>
      <c r="I6431" s="87"/>
      <c r="J6431" s="88"/>
      <c r="K6431" s="88"/>
      <c r="L6431" s="89"/>
      <c r="M6431" s="89"/>
      <c r="Q6431" s="105"/>
    </row>
    <row r="6432" spans="3:17" x14ac:dyDescent="0.3">
      <c r="C6432" s="87"/>
      <c r="H6432" s="86" t="e">
        <f>IF(I6432="fora",0%,G6432/QUÓRUM!$C$6)</f>
        <v>#DIV/0!</v>
      </c>
      <c r="I6432" s="87"/>
      <c r="J6432" s="88"/>
      <c r="K6432" s="88"/>
      <c r="L6432" s="89"/>
      <c r="M6432" s="89"/>
      <c r="Q6432" s="105"/>
    </row>
    <row r="6433" spans="3:17" x14ac:dyDescent="0.3">
      <c r="C6433" s="87"/>
      <c r="H6433" s="86" t="e">
        <f>IF(I6433="fora",0%,G6433/QUÓRUM!$C$6)</f>
        <v>#DIV/0!</v>
      </c>
      <c r="I6433" s="87"/>
      <c r="J6433" s="88"/>
      <c r="K6433" s="88"/>
      <c r="L6433" s="89"/>
      <c r="M6433" s="89"/>
      <c r="Q6433" s="105"/>
    </row>
    <row r="6434" spans="3:17" x14ac:dyDescent="0.3">
      <c r="C6434" s="87"/>
      <c r="H6434" s="86" t="e">
        <f>IF(I6434="fora",0%,G6434/QUÓRUM!$C$6)</f>
        <v>#DIV/0!</v>
      </c>
      <c r="I6434" s="87"/>
      <c r="J6434" s="88"/>
      <c r="K6434" s="88"/>
      <c r="L6434" s="89"/>
      <c r="M6434" s="89"/>
      <c r="Q6434" s="105"/>
    </row>
    <row r="6435" spans="3:17" x14ac:dyDescent="0.3">
      <c r="C6435" s="87"/>
      <c r="H6435" s="86" t="e">
        <f>IF(I6435="fora",0%,G6435/QUÓRUM!$C$6)</f>
        <v>#DIV/0!</v>
      </c>
      <c r="I6435" s="87"/>
      <c r="J6435" s="88"/>
      <c r="K6435" s="88"/>
      <c r="L6435" s="89"/>
      <c r="M6435" s="89"/>
      <c r="Q6435" s="105"/>
    </row>
    <row r="6436" spans="3:17" x14ac:dyDescent="0.3">
      <c r="C6436" s="87"/>
      <c r="H6436" s="86" t="e">
        <f>IF(I6436="fora",0%,G6436/QUÓRUM!$C$6)</f>
        <v>#DIV/0!</v>
      </c>
      <c r="I6436" s="87"/>
      <c r="J6436" s="88"/>
      <c r="K6436" s="88"/>
      <c r="L6436" s="89"/>
      <c r="M6436" s="89"/>
      <c r="Q6436" s="105"/>
    </row>
    <row r="6437" spans="3:17" x14ac:dyDescent="0.3">
      <c r="C6437" s="87"/>
      <c r="H6437" s="86" t="e">
        <f>IF(I6437="fora",0%,G6437/QUÓRUM!$C$6)</f>
        <v>#DIV/0!</v>
      </c>
      <c r="I6437" s="87"/>
      <c r="J6437" s="88"/>
      <c r="K6437" s="88"/>
      <c r="L6437" s="89"/>
      <c r="M6437" s="89"/>
      <c r="Q6437" s="105"/>
    </row>
    <row r="6438" spans="3:17" x14ac:dyDescent="0.3">
      <c r="C6438" s="87"/>
      <c r="H6438" s="86" t="e">
        <f>IF(I6438="fora",0%,G6438/QUÓRUM!$C$6)</f>
        <v>#DIV/0!</v>
      </c>
      <c r="I6438" s="87"/>
      <c r="J6438" s="88"/>
      <c r="K6438" s="88"/>
      <c r="L6438" s="89"/>
      <c r="M6438" s="89"/>
      <c r="Q6438" s="105"/>
    </row>
    <row r="6439" spans="3:17" x14ac:dyDescent="0.3">
      <c r="C6439" s="87"/>
      <c r="H6439" s="86" t="e">
        <f>IF(I6439="fora",0%,G6439/QUÓRUM!$C$6)</f>
        <v>#DIV/0!</v>
      </c>
      <c r="I6439" s="87"/>
      <c r="J6439" s="88"/>
      <c r="K6439" s="88"/>
      <c r="L6439" s="89"/>
      <c r="M6439" s="89"/>
      <c r="Q6439" s="105"/>
    </row>
    <row r="6440" spans="3:17" x14ac:dyDescent="0.3">
      <c r="C6440" s="87"/>
      <c r="H6440" s="86" t="e">
        <f>IF(I6440="fora",0%,G6440/QUÓRUM!$C$6)</f>
        <v>#DIV/0!</v>
      </c>
      <c r="I6440" s="87"/>
      <c r="J6440" s="88"/>
      <c r="K6440" s="88"/>
      <c r="L6440" s="89"/>
      <c r="M6440" s="89"/>
      <c r="Q6440" s="105"/>
    </row>
    <row r="6441" spans="3:17" x14ac:dyDescent="0.3">
      <c r="C6441" s="87"/>
      <c r="H6441" s="86" t="e">
        <f>IF(I6441="fora",0%,G6441/QUÓRUM!$C$6)</f>
        <v>#DIV/0!</v>
      </c>
      <c r="I6441" s="87"/>
      <c r="J6441" s="88"/>
      <c r="K6441" s="88"/>
      <c r="L6441" s="89"/>
      <c r="M6441" s="89"/>
      <c r="Q6441" s="105"/>
    </row>
    <row r="6442" spans="3:17" x14ac:dyDescent="0.3">
      <c r="C6442" s="87"/>
      <c r="H6442" s="86" t="e">
        <f>IF(I6442="fora",0%,G6442/QUÓRUM!$C$6)</f>
        <v>#DIV/0!</v>
      </c>
      <c r="I6442" s="87"/>
      <c r="J6442" s="88"/>
      <c r="K6442" s="88"/>
      <c r="L6442" s="89"/>
      <c r="M6442" s="89"/>
      <c r="Q6442" s="105"/>
    </row>
    <row r="6443" spans="3:17" x14ac:dyDescent="0.3">
      <c r="C6443" s="87"/>
      <c r="H6443" s="86" t="e">
        <f>IF(I6443="fora",0%,G6443/QUÓRUM!$C$6)</f>
        <v>#DIV/0!</v>
      </c>
      <c r="I6443" s="87"/>
      <c r="J6443" s="88"/>
      <c r="K6443" s="88"/>
      <c r="L6443" s="89"/>
      <c r="M6443" s="89"/>
      <c r="Q6443" s="105"/>
    </row>
    <row r="6444" spans="3:17" x14ac:dyDescent="0.3">
      <c r="C6444" s="87"/>
      <c r="H6444" s="86" t="e">
        <f>IF(I6444="fora",0%,G6444/QUÓRUM!$C$6)</f>
        <v>#DIV/0!</v>
      </c>
      <c r="I6444" s="87"/>
      <c r="J6444" s="88"/>
      <c r="K6444" s="88"/>
      <c r="L6444" s="89"/>
      <c r="M6444" s="89"/>
      <c r="Q6444" s="105"/>
    </row>
    <row r="6445" spans="3:17" x14ac:dyDescent="0.3">
      <c r="C6445" s="87"/>
      <c r="H6445" s="86" t="e">
        <f>IF(I6445="fora",0%,G6445/QUÓRUM!$C$6)</f>
        <v>#DIV/0!</v>
      </c>
      <c r="I6445" s="87"/>
      <c r="J6445" s="88"/>
      <c r="K6445" s="88"/>
      <c r="L6445" s="89"/>
      <c r="M6445" s="89"/>
      <c r="Q6445" s="105"/>
    </row>
    <row r="6446" spans="3:17" x14ac:dyDescent="0.3">
      <c r="C6446" s="87"/>
      <c r="H6446" s="86" t="e">
        <f>IF(I6446="fora",0%,G6446/QUÓRUM!$C$6)</f>
        <v>#DIV/0!</v>
      </c>
      <c r="I6446" s="87"/>
      <c r="J6446" s="88"/>
      <c r="K6446" s="88"/>
      <c r="L6446" s="89"/>
      <c r="M6446" s="89"/>
      <c r="Q6446" s="105"/>
    </row>
    <row r="6447" spans="3:17" x14ac:dyDescent="0.3">
      <c r="C6447" s="87"/>
      <c r="H6447" s="86" t="e">
        <f>IF(I6447="fora",0%,G6447/QUÓRUM!$C$6)</f>
        <v>#DIV/0!</v>
      </c>
      <c r="I6447" s="87"/>
      <c r="J6447" s="88"/>
      <c r="K6447" s="88"/>
      <c r="L6447" s="89"/>
      <c r="M6447" s="89"/>
      <c r="Q6447" s="105"/>
    </row>
    <row r="6448" spans="3:17" x14ac:dyDescent="0.3">
      <c r="C6448" s="87"/>
      <c r="H6448" s="86" t="e">
        <f>IF(I6448="fora",0%,G6448/QUÓRUM!$C$6)</f>
        <v>#DIV/0!</v>
      </c>
      <c r="I6448" s="87"/>
      <c r="J6448" s="88"/>
      <c r="K6448" s="88"/>
      <c r="L6448" s="89"/>
      <c r="M6448" s="89"/>
      <c r="Q6448" s="105"/>
    </row>
    <row r="6449" spans="3:17" x14ac:dyDescent="0.3">
      <c r="C6449" s="87"/>
      <c r="H6449" s="86" t="e">
        <f>IF(I6449="fora",0%,G6449/QUÓRUM!$C$6)</f>
        <v>#DIV/0!</v>
      </c>
      <c r="I6449" s="87"/>
      <c r="J6449" s="88"/>
      <c r="K6449" s="88"/>
      <c r="L6449" s="89"/>
      <c r="M6449" s="89"/>
      <c r="Q6449" s="105"/>
    </row>
    <row r="6450" spans="3:17" x14ac:dyDescent="0.3">
      <c r="C6450" s="87"/>
      <c r="H6450" s="86" t="e">
        <f>IF(I6450="fora",0%,G6450/QUÓRUM!$C$6)</f>
        <v>#DIV/0!</v>
      </c>
      <c r="I6450" s="87"/>
      <c r="J6450" s="88"/>
      <c r="K6450" s="88"/>
      <c r="L6450" s="89"/>
      <c r="M6450" s="89"/>
      <c r="Q6450" s="105"/>
    </row>
    <row r="6451" spans="3:17" x14ac:dyDescent="0.3">
      <c r="C6451" s="87"/>
      <c r="H6451" s="86" t="e">
        <f>IF(I6451="fora",0%,G6451/QUÓRUM!$C$6)</f>
        <v>#DIV/0!</v>
      </c>
      <c r="I6451" s="87"/>
      <c r="J6451" s="88"/>
      <c r="K6451" s="88"/>
      <c r="L6451" s="89"/>
      <c r="M6451" s="89"/>
      <c r="Q6451" s="105"/>
    </row>
    <row r="6452" spans="3:17" x14ac:dyDescent="0.3">
      <c r="C6452" s="87"/>
      <c r="H6452" s="86" t="e">
        <f>IF(I6452="fora",0%,G6452/QUÓRUM!$C$6)</f>
        <v>#DIV/0!</v>
      </c>
      <c r="I6452" s="87"/>
      <c r="J6452" s="88"/>
      <c r="K6452" s="88"/>
      <c r="L6452" s="89"/>
      <c r="M6452" s="89"/>
      <c r="Q6452" s="105"/>
    </row>
    <row r="6453" spans="3:17" x14ac:dyDescent="0.3">
      <c r="C6453" s="87"/>
      <c r="H6453" s="86" t="e">
        <f>IF(I6453="fora",0%,G6453/QUÓRUM!$C$6)</f>
        <v>#DIV/0!</v>
      </c>
      <c r="I6453" s="87"/>
      <c r="J6453" s="88"/>
      <c r="K6453" s="88"/>
      <c r="L6453" s="89"/>
      <c r="M6453" s="89"/>
      <c r="Q6453" s="105"/>
    </row>
    <row r="6454" spans="3:17" x14ac:dyDescent="0.3">
      <c r="C6454" s="87"/>
      <c r="H6454" s="86" t="e">
        <f>IF(I6454="fora",0%,G6454/QUÓRUM!$C$6)</f>
        <v>#DIV/0!</v>
      </c>
      <c r="I6454" s="87"/>
      <c r="J6454" s="88"/>
      <c r="K6454" s="88"/>
      <c r="L6454" s="89"/>
      <c r="M6454" s="89"/>
      <c r="Q6454" s="105"/>
    </row>
    <row r="6455" spans="3:17" x14ac:dyDescent="0.3">
      <c r="C6455" s="87"/>
      <c r="H6455" s="86" t="e">
        <f>IF(I6455="fora",0%,G6455/QUÓRUM!$C$6)</f>
        <v>#DIV/0!</v>
      </c>
      <c r="I6455" s="87"/>
      <c r="J6455" s="88"/>
      <c r="K6455" s="88"/>
      <c r="L6455" s="89"/>
      <c r="M6455" s="89"/>
      <c r="Q6455" s="105"/>
    </row>
    <row r="6456" spans="3:17" x14ac:dyDescent="0.3">
      <c r="C6456" s="87"/>
      <c r="H6456" s="86" t="e">
        <f>IF(I6456="fora",0%,G6456/QUÓRUM!$C$6)</f>
        <v>#DIV/0!</v>
      </c>
      <c r="I6456" s="87"/>
      <c r="J6456" s="88"/>
      <c r="K6456" s="88"/>
      <c r="L6456" s="89"/>
      <c r="M6456" s="89"/>
      <c r="Q6456" s="105"/>
    </row>
    <row r="6457" spans="3:17" x14ac:dyDescent="0.3">
      <c r="C6457" s="87"/>
      <c r="H6457" s="86" t="e">
        <f>IF(I6457="fora",0%,G6457/QUÓRUM!$C$6)</f>
        <v>#DIV/0!</v>
      </c>
      <c r="I6457" s="87"/>
      <c r="J6457" s="88"/>
      <c r="K6457" s="88"/>
      <c r="L6457" s="89"/>
      <c r="M6457" s="89"/>
      <c r="Q6457" s="105"/>
    </row>
    <row r="6458" spans="3:17" x14ac:dyDescent="0.3">
      <c r="C6458" s="87"/>
      <c r="H6458" s="86" t="e">
        <f>IF(I6458="fora",0%,G6458/QUÓRUM!$C$6)</f>
        <v>#DIV/0!</v>
      </c>
      <c r="I6458" s="87"/>
      <c r="J6458" s="88"/>
      <c r="K6458" s="88"/>
      <c r="L6458" s="89"/>
      <c r="M6458" s="89"/>
      <c r="Q6458" s="105"/>
    </row>
    <row r="6459" spans="3:17" x14ac:dyDescent="0.3">
      <c r="C6459" s="87"/>
      <c r="H6459" s="86" t="e">
        <f>IF(I6459="fora",0%,G6459/QUÓRUM!$C$6)</f>
        <v>#DIV/0!</v>
      </c>
      <c r="I6459" s="87"/>
      <c r="J6459" s="88"/>
      <c r="K6459" s="88"/>
      <c r="L6459" s="89"/>
      <c r="M6459" s="89"/>
      <c r="Q6459" s="105"/>
    </row>
    <row r="6460" spans="3:17" x14ac:dyDescent="0.3">
      <c r="C6460" s="87"/>
      <c r="H6460" s="86" t="e">
        <f>IF(I6460="fora",0%,G6460/QUÓRUM!$C$6)</f>
        <v>#DIV/0!</v>
      </c>
      <c r="I6460" s="87"/>
      <c r="J6460" s="88"/>
      <c r="K6460" s="88"/>
      <c r="L6460" s="89"/>
      <c r="M6460" s="89"/>
      <c r="Q6460" s="105"/>
    </row>
    <row r="6461" spans="3:17" x14ac:dyDescent="0.3">
      <c r="C6461" s="87"/>
      <c r="H6461" s="86" t="e">
        <f>IF(I6461="fora",0%,G6461/QUÓRUM!$C$6)</f>
        <v>#DIV/0!</v>
      </c>
      <c r="I6461" s="87"/>
      <c r="J6461" s="88"/>
      <c r="K6461" s="88"/>
      <c r="L6461" s="89"/>
      <c r="M6461" s="89"/>
      <c r="Q6461" s="105"/>
    </row>
    <row r="6462" spans="3:17" x14ac:dyDescent="0.3">
      <c r="C6462" s="87"/>
      <c r="H6462" s="86" t="e">
        <f>IF(I6462="fora",0%,G6462/QUÓRUM!$C$6)</f>
        <v>#DIV/0!</v>
      </c>
      <c r="I6462" s="87"/>
      <c r="J6462" s="88"/>
      <c r="K6462" s="88"/>
      <c r="L6462" s="89"/>
      <c r="M6462" s="89"/>
      <c r="Q6462" s="105"/>
    </row>
    <row r="6463" spans="3:17" x14ac:dyDescent="0.3">
      <c r="C6463" s="87"/>
      <c r="H6463" s="86" t="e">
        <f>IF(I6463="fora",0%,G6463/QUÓRUM!$C$6)</f>
        <v>#DIV/0!</v>
      </c>
      <c r="I6463" s="87"/>
      <c r="J6463" s="88"/>
      <c r="K6463" s="88"/>
      <c r="L6463" s="89"/>
      <c r="M6463" s="89"/>
      <c r="Q6463" s="105"/>
    </row>
    <row r="6464" spans="3:17" x14ac:dyDescent="0.3">
      <c r="C6464" s="87"/>
      <c r="H6464" s="86" t="e">
        <f>IF(I6464="fora",0%,G6464/QUÓRUM!$C$6)</f>
        <v>#DIV/0!</v>
      </c>
      <c r="I6464" s="87"/>
      <c r="J6464" s="88"/>
      <c r="K6464" s="88"/>
      <c r="L6464" s="89"/>
      <c r="M6464" s="89"/>
      <c r="Q6464" s="105"/>
    </row>
    <row r="6465" spans="3:17" x14ac:dyDescent="0.3">
      <c r="C6465" s="87"/>
      <c r="H6465" s="86" t="e">
        <f>IF(I6465="fora",0%,G6465/QUÓRUM!$C$6)</f>
        <v>#DIV/0!</v>
      </c>
      <c r="I6465" s="87"/>
      <c r="J6465" s="88"/>
      <c r="K6465" s="88"/>
      <c r="L6465" s="89"/>
      <c r="M6465" s="89"/>
      <c r="Q6465" s="105"/>
    </row>
    <row r="6466" spans="3:17" x14ac:dyDescent="0.3">
      <c r="C6466" s="87"/>
      <c r="H6466" s="86" t="e">
        <f>IF(I6466="fora",0%,G6466/QUÓRUM!$C$6)</f>
        <v>#DIV/0!</v>
      </c>
      <c r="I6466" s="87"/>
      <c r="J6466" s="88"/>
      <c r="K6466" s="88"/>
      <c r="L6466" s="89"/>
      <c r="M6466" s="89"/>
      <c r="Q6466" s="105"/>
    </row>
    <row r="6467" spans="3:17" x14ac:dyDescent="0.3">
      <c r="C6467" s="87"/>
      <c r="H6467" s="86" t="e">
        <f>IF(I6467="fora",0%,G6467/QUÓRUM!$C$6)</f>
        <v>#DIV/0!</v>
      </c>
      <c r="I6467" s="87"/>
      <c r="J6467" s="88"/>
      <c r="K6467" s="88"/>
      <c r="L6467" s="89"/>
      <c r="M6467" s="89"/>
      <c r="Q6467" s="105"/>
    </row>
    <row r="6468" spans="3:17" x14ac:dyDescent="0.3">
      <c r="C6468" s="87"/>
      <c r="H6468" s="86" t="e">
        <f>IF(I6468="fora",0%,G6468/QUÓRUM!$C$6)</f>
        <v>#DIV/0!</v>
      </c>
      <c r="I6468" s="87"/>
      <c r="J6468" s="88"/>
      <c r="K6468" s="88"/>
      <c r="L6468" s="89"/>
      <c r="M6468" s="89"/>
      <c r="Q6468" s="105"/>
    </row>
    <row r="6469" spans="3:17" x14ac:dyDescent="0.3">
      <c r="C6469" s="87"/>
      <c r="H6469" s="86" t="e">
        <f>IF(I6469="fora",0%,G6469/QUÓRUM!$C$6)</f>
        <v>#DIV/0!</v>
      </c>
      <c r="I6469" s="87"/>
      <c r="J6469" s="88"/>
      <c r="K6469" s="88"/>
      <c r="L6469" s="89"/>
      <c r="M6469" s="89"/>
      <c r="Q6469" s="105"/>
    </row>
    <row r="6470" spans="3:17" x14ac:dyDescent="0.3">
      <c r="C6470" s="87"/>
      <c r="H6470" s="86" t="e">
        <f>IF(I6470="fora",0%,G6470/QUÓRUM!$C$6)</f>
        <v>#DIV/0!</v>
      </c>
      <c r="I6470" s="87"/>
      <c r="J6470" s="88"/>
      <c r="K6470" s="88"/>
      <c r="L6470" s="89"/>
      <c r="M6470" s="89"/>
      <c r="Q6470" s="105"/>
    </row>
    <row r="6471" spans="3:17" x14ac:dyDescent="0.3">
      <c r="C6471" s="87"/>
      <c r="H6471" s="86" t="e">
        <f>IF(I6471="fora",0%,G6471/QUÓRUM!$C$6)</f>
        <v>#DIV/0!</v>
      </c>
      <c r="I6471" s="87"/>
      <c r="J6471" s="88"/>
      <c r="K6471" s="88"/>
      <c r="L6471" s="89"/>
      <c r="M6471" s="89"/>
      <c r="Q6471" s="105"/>
    </row>
    <row r="6472" spans="3:17" x14ac:dyDescent="0.3">
      <c r="C6472" s="87"/>
      <c r="H6472" s="86" t="e">
        <f>IF(I6472="fora",0%,G6472/QUÓRUM!$C$6)</f>
        <v>#DIV/0!</v>
      </c>
      <c r="I6472" s="87"/>
      <c r="J6472" s="88"/>
      <c r="K6472" s="88"/>
      <c r="L6472" s="89"/>
      <c r="M6472" s="89"/>
      <c r="Q6472" s="105"/>
    </row>
    <row r="6473" spans="3:17" x14ac:dyDescent="0.3">
      <c r="C6473" s="87"/>
      <c r="H6473" s="86" t="e">
        <f>IF(I6473="fora",0%,G6473/QUÓRUM!$C$6)</f>
        <v>#DIV/0!</v>
      </c>
      <c r="I6473" s="87"/>
      <c r="J6473" s="88"/>
      <c r="K6473" s="88"/>
      <c r="L6473" s="89"/>
      <c r="M6473" s="89"/>
      <c r="Q6473" s="105"/>
    </row>
    <row r="6474" spans="3:17" x14ac:dyDescent="0.3">
      <c r="C6474" s="87"/>
      <c r="H6474" s="86" t="e">
        <f>IF(I6474="fora",0%,G6474/QUÓRUM!$C$6)</f>
        <v>#DIV/0!</v>
      </c>
      <c r="I6474" s="87"/>
      <c r="J6474" s="88"/>
      <c r="K6474" s="88"/>
      <c r="L6474" s="89"/>
      <c r="M6474" s="89"/>
      <c r="Q6474" s="105"/>
    </row>
    <row r="6475" spans="3:17" x14ac:dyDescent="0.3">
      <c r="C6475" s="87"/>
      <c r="H6475" s="86" t="e">
        <f>IF(I6475="fora",0%,G6475/QUÓRUM!$C$6)</f>
        <v>#DIV/0!</v>
      </c>
      <c r="I6475" s="87"/>
      <c r="J6475" s="88"/>
      <c r="K6475" s="88"/>
      <c r="L6475" s="89"/>
      <c r="M6475" s="89"/>
      <c r="Q6475" s="105"/>
    </row>
    <row r="6476" spans="3:17" x14ac:dyDescent="0.3">
      <c r="C6476" s="87"/>
      <c r="H6476" s="86" t="e">
        <f>IF(I6476="fora",0%,G6476/QUÓRUM!$C$6)</f>
        <v>#DIV/0!</v>
      </c>
      <c r="I6476" s="87"/>
      <c r="J6476" s="88"/>
      <c r="K6476" s="88"/>
      <c r="L6476" s="89"/>
      <c r="M6476" s="89"/>
      <c r="Q6476" s="105"/>
    </row>
    <row r="6477" spans="3:17" x14ac:dyDescent="0.3">
      <c r="C6477" s="87"/>
      <c r="H6477" s="86" t="e">
        <f>IF(I6477="fora",0%,G6477/QUÓRUM!$C$6)</f>
        <v>#DIV/0!</v>
      </c>
      <c r="I6477" s="87"/>
      <c r="J6477" s="88"/>
      <c r="K6477" s="88"/>
      <c r="L6477" s="89"/>
      <c r="M6477" s="89"/>
      <c r="Q6477" s="105"/>
    </row>
    <row r="6478" spans="3:17" x14ac:dyDescent="0.3">
      <c r="C6478" s="87"/>
      <c r="H6478" s="86" t="e">
        <f>IF(I6478="fora",0%,G6478/QUÓRUM!$C$6)</f>
        <v>#DIV/0!</v>
      </c>
      <c r="I6478" s="87"/>
      <c r="J6478" s="88"/>
      <c r="K6478" s="88"/>
      <c r="L6478" s="89"/>
      <c r="M6478" s="89"/>
      <c r="Q6478" s="105"/>
    </row>
    <row r="6479" spans="3:17" x14ac:dyDescent="0.3">
      <c r="C6479" s="87"/>
      <c r="H6479" s="86" t="e">
        <f>IF(I6479="fora",0%,G6479/QUÓRUM!$C$6)</f>
        <v>#DIV/0!</v>
      </c>
      <c r="I6479" s="87"/>
      <c r="J6479" s="88"/>
      <c r="K6479" s="88"/>
      <c r="L6479" s="89"/>
      <c r="M6479" s="89"/>
      <c r="Q6479" s="105"/>
    </row>
    <row r="6480" spans="3:17" x14ac:dyDescent="0.3">
      <c r="C6480" s="87"/>
      <c r="H6480" s="86" t="e">
        <f>IF(I6480="fora",0%,G6480/QUÓRUM!$C$6)</f>
        <v>#DIV/0!</v>
      </c>
      <c r="I6480" s="87"/>
      <c r="J6480" s="88"/>
      <c r="K6480" s="88"/>
      <c r="L6480" s="89"/>
      <c r="M6480" s="89"/>
      <c r="Q6480" s="105"/>
    </row>
    <row r="6481" spans="3:17" x14ac:dyDescent="0.3">
      <c r="C6481" s="87"/>
      <c r="H6481" s="86" t="e">
        <f>IF(I6481="fora",0%,G6481/QUÓRUM!$C$6)</f>
        <v>#DIV/0!</v>
      </c>
      <c r="I6481" s="87"/>
      <c r="J6481" s="88"/>
      <c r="K6481" s="88"/>
      <c r="L6481" s="89"/>
      <c r="M6481" s="89"/>
      <c r="Q6481" s="105"/>
    </row>
    <row r="6482" spans="3:17" x14ac:dyDescent="0.3">
      <c r="C6482" s="87"/>
      <c r="H6482" s="86" t="e">
        <f>IF(I6482="fora",0%,G6482/QUÓRUM!$C$6)</f>
        <v>#DIV/0!</v>
      </c>
      <c r="I6482" s="87"/>
      <c r="J6482" s="88"/>
      <c r="K6482" s="88"/>
      <c r="L6482" s="89"/>
      <c r="M6482" s="89"/>
      <c r="Q6482" s="105"/>
    </row>
    <row r="6483" spans="3:17" x14ac:dyDescent="0.3">
      <c r="C6483" s="87"/>
      <c r="H6483" s="86" t="e">
        <f>IF(I6483="fora",0%,G6483/QUÓRUM!$C$6)</f>
        <v>#DIV/0!</v>
      </c>
      <c r="I6483" s="87"/>
      <c r="J6483" s="88"/>
      <c r="K6483" s="88"/>
      <c r="L6483" s="89"/>
      <c r="M6483" s="89"/>
      <c r="Q6483" s="105"/>
    </row>
    <row r="6484" spans="3:17" x14ac:dyDescent="0.3">
      <c r="C6484" s="87"/>
      <c r="H6484" s="86" t="e">
        <f>IF(I6484="fora",0%,G6484/QUÓRUM!$C$6)</f>
        <v>#DIV/0!</v>
      </c>
      <c r="I6484" s="87"/>
      <c r="J6484" s="88"/>
      <c r="K6484" s="88"/>
      <c r="L6484" s="89"/>
      <c r="M6484" s="89"/>
      <c r="Q6484" s="105"/>
    </row>
    <row r="6485" spans="3:17" x14ac:dyDescent="0.3">
      <c r="C6485" s="87"/>
      <c r="H6485" s="86" t="e">
        <f>IF(I6485="fora",0%,G6485/QUÓRUM!$C$6)</f>
        <v>#DIV/0!</v>
      </c>
      <c r="I6485" s="87"/>
      <c r="J6485" s="88"/>
      <c r="K6485" s="88"/>
      <c r="L6485" s="89"/>
      <c r="M6485" s="89"/>
      <c r="Q6485" s="105"/>
    </row>
    <row r="6486" spans="3:17" x14ac:dyDescent="0.3">
      <c r="C6486" s="87"/>
      <c r="H6486" s="86" t="e">
        <f>IF(I6486="fora",0%,G6486/QUÓRUM!$C$6)</f>
        <v>#DIV/0!</v>
      </c>
      <c r="I6486" s="87"/>
      <c r="J6486" s="88"/>
      <c r="K6486" s="88"/>
      <c r="L6486" s="89"/>
      <c r="M6486" s="89"/>
      <c r="Q6486" s="105"/>
    </row>
    <row r="6487" spans="3:17" x14ac:dyDescent="0.3">
      <c r="C6487" s="87"/>
      <c r="H6487" s="86" t="e">
        <f>IF(I6487="fora",0%,G6487/QUÓRUM!$C$6)</f>
        <v>#DIV/0!</v>
      </c>
      <c r="I6487" s="87"/>
      <c r="J6487" s="88"/>
      <c r="K6487" s="88"/>
      <c r="L6487" s="89"/>
      <c r="M6487" s="89"/>
      <c r="Q6487" s="105"/>
    </row>
    <row r="6488" spans="3:17" x14ac:dyDescent="0.3">
      <c r="C6488" s="87"/>
      <c r="H6488" s="86" t="e">
        <f>IF(I6488="fora",0%,G6488/QUÓRUM!$C$6)</f>
        <v>#DIV/0!</v>
      </c>
      <c r="I6488" s="87"/>
      <c r="J6488" s="88"/>
      <c r="K6488" s="88"/>
      <c r="L6488" s="89"/>
      <c r="M6488" s="89"/>
      <c r="Q6488" s="105"/>
    </row>
    <row r="6489" spans="3:17" x14ac:dyDescent="0.3">
      <c r="C6489" s="87"/>
      <c r="H6489" s="86" t="e">
        <f>IF(I6489="fora",0%,G6489/QUÓRUM!$C$6)</f>
        <v>#DIV/0!</v>
      </c>
      <c r="I6489" s="87"/>
      <c r="J6489" s="88"/>
      <c r="K6489" s="88"/>
      <c r="L6489" s="89"/>
      <c r="M6489" s="89"/>
      <c r="Q6489" s="105"/>
    </row>
    <row r="6490" spans="3:17" x14ac:dyDescent="0.3">
      <c r="C6490" s="87"/>
      <c r="H6490" s="86" t="e">
        <f>IF(I6490="fora",0%,G6490/QUÓRUM!$C$6)</f>
        <v>#DIV/0!</v>
      </c>
      <c r="I6490" s="87"/>
      <c r="J6490" s="88"/>
      <c r="K6490" s="88"/>
      <c r="L6490" s="89"/>
      <c r="M6490" s="89"/>
      <c r="Q6490" s="105"/>
    </row>
    <row r="6491" spans="3:17" x14ac:dyDescent="0.3">
      <c r="C6491" s="87"/>
      <c r="H6491" s="86" t="e">
        <f>IF(I6491="fora",0%,G6491/QUÓRUM!$C$6)</f>
        <v>#DIV/0!</v>
      </c>
      <c r="I6491" s="87"/>
      <c r="J6491" s="88"/>
      <c r="K6491" s="88"/>
      <c r="L6491" s="89"/>
      <c r="M6491" s="89"/>
      <c r="Q6491" s="105"/>
    </row>
    <row r="6492" spans="3:17" x14ac:dyDescent="0.3">
      <c r="C6492" s="87"/>
      <c r="H6492" s="86" t="e">
        <f>IF(I6492="fora",0%,G6492/QUÓRUM!$C$6)</f>
        <v>#DIV/0!</v>
      </c>
      <c r="I6492" s="87"/>
      <c r="J6492" s="88"/>
      <c r="K6492" s="88"/>
      <c r="L6492" s="89"/>
      <c r="M6492" s="89"/>
      <c r="Q6492" s="105"/>
    </row>
    <row r="6493" spans="3:17" x14ac:dyDescent="0.3">
      <c r="C6493" s="87"/>
      <c r="H6493" s="86" t="e">
        <f>IF(I6493="fora",0%,G6493/QUÓRUM!$C$6)</f>
        <v>#DIV/0!</v>
      </c>
      <c r="I6493" s="87"/>
      <c r="J6493" s="88"/>
      <c r="K6493" s="88"/>
      <c r="L6493" s="89"/>
      <c r="M6493" s="89"/>
      <c r="Q6493" s="105"/>
    </row>
    <row r="6494" spans="3:17" x14ac:dyDescent="0.3">
      <c r="C6494" s="87"/>
      <c r="H6494" s="86" t="e">
        <f>IF(I6494="fora",0%,G6494/QUÓRUM!$C$6)</f>
        <v>#DIV/0!</v>
      </c>
      <c r="I6494" s="87"/>
      <c r="J6494" s="88"/>
      <c r="K6494" s="88"/>
      <c r="L6494" s="89"/>
      <c r="M6494" s="89"/>
      <c r="Q6494" s="105"/>
    </row>
    <row r="6495" spans="3:17" x14ac:dyDescent="0.3">
      <c r="C6495" s="87"/>
      <c r="H6495" s="86" t="e">
        <f>IF(I6495="fora",0%,G6495/QUÓRUM!$C$6)</f>
        <v>#DIV/0!</v>
      </c>
      <c r="I6495" s="87"/>
      <c r="J6495" s="88"/>
      <c r="K6495" s="88"/>
      <c r="L6495" s="89"/>
      <c r="M6495" s="89"/>
      <c r="Q6495" s="105"/>
    </row>
    <row r="6496" spans="3:17" x14ac:dyDescent="0.3">
      <c r="C6496" s="87"/>
      <c r="H6496" s="86" t="e">
        <f>IF(I6496="fora",0%,G6496/QUÓRUM!$C$6)</f>
        <v>#DIV/0!</v>
      </c>
      <c r="I6496" s="87"/>
      <c r="J6496" s="88"/>
      <c r="K6496" s="88"/>
      <c r="L6496" s="89"/>
      <c r="M6496" s="89"/>
      <c r="Q6496" s="105"/>
    </row>
    <row r="6497" spans="3:17" x14ac:dyDescent="0.3">
      <c r="C6497" s="87"/>
      <c r="H6497" s="86" t="e">
        <f>IF(I6497="fora",0%,G6497/QUÓRUM!$C$6)</f>
        <v>#DIV/0!</v>
      </c>
      <c r="I6497" s="87"/>
      <c r="J6497" s="88"/>
      <c r="K6497" s="88"/>
      <c r="L6497" s="89"/>
      <c r="M6497" s="89"/>
      <c r="Q6497" s="105"/>
    </row>
    <row r="6498" spans="3:17" x14ac:dyDescent="0.3">
      <c r="C6498" s="87"/>
      <c r="H6498" s="86" t="e">
        <f>IF(I6498="fora",0%,G6498/QUÓRUM!$C$6)</f>
        <v>#DIV/0!</v>
      </c>
      <c r="I6498" s="87"/>
      <c r="J6498" s="88"/>
      <c r="K6498" s="88"/>
      <c r="L6498" s="89"/>
      <c r="M6498" s="89"/>
      <c r="Q6498" s="105"/>
    </row>
    <row r="6499" spans="3:17" x14ac:dyDescent="0.3">
      <c r="C6499" s="87"/>
      <c r="H6499" s="86" t="e">
        <f>IF(I6499="fora",0%,G6499/QUÓRUM!$C$6)</f>
        <v>#DIV/0!</v>
      </c>
      <c r="I6499" s="87"/>
      <c r="J6499" s="88"/>
      <c r="K6499" s="88"/>
      <c r="L6499" s="89"/>
      <c r="M6499" s="89"/>
      <c r="Q6499" s="105"/>
    </row>
    <row r="6500" spans="3:17" x14ac:dyDescent="0.3">
      <c r="C6500" s="87"/>
      <c r="H6500" s="86" t="e">
        <f>IF(I6500="fora",0%,G6500/QUÓRUM!$C$6)</f>
        <v>#DIV/0!</v>
      </c>
      <c r="I6500" s="87"/>
      <c r="J6500" s="88"/>
      <c r="K6500" s="88"/>
      <c r="L6500" s="89"/>
      <c r="M6500" s="89"/>
      <c r="Q6500" s="105"/>
    </row>
    <row r="6501" spans="3:17" x14ac:dyDescent="0.3">
      <c r="C6501" s="87"/>
      <c r="H6501" s="86" t="e">
        <f>IF(I6501="fora",0%,G6501/QUÓRUM!$C$6)</f>
        <v>#DIV/0!</v>
      </c>
      <c r="I6501" s="87"/>
      <c r="J6501" s="88"/>
      <c r="K6501" s="88"/>
      <c r="L6501" s="89"/>
      <c r="M6501" s="89"/>
      <c r="Q6501" s="105"/>
    </row>
    <row r="6502" spans="3:17" x14ac:dyDescent="0.3">
      <c r="C6502" s="87"/>
      <c r="H6502" s="86" t="e">
        <f>IF(I6502="fora",0%,G6502/QUÓRUM!$C$6)</f>
        <v>#DIV/0!</v>
      </c>
      <c r="I6502" s="87"/>
      <c r="J6502" s="88"/>
      <c r="K6502" s="88"/>
      <c r="L6502" s="89"/>
      <c r="M6502" s="89"/>
      <c r="Q6502" s="105"/>
    </row>
    <row r="6503" spans="3:17" x14ac:dyDescent="0.3">
      <c r="C6503" s="87"/>
      <c r="H6503" s="86" t="e">
        <f>IF(I6503="fora",0%,G6503/QUÓRUM!$C$6)</f>
        <v>#DIV/0!</v>
      </c>
      <c r="I6503" s="87"/>
      <c r="J6503" s="88"/>
      <c r="K6503" s="88"/>
      <c r="L6503" s="89"/>
      <c r="M6503" s="89"/>
      <c r="Q6503" s="105"/>
    </row>
    <row r="6504" spans="3:17" x14ac:dyDescent="0.3">
      <c r="C6504" s="87"/>
      <c r="H6504" s="86" t="e">
        <f>IF(I6504="fora",0%,G6504/QUÓRUM!$C$6)</f>
        <v>#DIV/0!</v>
      </c>
      <c r="I6504" s="87"/>
      <c r="J6504" s="88"/>
      <c r="K6504" s="88"/>
      <c r="L6504" s="89"/>
      <c r="M6504" s="89"/>
      <c r="Q6504" s="105"/>
    </row>
    <row r="6505" spans="3:17" x14ac:dyDescent="0.3">
      <c r="C6505" s="87"/>
      <c r="H6505" s="86" t="e">
        <f>IF(I6505="fora",0%,G6505/QUÓRUM!$C$6)</f>
        <v>#DIV/0!</v>
      </c>
      <c r="I6505" s="87"/>
      <c r="J6505" s="88"/>
      <c r="K6505" s="88"/>
      <c r="L6505" s="89"/>
      <c r="M6505" s="89"/>
      <c r="Q6505" s="105"/>
    </row>
    <row r="6506" spans="3:17" x14ac:dyDescent="0.3">
      <c r="C6506" s="87"/>
      <c r="H6506" s="86" t="e">
        <f>IF(I6506="fora",0%,G6506/QUÓRUM!$C$6)</f>
        <v>#DIV/0!</v>
      </c>
      <c r="I6506" s="87"/>
      <c r="J6506" s="88"/>
      <c r="K6506" s="88"/>
      <c r="L6506" s="89"/>
      <c r="M6506" s="89"/>
      <c r="Q6506" s="105"/>
    </row>
    <row r="6507" spans="3:17" x14ac:dyDescent="0.3">
      <c r="C6507" s="87"/>
      <c r="H6507" s="86" t="e">
        <f>IF(I6507="fora",0%,G6507/QUÓRUM!$C$6)</f>
        <v>#DIV/0!</v>
      </c>
      <c r="I6507" s="87"/>
      <c r="J6507" s="88"/>
      <c r="K6507" s="88"/>
      <c r="L6507" s="89"/>
      <c r="M6507" s="89"/>
      <c r="Q6507" s="105"/>
    </row>
    <row r="6508" spans="3:17" x14ac:dyDescent="0.3">
      <c r="C6508" s="87"/>
      <c r="H6508" s="86" t="e">
        <f>IF(I6508="fora",0%,G6508/QUÓRUM!$C$6)</f>
        <v>#DIV/0!</v>
      </c>
      <c r="I6508" s="87"/>
      <c r="J6508" s="88"/>
      <c r="K6508" s="88"/>
      <c r="L6508" s="89"/>
      <c r="M6508" s="89"/>
      <c r="Q6508" s="105"/>
    </row>
    <row r="6509" spans="3:17" x14ac:dyDescent="0.3">
      <c r="C6509" s="87"/>
      <c r="H6509" s="86" t="e">
        <f>IF(I6509="fora",0%,G6509/QUÓRUM!$C$6)</f>
        <v>#DIV/0!</v>
      </c>
      <c r="I6509" s="87"/>
      <c r="J6509" s="88"/>
      <c r="K6509" s="88"/>
      <c r="L6509" s="89"/>
      <c r="M6509" s="89"/>
      <c r="Q6509" s="105"/>
    </row>
    <row r="6510" spans="3:17" x14ac:dyDescent="0.3">
      <c r="C6510" s="87"/>
      <c r="H6510" s="86" t="e">
        <f>IF(I6510="fora",0%,G6510/QUÓRUM!$C$6)</f>
        <v>#DIV/0!</v>
      </c>
      <c r="I6510" s="87"/>
      <c r="J6510" s="88"/>
      <c r="K6510" s="88"/>
      <c r="L6510" s="89"/>
      <c r="M6510" s="89"/>
      <c r="Q6510" s="105"/>
    </row>
    <row r="6511" spans="3:17" x14ac:dyDescent="0.3">
      <c r="C6511" s="87"/>
      <c r="H6511" s="86" t="e">
        <f>IF(I6511="fora",0%,G6511/QUÓRUM!$C$6)</f>
        <v>#DIV/0!</v>
      </c>
      <c r="I6511" s="87"/>
      <c r="J6511" s="88"/>
      <c r="K6511" s="88"/>
      <c r="L6511" s="89"/>
      <c r="M6511" s="89"/>
      <c r="Q6511" s="105"/>
    </row>
    <row r="6512" spans="3:17" x14ac:dyDescent="0.3">
      <c r="C6512" s="87"/>
      <c r="H6512" s="86" t="e">
        <f>IF(I6512="fora",0%,G6512/QUÓRUM!$C$6)</f>
        <v>#DIV/0!</v>
      </c>
      <c r="I6512" s="87"/>
      <c r="J6512" s="88"/>
      <c r="K6512" s="88"/>
      <c r="L6512" s="89"/>
      <c r="M6512" s="89"/>
      <c r="Q6512" s="105"/>
    </row>
    <row r="6513" spans="3:17" x14ac:dyDescent="0.3">
      <c r="C6513" s="87"/>
      <c r="H6513" s="86" t="e">
        <f>IF(I6513="fora",0%,G6513/QUÓRUM!$C$6)</f>
        <v>#DIV/0!</v>
      </c>
      <c r="I6513" s="87"/>
      <c r="J6513" s="88"/>
      <c r="K6513" s="88"/>
      <c r="L6513" s="89"/>
      <c r="M6513" s="89"/>
      <c r="Q6513" s="105"/>
    </row>
    <row r="6514" spans="3:17" x14ac:dyDescent="0.3">
      <c r="C6514" s="87"/>
      <c r="H6514" s="86" t="e">
        <f>IF(I6514="fora",0%,G6514/QUÓRUM!$C$6)</f>
        <v>#DIV/0!</v>
      </c>
      <c r="I6514" s="87"/>
      <c r="J6514" s="88"/>
      <c r="K6514" s="88"/>
      <c r="L6514" s="89"/>
      <c r="M6514" s="89"/>
      <c r="Q6514" s="105"/>
    </row>
    <row r="6515" spans="3:17" x14ac:dyDescent="0.3">
      <c r="C6515" s="87"/>
      <c r="H6515" s="86" t="e">
        <f>IF(I6515="fora",0%,G6515/QUÓRUM!$C$6)</f>
        <v>#DIV/0!</v>
      </c>
      <c r="I6515" s="87"/>
      <c r="J6515" s="88"/>
      <c r="K6515" s="88"/>
      <c r="L6515" s="89"/>
      <c r="M6515" s="89"/>
      <c r="Q6515" s="105"/>
    </row>
    <row r="6516" spans="3:17" x14ac:dyDescent="0.3">
      <c r="C6516" s="87"/>
      <c r="H6516" s="86" t="e">
        <f>IF(I6516="fora",0%,G6516/QUÓRUM!$C$6)</f>
        <v>#DIV/0!</v>
      </c>
      <c r="I6516" s="87"/>
      <c r="J6516" s="88"/>
      <c r="K6516" s="88"/>
      <c r="L6516" s="89"/>
      <c r="M6516" s="89"/>
      <c r="Q6516" s="105"/>
    </row>
    <row r="6517" spans="3:17" x14ac:dyDescent="0.3">
      <c r="C6517" s="87"/>
      <c r="H6517" s="86" t="e">
        <f>IF(I6517="fora",0%,G6517/QUÓRUM!$C$6)</f>
        <v>#DIV/0!</v>
      </c>
      <c r="I6517" s="87"/>
      <c r="J6517" s="88"/>
      <c r="K6517" s="88"/>
      <c r="L6517" s="89"/>
      <c r="M6517" s="89"/>
      <c r="Q6517" s="105"/>
    </row>
    <row r="6518" spans="3:17" x14ac:dyDescent="0.3">
      <c r="C6518" s="87"/>
      <c r="H6518" s="86" t="e">
        <f>IF(I6518="fora",0%,G6518/QUÓRUM!$C$6)</f>
        <v>#DIV/0!</v>
      </c>
      <c r="I6518" s="87"/>
      <c r="J6518" s="88"/>
      <c r="K6518" s="88"/>
      <c r="L6518" s="89"/>
      <c r="M6518" s="89"/>
      <c r="Q6518" s="105"/>
    </row>
    <row r="6519" spans="3:17" x14ac:dyDescent="0.3">
      <c r="C6519" s="87"/>
      <c r="H6519" s="86" t="e">
        <f>IF(I6519="fora",0%,G6519/QUÓRUM!$C$6)</f>
        <v>#DIV/0!</v>
      </c>
      <c r="I6519" s="87"/>
      <c r="J6519" s="88"/>
      <c r="K6519" s="88"/>
      <c r="L6519" s="89"/>
      <c r="M6519" s="89"/>
      <c r="Q6519" s="105"/>
    </row>
    <row r="6520" spans="3:17" x14ac:dyDescent="0.3">
      <c r="C6520" s="87"/>
      <c r="H6520" s="86" t="e">
        <f>IF(I6520="fora",0%,G6520/QUÓRUM!$C$6)</f>
        <v>#DIV/0!</v>
      </c>
      <c r="I6520" s="87"/>
      <c r="J6520" s="88"/>
      <c r="K6520" s="88"/>
      <c r="L6520" s="89"/>
      <c r="M6520" s="89"/>
      <c r="Q6520" s="105"/>
    </row>
    <row r="6521" spans="3:17" x14ac:dyDescent="0.3">
      <c r="C6521" s="87"/>
      <c r="H6521" s="86" t="e">
        <f>IF(I6521="fora",0%,G6521/QUÓRUM!$C$6)</f>
        <v>#DIV/0!</v>
      </c>
      <c r="I6521" s="87"/>
      <c r="J6521" s="88"/>
      <c r="K6521" s="88"/>
      <c r="L6521" s="89"/>
      <c r="M6521" s="89"/>
      <c r="Q6521" s="105"/>
    </row>
    <row r="6522" spans="3:17" x14ac:dyDescent="0.3">
      <c r="C6522" s="87"/>
      <c r="H6522" s="86" t="e">
        <f>IF(I6522="fora",0%,G6522/QUÓRUM!$C$6)</f>
        <v>#DIV/0!</v>
      </c>
      <c r="I6522" s="87"/>
      <c r="J6522" s="88"/>
      <c r="K6522" s="88"/>
      <c r="L6522" s="89"/>
      <c r="M6522" s="89"/>
      <c r="Q6522" s="105"/>
    </row>
    <row r="6523" spans="3:17" x14ac:dyDescent="0.3">
      <c r="C6523" s="87"/>
      <c r="H6523" s="86" t="e">
        <f>IF(I6523="fora",0%,G6523/QUÓRUM!$C$6)</f>
        <v>#DIV/0!</v>
      </c>
      <c r="I6523" s="87"/>
      <c r="J6523" s="88"/>
      <c r="K6523" s="88"/>
      <c r="L6523" s="89"/>
      <c r="M6523" s="89"/>
      <c r="Q6523" s="105"/>
    </row>
    <row r="6524" spans="3:17" x14ac:dyDescent="0.3">
      <c r="C6524" s="87"/>
      <c r="H6524" s="86" t="e">
        <f>IF(I6524="fora",0%,G6524/QUÓRUM!$C$6)</f>
        <v>#DIV/0!</v>
      </c>
      <c r="I6524" s="87"/>
      <c r="J6524" s="88"/>
      <c r="K6524" s="88"/>
      <c r="L6524" s="89"/>
      <c r="M6524" s="89"/>
      <c r="Q6524" s="105"/>
    </row>
    <row r="6525" spans="3:17" x14ac:dyDescent="0.3">
      <c r="C6525" s="87"/>
      <c r="H6525" s="86" t="e">
        <f>IF(I6525="fora",0%,G6525/QUÓRUM!$C$6)</f>
        <v>#DIV/0!</v>
      </c>
      <c r="I6525" s="87"/>
      <c r="J6525" s="88"/>
      <c r="K6525" s="88"/>
      <c r="L6525" s="89"/>
      <c r="M6525" s="89"/>
      <c r="Q6525" s="105"/>
    </row>
    <row r="6526" spans="3:17" x14ac:dyDescent="0.3">
      <c r="C6526" s="87"/>
      <c r="H6526" s="86" t="e">
        <f>IF(I6526="fora",0%,G6526/QUÓRUM!$C$6)</f>
        <v>#DIV/0!</v>
      </c>
      <c r="I6526" s="87"/>
      <c r="J6526" s="88"/>
      <c r="K6526" s="88"/>
      <c r="L6526" s="89"/>
      <c r="M6526" s="89"/>
      <c r="Q6526" s="105"/>
    </row>
    <row r="6527" spans="3:17" x14ac:dyDescent="0.3">
      <c r="C6527" s="87"/>
      <c r="H6527" s="86" t="e">
        <f>IF(I6527="fora",0%,G6527/QUÓRUM!$C$6)</f>
        <v>#DIV/0!</v>
      </c>
      <c r="I6527" s="87"/>
      <c r="J6527" s="88"/>
      <c r="K6527" s="88"/>
      <c r="L6527" s="89"/>
      <c r="M6527" s="89"/>
      <c r="Q6527" s="105"/>
    </row>
    <row r="6528" spans="3:17" x14ac:dyDescent="0.3">
      <c r="C6528" s="87"/>
      <c r="H6528" s="86" t="e">
        <f>IF(I6528="fora",0%,G6528/QUÓRUM!$C$6)</f>
        <v>#DIV/0!</v>
      </c>
      <c r="I6528" s="87"/>
      <c r="J6528" s="88"/>
      <c r="K6528" s="88"/>
      <c r="L6528" s="89"/>
      <c r="M6528" s="89"/>
      <c r="Q6528" s="105"/>
    </row>
    <row r="6529" spans="3:17" x14ac:dyDescent="0.3">
      <c r="C6529" s="87"/>
      <c r="H6529" s="86" t="e">
        <f>IF(I6529="fora",0%,G6529/QUÓRUM!$C$6)</f>
        <v>#DIV/0!</v>
      </c>
      <c r="I6529" s="87"/>
      <c r="J6529" s="88"/>
      <c r="K6529" s="88"/>
      <c r="L6529" s="89"/>
      <c r="M6529" s="89"/>
      <c r="Q6529" s="105"/>
    </row>
    <row r="6530" spans="3:17" x14ac:dyDescent="0.3">
      <c r="C6530" s="87"/>
      <c r="H6530" s="86" t="e">
        <f>IF(I6530="fora",0%,G6530/QUÓRUM!$C$6)</f>
        <v>#DIV/0!</v>
      </c>
      <c r="I6530" s="87"/>
      <c r="J6530" s="88"/>
      <c r="K6530" s="88"/>
      <c r="L6530" s="89"/>
      <c r="M6530" s="89"/>
      <c r="Q6530" s="105"/>
    </row>
    <row r="6531" spans="3:17" x14ac:dyDescent="0.3">
      <c r="C6531" s="87"/>
      <c r="H6531" s="86" t="e">
        <f>IF(I6531="fora",0%,G6531/QUÓRUM!$C$6)</f>
        <v>#DIV/0!</v>
      </c>
      <c r="I6531" s="87"/>
      <c r="J6531" s="88"/>
      <c r="K6531" s="88"/>
      <c r="L6531" s="89"/>
      <c r="M6531" s="89"/>
      <c r="Q6531" s="105"/>
    </row>
    <row r="6532" spans="3:17" x14ac:dyDescent="0.3">
      <c r="C6532" s="87"/>
      <c r="H6532" s="86" t="e">
        <f>IF(I6532="fora",0%,G6532/QUÓRUM!$C$6)</f>
        <v>#DIV/0!</v>
      </c>
      <c r="I6532" s="87"/>
      <c r="J6532" s="88"/>
      <c r="K6532" s="88"/>
      <c r="L6532" s="89"/>
      <c r="M6532" s="89"/>
      <c r="Q6532" s="105"/>
    </row>
    <row r="6533" spans="3:17" x14ac:dyDescent="0.3">
      <c r="C6533" s="87"/>
      <c r="H6533" s="86" t="e">
        <f>IF(I6533="fora",0%,G6533/QUÓRUM!$C$6)</f>
        <v>#DIV/0!</v>
      </c>
      <c r="I6533" s="87"/>
      <c r="J6533" s="88"/>
      <c r="K6533" s="88"/>
      <c r="L6533" s="89"/>
      <c r="M6533" s="89"/>
      <c r="Q6533" s="105"/>
    </row>
    <row r="6534" spans="3:17" x14ac:dyDescent="0.3">
      <c r="C6534" s="87"/>
      <c r="H6534" s="86" t="e">
        <f>IF(I6534="fora",0%,G6534/QUÓRUM!$C$6)</f>
        <v>#DIV/0!</v>
      </c>
      <c r="I6534" s="87"/>
      <c r="J6534" s="88"/>
      <c r="K6534" s="88"/>
      <c r="L6534" s="89"/>
      <c r="M6534" s="89"/>
      <c r="Q6534" s="105"/>
    </row>
    <row r="6535" spans="3:17" x14ac:dyDescent="0.3">
      <c r="C6535" s="87"/>
      <c r="H6535" s="86" t="e">
        <f>IF(I6535="fora",0%,G6535/QUÓRUM!$C$6)</f>
        <v>#DIV/0!</v>
      </c>
      <c r="I6535" s="87"/>
      <c r="J6535" s="88"/>
      <c r="K6535" s="88"/>
      <c r="L6535" s="89"/>
      <c r="M6535" s="89"/>
      <c r="Q6535" s="105"/>
    </row>
    <row r="6536" spans="3:17" x14ac:dyDescent="0.3">
      <c r="C6536" s="87"/>
      <c r="H6536" s="86" t="e">
        <f>IF(I6536="fora",0%,G6536/QUÓRUM!$C$6)</f>
        <v>#DIV/0!</v>
      </c>
      <c r="I6536" s="87"/>
      <c r="J6536" s="88"/>
      <c r="K6536" s="88"/>
      <c r="L6536" s="89"/>
      <c r="M6536" s="89"/>
      <c r="Q6536" s="105"/>
    </row>
    <row r="6537" spans="3:17" x14ac:dyDescent="0.3">
      <c r="C6537" s="87"/>
      <c r="H6537" s="86" t="e">
        <f>IF(I6537="fora",0%,G6537/QUÓRUM!$C$6)</f>
        <v>#DIV/0!</v>
      </c>
      <c r="I6537" s="87"/>
      <c r="J6537" s="88"/>
      <c r="K6537" s="88"/>
      <c r="L6537" s="89"/>
      <c r="M6537" s="89"/>
      <c r="Q6537" s="105"/>
    </row>
    <row r="6538" spans="3:17" x14ac:dyDescent="0.3">
      <c r="C6538" s="87"/>
      <c r="H6538" s="86" t="e">
        <f>IF(I6538="fora",0%,G6538/QUÓRUM!$C$6)</f>
        <v>#DIV/0!</v>
      </c>
      <c r="I6538" s="87"/>
      <c r="J6538" s="88"/>
      <c r="K6538" s="88"/>
      <c r="L6538" s="89"/>
      <c r="M6538" s="89"/>
      <c r="Q6538" s="105"/>
    </row>
    <row r="6539" spans="3:17" x14ac:dyDescent="0.3">
      <c r="C6539" s="87"/>
      <c r="H6539" s="86" t="e">
        <f>IF(I6539="fora",0%,G6539/QUÓRUM!$C$6)</f>
        <v>#DIV/0!</v>
      </c>
      <c r="I6539" s="87"/>
      <c r="J6539" s="88"/>
      <c r="K6539" s="88"/>
      <c r="L6539" s="89"/>
      <c r="M6539" s="89"/>
      <c r="Q6539" s="105"/>
    </row>
    <row r="6540" spans="3:17" x14ac:dyDescent="0.3">
      <c r="C6540" s="87"/>
      <c r="H6540" s="86" t="e">
        <f>IF(I6540="fora",0%,G6540/QUÓRUM!$C$6)</f>
        <v>#DIV/0!</v>
      </c>
      <c r="I6540" s="87"/>
      <c r="J6540" s="88"/>
      <c r="K6540" s="88"/>
      <c r="L6540" s="89"/>
      <c r="M6540" s="89"/>
      <c r="Q6540" s="105"/>
    </row>
    <row r="6541" spans="3:17" x14ac:dyDescent="0.3">
      <c r="C6541" s="87"/>
      <c r="H6541" s="86" t="e">
        <f>IF(I6541="fora",0%,G6541/QUÓRUM!$C$6)</f>
        <v>#DIV/0!</v>
      </c>
      <c r="I6541" s="87"/>
      <c r="J6541" s="88"/>
      <c r="K6541" s="88"/>
      <c r="L6541" s="89"/>
      <c r="M6541" s="89"/>
      <c r="Q6541" s="105"/>
    </row>
    <row r="6542" spans="3:17" x14ac:dyDescent="0.3">
      <c r="C6542" s="87"/>
      <c r="H6542" s="86" t="e">
        <f>IF(I6542="fora",0%,G6542/QUÓRUM!$C$6)</f>
        <v>#DIV/0!</v>
      </c>
      <c r="I6542" s="87"/>
      <c r="J6542" s="88"/>
      <c r="K6542" s="88"/>
      <c r="L6542" s="89"/>
      <c r="M6542" s="89"/>
      <c r="Q6542" s="105"/>
    </row>
    <row r="6543" spans="3:17" x14ac:dyDescent="0.3">
      <c r="C6543" s="87"/>
      <c r="H6543" s="86" t="e">
        <f>IF(I6543="fora",0%,G6543/QUÓRUM!$C$6)</f>
        <v>#DIV/0!</v>
      </c>
      <c r="I6543" s="87"/>
      <c r="J6543" s="88"/>
      <c r="K6543" s="88"/>
      <c r="L6543" s="89"/>
      <c r="M6543" s="89"/>
      <c r="Q6543" s="105"/>
    </row>
    <row r="6544" spans="3:17" x14ac:dyDescent="0.3">
      <c r="C6544" s="87"/>
      <c r="H6544" s="86" t="e">
        <f>IF(I6544="fora",0%,G6544/QUÓRUM!$C$6)</f>
        <v>#DIV/0!</v>
      </c>
      <c r="I6544" s="87"/>
      <c r="J6544" s="88"/>
      <c r="K6544" s="88"/>
      <c r="L6544" s="89"/>
      <c r="M6544" s="89"/>
      <c r="Q6544" s="105"/>
    </row>
    <row r="6545" spans="3:17" x14ac:dyDescent="0.3">
      <c r="C6545" s="87"/>
      <c r="H6545" s="86" t="e">
        <f>IF(I6545="fora",0%,G6545/QUÓRUM!$C$6)</f>
        <v>#DIV/0!</v>
      </c>
      <c r="I6545" s="87"/>
      <c r="J6545" s="88"/>
      <c r="K6545" s="88"/>
      <c r="L6545" s="89"/>
      <c r="M6545" s="89"/>
      <c r="Q6545" s="105"/>
    </row>
    <row r="6546" spans="3:17" x14ac:dyDescent="0.3">
      <c r="C6546" s="87"/>
      <c r="H6546" s="86" t="e">
        <f>IF(I6546="fora",0%,G6546/QUÓRUM!$C$6)</f>
        <v>#DIV/0!</v>
      </c>
      <c r="I6546" s="87"/>
      <c r="J6546" s="88"/>
      <c r="K6546" s="88"/>
      <c r="L6546" s="89"/>
      <c r="M6546" s="89"/>
      <c r="Q6546" s="105"/>
    </row>
    <row r="6547" spans="3:17" x14ac:dyDescent="0.3">
      <c r="C6547" s="87"/>
      <c r="H6547" s="86" t="e">
        <f>IF(I6547="fora",0%,G6547/QUÓRUM!$C$6)</f>
        <v>#DIV/0!</v>
      </c>
      <c r="I6547" s="87"/>
      <c r="J6547" s="88"/>
      <c r="K6547" s="88"/>
      <c r="L6547" s="89"/>
      <c r="M6547" s="89"/>
      <c r="Q6547" s="105"/>
    </row>
    <row r="6548" spans="3:17" x14ac:dyDescent="0.3">
      <c r="C6548" s="87"/>
      <c r="H6548" s="86" t="e">
        <f>IF(I6548="fora",0%,G6548/QUÓRUM!$C$6)</f>
        <v>#DIV/0!</v>
      </c>
      <c r="I6548" s="87"/>
      <c r="J6548" s="88"/>
      <c r="K6548" s="88"/>
      <c r="L6548" s="89"/>
      <c r="M6548" s="89"/>
      <c r="Q6548" s="105"/>
    </row>
    <row r="6549" spans="3:17" x14ac:dyDescent="0.3">
      <c r="C6549" s="87"/>
      <c r="H6549" s="86" t="e">
        <f>IF(I6549="fora",0%,G6549/QUÓRUM!$C$6)</f>
        <v>#DIV/0!</v>
      </c>
      <c r="I6549" s="87"/>
      <c r="J6549" s="88"/>
      <c r="K6549" s="88"/>
      <c r="L6549" s="89"/>
      <c r="M6549" s="89"/>
      <c r="Q6549" s="105"/>
    </row>
    <row r="6550" spans="3:17" x14ac:dyDescent="0.3">
      <c r="C6550" s="87"/>
      <c r="H6550" s="86" t="e">
        <f>IF(I6550="fora",0%,G6550/QUÓRUM!$C$6)</f>
        <v>#DIV/0!</v>
      </c>
      <c r="I6550" s="87"/>
      <c r="J6550" s="88"/>
      <c r="K6550" s="88"/>
      <c r="L6550" s="89"/>
      <c r="M6550" s="89"/>
      <c r="Q6550" s="105"/>
    </row>
    <row r="6551" spans="3:17" x14ac:dyDescent="0.3">
      <c r="C6551" s="87"/>
      <c r="H6551" s="86" t="e">
        <f>IF(I6551="fora",0%,G6551/QUÓRUM!$C$6)</f>
        <v>#DIV/0!</v>
      </c>
      <c r="I6551" s="87"/>
      <c r="J6551" s="88"/>
      <c r="K6551" s="88"/>
      <c r="L6551" s="89"/>
      <c r="M6551" s="89"/>
      <c r="Q6551" s="105"/>
    </row>
    <row r="6552" spans="3:17" x14ac:dyDescent="0.3">
      <c r="C6552" s="87"/>
      <c r="H6552" s="86" t="e">
        <f>IF(I6552="fora",0%,G6552/QUÓRUM!$C$6)</f>
        <v>#DIV/0!</v>
      </c>
      <c r="I6552" s="87"/>
      <c r="J6552" s="88"/>
      <c r="K6552" s="88"/>
      <c r="L6552" s="89"/>
      <c r="M6552" s="89"/>
      <c r="Q6552" s="105"/>
    </row>
    <row r="6553" spans="3:17" x14ac:dyDescent="0.3">
      <c r="C6553" s="87"/>
      <c r="H6553" s="86" t="e">
        <f>IF(I6553="fora",0%,G6553/QUÓRUM!$C$6)</f>
        <v>#DIV/0!</v>
      </c>
      <c r="I6553" s="87"/>
      <c r="J6553" s="88"/>
      <c r="K6553" s="88"/>
      <c r="L6553" s="89"/>
      <c r="M6553" s="89"/>
      <c r="Q6553" s="105"/>
    </row>
    <row r="6554" spans="3:17" x14ac:dyDescent="0.3">
      <c r="C6554" s="87"/>
      <c r="H6554" s="86" t="e">
        <f>IF(I6554="fora",0%,G6554/QUÓRUM!$C$6)</f>
        <v>#DIV/0!</v>
      </c>
      <c r="I6554" s="87"/>
      <c r="J6554" s="88"/>
      <c r="K6554" s="88"/>
      <c r="L6554" s="89"/>
      <c r="M6554" s="89"/>
      <c r="Q6554" s="105"/>
    </row>
    <row r="6555" spans="3:17" x14ac:dyDescent="0.3">
      <c r="C6555" s="87"/>
      <c r="H6555" s="86" t="e">
        <f>IF(I6555="fora",0%,G6555/QUÓRUM!$C$6)</f>
        <v>#DIV/0!</v>
      </c>
      <c r="I6555" s="87"/>
      <c r="J6555" s="88"/>
      <c r="K6555" s="88"/>
      <c r="L6555" s="89"/>
      <c r="M6555" s="89"/>
      <c r="Q6555" s="105"/>
    </row>
    <row r="6556" spans="3:17" x14ac:dyDescent="0.3">
      <c r="C6556" s="87"/>
      <c r="H6556" s="86" t="e">
        <f>IF(I6556="fora",0%,G6556/QUÓRUM!$C$6)</f>
        <v>#DIV/0!</v>
      </c>
      <c r="I6556" s="87"/>
      <c r="J6556" s="88"/>
      <c r="K6556" s="88"/>
      <c r="L6556" s="89"/>
      <c r="M6556" s="89"/>
      <c r="Q6556" s="105"/>
    </row>
    <row r="6557" spans="3:17" x14ac:dyDescent="0.3">
      <c r="C6557" s="87"/>
      <c r="H6557" s="86" t="e">
        <f>IF(I6557="fora",0%,G6557/QUÓRUM!$C$6)</f>
        <v>#DIV/0!</v>
      </c>
      <c r="I6557" s="87"/>
      <c r="J6557" s="88"/>
      <c r="K6557" s="88"/>
      <c r="L6557" s="89"/>
      <c r="M6557" s="89"/>
      <c r="Q6557" s="105"/>
    </row>
    <row r="6558" spans="3:17" x14ac:dyDescent="0.3">
      <c r="C6558" s="87"/>
      <c r="H6558" s="86" t="e">
        <f>IF(I6558="fora",0%,G6558/QUÓRUM!$C$6)</f>
        <v>#DIV/0!</v>
      </c>
      <c r="I6558" s="87"/>
      <c r="J6558" s="88"/>
      <c r="K6558" s="88"/>
      <c r="L6558" s="89"/>
      <c r="M6558" s="89"/>
      <c r="Q6558" s="105"/>
    </row>
    <row r="6559" spans="3:17" x14ac:dyDescent="0.3">
      <c r="C6559" s="87"/>
      <c r="H6559" s="86" t="e">
        <f>IF(I6559="fora",0%,G6559/QUÓRUM!$C$6)</f>
        <v>#DIV/0!</v>
      </c>
      <c r="I6559" s="87"/>
      <c r="J6559" s="88"/>
      <c r="K6559" s="88"/>
      <c r="L6559" s="89"/>
      <c r="M6559" s="89"/>
      <c r="Q6559" s="105"/>
    </row>
    <row r="6560" spans="3:17" x14ac:dyDescent="0.3">
      <c r="C6560" s="87"/>
      <c r="H6560" s="86" t="e">
        <f>IF(I6560="fora",0%,G6560/QUÓRUM!$C$6)</f>
        <v>#DIV/0!</v>
      </c>
      <c r="I6560" s="87"/>
      <c r="J6560" s="88"/>
      <c r="K6560" s="88"/>
      <c r="L6560" s="89"/>
      <c r="M6560" s="89"/>
      <c r="Q6560" s="105"/>
    </row>
    <row r="6561" spans="3:17" x14ac:dyDescent="0.3">
      <c r="C6561" s="87"/>
      <c r="H6561" s="86" t="e">
        <f>IF(I6561="fora",0%,G6561/QUÓRUM!$C$6)</f>
        <v>#DIV/0!</v>
      </c>
      <c r="I6561" s="87"/>
      <c r="J6561" s="88"/>
      <c r="K6561" s="88"/>
      <c r="L6561" s="89"/>
      <c r="M6561" s="89"/>
      <c r="Q6561" s="105"/>
    </row>
    <row r="6562" spans="3:17" x14ac:dyDescent="0.3">
      <c r="C6562" s="87"/>
      <c r="H6562" s="86" t="e">
        <f>IF(I6562="fora",0%,G6562/QUÓRUM!$C$6)</f>
        <v>#DIV/0!</v>
      </c>
      <c r="I6562" s="87"/>
      <c r="J6562" s="88"/>
      <c r="K6562" s="88"/>
      <c r="L6562" s="89"/>
      <c r="M6562" s="89"/>
      <c r="Q6562" s="105"/>
    </row>
    <row r="6563" spans="3:17" x14ac:dyDescent="0.3">
      <c r="C6563" s="87"/>
      <c r="H6563" s="86" t="e">
        <f>IF(I6563="fora",0%,G6563/QUÓRUM!$C$6)</f>
        <v>#DIV/0!</v>
      </c>
      <c r="I6563" s="87"/>
      <c r="J6563" s="88"/>
      <c r="K6563" s="88"/>
      <c r="L6563" s="89"/>
      <c r="M6563" s="89"/>
      <c r="Q6563" s="105"/>
    </row>
    <row r="6564" spans="3:17" x14ac:dyDescent="0.3">
      <c r="C6564" s="87"/>
      <c r="H6564" s="86" t="e">
        <f>IF(I6564="fora",0%,G6564/QUÓRUM!$C$6)</f>
        <v>#DIV/0!</v>
      </c>
      <c r="I6564" s="87"/>
      <c r="J6564" s="88"/>
      <c r="K6564" s="88"/>
      <c r="L6564" s="89"/>
      <c r="M6564" s="89"/>
      <c r="Q6564" s="105"/>
    </row>
    <row r="6565" spans="3:17" x14ac:dyDescent="0.3">
      <c r="C6565" s="87"/>
      <c r="H6565" s="86" t="e">
        <f>IF(I6565="fora",0%,G6565/QUÓRUM!$C$6)</f>
        <v>#DIV/0!</v>
      </c>
      <c r="I6565" s="87"/>
      <c r="J6565" s="88"/>
      <c r="K6565" s="88"/>
      <c r="L6565" s="89"/>
      <c r="M6565" s="89"/>
      <c r="Q6565" s="105"/>
    </row>
    <row r="6566" spans="3:17" x14ac:dyDescent="0.3">
      <c r="C6566" s="87"/>
      <c r="H6566" s="86" t="e">
        <f>IF(I6566="fora",0%,G6566/QUÓRUM!$C$6)</f>
        <v>#DIV/0!</v>
      </c>
      <c r="I6566" s="87"/>
      <c r="J6566" s="88"/>
      <c r="K6566" s="88"/>
      <c r="L6566" s="89"/>
      <c r="M6566" s="89"/>
      <c r="Q6566" s="105"/>
    </row>
    <row r="6567" spans="3:17" x14ac:dyDescent="0.3">
      <c r="C6567" s="87"/>
      <c r="H6567" s="86" t="e">
        <f>IF(I6567="fora",0%,G6567/QUÓRUM!$C$6)</f>
        <v>#DIV/0!</v>
      </c>
      <c r="I6567" s="87"/>
      <c r="J6567" s="88"/>
      <c r="K6567" s="88"/>
      <c r="L6567" s="89"/>
      <c r="M6567" s="89"/>
      <c r="Q6567" s="105"/>
    </row>
    <row r="6568" spans="3:17" x14ac:dyDescent="0.3">
      <c r="C6568" s="87"/>
      <c r="H6568" s="86" t="e">
        <f>IF(I6568="fora",0%,G6568/QUÓRUM!$C$6)</f>
        <v>#DIV/0!</v>
      </c>
      <c r="I6568" s="87"/>
      <c r="J6568" s="88"/>
      <c r="K6568" s="88"/>
      <c r="L6568" s="89"/>
      <c r="M6568" s="89"/>
      <c r="Q6568" s="105"/>
    </row>
    <row r="6569" spans="3:17" x14ac:dyDescent="0.3">
      <c r="C6569" s="87"/>
      <c r="H6569" s="86" t="e">
        <f>IF(I6569="fora",0%,G6569/QUÓRUM!$C$6)</f>
        <v>#DIV/0!</v>
      </c>
      <c r="I6569" s="87"/>
      <c r="J6569" s="88"/>
      <c r="K6569" s="88"/>
      <c r="L6569" s="89"/>
      <c r="M6569" s="89"/>
      <c r="Q6569" s="105"/>
    </row>
    <row r="6570" spans="3:17" x14ac:dyDescent="0.3">
      <c r="C6570" s="87"/>
      <c r="H6570" s="86" t="e">
        <f>IF(I6570="fora",0%,G6570/QUÓRUM!$C$6)</f>
        <v>#DIV/0!</v>
      </c>
      <c r="I6570" s="87"/>
      <c r="J6570" s="88"/>
      <c r="K6570" s="88"/>
      <c r="L6570" s="89"/>
      <c r="M6570" s="89"/>
      <c r="Q6570" s="105"/>
    </row>
    <row r="6571" spans="3:17" x14ac:dyDescent="0.3">
      <c r="C6571" s="87"/>
      <c r="H6571" s="86" t="e">
        <f>IF(I6571="fora",0%,G6571/QUÓRUM!$C$6)</f>
        <v>#DIV/0!</v>
      </c>
      <c r="I6571" s="87"/>
      <c r="J6571" s="88"/>
      <c r="K6571" s="88"/>
      <c r="L6571" s="89"/>
      <c r="M6571" s="89"/>
      <c r="Q6571" s="105"/>
    </row>
    <row r="6572" spans="3:17" x14ac:dyDescent="0.3">
      <c r="C6572" s="87"/>
      <c r="H6572" s="86" t="e">
        <f>IF(I6572="fora",0%,G6572/QUÓRUM!$C$6)</f>
        <v>#DIV/0!</v>
      </c>
      <c r="I6572" s="87"/>
      <c r="J6572" s="88"/>
      <c r="K6572" s="88"/>
      <c r="L6572" s="89"/>
      <c r="M6572" s="89"/>
      <c r="Q6572" s="105"/>
    </row>
    <row r="6573" spans="3:17" x14ac:dyDescent="0.3">
      <c r="C6573" s="87"/>
      <c r="H6573" s="86" t="e">
        <f>IF(I6573="fora",0%,G6573/QUÓRUM!$C$6)</f>
        <v>#DIV/0!</v>
      </c>
      <c r="I6573" s="87"/>
      <c r="J6573" s="88"/>
      <c r="K6573" s="88"/>
      <c r="L6573" s="89"/>
      <c r="M6573" s="89"/>
      <c r="Q6573" s="105"/>
    </row>
    <row r="6574" spans="3:17" x14ac:dyDescent="0.3">
      <c r="C6574" s="87"/>
      <c r="H6574" s="86" t="e">
        <f>IF(I6574="fora",0%,G6574/QUÓRUM!$C$6)</f>
        <v>#DIV/0!</v>
      </c>
      <c r="I6574" s="87"/>
      <c r="J6574" s="88"/>
      <c r="K6574" s="88"/>
      <c r="L6574" s="89"/>
      <c r="M6574" s="89"/>
      <c r="Q6574" s="105"/>
    </row>
    <row r="6575" spans="3:17" x14ac:dyDescent="0.3">
      <c r="C6575" s="87"/>
      <c r="H6575" s="86" t="e">
        <f>IF(I6575="fora",0%,G6575/QUÓRUM!$C$6)</f>
        <v>#DIV/0!</v>
      </c>
      <c r="I6575" s="87"/>
      <c r="J6575" s="88"/>
      <c r="K6575" s="88"/>
      <c r="L6575" s="89"/>
      <c r="M6575" s="89"/>
      <c r="Q6575" s="105"/>
    </row>
    <row r="6576" spans="3:17" x14ac:dyDescent="0.3">
      <c r="C6576" s="87"/>
      <c r="H6576" s="86" t="e">
        <f>IF(I6576="fora",0%,G6576/QUÓRUM!$C$6)</f>
        <v>#DIV/0!</v>
      </c>
      <c r="I6576" s="87"/>
      <c r="J6576" s="88"/>
      <c r="K6576" s="88"/>
      <c r="L6576" s="89"/>
      <c r="M6576" s="89"/>
      <c r="Q6576" s="105"/>
    </row>
    <row r="6577" spans="3:17" x14ac:dyDescent="0.3">
      <c r="C6577" s="87"/>
      <c r="H6577" s="86" t="e">
        <f>IF(I6577="fora",0%,G6577/QUÓRUM!$C$6)</f>
        <v>#DIV/0!</v>
      </c>
      <c r="I6577" s="87"/>
      <c r="J6577" s="88"/>
      <c r="K6577" s="88"/>
      <c r="L6577" s="89"/>
      <c r="M6577" s="89"/>
      <c r="Q6577" s="105"/>
    </row>
    <row r="6578" spans="3:17" x14ac:dyDescent="0.3">
      <c r="C6578" s="87"/>
      <c r="H6578" s="86" t="e">
        <f>IF(I6578="fora",0%,G6578/QUÓRUM!$C$6)</f>
        <v>#DIV/0!</v>
      </c>
      <c r="I6578" s="87"/>
      <c r="J6578" s="88"/>
      <c r="K6578" s="88"/>
      <c r="L6578" s="89"/>
      <c r="M6578" s="89"/>
      <c r="Q6578" s="105"/>
    </row>
    <row r="6579" spans="3:17" x14ac:dyDescent="0.3">
      <c r="C6579" s="87"/>
      <c r="H6579" s="86" t="e">
        <f>IF(I6579="fora",0%,G6579/QUÓRUM!$C$6)</f>
        <v>#DIV/0!</v>
      </c>
      <c r="I6579" s="87"/>
      <c r="J6579" s="88"/>
      <c r="K6579" s="88"/>
      <c r="L6579" s="89"/>
      <c r="M6579" s="89"/>
      <c r="Q6579" s="105"/>
    </row>
    <row r="6580" spans="3:17" x14ac:dyDescent="0.3">
      <c r="C6580" s="87"/>
      <c r="H6580" s="86" t="e">
        <f>IF(I6580="fora",0%,G6580/QUÓRUM!$C$6)</f>
        <v>#DIV/0!</v>
      </c>
      <c r="I6580" s="87"/>
      <c r="J6580" s="88"/>
      <c r="K6580" s="88"/>
      <c r="L6580" s="89"/>
      <c r="M6580" s="89"/>
      <c r="Q6580" s="105"/>
    </row>
    <row r="6581" spans="3:17" x14ac:dyDescent="0.3">
      <c r="C6581" s="87"/>
      <c r="H6581" s="86" t="e">
        <f>IF(I6581="fora",0%,G6581/QUÓRUM!$C$6)</f>
        <v>#DIV/0!</v>
      </c>
      <c r="I6581" s="87"/>
      <c r="J6581" s="88"/>
      <c r="K6581" s="88"/>
      <c r="L6581" s="89"/>
      <c r="M6581" s="89"/>
      <c r="Q6581" s="105"/>
    </row>
    <row r="6582" spans="3:17" x14ac:dyDescent="0.3">
      <c r="C6582" s="87"/>
      <c r="H6582" s="86" t="e">
        <f>IF(I6582="fora",0%,G6582/QUÓRUM!$C$6)</f>
        <v>#DIV/0!</v>
      </c>
      <c r="I6582" s="87"/>
      <c r="J6582" s="88"/>
      <c r="K6582" s="88"/>
      <c r="L6582" s="89"/>
      <c r="M6582" s="89"/>
      <c r="Q6582" s="105"/>
    </row>
    <row r="6583" spans="3:17" x14ac:dyDescent="0.3">
      <c r="C6583" s="87"/>
      <c r="H6583" s="86" t="e">
        <f>IF(I6583="fora",0%,G6583/QUÓRUM!$C$6)</f>
        <v>#DIV/0!</v>
      </c>
      <c r="I6583" s="87"/>
      <c r="J6583" s="88"/>
      <c r="K6583" s="88"/>
      <c r="L6583" s="89"/>
      <c r="M6583" s="89"/>
      <c r="Q6583" s="105"/>
    </row>
    <row r="6584" spans="3:17" x14ac:dyDescent="0.3">
      <c r="C6584" s="87"/>
      <c r="H6584" s="86" t="e">
        <f>IF(I6584="fora",0%,G6584/QUÓRUM!$C$6)</f>
        <v>#DIV/0!</v>
      </c>
      <c r="I6584" s="87"/>
      <c r="J6584" s="88"/>
      <c r="K6584" s="88"/>
      <c r="L6584" s="89"/>
      <c r="M6584" s="89"/>
      <c r="Q6584" s="105"/>
    </row>
    <row r="6585" spans="3:17" x14ac:dyDescent="0.3">
      <c r="C6585" s="87"/>
      <c r="H6585" s="86" t="e">
        <f>IF(I6585="fora",0%,G6585/QUÓRUM!$C$6)</f>
        <v>#DIV/0!</v>
      </c>
      <c r="I6585" s="87"/>
      <c r="J6585" s="88"/>
      <c r="K6585" s="88"/>
      <c r="L6585" s="89"/>
      <c r="M6585" s="89"/>
      <c r="Q6585" s="105"/>
    </row>
    <row r="6586" spans="3:17" x14ac:dyDescent="0.3">
      <c r="C6586" s="87"/>
      <c r="H6586" s="86" t="e">
        <f>IF(I6586="fora",0%,G6586/QUÓRUM!$C$6)</f>
        <v>#DIV/0!</v>
      </c>
      <c r="I6586" s="87"/>
      <c r="J6586" s="88"/>
      <c r="K6586" s="88"/>
      <c r="L6586" s="89"/>
      <c r="M6586" s="89"/>
      <c r="Q6586" s="105"/>
    </row>
    <row r="6587" spans="3:17" x14ac:dyDescent="0.3">
      <c r="C6587" s="87"/>
      <c r="H6587" s="86" t="e">
        <f>IF(I6587="fora",0%,G6587/QUÓRUM!$C$6)</f>
        <v>#DIV/0!</v>
      </c>
      <c r="I6587" s="87"/>
      <c r="J6587" s="88"/>
      <c r="K6587" s="88"/>
      <c r="L6587" s="89"/>
      <c r="M6587" s="89"/>
      <c r="Q6587" s="105"/>
    </row>
    <row r="6588" spans="3:17" x14ac:dyDescent="0.3">
      <c r="C6588" s="87"/>
      <c r="H6588" s="86" t="e">
        <f>IF(I6588="fora",0%,G6588/QUÓRUM!$C$6)</f>
        <v>#DIV/0!</v>
      </c>
      <c r="I6588" s="87"/>
      <c r="J6588" s="88"/>
      <c r="K6588" s="88"/>
      <c r="L6588" s="89"/>
      <c r="M6588" s="89"/>
      <c r="Q6588" s="105"/>
    </row>
    <row r="6589" spans="3:17" x14ac:dyDescent="0.3">
      <c r="C6589" s="87"/>
      <c r="H6589" s="86" t="e">
        <f>IF(I6589="fora",0%,G6589/QUÓRUM!$C$6)</f>
        <v>#DIV/0!</v>
      </c>
      <c r="I6589" s="87"/>
      <c r="J6589" s="88"/>
      <c r="K6589" s="88"/>
      <c r="L6589" s="89"/>
      <c r="M6589" s="89"/>
      <c r="Q6589" s="105"/>
    </row>
    <row r="6590" spans="3:17" x14ac:dyDescent="0.3">
      <c r="C6590" s="87"/>
      <c r="H6590" s="86" t="e">
        <f>IF(I6590="fora",0%,G6590/QUÓRUM!$C$6)</f>
        <v>#DIV/0!</v>
      </c>
      <c r="I6590" s="87"/>
      <c r="J6590" s="88"/>
      <c r="K6590" s="88"/>
      <c r="L6590" s="89"/>
      <c r="M6590" s="89"/>
      <c r="Q6590" s="105"/>
    </row>
    <row r="6591" spans="3:17" x14ac:dyDescent="0.3">
      <c r="C6591" s="87"/>
      <c r="H6591" s="86" t="e">
        <f>IF(I6591="fora",0%,G6591/QUÓRUM!$C$6)</f>
        <v>#DIV/0!</v>
      </c>
      <c r="I6591" s="87"/>
      <c r="J6591" s="88"/>
      <c r="K6591" s="88"/>
      <c r="L6591" s="89"/>
      <c r="M6591" s="89"/>
      <c r="Q6591" s="105"/>
    </row>
    <row r="6592" spans="3:17" x14ac:dyDescent="0.3">
      <c r="C6592" s="87"/>
      <c r="H6592" s="86" t="e">
        <f>IF(I6592="fora",0%,G6592/QUÓRUM!$C$6)</f>
        <v>#DIV/0!</v>
      </c>
      <c r="I6592" s="87"/>
      <c r="J6592" s="88"/>
      <c r="K6592" s="88"/>
      <c r="L6592" s="89"/>
      <c r="M6592" s="89"/>
      <c r="Q6592" s="105"/>
    </row>
    <row r="6593" spans="3:17" x14ac:dyDescent="0.3">
      <c r="C6593" s="87"/>
      <c r="H6593" s="86" t="e">
        <f>IF(I6593="fora",0%,G6593/QUÓRUM!$C$6)</f>
        <v>#DIV/0!</v>
      </c>
      <c r="I6593" s="87"/>
      <c r="J6593" s="88"/>
      <c r="K6593" s="88"/>
      <c r="L6593" s="89"/>
      <c r="M6593" s="89"/>
      <c r="Q6593" s="105"/>
    </row>
    <row r="6594" spans="3:17" x14ac:dyDescent="0.3">
      <c r="C6594" s="87"/>
      <c r="H6594" s="86" t="e">
        <f>IF(I6594="fora",0%,G6594/QUÓRUM!$C$6)</f>
        <v>#DIV/0!</v>
      </c>
      <c r="I6594" s="87"/>
      <c r="J6594" s="88"/>
      <c r="K6594" s="88"/>
      <c r="L6594" s="89"/>
      <c r="M6594" s="89"/>
      <c r="Q6594" s="105"/>
    </row>
    <row r="6595" spans="3:17" x14ac:dyDescent="0.3">
      <c r="C6595" s="87"/>
      <c r="H6595" s="86" t="e">
        <f>IF(I6595="fora",0%,G6595/QUÓRUM!$C$6)</f>
        <v>#DIV/0!</v>
      </c>
      <c r="I6595" s="87"/>
      <c r="J6595" s="88"/>
      <c r="K6595" s="88"/>
      <c r="L6595" s="89"/>
      <c r="M6595" s="89"/>
      <c r="Q6595" s="105"/>
    </row>
    <row r="6596" spans="3:17" x14ac:dyDescent="0.3">
      <c r="C6596" s="87"/>
      <c r="H6596" s="86" t="e">
        <f>IF(I6596="fora",0%,G6596/QUÓRUM!$C$6)</f>
        <v>#DIV/0!</v>
      </c>
      <c r="I6596" s="87"/>
      <c r="J6596" s="88"/>
      <c r="K6596" s="88"/>
      <c r="L6596" s="89"/>
      <c r="M6596" s="89"/>
      <c r="Q6596" s="105"/>
    </row>
    <row r="6597" spans="3:17" x14ac:dyDescent="0.3">
      <c r="C6597" s="87"/>
      <c r="H6597" s="86" t="e">
        <f>IF(I6597="fora",0%,G6597/QUÓRUM!$C$6)</f>
        <v>#DIV/0!</v>
      </c>
      <c r="I6597" s="87"/>
      <c r="J6597" s="88"/>
      <c r="K6597" s="88"/>
      <c r="L6597" s="89"/>
      <c r="M6597" s="89"/>
      <c r="Q6597" s="105"/>
    </row>
    <row r="6598" spans="3:17" x14ac:dyDescent="0.3">
      <c r="C6598" s="87"/>
      <c r="H6598" s="86" t="e">
        <f>IF(I6598="fora",0%,G6598/QUÓRUM!$C$6)</f>
        <v>#DIV/0!</v>
      </c>
      <c r="I6598" s="87"/>
      <c r="J6598" s="88"/>
      <c r="K6598" s="88"/>
      <c r="L6598" s="89"/>
      <c r="M6598" s="89"/>
      <c r="Q6598" s="105"/>
    </row>
    <row r="6599" spans="3:17" x14ac:dyDescent="0.3">
      <c r="C6599" s="87"/>
      <c r="H6599" s="86" t="e">
        <f>IF(I6599="fora",0%,G6599/QUÓRUM!$C$6)</f>
        <v>#DIV/0!</v>
      </c>
      <c r="I6599" s="87"/>
      <c r="J6599" s="88"/>
      <c r="K6599" s="88"/>
      <c r="L6599" s="89"/>
      <c r="M6599" s="89"/>
      <c r="Q6599" s="105"/>
    </row>
    <row r="6600" spans="3:17" x14ac:dyDescent="0.3">
      <c r="C6600" s="87"/>
      <c r="H6600" s="86" t="e">
        <f>IF(I6600="fora",0%,G6600/QUÓRUM!$C$6)</f>
        <v>#DIV/0!</v>
      </c>
      <c r="I6600" s="87"/>
      <c r="J6600" s="88"/>
      <c r="K6600" s="88"/>
      <c r="L6600" s="89"/>
      <c r="M6600" s="89"/>
      <c r="Q6600" s="105"/>
    </row>
    <row r="6601" spans="3:17" x14ac:dyDescent="0.3">
      <c r="C6601" s="87"/>
      <c r="H6601" s="86" t="e">
        <f>IF(I6601="fora",0%,G6601/QUÓRUM!$C$6)</f>
        <v>#DIV/0!</v>
      </c>
      <c r="I6601" s="87"/>
      <c r="J6601" s="88"/>
      <c r="K6601" s="88"/>
      <c r="L6601" s="89"/>
      <c r="M6601" s="89"/>
      <c r="Q6601" s="105"/>
    </row>
    <row r="6602" spans="3:17" x14ac:dyDescent="0.3">
      <c r="C6602" s="87"/>
      <c r="H6602" s="86" t="e">
        <f>IF(I6602="fora",0%,G6602/QUÓRUM!$C$6)</f>
        <v>#DIV/0!</v>
      </c>
      <c r="I6602" s="87"/>
      <c r="J6602" s="88"/>
      <c r="K6602" s="88"/>
      <c r="L6602" s="89"/>
      <c r="M6602" s="89"/>
      <c r="Q6602" s="105"/>
    </row>
    <row r="6603" spans="3:17" x14ac:dyDescent="0.3">
      <c r="C6603" s="87"/>
      <c r="H6603" s="86" t="e">
        <f>IF(I6603="fora",0%,G6603/QUÓRUM!$C$6)</f>
        <v>#DIV/0!</v>
      </c>
      <c r="I6603" s="87"/>
      <c r="J6603" s="88"/>
      <c r="K6603" s="88"/>
      <c r="L6603" s="89"/>
      <c r="M6603" s="89"/>
      <c r="Q6603" s="105"/>
    </row>
    <row r="6604" spans="3:17" x14ac:dyDescent="0.3">
      <c r="C6604" s="87"/>
      <c r="H6604" s="86" t="e">
        <f>IF(I6604="fora",0%,G6604/QUÓRUM!$C$6)</f>
        <v>#DIV/0!</v>
      </c>
      <c r="I6604" s="87"/>
      <c r="J6604" s="88"/>
      <c r="K6604" s="88"/>
      <c r="L6604" s="89"/>
      <c r="M6604" s="89"/>
      <c r="Q6604" s="105"/>
    </row>
    <row r="6605" spans="3:17" x14ac:dyDescent="0.3">
      <c r="C6605" s="87"/>
      <c r="H6605" s="86" t="e">
        <f>IF(I6605="fora",0%,G6605/QUÓRUM!$C$6)</f>
        <v>#DIV/0!</v>
      </c>
      <c r="I6605" s="87"/>
      <c r="J6605" s="88"/>
      <c r="K6605" s="88"/>
      <c r="L6605" s="89"/>
      <c r="M6605" s="89"/>
      <c r="Q6605" s="105"/>
    </row>
    <row r="6606" spans="3:17" x14ac:dyDescent="0.3">
      <c r="C6606" s="87"/>
      <c r="H6606" s="86" t="e">
        <f>IF(I6606="fora",0%,G6606/QUÓRUM!$C$6)</f>
        <v>#DIV/0!</v>
      </c>
      <c r="I6606" s="87"/>
      <c r="J6606" s="88"/>
      <c r="K6606" s="88"/>
      <c r="L6606" s="89"/>
      <c r="M6606" s="89"/>
      <c r="Q6606" s="105"/>
    </row>
    <row r="6607" spans="3:17" x14ac:dyDescent="0.3">
      <c r="C6607" s="87"/>
      <c r="H6607" s="86" t="e">
        <f>IF(I6607="fora",0%,G6607/QUÓRUM!$C$6)</f>
        <v>#DIV/0!</v>
      </c>
      <c r="I6607" s="87"/>
      <c r="J6607" s="88"/>
      <c r="K6607" s="88"/>
      <c r="L6607" s="89"/>
      <c r="M6607" s="89"/>
      <c r="Q6607" s="105"/>
    </row>
    <row r="6608" spans="3:17" x14ac:dyDescent="0.3">
      <c r="C6608" s="87"/>
      <c r="H6608" s="86" t="e">
        <f>IF(I6608="fora",0%,G6608/QUÓRUM!$C$6)</f>
        <v>#DIV/0!</v>
      </c>
      <c r="I6608" s="87"/>
      <c r="J6608" s="88"/>
      <c r="K6608" s="88"/>
      <c r="L6608" s="89"/>
      <c r="M6608" s="89"/>
      <c r="Q6608" s="105"/>
    </row>
    <row r="6609" spans="3:17" x14ac:dyDescent="0.3">
      <c r="C6609" s="87"/>
      <c r="H6609" s="86" t="e">
        <f>IF(I6609="fora",0%,G6609/QUÓRUM!$C$6)</f>
        <v>#DIV/0!</v>
      </c>
      <c r="I6609" s="87"/>
      <c r="J6609" s="88"/>
      <c r="K6609" s="88"/>
      <c r="L6609" s="89"/>
      <c r="M6609" s="89"/>
      <c r="Q6609" s="105"/>
    </row>
    <row r="6610" spans="3:17" x14ac:dyDescent="0.3">
      <c r="C6610" s="87"/>
      <c r="H6610" s="86" t="e">
        <f>IF(I6610="fora",0%,G6610/QUÓRUM!$C$6)</f>
        <v>#DIV/0!</v>
      </c>
      <c r="I6610" s="87"/>
      <c r="J6610" s="88"/>
      <c r="K6610" s="88"/>
      <c r="L6610" s="89"/>
      <c r="M6610" s="89"/>
      <c r="Q6610" s="105"/>
    </row>
    <row r="6611" spans="3:17" x14ac:dyDescent="0.3">
      <c r="C6611" s="87"/>
      <c r="H6611" s="86" t="e">
        <f>IF(I6611="fora",0%,G6611/QUÓRUM!$C$6)</f>
        <v>#DIV/0!</v>
      </c>
      <c r="I6611" s="87"/>
      <c r="J6611" s="88"/>
      <c r="K6611" s="88"/>
      <c r="L6611" s="89"/>
      <c r="M6611" s="89"/>
      <c r="Q6611" s="105"/>
    </row>
    <row r="6612" spans="3:17" x14ac:dyDescent="0.3">
      <c r="C6612" s="87"/>
      <c r="H6612" s="86" t="e">
        <f>IF(I6612="fora",0%,G6612/QUÓRUM!$C$6)</f>
        <v>#DIV/0!</v>
      </c>
      <c r="I6612" s="87"/>
      <c r="J6612" s="88"/>
      <c r="K6612" s="88"/>
      <c r="L6612" s="89"/>
      <c r="M6612" s="89"/>
      <c r="Q6612" s="105"/>
    </row>
    <row r="6613" spans="3:17" x14ac:dyDescent="0.3">
      <c r="C6613" s="87"/>
      <c r="H6613" s="86" t="e">
        <f>IF(I6613="fora",0%,G6613/QUÓRUM!$C$6)</f>
        <v>#DIV/0!</v>
      </c>
      <c r="I6613" s="87"/>
      <c r="J6613" s="88"/>
      <c r="K6613" s="88"/>
      <c r="L6613" s="89"/>
      <c r="M6613" s="89"/>
      <c r="Q6613" s="105"/>
    </row>
    <row r="6614" spans="3:17" x14ac:dyDescent="0.3">
      <c r="C6614" s="87"/>
      <c r="H6614" s="86" t="e">
        <f>IF(I6614="fora",0%,G6614/QUÓRUM!$C$6)</f>
        <v>#DIV/0!</v>
      </c>
      <c r="I6614" s="87"/>
      <c r="J6614" s="88"/>
      <c r="K6614" s="88"/>
      <c r="L6614" s="89"/>
      <c r="M6614" s="89"/>
      <c r="Q6614" s="105"/>
    </row>
    <row r="6615" spans="3:17" x14ac:dyDescent="0.3">
      <c r="C6615" s="87"/>
      <c r="H6615" s="86" t="e">
        <f>IF(I6615="fora",0%,G6615/QUÓRUM!$C$6)</f>
        <v>#DIV/0!</v>
      </c>
      <c r="I6615" s="87"/>
      <c r="J6615" s="88"/>
      <c r="K6615" s="88"/>
      <c r="L6615" s="89"/>
      <c r="M6615" s="89"/>
      <c r="Q6615" s="105"/>
    </row>
    <row r="6616" spans="3:17" x14ac:dyDescent="0.3">
      <c r="C6616" s="87"/>
      <c r="H6616" s="86" t="e">
        <f>IF(I6616="fora",0%,G6616/QUÓRUM!$C$6)</f>
        <v>#DIV/0!</v>
      </c>
      <c r="I6616" s="87"/>
      <c r="J6616" s="88"/>
      <c r="K6616" s="88"/>
      <c r="L6616" s="89"/>
      <c r="M6616" s="89"/>
      <c r="Q6616" s="105"/>
    </row>
    <row r="6617" spans="3:17" x14ac:dyDescent="0.3">
      <c r="C6617" s="87"/>
      <c r="H6617" s="86" t="e">
        <f>IF(I6617="fora",0%,G6617/QUÓRUM!$C$6)</f>
        <v>#DIV/0!</v>
      </c>
      <c r="I6617" s="87"/>
      <c r="J6617" s="88"/>
      <c r="K6617" s="88"/>
      <c r="L6617" s="89"/>
      <c r="M6617" s="89"/>
      <c r="Q6617" s="105"/>
    </row>
    <row r="6618" spans="3:17" x14ac:dyDescent="0.3">
      <c r="C6618" s="87"/>
      <c r="H6618" s="86" t="e">
        <f>IF(I6618="fora",0%,G6618/QUÓRUM!$C$6)</f>
        <v>#DIV/0!</v>
      </c>
      <c r="I6618" s="87"/>
      <c r="J6618" s="88"/>
      <c r="K6618" s="88"/>
      <c r="L6618" s="89"/>
      <c r="M6618" s="89"/>
      <c r="Q6618" s="105"/>
    </row>
    <row r="6619" spans="3:17" x14ac:dyDescent="0.3">
      <c r="C6619" s="87"/>
      <c r="H6619" s="86" t="e">
        <f>IF(I6619="fora",0%,G6619/QUÓRUM!$C$6)</f>
        <v>#DIV/0!</v>
      </c>
      <c r="I6619" s="87"/>
      <c r="J6619" s="88"/>
      <c r="K6619" s="88"/>
      <c r="L6619" s="89"/>
      <c r="M6619" s="89"/>
      <c r="Q6619" s="105"/>
    </row>
    <row r="6620" spans="3:17" x14ac:dyDescent="0.3">
      <c r="C6620" s="87"/>
      <c r="H6620" s="86" t="e">
        <f>IF(I6620="fora",0%,G6620/QUÓRUM!$C$6)</f>
        <v>#DIV/0!</v>
      </c>
      <c r="I6620" s="87"/>
      <c r="J6620" s="88"/>
      <c r="K6620" s="88"/>
      <c r="L6620" s="89"/>
      <c r="M6620" s="89"/>
      <c r="Q6620" s="105"/>
    </row>
    <row r="6621" spans="3:17" x14ac:dyDescent="0.3">
      <c r="C6621" s="87"/>
      <c r="H6621" s="86" t="e">
        <f>IF(I6621="fora",0%,G6621/QUÓRUM!$C$6)</f>
        <v>#DIV/0!</v>
      </c>
      <c r="I6621" s="87"/>
      <c r="J6621" s="88"/>
      <c r="K6621" s="88"/>
      <c r="L6621" s="89"/>
      <c r="M6621" s="89"/>
      <c r="Q6621" s="105"/>
    </row>
    <row r="6622" spans="3:17" x14ac:dyDescent="0.3">
      <c r="C6622" s="87"/>
      <c r="H6622" s="86" t="e">
        <f>IF(I6622="fora",0%,G6622/QUÓRUM!$C$6)</f>
        <v>#DIV/0!</v>
      </c>
      <c r="I6622" s="87"/>
      <c r="J6622" s="88"/>
      <c r="K6622" s="88"/>
      <c r="L6622" s="89"/>
      <c r="M6622" s="89"/>
      <c r="Q6622" s="105"/>
    </row>
    <row r="6623" spans="3:17" x14ac:dyDescent="0.3">
      <c r="C6623" s="87"/>
      <c r="H6623" s="86" t="e">
        <f>IF(I6623="fora",0%,G6623/QUÓRUM!$C$6)</f>
        <v>#DIV/0!</v>
      </c>
      <c r="I6623" s="87"/>
      <c r="J6623" s="88"/>
      <c r="K6623" s="88"/>
      <c r="L6623" s="89"/>
      <c r="M6623" s="89"/>
      <c r="Q6623" s="105"/>
    </row>
    <row r="6624" spans="3:17" x14ac:dyDescent="0.3">
      <c r="C6624" s="87"/>
      <c r="H6624" s="86" t="e">
        <f>IF(I6624="fora",0%,G6624/QUÓRUM!$C$6)</f>
        <v>#DIV/0!</v>
      </c>
      <c r="I6624" s="87"/>
      <c r="J6624" s="88"/>
      <c r="K6624" s="88"/>
      <c r="L6624" s="89"/>
      <c r="M6624" s="89"/>
      <c r="Q6624" s="105"/>
    </row>
    <row r="6625" spans="3:17" x14ac:dyDescent="0.3">
      <c r="C6625" s="87"/>
      <c r="H6625" s="86" t="e">
        <f>IF(I6625="fora",0%,G6625/QUÓRUM!$C$6)</f>
        <v>#DIV/0!</v>
      </c>
      <c r="I6625" s="87"/>
      <c r="J6625" s="88"/>
      <c r="K6625" s="88"/>
      <c r="L6625" s="89"/>
      <c r="M6625" s="89"/>
      <c r="Q6625" s="105"/>
    </row>
    <row r="6626" spans="3:17" x14ac:dyDescent="0.3">
      <c r="C6626" s="87"/>
      <c r="H6626" s="86" t="e">
        <f>IF(I6626="fora",0%,G6626/QUÓRUM!$C$6)</f>
        <v>#DIV/0!</v>
      </c>
      <c r="I6626" s="87"/>
      <c r="J6626" s="88"/>
      <c r="K6626" s="88"/>
      <c r="L6626" s="89"/>
      <c r="M6626" s="89"/>
      <c r="Q6626" s="105"/>
    </row>
    <row r="6627" spans="3:17" x14ac:dyDescent="0.3">
      <c r="C6627" s="87"/>
      <c r="H6627" s="86" t="e">
        <f>IF(I6627="fora",0%,G6627/QUÓRUM!$C$6)</f>
        <v>#DIV/0!</v>
      </c>
      <c r="I6627" s="87"/>
      <c r="J6627" s="88"/>
      <c r="K6627" s="88"/>
      <c r="L6627" s="89"/>
      <c r="M6627" s="89"/>
      <c r="Q6627" s="105"/>
    </row>
    <row r="6628" spans="3:17" x14ac:dyDescent="0.3">
      <c r="C6628" s="87"/>
      <c r="H6628" s="86" t="e">
        <f>IF(I6628="fora",0%,G6628/QUÓRUM!$C$6)</f>
        <v>#DIV/0!</v>
      </c>
      <c r="I6628" s="87"/>
      <c r="J6628" s="88"/>
      <c r="K6628" s="88"/>
      <c r="L6628" s="89"/>
      <c r="M6628" s="89"/>
      <c r="Q6628" s="105"/>
    </row>
    <row r="6629" spans="3:17" x14ac:dyDescent="0.3">
      <c r="C6629" s="87"/>
      <c r="H6629" s="86" t="e">
        <f>IF(I6629="fora",0%,G6629/QUÓRUM!$C$6)</f>
        <v>#DIV/0!</v>
      </c>
      <c r="I6629" s="87"/>
      <c r="J6629" s="88"/>
      <c r="K6629" s="88"/>
      <c r="L6629" s="89"/>
      <c r="M6629" s="89"/>
      <c r="Q6629" s="105"/>
    </row>
    <row r="6630" spans="3:17" x14ac:dyDescent="0.3">
      <c r="C6630" s="87"/>
      <c r="H6630" s="86" t="e">
        <f>IF(I6630="fora",0%,G6630/QUÓRUM!$C$6)</f>
        <v>#DIV/0!</v>
      </c>
      <c r="I6630" s="87"/>
      <c r="J6630" s="88"/>
      <c r="K6630" s="88"/>
      <c r="L6630" s="89"/>
      <c r="M6630" s="89"/>
      <c r="Q6630" s="105"/>
    </row>
    <row r="6631" spans="3:17" x14ac:dyDescent="0.3">
      <c r="C6631" s="87"/>
      <c r="H6631" s="86" t="e">
        <f>IF(I6631="fora",0%,G6631/QUÓRUM!$C$6)</f>
        <v>#DIV/0!</v>
      </c>
      <c r="I6631" s="87"/>
      <c r="J6631" s="88"/>
      <c r="K6631" s="88"/>
      <c r="L6631" s="89"/>
      <c r="M6631" s="89"/>
      <c r="Q6631" s="105"/>
    </row>
    <row r="6632" spans="3:17" x14ac:dyDescent="0.3">
      <c r="C6632" s="87"/>
      <c r="H6632" s="86" t="e">
        <f>IF(I6632="fora",0%,G6632/QUÓRUM!$C$6)</f>
        <v>#DIV/0!</v>
      </c>
      <c r="I6632" s="87"/>
      <c r="J6632" s="88"/>
      <c r="K6632" s="88"/>
      <c r="L6632" s="89"/>
      <c r="M6632" s="89"/>
      <c r="Q6632" s="105"/>
    </row>
    <row r="6633" spans="3:17" x14ac:dyDescent="0.3">
      <c r="C6633" s="87"/>
      <c r="H6633" s="86" t="e">
        <f>IF(I6633="fora",0%,G6633/QUÓRUM!$C$6)</f>
        <v>#DIV/0!</v>
      </c>
      <c r="I6633" s="87"/>
      <c r="J6633" s="88"/>
      <c r="K6633" s="88"/>
      <c r="L6633" s="89"/>
      <c r="M6633" s="89"/>
      <c r="Q6633" s="105"/>
    </row>
    <row r="6634" spans="3:17" x14ac:dyDescent="0.3">
      <c r="C6634" s="87"/>
      <c r="H6634" s="86" t="e">
        <f>IF(I6634="fora",0%,G6634/QUÓRUM!$C$6)</f>
        <v>#DIV/0!</v>
      </c>
      <c r="I6634" s="87"/>
      <c r="J6634" s="88"/>
      <c r="K6634" s="88"/>
      <c r="L6634" s="89"/>
      <c r="M6634" s="89"/>
      <c r="Q6634" s="105"/>
    </row>
    <row r="6635" spans="3:17" x14ac:dyDescent="0.3">
      <c r="C6635" s="87"/>
      <c r="H6635" s="86" t="e">
        <f>IF(I6635="fora",0%,G6635/QUÓRUM!$C$6)</f>
        <v>#DIV/0!</v>
      </c>
      <c r="I6635" s="87"/>
      <c r="J6635" s="88"/>
      <c r="K6635" s="88"/>
      <c r="L6635" s="89"/>
      <c r="M6635" s="89"/>
      <c r="Q6635" s="105"/>
    </row>
    <row r="6636" spans="3:17" x14ac:dyDescent="0.3">
      <c r="C6636" s="87"/>
      <c r="H6636" s="86" t="e">
        <f>IF(I6636="fora",0%,G6636/QUÓRUM!$C$6)</f>
        <v>#DIV/0!</v>
      </c>
      <c r="I6636" s="87"/>
      <c r="J6636" s="88"/>
      <c r="K6636" s="88"/>
      <c r="L6636" s="89"/>
      <c r="M6636" s="89"/>
      <c r="Q6636" s="105"/>
    </row>
    <row r="6637" spans="3:17" x14ac:dyDescent="0.3">
      <c r="C6637" s="87"/>
      <c r="H6637" s="86" t="e">
        <f>IF(I6637="fora",0%,G6637/QUÓRUM!$C$6)</f>
        <v>#DIV/0!</v>
      </c>
      <c r="I6637" s="87"/>
      <c r="J6637" s="88"/>
      <c r="K6637" s="88"/>
      <c r="L6637" s="89"/>
      <c r="M6637" s="89"/>
      <c r="Q6637" s="105"/>
    </row>
    <row r="6638" spans="3:17" x14ac:dyDescent="0.3">
      <c r="C6638" s="87"/>
      <c r="H6638" s="86" t="e">
        <f>IF(I6638="fora",0%,G6638/QUÓRUM!$C$6)</f>
        <v>#DIV/0!</v>
      </c>
      <c r="I6638" s="87"/>
      <c r="J6638" s="88"/>
      <c r="K6638" s="88"/>
      <c r="L6638" s="89"/>
      <c r="M6638" s="89"/>
      <c r="Q6638" s="105"/>
    </row>
    <row r="6639" spans="3:17" x14ac:dyDescent="0.3">
      <c r="C6639" s="87"/>
      <c r="H6639" s="86" t="e">
        <f>IF(I6639="fora",0%,G6639/QUÓRUM!$C$6)</f>
        <v>#DIV/0!</v>
      </c>
      <c r="I6639" s="87"/>
      <c r="J6639" s="88"/>
      <c r="K6639" s="88"/>
      <c r="L6639" s="89"/>
      <c r="M6639" s="89"/>
      <c r="Q6639" s="105"/>
    </row>
    <row r="6640" spans="3:17" x14ac:dyDescent="0.3">
      <c r="C6640" s="87"/>
      <c r="H6640" s="86" t="e">
        <f>IF(I6640="fora",0%,G6640/QUÓRUM!$C$6)</f>
        <v>#DIV/0!</v>
      </c>
      <c r="I6640" s="87"/>
      <c r="J6640" s="88"/>
      <c r="K6640" s="88"/>
      <c r="L6640" s="89"/>
      <c r="M6640" s="89"/>
      <c r="Q6640" s="105"/>
    </row>
    <row r="6641" spans="3:17" x14ac:dyDescent="0.3">
      <c r="C6641" s="87"/>
      <c r="H6641" s="86" t="e">
        <f>IF(I6641="fora",0%,G6641/QUÓRUM!$C$6)</f>
        <v>#DIV/0!</v>
      </c>
      <c r="I6641" s="87"/>
      <c r="J6641" s="88"/>
      <c r="K6641" s="88"/>
      <c r="L6641" s="89"/>
      <c r="M6641" s="89"/>
      <c r="Q6641" s="105"/>
    </row>
    <row r="6642" spans="3:17" x14ac:dyDescent="0.3">
      <c r="C6642" s="87"/>
      <c r="H6642" s="86" t="e">
        <f>IF(I6642="fora",0%,G6642/QUÓRUM!$C$6)</f>
        <v>#DIV/0!</v>
      </c>
      <c r="I6642" s="87"/>
      <c r="J6642" s="88"/>
      <c r="K6642" s="88"/>
      <c r="L6642" s="89"/>
      <c r="M6642" s="89"/>
      <c r="Q6642" s="105"/>
    </row>
    <row r="6643" spans="3:17" x14ac:dyDescent="0.3">
      <c r="C6643" s="87"/>
      <c r="H6643" s="86" t="e">
        <f>IF(I6643="fora",0%,G6643/QUÓRUM!$C$6)</f>
        <v>#DIV/0!</v>
      </c>
      <c r="I6643" s="87"/>
      <c r="J6643" s="88"/>
      <c r="K6643" s="88"/>
      <c r="L6643" s="89"/>
      <c r="M6643" s="89"/>
      <c r="Q6643" s="105"/>
    </row>
    <row r="6644" spans="3:17" x14ac:dyDescent="0.3">
      <c r="C6644" s="87"/>
      <c r="H6644" s="86" t="e">
        <f>IF(I6644="fora",0%,G6644/QUÓRUM!$C$6)</f>
        <v>#DIV/0!</v>
      </c>
      <c r="I6644" s="87"/>
      <c r="J6644" s="88"/>
      <c r="K6644" s="88"/>
      <c r="L6644" s="89"/>
      <c r="M6644" s="89"/>
      <c r="Q6644" s="105"/>
    </row>
    <row r="6645" spans="3:17" x14ac:dyDescent="0.3">
      <c r="C6645" s="87"/>
      <c r="H6645" s="86" t="e">
        <f>IF(I6645="fora",0%,G6645/QUÓRUM!$C$6)</f>
        <v>#DIV/0!</v>
      </c>
      <c r="I6645" s="87"/>
      <c r="J6645" s="88"/>
      <c r="K6645" s="88"/>
      <c r="L6645" s="89"/>
      <c r="M6645" s="89"/>
      <c r="Q6645" s="105"/>
    </row>
    <row r="6646" spans="3:17" x14ac:dyDescent="0.3">
      <c r="C6646" s="87"/>
      <c r="H6646" s="86" t="e">
        <f>IF(I6646="fora",0%,G6646/QUÓRUM!$C$6)</f>
        <v>#DIV/0!</v>
      </c>
      <c r="I6646" s="87"/>
      <c r="J6646" s="88"/>
      <c r="K6646" s="88"/>
      <c r="L6646" s="89"/>
      <c r="M6646" s="89"/>
      <c r="Q6646" s="105"/>
    </row>
    <row r="6647" spans="3:17" x14ac:dyDescent="0.3">
      <c r="C6647" s="87"/>
      <c r="H6647" s="86" t="e">
        <f>IF(I6647="fora",0%,G6647/QUÓRUM!$C$6)</f>
        <v>#DIV/0!</v>
      </c>
      <c r="I6647" s="87"/>
      <c r="J6647" s="88"/>
      <c r="K6647" s="88"/>
      <c r="L6647" s="89"/>
      <c r="M6647" s="89"/>
      <c r="Q6647" s="105"/>
    </row>
    <row r="6648" spans="3:17" x14ac:dyDescent="0.3">
      <c r="C6648" s="87"/>
      <c r="H6648" s="86" t="e">
        <f>IF(I6648="fora",0%,G6648/QUÓRUM!$C$6)</f>
        <v>#DIV/0!</v>
      </c>
      <c r="I6648" s="87"/>
      <c r="J6648" s="88"/>
      <c r="K6648" s="88"/>
      <c r="L6648" s="89"/>
      <c r="M6648" s="89"/>
      <c r="Q6648" s="105"/>
    </row>
    <row r="6649" spans="3:17" x14ac:dyDescent="0.3">
      <c r="C6649" s="87"/>
      <c r="H6649" s="86" t="e">
        <f>IF(I6649="fora",0%,G6649/QUÓRUM!$C$6)</f>
        <v>#DIV/0!</v>
      </c>
      <c r="I6649" s="87"/>
      <c r="J6649" s="88"/>
      <c r="K6649" s="88"/>
      <c r="L6649" s="89"/>
      <c r="M6649" s="89"/>
      <c r="Q6649" s="105"/>
    </row>
    <row r="6650" spans="3:17" x14ac:dyDescent="0.3">
      <c r="C6650" s="87"/>
      <c r="H6650" s="86" t="e">
        <f>IF(I6650="fora",0%,G6650/QUÓRUM!$C$6)</f>
        <v>#DIV/0!</v>
      </c>
      <c r="I6650" s="87"/>
      <c r="J6650" s="88"/>
      <c r="K6650" s="88"/>
      <c r="L6650" s="89"/>
      <c r="M6650" s="89"/>
      <c r="Q6650" s="105"/>
    </row>
    <row r="6651" spans="3:17" x14ac:dyDescent="0.3">
      <c r="C6651" s="87"/>
      <c r="H6651" s="86" t="e">
        <f>IF(I6651="fora",0%,G6651/QUÓRUM!$C$6)</f>
        <v>#DIV/0!</v>
      </c>
      <c r="I6651" s="87"/>
      <c r="J6651" s="88"/>
      <c r="K6651" s="88"/>
      <c r="L6651" s="89"/>
      <c r="M6651" s="89"/>
      <c r="Q6651" s="105"/>
    </row>
    <row r="6652" spans="3:17" x14ac:dyDescent="0.3">
      <c r="C6652" s="87"/>
      <c r="H6652" s="86" t="e">
        <f>IF(I6652="fora",0%,G6652/QUÓRUM!$C$6)</f>
        <v>#DIV/0!</v>
      </c>
      <c r="I6652" s="87"/>
      <c r="J6652" s="88"/>
      <c r="K6652" s="88"/>
      <c r="L6652" s="89"/>
      <c r="M6652" s="89"/>
      <c r="Q6652" s="105"/>
    </row>
    <row r="6653" spans="3:17" x14ac:dyDescent="0.3">
      <c r="C6653" s="87"/>
      <c r="H6653" s="86" t="e">
        <f>IF(I6653="fora",0%,G6653/QUÓRUM!$C$6)</f>
        <v>#DIV/0!</v>
      </c>
      <c r="I6653" s="87"/>
      <c r="J6653" s="88"/>
      <c r="K6653" s="88"/>
      <c r="L6653" s="89"/>
      <c r="M6653" s="89"/>
      <c r="Q6653" s="105"/>
    </row>
    <row r="6654" spans="3:17" x14ac:dyDescent="0.3">
      <c r="C6654" s="87"/>
      <c r="H6654" s="86" t="e">
        <f>IF(I6654="fora",0%,G6654/QUÓRUM!$C$6)</f>
        <v>#DIV/0!</v>
      </c>
      <c r="I6654" s="87"/>
      <c r="J6654" s="88"/>
      <c r="K6654" s="88"/>
      <c r="L6654" s="89"/>
      <c r="M6654" s="89"/>
      <c r="Q6654" s="105"/>
    </row>
    <row r="6655" spans="3:17" x14ac:dyDescent="0.3">
      <c r="C6655" s="87"/>
      <c r="H6655" s="86" t="e">
        <f>IF(I6655="fora",0%,G6655/QUÓRUM!$C$6)</f>
        <v>#DIV/0!</v>
      </c>
      <c r="I6655" s="87"/>
      <c r="J6655" s="88"/>
      <c r="K6655" s="88"/>
      <c r="L6655" s="89"/>
      <c r="M6655" s="89"/>
      <c r="Q6655" s="105"/>
    </row>
    <row r="6656" spans="3:17" x14ac:dyDescent="0.3">
      <c r="C6656" s="87"/>
      <c r="H6656" s="86" t="e">
        <f>IF(I6656="fora",0%,G6656/QUÓRUM!$C$6)</f>
        <v>#DIV/0!</v>
      </c>
      <c r="I6656" s="87"/>
      <c r="J6656" s="88"/>
      <c r="K6656" s="88"/>
      <c r="L6656" s="89"/>
      <c r="M6656" s="89"/>
      <c r="Q6656" s="105"/>
    </row>
    <row r="6657" spans="3:17" x14ac:dyDescent="0.3">
      <c r="C6657" s="87"/>
      <c r="H6657" s="86" t="e">
        <f>IF(I6657="fora",0%,G6657/QUÓRUM!$C$6)</f>
        <v>#DIV/0!</v>
      </c>
      <c r="I6657" s="87"/>
      <c r="J6657" s="88"/>
      <c r="K6657" s="88"/>
      <c r="L6657" s="89"/>
      <c r="M6657" s="89"/>
      <c r="Q6657" s="105"/>
    </row>
    <row r="6658" spans="3:17" x14ac:dyDescent="0.3">
      <c r="C6658" s="87"/>
      <c r="H6658" s="86" t="e">
        <f>IF(I6658="fora",0%,G6658/QUÓRUM!$C$6)</f>
        <v>#DIV/0!</v>
      </c>
      <c r="I6658" s="87"/>
      <c r="J6658" s="88"/>
      <c r="K6658" s="88"/>
      <c r="L6658" s="89"/>
      <c r="M6658" s="89"/>
      <c r="Q6658" s="105"/>
    </row>
    <row r="6659" spans="3:17" x14ac:dyDescent="0.3">
      <c r="C6659" s="87"/>
      <c r="H6659" s="86" t="e">
        <f>IF(I6659="fora",0%,G6659/QUÓRUM!$C$6)</f>
        <v>#DIV/0!</v>
      </c>
      <c r="I6659" s="87"/>
      <c r="J6659" s="88"/>
      <c r="K6659" s="88"/>
      <c r="L6659" s="89"/>
      <c r="M6659" s="89"/>
      <c r="Q6659" s="105"/>
    </row>
    <row r="6660" spans="3:17" x14ac:dyDescent="0.3">
      <c r="C6660" s="87"/>
      <c r="H6660" s="86" t="e">
        <f>IF(I6660="fora",0%,G6660/QUÓRUM!$C$6)</f>
        <v>#DIV/0!</v>
      </c>
      <c r="I6660" s="87"/>
      <c r="J6660" s="88"/>
      <c r="K6660" s="88"/>
      <c r="L6660" s="89"/>
      <c r="M6660" s="89"/>
      <c r="Q6660" s="105"/>
    </row>
    <row r="6661" spans="3:17" x14ac:dyDescent="0.3">
      <c r="C6661" s="87"/>
      <c r="H6661" s="86" t="e">
        <f>IF(I6661="fora",0%,G6661/QUÓRUM!$C$6)</f>
        <v>#DIV/0!</v>
      </c>
      <c r="I6661" s="87"/>
      <c r="J6661" s="88"/>
      <c r="K6661" s="88"/>
      <c r="L6661" s="89"/>
      <c r="M6661" s="89"/>
      <c r="Q6661" s="105"/>
    </row>
    <row r="6662" spans="3:17" x14ac:dyDescent="0.3">
      <c r="C6662" s="87"/>
      <c r="H6662" s="86" t="e">
        <f>IF(I6662="fora",0%,G6662/QUÓRUM!$C$6)</f>
        <v>#DIV/0!</v>
      </c>
      <c r="I6662" s="87"/>
      <c r="J6662" s="88"/>
      <c r="K6662" s="88"/>
      <c r="L6662" s="89"/>
      <c r="M6662" s="89"/>
      <c r="Q6662" s="105"/>
    </row>
    <row r="6663" spans="3:17" x14ac:dyDescent="0.3">
      <c r="C6663" s="87"/>
      <c r="H6663" s="86" t="e">
        <f>IF(I6663="fora",0%,G6663/QUÓRUM!$C$6)</f>
        <v>#DIV/0!</v>
      </c>
      <c r="I6663" s="87"/>
      <c r="J6663" s="88"/>
      <c r="K6663" s="88"/>
      <c r="L6663" s="89"/>
      <c r="M6663" s="89"/>
      <c r="Q6663" s="105"/>
    </row>
    <row r="6664" spans="3:17" x14ac:dyDescent="0.3">
      <c r="C6664" s="87"/>
      <c r="H6664" s="86" t="e">
        <f>IF(I6664="fora",0%,G6664/QUÓRUM!$C$6)</f>
        <v>#DIV/0!</v>
      </c>
      <c r="I6664" s="87"/>
      <c r="J6664" s="88"/>
      <c r="K6664" s="88"/>
      <c r="L6664" s="89"/>
      <c r="M6664" s="89"/>
      <c r="Q6664" s="105"/>
    </row>
    <row r="6665" spans="3:17" x14ac:dyDescent="0.3">
      <c r="C6665" s="87"/>
      <c r="H6665" s="86" t="e">
        <f>IF(I6665="fora",0%,G6665/QUÓRUM!$C$6)</f>
        <v>#DIV/0!</v>
      </c>
      <c r="I6665" s="87"/>
      <c r="J6665" s="88"/>
      <c r="K6665" s="88"/>
      <c r="L6665" s="89"/>
      <c r="M6665" s="89"/>
      <c r="Q6665" s="105"/>
    </row>
    <row r="6666" spans="3:17" x14ac:dyDescent="0.3">
      <c r="C6666" s="87"/>
      <c r="H6666" s="86" t="e">
        <f>IF(I6666="fora",0%,G6666/QUÓRUM!$C$6)</f>
        <v>#DIV/0!</v>
      </c>
      <c r="I6666" s="87"/>
      <c r="J6666" s="88"/>
      <c r="K6666" s="88"/>
      <c r="L6666" s="89"/>
      <c r="M6666" s="89"/>
      <c r="Q6666" s="105"/>
    </row>
    <row r="6667" spans="3:17" x14ac:dyDescent="0.3">
      <c r="C6667" s="87"/>
      <c r="H6667" s="86" t="e">
        <f>IF(I6667="fora",0%,G6667/QUÓRUM!$C$6)</f>
        <v>#DIV/0!</v>
      </c>
      <c r="I6667" s="87"/>
      <c r="J6667" s="88"/>
      <c r="K6667" s="88"/>
      <c r="L6667" s="89"/>
      <c r="M6667" s="89"/>
      <c r="Q6667" s="105"/>
    </row>
    <row r="6668" spans="3:17" x14ac:dyDescent="0.3">
      <c r="C6668" s="87"/>
      <c r="H6668" s="86" t="e">
        <f>IF(I6668="fora",0%,G6668/QUÓRUM!$C$6)</f>
        <v>#DIV/0!</v>
      </c>
      <c r="I6668" s="87"/>
      <c r="J6668" s="88"/>
      <c r="K6668" s="88"/>
      <c r="L6668" s="89"/>
      <c r="M6668" s="89"/>
      <c r="Q6668" s="105"/>
    </row>
    <row r="6669" spans="3:17" x14ac:dyDescent="0.3">
      <c r="C6669" s="87"/>
      <c r="H6669" s="86" t="e">
        <f>IF(I6669="fora",0%,G6669/QUÓRUM!$C$6)</f>
        <v>#DIV/0!</v>
      </c>
      <c r="I6669" s="87"/>
      <c r="J6669" s="88"/>
      <c r="K6669" s="88"/>
      <c r="L6669" s="89"/>
      <c r="M6669" s="89"/>
      <c r="Q6669" s="105"/>
    </row>
    <row r="6670" spans="3:17" x14ac:dyDescent="0.3">
      <c r="C6670" s="87"/>
      <c r="H6670" s="86" t="e">
        <f>IF(I6670="fora",0%,G6670/QUÓRUM!$C$6)</f>
        <v>#DIV/0!</v>
      </c>
      <c r="I6670" s="87"/>
      <c r="J6670" s="88"/>
      <c r="K6670" s="88"/>
      <c r="L6670" s="89"/>
      <c r="M6670" s="89"/>
      <c r="Q6670" s="105"/>
    </row>
    <row r="6671" spans="3:17" x14ac:dyDescent="0.3">
      <c r="C6671" s="87"/>
      <c r="H6671" s="86" t="e">
        <f>IF(I6671="fora",0%,G6671/QUÓRUM!$C$6)</f>
        <v>#DIV/0!</v>
      </c>
      <c r="I6671" s="87"/>
      <c r="J6671" s="88"/>
      <c r="K6671" s="88"/>
      <c r="L6671" s="89"/>
      <c r="M6671" s="89"/>
      <c r="Q6671" s="105"/>
    </row>
    <row r="6672" spans="3:17" x14ac:dyDescent="0.3">
      <c r="C6672" s="87"/>
      <c r="H6672" s="86" t="e">
        <f>IF(I6672="fora",0%,G6672/QUÓRUM!$C$6)</f>
        <v>#DIV/0!</v>
      </c>
      <c r="I6672" s="87"/>
      <c r="J6672" s="88"/>
      <c r="K6672" s="88"/>
      <c r="L6672" s="89"/>
      <c r="M6672" s="89"/>
      <c r="Q6672" s="105"/>
    </row>
    <row r="6673" spans="3:17" x14ac:dyDescent="0.3">
      <c r="C6673" s="87"/>
      <c r="H6673" s="86" t="e">
        <f>IF(I6673="fora",0%,G6673/QUÓRUM!$C$6)</f>
        <v>#DIV/0!</v>
      </c>
      <c r="I6673" s="87"/>
      <c r="J6673" s="88"/>
      <c r="K6673" s="88"/>
      <c r="L6673" s="89"/>
      <c r="M6673" s="89"/>
      <c r="Q6673" s="105"/>
    </row>
    <row r="6674" spans="3:17" x14ac:dyDescent="0.3">
      <c r="C6674" s="87"/>
      <c r="H6674" s="86" t="e">
        <f>IF(I6674="fora",0%,G6674/QUÓRUM!$C$6)</f>
        <v>#DIV/0!</v>
      </c>
      <c r="I6674" s="87"/>
      <c r="J6674" s="88"/>
      <c r="K6674" s="88"/>
      <c r="L6674" s="89"/>
      <c r="M6674" s="89"/>
      <c r="Q6674" s="105"/>
    </row>
    <row r="6675" spans="3:17" x14ac:dyDescent="0.3">
      <c r="C6675" s="87"/>
      <c r="H6675" s="86" t="e">
        <f>IF(I6675="fora",0%,G6675/QUÓRUM!$C$6)</f>
        <v>#DIV/0!</v>
      </c>
      <c r="I6675" s="87"/>
      <c r="J6675" s="88"/>
      <c r="K6675" s="88"/>
      <c r="L6675" s="89"/>
      <c r="M6675" s="89"/>
      <c r="Q6675" s="105"/>
    </row>
    <row r="6676" spans="3:17" x14ac:dyDescent="0.3">
      <c r="C6676" s="87"/>
      <c r="H6676" s="86" t="e">
        <f>IF(I6676="fora",0%,G6676/QUÓRUM!$C$6)</f>
        <v>#DIV/0!</v>
      </c>
      <c r="I6676" s="87"/>
      <c r="J6676" s="88"/>
      <c r="K6676" s="88"/>
      <c r="L6676" s="89"/>
      <c r="M6676" s="89"/>
      <c r="Q6676" s="105"/>
    </row>
    <row r="6677" spans="3:17" x14ac:dyDescent="0.3">
      <c r="C6677" s="87"/>
      <c r="H6677" s="86" t="e">
        <f>IF(I6677="fora",0%,G6677/QUÓRUM!$C$6)</f>
        <v>#DIV/0!</v>
      </c>
      <c r="I6677" s="87"/>
      <c r="J6677" s="88"/>
      <c r="K6677" s="88"/>
      <c r="L6677" s="89"/>
      <c r="M6677" s="89"/>
      <c r="Q6677" s="105"/>
    </row>
    <row r="6678" spans="3:17" x14ac:dyDescent="0.3">
      <c r="C6678" s="87"/>
      <c r="H6678" s="86" t="e">
        <f>IF(I6678="fora",0%,G6678/QUÓRUM!$C$6)</f>
        <v>#DIV/0!</v>
      </c>
      <c r="I6678" s="87"/>
      <c r="J6678" s="88"/>
      <c r="K6678" s="88"/>
      <c r="L6678" s="89"/>
      <c r="M6678" s="89"/>
      <c r="Q6678" s="105"/>
    </row>
    <row r="6679" spans="3:17" x14ac:dyDescent="0.3">
      <c r="C6679" s="87"/>
      <c r="H6679" s="86" t="e">
        <f>IF(I6679="fora",0%,G6679/QUÓRUM!$C$6)</f>
        <v>#DIV/0!</v>
      </c>
      <c r="I6679" s="87"/>
      <c r="J6679" s="88"/>
      <c r="K6679" s="88"/>
      <c r="L6679" s="89"/>
      <c r="M6679" s="89"/>
      <c r="Q6679" s="105"/>
    </row>
    <row r="6680" spans="3:17" x14ac:dyDescent="0.3">
      <c r="C6680" s="87"/>
      <c r="G6680" s="115"/>
      <c r="H6680" s="86" t="e">
        <f>IF(I6680="fora",0%,G6680/QUÓRUM!$C$6)</f>
        <v>#DIV/0!</v>
      </c>
      <c r="I6680" s="87"/>
      <c r="J6680" s="88"/>
      <c r="K6680" s="88"/>
      <c r="L6680" s="89"/>
      <c r="M6680" s="89"/>
      <c r="Q6680" s="105"/>
    </row>
    <row r="6681" spans="3:17" x14ac:dyDescent="0.3">
      <c r="C6681" s="87"/>
      <c r="G6681" s="115"/>
      <c r="H6681" s="86" t="e">
        <f>IF(I6681="fora",0%,G6681/QUÓRUM!$C$6)</f>
        <v>#DIV/0!</v>
      </c>
      <c r="I6681" s="87"/>
      <c r="J6681" s="88"/>
      <c r="K6681" s="88"/>
      <c r="L6681" s="89"/>
      <c r="M6681" s="89"/>
      <c r="Q6681" s="105"/>
    </row>
    <row r="6682" spans="3:17" x14ac:dyDescent="0.3">
      <c r="C6682" s="87"/>
      <c r="H6682" s="86" t="e">
        <f>IF(I6682="fora",0%,G6682/QUÓRUM!$C$6)</f>
        <v>#DIV/0!</v>
      </c>
      <c r="I6682" s="87"/>
      <c r="J6682" s="88"/>
      <c r="K6682" s="88"/>
      <c r="L6682" s="89"/>
      <c r="M6682" s="89"/>
      <c r="Q6682" s="105"/>
    </row>
    <row r="6683" spans="3:17" x14ac:dyDescent="0.3">
      <c r="C6683" s="87"/>
      <c r="H6683" s="86" t="e">
        <f>IF(I6683="fora",0%,G6683/QUÓRUM!$C$6)</f>
        <v>#DIV/0!</v>
      </c>
      <c r="I6683" s="87"/>
      <c r="J6683" s="88"/>
      <c r="K6683" s="88"/>
      <c r="L6683" s="89"/>
      <c r="M6683" s="89"/>
      <c r="Q6683" s="105"/>
    </row>
    <row r="6684" spans="3:17" x14ac:dyDescent="0.3">
      <c r="C6684" s="87"/>
      <c r="H6684" s="86" t="e">
        <f>IF(I6684="fora",0%,G6684/QUÓRUM!$C$6)</f>
        <v>#DIV/0!</v>
      </c>
      <c r="I6684" s="87"/>
      <c r="J6684" s="88"/>
      <c r="K6684" s="88"/>
      <c r="L6684" s="89"/>
      <c r="M6684" s="89"/>
      <c r="Q6684" s="105"/>
    </row>
    <row r="6685" spans="3:17" x14ac:dyDescent="0.3">
      <c r="C6685" s="87"/>
      <c r="H6685" s="86" t="e">
        <f>IF(I6685="fora",0%,G6685/QUÓRUM!$C$6)</f>
        <v>#DIV/0!</v>
      </c>
      <c r="I6685" s="87"/>
      <c r="J6685" s="88"/>
      <c r="K6685" s="88"/>
      <c r="L6685" s="89"/>
      <c r="M6685" s="89"/>
      <c r="Q6685" s="105"/>
    </row>
    <row r="6686" spans="3:17" x14ac:dyDescent="0.3">
      <c r="C6686" s="87"/>
      <c r="H6686" s="86" t="e">
        <f>IF(I6686="fora",0%,G6686/QUÓRUM!$C$6)</f>
        <v>#DIV/0!</v>
      </c>
      <c r="I6686" s="87"/>
      <c r="J6686" s="88"/>
      <c r="K6686" s="88"/>
      <c r="L6686" s="89"/>
      <c r="M6686" s="89"/>
      <c r="Q6686" s="105"/>
    </row>
    <row r="6687" spans="3:17" x14ac:dyDescent="0.3">
      <c r="C6687" s="87"/>
      <c r="H6687" s="86" t="e">
        <f>IF(I6687="fora",0%,G6687/QUÓRUM!$C$6)</f>
        <v>#DIV/0!</v>
      </c>
      <c r="I6687" s="87"/>
      <c r="J6687" s="88"/>
      <c r="K6687" s="88"/>
      <c r="L6687" s="89"/>
      <c r="M6687" s="89"/>
      <c r="Q6687" s="105"/>
    </row>
    <row r="6688" spans="3:17" x14ac:dyDescent="0.3">
      <c r="C6688" s="87"/>
      <c r="H6688" s="86" t="e">
        <f>IF(I6688="fora",0%,G6688/QUÓRUM!$C$6)</f>
        <v>#DIV/0!</v>
      </c>
      <c r="I6688" s="87"/>
      <c r="J6688" s="88"/>
      <c r="K6688" s="88"/>
      <c r="L6688" s="89"/>
      <c r="M6688" s="89"/>
      <c r="Q6688" s="105"/>
    </row>
    <row r="6689" spans="3:17" x14ac:dyDescent="0.3">
      <c r="C6689" s="87"/>
      <c r="H6689" s="86" t="e">
        <f>IF(I6689="fora",0%,G6689/QUÓRUM!$C$6)</f>
        <v>#DIV/0!</v>
      </c>
      <c r="I6689" s="87"/>
      <c r="J6689" s="88"/>
      <c r="K6689" s="88"/>
      <c r="L6689" s="89"/>
      <c r="M6689" s="89"/>
      <c r="Q6689" s="105"/>
    </row>
    <row r="6690" spans="3:17" x14ac:dyDescent="0.3">
      <c r="C6690" s="87"/>
      <c r="H6690" s="86" t="e">
        <f>IF(I6690="fora",0%,G6690/QUÓRUM!$C$6)</f>
        <v>#DIV/0!</v>
      </c>
      <c r="I6690" s="87"/>
      <c r="J6690" s="88"/>
      <c r="K6690" s="88"/>
      <c r="L6690" s="89"/>
      <c r="M6690" s="89"/>
      <c r="Q6690" s="105"/>
    </row>
    <row r="6691" spans="3:17" x14ac:dyDescent="0.3">
      <c r="C6691" s="87"/>
      <c r="H6691" s="86" t="e">
        <f>IF(I6691="fora",0%,G6691/QUÓRUM!$C$6)</f>
        <v>#DIV/0!</v>
      </c>
      <c r="I6691" s="87"/>
      <c r="J6691" s="88"/>
      <c r="K6691" s="88"/>
      <c r="L6691" s="89"/>
      <c r="M6691" s="89"/>
      <c r="Q6691" s="105"/>
    </row>
    <row r="6692" spans="3:17" x14ac:dyDescent="0.3">
      <c r="C6692" s="87"/>
      <c r="H6692" s="86" t="e">
        <f>IF(I6692="fora",0%,G6692/QUÓRUM!$C$6)</f>
        <v>#DIV/0!</v>
      </c>
      <c r="I6692" s="87"/>
      <c r="J6692" s="88"/>
      <c r="K6692" s="88"/>
      <c r="L6692" s="89"/>
      <c r="M6692" s="89"/>
      <c r="Q6692" s="105"/>
    </row>
    <row r="6693" spans="3:17" x14ac:dyDescent="0.3">
      <c r="C6693" s="87"/>
      <c r="H6693" s="86" t="e">
        <f>IF(I6693="fora",0%,G6693/QUÓRUM!$C$6)</f>
        <v>#DIV/0!</v>
      </c>
      <c r="I6693" s="87"/>
      <c r="J6693" s="88"/>
      <c r="K6693" s="88"/>
      <c r="L6693" s="89"/>
      <c r="M6693" s="89"/>
      <c r="Q6693" s="105"/>
    </row>
    <row r="6694" spans="3:17" x14ac:dyDescent="0.3">
      <c r="C6694" s="87"/>
      <c r="H6694" s="86" t="e">
        <f>IF(I6694="fora",0%,G6694/QUÓRUM!$C$6)</f>
        <v>#DIV/0!</v>
      </c>
      <c r="I6694" s="87"/>
      <c r="J6694" s="88"/>
      <c r="K6694" s="88"/>
      <c r="L6694" s="89"/>
      <c r="M6694" s="89"/>
      <c r="Q6694" s="105"/>
    </row>
    <row r="6695" spans="3:17" x14ac:dyDescent="0.3">
      <c r="C6695" s="87"/>
      <c r="H6695" s="86" t="e">
        <f>IF(I6695="fora",0%,G6695/QUÓRUM!$C$6)</f>
        <v>#DIV/0!</v>
      </c>
      <c r="I6695" s="87"/>
      <c r="J6695" s="88"/>
      <c r="K6695" s="88"/>
      <c r="L6695" s="89"/>
      <c r="M6695" s="89"/>
      <c r="Q6695" s="105"/>
    </row>
    <row r="6696" spans="3:17" x14ac:dyDescent="0.3">
      <c r="C6696" s="87"/>
      <c r="H6696" s="86" t="e">
        <f>IF(I6696="fora",0%,G6696/QUÓRUM!$C$6)</f>
        <v>#DIV/0!</v>
      </c>
      <c r="I6696" s="87"/>
      <c r="J6696" s="88"/>
      <c r="K6696" s="88"/>
      <c r="L6696" s="89"/>
      <c r="M6696" s="89"/>
      <c r="Q6696" s="105"/>
    </row>
    <row r="6697" spans="3:17" x14ac:dyDescent="0.3">
      <c r="C6697" s="87"/>
      <c r="H6697" s="86" t="e">
        <f>IF(I6697="fora",0%,G6697/QUÓRUM!$C$6)</f>
        <v>#DIV/0!</v>
      </c>
      <c r="I6697" s="87"/>
      <c r="J6697" s="88"/>
      <c r="K6697" s="88"/>
      <c r="L6697" s="89"/>
      <c r="M6697" s="89"/>
      <c r="Q6697" s="105"/>
    </row>
    <row r="6698" spans="3:17" x14ac:dyDescent="0.3">
      <c r="C6698" s="87"/>
      <c r="H6698" s="86" t="e">
        <f>IF(I6698="fora",0%,G6698/QUÓRUM!$C$6)</f>
        <v>#DIV/0!</v>
      </c>
      <c r="I6698" s="87"/>
      <c r="J6698" s="88"/>
      <c r="K6698" s="88"/>
      <c r="L6698" s="89"/>
      <c r="M6698" s="89"/>
      <c r="Q6698" s="105"/>
    </row>
    <row r="6699" spans="3:17" x14ac:dyDescent="0.3">
      <c r="C6699" s="87"/>
      <c r="H6699" s="86" t="e">
        <f>IF(I6699="fora",0%,G6699/QUÓRUM!$C$6)</f>
        <v>#DIV/0!</v>
      </c>
      <c r="I6699" s="87"/>
      <c r="J6699" s="88"/>
      <c r="K6699" s="88"/>
      <c r="L6699" s="89"/>
      <c r="M6699" s="89"/>
      <c r="Q6699" s="105"/>
    </row>
    <row r="6700" spans="3:17" x14ac:dyDescent="0.3">
      <c r="C6700" s="87"/>
      <c r="H6700" s="86" t="e">
        <f>IF(I6700="fora",0%,G6700/QUÓRUM!$C$6)</f>
        <v>#DIV/0!</v>
      </c>
      <c r="I6700" s="87"/>
      <c r="J6700" s="88"/>
      <c r="K6700" s="88"/>
      <c r="L6700" s="89"/>
      <c r="M6700" s="89"/>
      <c r="Q6700" s="105"/>
    </row>
    <row r="6701" spans="3:17" x14ac:dyDescent="0.3">
      <c r="C6701" s="87"/>
      <c r="H6701" s="86" t="e">
        <f>IF(I6701="fora",0%,G6701/QUÓRUM!$C$6)</f>
        <v>#DIV/0!</v>
      </c>
      <c r="I6701" s="87"/>
      <c r="J6701" s="88"/>
      <c r="K6701" s="88"/>
      <c r="L6701" s="89"/>
      <c r="M6701" s="89"/>
      <c r="Q6701" s="105"/>
    </row>
    <row r="6702" spans="3:17" x14ac:dyDescent="0.3">
      <c r="C6702" s="87"/>
      <c r="H6702" s="86" t="e">
        <f>IF(I6702="fora",0%,G6702/QUÓRUM!$C$6)</f>
        <v>#DIV/0!</v>
      </c>
      <c r="I6702" s="87"/>
      <c r="J6702" s="88"/>
      <c r="K6702" s="88"/>
      <c r="L6702" s="89"/>
      <c r="M6702" s="89"/>
      <c r="Q6702" s="105"/>
    </row>
    <row r="6703" spans="3:17" x14ac:dyDescent="0.3">
      <c r="C6703" s="87"/>
      <c r="H6703" s="86" t="e">
        <f>IF(I6703="fora",0%,G6703/QUÓRUM!$C$6)</f>
        <v>#DIV/0!</v>
      </c>
      <c r="I6703" s="87"/>
      <c r="J6703" s="88"/>
      <c r="K6703" s="88"/>
      <c r="L6703" s="89"/>
      <c r="M6703" s="89"/>
      <c r="Q6703" s="105"/>
    </row>
    <row r="6704" spans="3:17" x14ac:dyDescent="0.3">
      <c r="C6704" s="87"/>
      <c r="H6704" s="86" t="e">
        <f>IF(I6704="fora",0%,G6704/QUÓRUM!$C$6)</f>
        <v>#DIV/0!</v>
      </c>
      <c r="I6704" s="87"/>
      <c r="J6704" s="88"/>
      <c r="K6704" s="88"/>
      <c r="L6704" s="89"/>
      <c r="M6704" s="89"/>
      <c r="Q6704" s="105"/>
    </row>
    <row r="6705" spans="3:17" x14ac:dyDescent="0.3">
      <c r="C6705" s="87"/>
      <c r="H6705" s="86" t="e">
        <f>IF(I6705="fora",0%,G6705/QUÓRUM!$C$6)</f>
        <v>#DIV/0!</v>
      </c>
      <c r="I6705" s="87"/>
      <c r="J6705" s="88"/>
      <c r="K6705" s="88"/>
      <c r="L6705" s="89"/>
      <c r="M6705" s="89"/>
      <c r="Q6705" s="105"/>
    </row>
    <row r="6706" spans="3:17" x14ac:dyDescent="0.3">
      <c r="C6706" s="87"/>
      <c r="H6706" s="86" t="e">
        <f>IF(I6706="fora",0%,G6706/QUÓRUM!$C$6)</f>
        <v>#DIV/0!</v>
      </c>
      <c r="I6706" s="87"/>
      <c r="J6706" s="88"/>
      <c r="K6706" s="88"/>
      <c r="L6706" s="89"/>
      <c r="M6706" s="89"/>
      <c r="Q6706" s="105"/>
    </row>
    <row r="6707" spans="3:17" x14ac:dyDescent="0.3">
      <c r="C6707" s="87"/>
      <c r="H6707" s="86" t="e">
        <f>IF(I6707="fora",0%,G6707/QUÓRUM!$C$6)</f>
        <v>#DIV/0!</v>
      </c>
      <c r="I6707" s="87"/>
      <c r="J6707" s="88"/>
      <c r="K6707" s="88"/>
      <c r="L6707" s="89"/>
      <c r="M6707" s="89"/>
      <c r="Q6707" s="105"/>
    </row>
    <row r="6708" spans="3:17" x14ac:dyDescent="0.3">
      <c r="C6708" s="87"/>
      <c r="H6708" s="86" t="e">
        <f>IF(I6708="fora",0%,G6708/QUÓRUM!$C$6)</f>
        <v>#DIV/0!</v>
      </c>
      <c r="I6708" s="87"/>
      <c r="J6708" s="88"/>
      <c r="K6708" s="88"/>
      <c r="L6708" s="89"/>
      <c r="M6708" s="89"/>
      <c r="Q6708" s="105"/>
    </row>
    <row r="6709" spans="3:17" x14ac:dyDescent="0.3">
      <c r="C6709" s="87"/>
      <c r="H6709" s="86" t="e">
        <f>IF(I6709="fora",0%,G6709/QUÓRUM!$C$6)</f>
        <v>#DIV/0!</v>
      </c>
      <c r="I6709" s="87"/>
      <c r="J6709" s="88"/>
      <c r="K6709" s="88"/>
      <c r="L6709" s="89"/>
      <c r="M6709" s="89"/>
      <c r="Q6709" s="105"/>
    </row>
    <row r="6710" spans="3:17" x14ac:dyDescent="0.3">
      <c r="C6710" s="87"/>
      <c r="H6710" s="86" t="e">
        <f>IF(I6710="fora",0%,G6710/QUÓRUM!$C$6)</f>
        <v>#DIV/0!</v>
      </c>
      <c r="I6710" s="87"/>
      <c r="J6710" s="88"/>
      <c r="K6710" s="88"/>
      <c r="L6710" s="89"/>
      <c r="M6710" s="89"/>
      <c r="Q6710" s="105"/>
    </row>
    <row r="6711" spans="3:17" x14ac:dyDescent="0.3">
      <c r="C6711" s="87"/>
      <c r="H6711" s="86" t="e">
        <f>IF(I6711="fora",0%,G6711/QUÓRUM!$C$6)</f>
        <v>#DIV/0!</v>
      </c>
      <c r="I6711" s="87"/>
      <c r="J6711" s="88"/>
      <c r="K6711" s="88"/>
      <c r="L6711" s="89"/>
      <c r="M6711" s="89"/>
      <c r="Q6711" s="105"/>
    </row>
    <row r="6712" spans="3:17" x14ac:dyDescent="0.3">
      <c r="C6712" s="87"/>
      <c r="H6712" s="86" t="e">
        <f>IF(I6712="fora",0%,G6712/QUÓRUM!$C$6)</f>
        <v>#DIV/0!</v>
      </c>
      <c r="I6712" s="87"/>
      <c r="J6712" s="88"/>
      <c r="K6712" s="88"/>
      <c r="L6712" s="89"/>
      <c r="M6712" s="89"/>
      <c r="Q6712" s="105"/>
    </row>
    <row r="6713" spans="3:17" x14ac:dyDescent="0.3">
      <c r="C6713" s="87"/>
      <c r="H6713" s="86" t="e">
        <f>IF(I6713="fora",0%,G6713/QUÓRUM!$C$6)</f>
        <v>#DIV/0!</v>
      </c>
      <c r="I6713" s="87"/>
      <c r="J6713" s="88"/>
      <c r="K6713" s="88"/>
      <c r="L6713" s="89"/>
      <c r="M6713" s="89"/>
      <c r="Q6713" s="105"/>
    </row>
    <row r="6714" spans="3:17" x14ac:dyDescent="0.3">
      <c r="C6714" s="87"/>
      <c r="H6714" s="86" t="e">
        <f>IF(I6714="fora",0%,G6714/QUÓRUM!$C$6)</f>
        <v>#DIV/0!</v>
      </c>
      <c r="I6714" s="87"/>
      <c r="J6714" s="88"/>
      <c r="K6714" s="88"/>
      <c r="L6714" s="89"/>
      <c r="M6714" s="89"/>
      <c r="Q6714" s="105"/>
    </row>
    <row r="6715" spans="3:17" x14ac:dyDescent="0.3">
      <c r="C6715" s="87"/>
      <c r="H6715" s="86" t="e">
        <f>IF(I6715="fora",0%,G6715/QUÓRUM!$C$6)</f>
        <v>#DIV/0!</v>
      </c>
      <c r="I6715" s="87"/>
      <c r="J6715" s="88"/>
      <c r="K6715" s="88"/>
      <c r="L6715" s="89"/>
      <c r="M6715" s="89"/>
      <c r="Q6715" s="105"/>
    </row>
    <row r="6716" spans="3:17" x14ac:dyDescent="0.3">
      <c r="C6716" s="87"/>
      <c r="H6716" s="86" t="e">
        <f>IF(I6716="fora",0%,G6716/QUÓRUM!$C$6)</f>
        <v>#DIV/0!</v>
      </c>
      <c r="I6716" s="87"/>
      <c r="J6716" s="88"/>
      <c r="K6716" s="88"/>
      <c r="L6716" s="89"/>
      <c r="M6716" s="89"/>
      <c r="Q6716" s="105"/>
    </row>
    <row r="6717" spans="3:17" x14ac:dyDescent="0.3">
      <c r="C6717" s="87"/>
      <c r="H6717" s="86" t="e">
        <f>IF(I6717="fora",0%,G6717/QUÓRUM!$C$6)</f>
        <v>#DIV/0!</v>
      </c>
      <c r="I6717" s="87"/>
      <c r="J6717" s="88"/>
      <c r="K6717" s="88"/>
      <c r="L6717" s="89"/>
      <c r="M6717" s="89"/>
      <c r="Q6717" s="105"/>
    </row>
    <row r="6718" spans="3:17" x14ac:dyDescent="0.3">
      <c r="C6718" s="87"/>
      <c r="H6718" s="86" t="e">
        <f>IF(I6718="fora",0%,G6718/QUÓRUM!$C$6)</f>
        <v>#DIV/0!</v>
      </c>
      <c r="I6718" s="87"/>
      <c r="J6718" s="88"/>
      <c r="K6718" s="88"/>
      <c r="L6718" s="89"/>
      <c r="M6718" s="89"/>
      <c r="Q6718" s="105"/>
    </row>
    <row r="6719" spans="3:17" x14ac:dyDescent="0.3">
      <c r="C6719" s="87"/>
      <c r="H6719" s="86" t="e">
        <f>IF(I6719="fora",0%,G6719/QUÓRUM!$C$6)</f>
        <v>#DIV/0!</v>
      </c>
      <c r="I6719" s="87"/>
      <c r="J6719" s="88"/>
      <c r="K6719" s="88"/>
      <c r="L6719" s="89"/>
      <c r="M6719" s="89"/>
      <c r="Q6719" s="105"/>
    </row>
    <row r="6720" spans="3:17" x14ac:dyDescent="0.3">
      <c r="C6720" s="87"/>
      <c r="H6720" s="86" t="e">
        <f>IF(I6720="fora",0%,G6720/QUÓRUM!$C$6)</f>
        <v>#DIV/0!</v>
      </c>
      <c r="I6720" s="87"/>
      <c r="J6720" s="88"/>
      <c r="K6720" s="88"/>
      <c r="L6720" s="89"/>
      <c r="M6720" s="89"/>
      <c r="Q6720" s="105"/>
    </row>
    <row r="6721" spans="3:17" x14ac:dyDescent="0.3">
      <c r="C6721" s="87"/>
      <c r="H6721" s="86" t="e">
        <f>IF(I6721="fora",0%,G6721/QUÓRUM!$C$6)</f>
        <v>#DIV/0!</v>
      </c>
      <c r="I6721" s="87"/>
      <c r="J6721" s="88"/>
      <c r="K6721" s="88"/>
      <c r="L6721" s="89"/>
      <c r="M6721" s="89"/>
      <c r="Q6721" s="105"/>
    </row>
    <row r="6722" spans="3:17" x14ac:dyDescent="0.3">
      <c r="C6722" s="87"/>
      <c r="H6722" s="86" t="e">
        <f>IF(I6722="fora",0%,G6722/QUÓRUM!$C$6)</f>
        <v>#DIV/0!</v>
      </c>
      <c r="I6722" s="87"/>
      <c r="J6722" s="88"/>
      <c r="K6722" s="88"/>
      <c r="L6722" s="89"/>
      <c r="M6722" s="89"/>
      <c r="Q6722" s="105"/>
    </row>
    <row r="6723" spans="3:17" x14ac:dyDescent="0.3">
      <c r="C6723" s="87"/>
      <c r="H6723" s="86" t="e">
        <f>IF(I6723="fora",0%,G6723/QUÓRUM!$C$6)</f>
        <v>#DIV/0!</v>
      </c>
      <c r="I6723" s="87"/>
      <c r="J6723" s="88"/>
      <c r="K6723" s="88"/>
      <c r="L6723" s="89"/>
      <c r="M6723" s="89"/>
      <c r="Q6723" s="105"/>
    </row>
    <row r="6724" spans="3:17" x14ac:dyDescent="0.3">
      <c r="C6724" s="87"/>
      <c r="H6724" s="86" t="e">
        <f>IF(I6724="fora",0%,G6724/QUÓRUM!$C$6)</f>
        <v>#DIV/0!</v>
      </c>
      <c r="I6724" s="87"/>
      <c r="J6724" s="88"/>
      <c r="K6724" s="88"/>
      <c r="L6724" s="89"/>
      <c r="M6724" s="89"/>
      <c r="Q6724" s="105"/>
    </row>
    <row r="6725" spans="3:17" x14ac:dyDescent="0.3">
      <c r="C6725" s="87"/>
      <c r="H6725" s="86" t="e">
        <f>IF(I6725="fora",0%,G6725/QUÓRUM!$C$6)</f>
        <v>#DIV/0!</v>
      </c>
      <c r="I6725" s="87"/>
      <c r="J6725" s="88"/>
      <c r="K6725" s="88"/>
      <c r="L6725" s="89"/>
      <c r="M6725" s="89"/>
      <c r="Q6725" s="105"/>
    </row>
    <row r="6726" spans="3:17" x14ac:dyDescent="0.3">
      <c r="C6726" s="87"/>
      <c r="H6726" s="86" t="e">
        <f>IF(I6726="fora",0%,G6726/QUÓRUM!$C$6)</f>
        <v>#DIV/0!</v>
      </c>
      <c r="I6726" s="87"/>
      <c r="J6726" s="88"/>
      <c r="K6726" s="88"/>
      <c r="L6726" s="89"/>
      <c r="M6726" s="89"/>
      <c r="Q6726" s="105"/>
    </row>
    <row r="6727" spans="3:17" x14ac:dyDescent="0.3">
      <c r="C6727" s="87"/>
      <c r="G6727" s="115"/>
      <c r="H6727" s="86" t="e">
        <f>IF(I6727="fora",0%,G6727/QUÓRUM!$C$6)</f>
        <v>#DIV/0!</v>
      </c>
      <c r="I6727" s="87"/>
      <c r="J6727" s="88"/>
      <c r="K6727" s="88"/>
      <c r="L6727" s="89"/>
      <c r="M6727" s="89"/>
      <c r="Q6727" s="105"/>
    </row>
    <row r="6728" spans="3:17" x14ac:dyDescent="0.3">
      <c r="C6728" s="87"/>
      <c r="H6728" s="86" t="e">
        <f>IF(I6728="fora",0%,G6728/QUÓRUM!$C$6)</f>
        <v>#DIV/0!</v>
      </c>
      <c r="I6728" s="87"/>
      <c r="J6728" s="88"/>
      <c r="K6728" s="88"/>
      <c r="L6728" s="89"/>
      <c r="M6728" s="89"/>
      <c r="Q6728" s="105"/>
    </row>
    <row r="6729" spans="3:17" x14ac:dyDescent="0.3">
      <c r="C6729" s="87"/>
      <c r="H6729" s="86" t="e">
        <f>IF(I6729="fora",0%,G6729/QUÓRUM!$C$6)</f>
        <v>#DIV/0!</v>
      </c>
      <c r="I6729" s="87"/>
      <c r="J6729" s="88"/>
      <c r="K6729" s="88"/>
      <c r="L6729" s="89"/>
      <c r="M6729" s="89"/>
      <c r="Q6729" s="105"/>
    </row>
    <row r="6730" spans="3:17" x14ac:dyDescent="0.3">
      <c r="C6730" s="87"/>
      <c r="H6730" s="86" t="e">
        <f>IF(I6730="fora",0%,G6730/QUÓRUM!$C$6)</f>
        <v>#DIV/0!</v>
      </c>
      <c r="I6730" s="87"/>
      <c r="J6730" s="88"/>
      <c r="K6730" s="88"/>
      <c r="L6730" s="89"/>
      <c r="M6730" s="89"/>
      <c r="Q6730" s="105"/>
    </row>
    <row r="6731" spans="3:17" x14ac:dyDescent="0.3">
      <c r="C6731" s="87"/>
      <c r="H6731" s="86" t="e">
        <f>IF(I6731="fora",0%,G6731/QUÓRUM!$C$6)</f>
        <v>#DIV/0!</v>
      </c>
      <c r="I6731" s="87"/>
      <c r="J6731" s="88"/>
      <c r="K6731" s="88"/>
      <c r="L6731" s="89"/>
      <c r="M6731" s="89"/>
      <c r="Q6731" s="105"/>
    </row>
    <row r="6732" spans="3:17" x14ac:dyDescent="0.3">
      <c r="C6732" s="87"/>
      <c r="H6732" s="86" t="e">
        <f>IF(I6732="fora",0%,G6732/QUÓRUM!$C$6)</f>
        <v>#DIV/0!</v>
      </c>
      <c r="I6732" s="87"/>
      <c r="J6732" s="88"/>
      <c r="K6732" s="88"/>
      <c r="L6732" s="89"/>
      <c r="M6732" s="89"/>
      <c r="Q6732" s="105"/>
    </row>
    <row r="6733" spans="3:17" x14ac:dyDescent="0.3">
      <c r="C6733" s="87"/>
      <c r="H6733" s="86" t="e">
        <f>IF(I6733="fora",0%,G6733/QUÓRUM!$C$6)</f>
        <v>#DIV/0!</v>
      </c>
      <c r="I6733" s="87"/>
      <c r="J6733" s="88"/>
      <c r="K6733" s="88"/>
      <c r="L6733" s="89"/>
      <c r="M6733" s="89"/>
      <c r="Q6733" s="105"/>
    </row>
    <row r="6734" spans="3:17" x14ac:dyDescent="0.3">
      <c r="C6734" s="87"/>
      <c r="H6734" s="86" t="e">
        <f>IF(I6734="fora",0%,G6734/QUÓRUM!$C$6)</f>
        <v>#DIV/0!</v>
      </c>
      <c r="I6734" s="87"/>
      <c r="J6734" s="88"/>
      <c r="K6734" s="88"/>
      <c r="L6734" s="89"/>
      <c r="M6734" s="89"/>
      <c r="Q6734" s="105"/>
    </row>
    <row r="6735" spans="3:17" x14ac:dyDescent="0.3">
      <c r="C6735" s="87"/>
      <c r="H6735" s="86" t="e">
        <f>IF(I6735="fora",0%,G6735/QUÓRUM!$C$6)</f>
        <v>#DIV/0!</v>
      </c>
      <c r="I6735" s="87"/>
      <c r="J6735" s="88"/>
      <c r="K6735" s="88"/>
      <c r="L6735" s="89"/>
      <c r="M6735" s="89"/>
      <c r="Q6735" s="105"/>
    </row>
    <row r="6736" spans="3:17" x14ac:dyDescent="0.3">
      <c r="C6736" s="87"/>
      <c r="H6736" s="86" t="e">
        <f>IF(I6736="fora",0%,G6736/QUÓRUM!$C$6)</f>
        <v>#DIV/0!</v>
      </c>
      <c r="I6736" s="87"/>
      <c r="J6736" s="88"/>
      <c r="K6736" s="88"/>
      <c r="L6736" s="89"/>
      <c r="M6736" s="89"/>
      <c r="Q6736" s="105"/>
    </row>
    <row r="6737" spans="3:17" x14ac:dyDescent="0.3">
      <c r="C6737" s="87"/>
      <c r="H6737" s="86" t="e">
        <f>IF(I6737="fora",0%,G6737/QUÓRUM!$C$6)</f>
        <v>#DIV/0!</v>
      </c>
      <c r="I6737" s="87"/>
      <c r="J6737" s="88"/>
      <c r="K6737" s="88"/>
      <c r="L6737" s="89"/>
      <c r="M6737" s="89"/>
      <c r="Q6737" s="105"/>
    </row>
    <row r="6738" spans="3:17" x14ac:dyDescent="0.3">
      <c r="C6738" s="87"/>
      <c r="H6738" s="86" t="e">
        <f>IF(I6738="fora",0%,G6738/QUÓRUM!$C$6)</f>
        <v>#DIV/0!</v>
      </c>
      <c r="I6738" s="87"/>
      <c r="J6738" s="88"/>
      <c r="K6738" s="88"/>
      <c r="L6738" s="89"/>
      <c r="M6738" s="89"/>
      <c r="Q6738" s="105"/>
    </row>
    <row r="6739" spans="3:17" x14ac:dyDescent="0.3">
      <c r="C6739" s="87"/>
      <c r="H6739" s="86" t="e">
        <f>IF(I6739="fora",0%,G6739/QUÓRUM!$C$6)</f>
        <v>#DIV/0!</v>
      </c>
      <c r="I6739" s="87"/>
      <c r="J6739" s="88"/>
      <c r="K6739" s="88"/>
      <c r="L6739" s="89"/>
      <c r="M6739" s="89"/>
      <c r="Q6739" s="105"/>
    </row>
    <row r="6740" spans="3:17" x14ac:dyDescent="0.3">
      <c r="C6740" s="87"/>
      <c r="H6740" s="86" t="e">
        <f>IF(I6740="fora",0%,G6740/QUÓRUM!$C$6)</f>
        <v>#DIV/0!</v>
      </c>
      <c r="I6740" s="87"/>
      <c r="J6740" s="88"/>
      <c r="K6740" s="88"/>
      <c r="L6740" s="89"/>
      <c r="M6740" s="89"/>
      <c r="Q6740" s="105"/>
    </row>
    <row r="6741" spans="3:17" x14ac:dyDescent="0.3">
      <c r="C6741" s="87"/>
      <c r="H6741" s="86" t="e">
        <f>IF(I6741="fora",0%,G6741/QUÓRUM!$C$6)</f>
        <v>#DIV/0!</v>
      </c>
      <c r="I6741" s="87"/>
      <c r="J6741" s="88"/>
      <c r="K6741" s="88"/>
      <c r="L6741" s="89"/>
      <c r="M6741" s="89"/>
      <c r="Q6741" s="105"/>
    </row>
    <row r="6742" spans="3:17" x14ac:dyDescent="0.3">
      <c r="C6742" s="87"/>
      <c r="H6742" s="86" t="e">
        <f>IF(I6742="fora",0%,G6742/QUÓRUM!$C$6)</f>
        <v>#DIV/0!</v>
      </c>
      <c r="I6742" s="87"/>
      <c r="J6742" s="88"/>
      <c r="K6742" s="88"/>
      <c r="L6742" s="89"/>
      <c r="M6742" s="89"/>
      <c r="Q6742" s="105"/>
    </row>
    <row r="6743" spans="3:17" x14ac:dyDescent="0.3">
      <c r="C6743" s="87"/>
      <c r="H6743" s="86" t="e">
        <f>IF(I6743="fora",0%,G6743/QUÓRUM!$C$6)</f>
        <v>#DIV/0!</v>
      </c>
      <c r="I6743" s="87"/>
      <c r="J6743" s="88"/>
      <c r="K6743" s="88"/>
      <c r="L6743" s="89"/>
      <c r="M6743" s="89"/>
      <c r="Q6743" s="105"/>
    </row>
    <row r="6744" spans="3:17" x14ac:dyDescent="0.3">
      <c r="C6744" s="87"/>
      <c r="H6744" s="86" t="e">
        <f>IF(I6744="fora",0%,G6744/QUÓRUM!$C$6)</f>
        <v>#DIV/0!</v>
      </c>
      <c r="I6744" s="87"/>
      <c r="J6744" s="88"/>
      <c r="K6744" s="88"/>
      <c r="L6744" s="89"/>
      <c r="M6744" s="89"/>
      <c r="Q6744" s="105"/>
    </row>
    <row r="6745" spans="3:17" x14ac:dyDescent="0.3">
      <c r="C6745" s="87"/>
      <c r="H6745" s="86" t="e">
        <f>IF(I6745="fora",0%,G6745/QUÓRUM!$C$6)</f>
        <v>#DIV/0!</v>
      </c>
      <c r="I6745" s="87"/>
      <c r="J6745" s="88"/>
      <c r="K6745" s="88"/>
      <c r="L6745" s="89"/>
      <c r="M6745" s="89"/>
      <c r="Q6745" s="105"/>
    </row>
    <row r="6746" spans="3:17" x14ac:dyDescent="0.3">
      <c r="C6746" s="87"/>
      <c r="H6746" s="86" t="e">
        <f>IF(I6746="fora",0%,G6746/QUÓRUM!$C$6)</f>
        <v>#DIV/0!</v>
      </c>
      <c r="I6746" s="87"/>
      <c r="J6746" s="88"/>
      <c r="K6746" s="88"/>
      <c r="L6746" s="89"/>
      <c r="M6746" s="89"/>
      <c r="Q6746" s="105"/>
    </row>
    <row r="6747" spans="3:17" x14ac:dyDescent="0.3">
      <c r="C6747" s="87"/>
      <c r="H6747" s="86" t="e">
        <f>IF(I6747="fora",0%,G6747/QUÓRUM!$C$6)</f>
        <v>#DIV/0!</v>
      </c>
      <c r="I6747" s="87"/>
      <c r="J6747" s="88"/>
      <c r="K6747" s="88"/>
      <c r="L6747" s="89"/>
      <c r="M6747" s="89"/>
      <c r="Q6747" s="105"/>
    </row>
    <row r="6748" spans="3:17" x14ac:dyDescent="0.3">
      <c r="C6748" s="87"/>
      <c r="H6748" s="86" t="e">
        <f>IF(I6748="fora",0%,G6748/QUÓRUM!$C$6)</f>
        <v>#DIV/0!</v>
      </c>
      <c r="I6748" s="87"/>
      <c r="J6748" s="88"/>
      <c r="K6748" s="88"/>
      <c r="L6748" s="89"/>
      <c r="M6748" s="89"/>
      <c r="Q6748" s="105"/>
    </row>
    <row r="6749" spans="3:17" x14ac:dyDescent="0.3">
      <c r="C6749" s="87"/>
      <c r="H6749" s="86" t="e">
        <f>IF(I6749="fora",0%,G6749/QUÓRUM!$C$6)</f>
        <v>#DIV/0!</v>
      </c>
      <c r="I6749" s="87"/>
      <c r="J6749" s="88"/>
      <c r="K6749" s="88"/>
      <c r="L6749" s="89"/>
      <c r="M6749" s="89"/>
      <c r="Q6749" s="105"/>
    </row>
    <row r="6750" spans="3:17" x14ac:dyDescent="0.3">
      <c r="C6750" s="87"/>
      <c r="H6750" s="86" t="e">
        <f>IF(I6750="fora",0%,G6750/QUÓRUM!$C$6)</f>
        <v>#DIV/0!</v>
      </c>
      <c r="I6750" s="87"/>
      <c r="J6750" s="88"/>
      <c r="K6750" s="88"/>
      <c r="L6750" s="89"/>
      <c r="M6750" s="89"/>
      <c r="Q6750" s="105"/>
    </row>
    <row r="6751" spans="3:17" x14ac:dyDescent="0.3">
      <c r="C6751" s="87"/>
      <c r="H6751" s="86" t="e">
        <f>IF(I6751="fora",0%,G6751/QUÓRUM!$C$6)</f>
        <v>#DIV/0!</v>
      </c>
      <c r="I6751" s="87"/>
      <c r="J6751" s="88"/>
      <c r="K6751" s="88"/>
      <c r="L6751" s="89"/>
      <c r="M6751" s="89"/>
      <c r="Q6751" s="105"/>
    </row>
    <row r="6752" spans="3:17" x14ac:dyDescent="0.3">
      <c r="C6752" s="87"/>
      <c r="H6752" s="86" t="e">
        <f>IF(I6752="fora",0%,G6752/QUÓRUM!$C$6)</f>
        <v>#DIV/0!</v>
      </c>
      <c r="I6752" s="87"/>
      <c r="J6752" s="88"/>
      <c r="K6752" s="88"/>
      <c r="L6752" s="89"/>
      <c r="M6752" s="89"/>
      <c r="Q6752" s="105"/>
    </row>
    <row r="6753" spans="3:17" x14ac:dyDescent="0.3">
      <c r="C6753" s="87"/>
      <c r="H6753" s="86" t="e">
        <f>IF(I6753="fora",0%,G6753/QUÓRUM!$C$6)</f>
        <v>#DIV/0!</v>
      </c>
      <c r="I6753" s="87"/>
      <c r="J6753" s="88"/>
      <c r="K6753" s="88"/>
      <c r="L6753" s="89"/>
      <c r="M6753" s="89"/>
      <c r="Q6753" s="105"/>
    </row>
    <row r="6754" spans="3:17" x14ac:dyDescent="0.3">
      <c r="C6754" s="87"/>
      <c r="H6754" s="86" t="e">
        <f>IF(I6754="fora",0%,G6754/QUÓRUM!$C$6)</f>
        <v>#DIV/0!</v>
      </c>
      <c r="I6754" s="87"/>
      <c r="J6754" s="88"/>
      <c r="K6754" s="88"/>
      <c r="L6754" s="89"/>
      <c r="M6754" s="89"/>
      <c r="Q6754" s="105"/>
    </row>
    <row r="6755" spans="3:17" x14ac:dyDescent="0.3">
      <c r="C6755" s="87"/>
      <c r="H6755" s="86" t="e">
        <f>IF(I6755="fora",0%,G6755/QUÓRUM!$C$6)</f>
        <v>#DIV/0!</v>
      </c>
      <c r="I6755" s="87"/>
      <c r="J6755" s="88"/>
      <c r="K6755" s="88"/>
      <c r="L6755" s="89"/>
      <c r="M6755" s="89"/>
      <c r="Q6755" s="105"/>
    </row>
    <row r="6756" spans="3:17" x14ac:dyDescent="0.3">
      <c r="C6756" s="87"/>
      <c r="H6756" s="86" t="e">
        <f>IF(I6756="fora",0%,G6756/QUÓRUM!$C$6)</f>
        <v>#DIV/0!</v>
      </c>
      <c r="I6756" s="87"/>
      <c r="J6756" s="88"/>
      <c r="K6756" s="88"/>
      <c r="L6756" s="89"/>
      <c r="M6756" s="89"/>
      <c r="Q6756" s="105"/>
    </row>
    <row r="6757" spans="3:17" x14ac:dyDescent="0.3">
      <c r="C6757" s="87"/>
      <c r="H6757" s="86" t="e">
        <f>IF(I6757="fora",0%,G6757/QUÓRUM!$C$6)</f>
        <v>#DIV/0!</v>
      </c>
      <c r="I6757" s="87"/>
      <c r="J6757" s="88"/>
      <c r="K6757" s="88"/>
      <c r="L6757" s="89"/>
      <c r="M6757" s="89"/>
      <c r="Q6757" s="105"/>
    </row>
    <row r="6758" spans="3:17" x14ac:dyDescent="0.3">
      <c r="C6758" s="87"/>
      <c r="H6758" s="86" t="e">
        <f>IF(I6758="fora",0%,G6758/QUÓRUM!$C$6)</f>
        <v>#DIV/0!</v>
      </c>
      <c r="I6758" s="87"/>
      <c r="J6758" s="88"/>
      <c r="K6758" s="88"/>
      <c r="L6758" s="89"/>
      <c r="M6758" s="89"/>
      <c r="Q6758" s="105"/>
    </row>
    <row r="6759" spans="3:17" x14ac:dyDescent="0.3">
      <c r="C6759" s="87"/>
      <c r="H6759" s="86" t="e">
        <f>IF(I6759="fora",0%,G6759/QUÓRUM!$C$6)</f>
        <v>#DIV/0!</v>
      </c>
      <c r="I6759" s="87"/>
      <c r="J6759" s="88"/>
      <c r="K6759" s="88"/>
      <c r="L6759" s="89"/>
      <c r="M6759" s="89"/>
      <c r="Q6759" s="105"/>
    </row>
    <row r="6760" spans="3:17" x14ac:dyDescent="0.3">
      <c r="C6760" s="87"/>
      <c r="H6760" s="86" t="e">
        <f>IF(I6760="fora",0%,G6760/QUÓRUM!$C$6)</f>
        <v>#DIV/0!</v>
      </c>
      <c r="I6760" s="87"/>
      <c r="J6760" s="88"/>
      <c r="K6760" s="88"/>
      <c r="L6760" s="89"/>
      <c r="M6760" s="89"/>
      <c r="Q6760" s="105"/>
    </row>
    <row r="6761" spans="3:17" x14ac:dyDescent="0.3">
      <c r="C6761" s="87"/>
      <c r="H6761" s="86" t="e">
        <f>IF(I6761="fora",0%,G6761/QUÓRUM!$C$6)</f>
        <v>#DIV/0!</v>
      </c>
      <c r="I6761" s="87"/>
      <c r="J6761" s="88"/>
      <c r="K6761" s="88"/>
      <c r="L6761" s="89"/>
      <c r="M6761" s="89"/>
      <c r="Q6761" s="105"/>
    </row>
    <row r="6762" spans="3:17" x14ac:dyDescent="0.3">
      <c r="C6762" s="87"/>
      <c r="H6762" s="86" t="e">
        <f>IF(I6762="fora",0%,G6762/QUÓRUM!$C$6)</f>
        <v>#DIV/0!</v>
      </c>
      <c r="I6762" s="87"/>
      <c r="J6762" s="88"/>
      <c r="K6762" s="88"/>
      <c r="L6762" s="89"/>
      <c r="M6762" s="89"/>
      <c r="Q6762" s="105"/>
    </row>
    <row r="6763" spans="3:17" x14ac:dyDescent="0.3">
      <c r="C6763" s="87"/>
      <c r="H6763" s="86" t="e">
        <f>IF(I6763="fora",0%,G6763/QUÓRUM!$C$6)</f>
        <v>#DIV/0!</v>
      </c>
      <c r="I6763" s="87"/>
      <c r="J6763" s="88"/>
      <c r="K6763" s="88"/>
      <c r="L6763" s="89"/>
      <c r="M6763" s="89"/>
      <c r="Q6763" s="105"/>
    </row>
    <row r="6764" spans="3:17" x14ac:dyDescent="0.3">
      <c r="C6764" s="87"/>
      <c r="H6764" s="86" t="e">
        <f>IF(I6764="fora",0%,G6764/QUÓRUM!$C$6)</f>
        <v>#DIV/0!</v>
      </c>
      <c r="I6764" s="87"/>
      <c r="J6764" s="88"/>
      <c r="K6764" s="88"/>
      <c r="L6764" s="89"/>
      <c r="M6764" s="89"/>
      <c r="Q6764" s="105"/>
    </row>
    <row r="6765" spans="3:17" x14ac:dyDescent="0.3">
      <c r="C6765" s="87"/>
      <c r="H6765" s="86" t="e">
        <f>IF(I6765="fora",0%,G6765/QUÓRUM!$C$6)</f>
        <v>#DIV/0!</v>
      </c>
      <c r="I6765" s="87"/>
      <c r="J6765" s="88"/>
      <c r="K6765" s="88"/>
      <c r="L6765" s="89"/>
      <c r="M6765" s="89"/>
      <c r="Q6765" s="105"/>
    </row>
    <row r="6766" spans="3:17" x14ac:dyDescent="0.3">
      <c r="C6766" s="87"/>
      <c r="H6766" s="86" t="e">
        <f>IF(I6766="fora",0%,G6766/QUÓRUM!$C$6)</f>
        <v>#DIV/0!</v>
      </c>
      <c r="I6766" s="87"/>
      <c r="J6766" s="88"/>
      <c r="K6766" s="88"/>
      <c r="L6766" s="89"/>
      <c r="M6766" s="89"/>
      <c r="Q6766" s="105"/>
    </row>
    <row r="6767" spans="3:17" x14ac:dyDescent="0.3">
      <c r="C6767" s="87"/>
      <c r="H6767" s="86" t="e">
        <f>IF(I6767="fora",0%,G6767/QUÓRUM!$C$6)</f>
        <v>#DIV/0!</v>
      </c>
      <c r="I6767" s="87"/>
      <c r="J6767" s="88"/>
      <c r="K6767" s="88"/>
      <c r="L6767" s="89"/>
      <c r="M6767" s="89"/>
      <c r="Q6767" s="105"/>
    </row>
    <row r="6768" spans="3:17" x14ac:dyDescent="0.3">
      <c r="C6768" s="87"/>
      <c r="H6768" s="86" t="e">
        <f>IF(I6768="fora",0%,G6768/QUÓRUM!$C$6)</f>
        <v>#DIV/0!</v>
      </c>
      <c r="I6768" s="87"/>
      <c r="J6768" s="88"/>
      <c r="K6768" s="88"/>
      <c r="L6768" s="89"/>
      <c r="M6768" s="89"/>
      <c r="Q6768" s="105"/>
    </row>
    <row r="6769" spans="3:17" x14ac:dyDescent="0.3">
      <c r="C6769" s="87"/>
      <c r="H6769" s="86" t="e">
        <f>IF(I6769="fora",0%,G6769/QUÓRUM!$C$6)</f>
        <v>#DIV/0!</v>
      </c>
      <c r="I6769" s="87"/>
      <c r="J6769" s="88"/>
      <c r="K6769" s="88"/>
      <c r="L6769" s="89"/>
      <c r="M6769" s="89"/>
      <c r="Q6769" s="105"/>
    </row>
    <row r="6770" spans="3:17" x14ac:dyDescent="0.3">
      <c r="C6770" s="87"/>
      <c r="H6770" s="86" t="e">
        <f>IF(I6770="fora",0%,G6770/QUÓRUM!$C$6)</f>
        <v>#DIV/0!</v>
      </c>
      <c r="I6770" s="87"/>
      <c r="J6770" s="88"/>
      <c r="K6770" s="88"/>
      <c r="L6770" s="89"/>
      <c r="M6770" s="89"/>
      <c r="Q6770" s="105"/>
    </row>
    <row r="6771" spans="3:17" x14ac:dyDescent="0.3">
      <c r="C6771" s="87"/>
      <c r="H6771" s="86" t="e">
        <f>IF(I6771="fora",0%,G6771/QUÓRUM!$C$6)</f>
        <v>#DIV/0!</v>
      </c>
      <c r="I6771" s="87"/>
      <c r="J6771" s="88"/>
      <c r="K6771" s="88"/>
      <c r="L6771" s="89"/>
      <c r="M6771" s="89"/>
      <c r="Q6771" s="105"/>
    </row>
    <row r="6772" spans="3:17" x14ac:dyDescent="0.3">
      <c r="C6772" s="87"/>
      <c r="H6772" s="86" t="e">
        <f>IF(I6772="fora",0%,G6772/QUÓRUM!$C$6)</f>
        <v>#DIV/0!</v>
      </c>
      <c r="I6772" s="87"/>
      <c r="J6772" s="88"/>
      <c r="K6772" s="88"/>
      <c r="L6772" s="89"/>
      <c r="M6772" s="89"/>
      <c r="Q6772" s="105"/>
    </row>
    <row r="6773" spans="3:17" x14ac:dyDescent="0.3">
      <c r="C6773" s="87"/>
      <c r="H6773" s="86" t="e">
        <f>IF(I6773="fora",0%,G6773/QUÓRUM!$C$6)</f>
        <v>#DIV/0!</v>
      </c>
      <c r="I6773" s="87"/>
      <c r="J6773" s="88"/>
      <c r="K6773" s="88"/>
      <c r="L6773" s="89"/>
      <c r="M6773" s="89"/>
      <c r="Q6773" s="105"/>
    </row>
    <row r="6774" spans="3:17" x14ac:dyDescent="0.3">
      <c r="C6774" s="87"/>
      <c r="H6774" s="86" t="e">
        <f>IF(I6774="fora",0%,G6774/QUÓRUM!$C$6)</f>
        <v>#DIV/0!</v>
      </c>
      <c r="I6774" s="87"/>
      <c r="J6774" s="88"/>
      <c r="K6774" s="88"/>
      <c r="L6774" s="89"/>
      <c r="M6774" s="89"/>
      <c r="Q6774" s="105"/>
    </row>
    <row r="6775" spans="3:17" x14ac:dyDescent="0.3">
      <c r="C6775" s="87"/>
      <c r="H6775" s="86" t="e">
        <f>IF(I6775="fora",0%,G6775/QUÓRUM!$C$6)</f>
        <v>#DIV/0!</v>
      </c>
      <c r="I6775" s="87"/>
      <c r="J6775" s="88"/>
      <c r="K6775" s="88"/>
      <c r="L6775" s="89"/>
      <c r="M6775" s="89"/>
      <c r="Q6775" s="105"/>
    </row>
    <row r="6776" spans="3:17" x14ac:dyDescent="0.3">
      <c r="C6776" s="87"/>
      <c r="H6776" s="86" t="e">
        <f>IF(I6776="fora",0%,G6776/QUÓRUM!$C$6)</f>
        <v>#DIV/0!</v>
      </c>
      <c r="I6776" s="87"/>
      <c r="J6776" s="88"/>
      <c r="K6776" s="88"/>
      <c r="L6776" s="89"/>
      <c r="M6776" s="89"/>
      <c r="Q6776" s="105"/>
    </row>
    <row r="6777" spans="3:17" x14ac:dyDescent="0.3">
      <c r="C6777" s="87"/>
      <c r="H6777" s="86" t="e">
        <f>IF(I6777="fora",0%,G6777/QUÓRUM!$C$6)</f>
        <v>#DIV/0!</v>
      </c>
      <c r="I6777" s="87"/>
      <c r="J6777" s="88"/>
      <c r="K6777" s="88"/>
      <c r="L6777" s="89"/>
      <c r="M6777" s="89"/>
      <c r="Q6777" s="105"/>
    </row>
    <row r="6778" spans="3:17" x14ac:dyDescent="0.3">
      <c r="C6778" s="87"/>
      <c r="H6778" s="86" t="e">
        <f>IF(I6778="fora",0%,G6778/QUÓRUM!$C$6)</f>
        <v>#DIV/0!</v>
      </c>
      <c r="I6778" s="87"/>
      <c r="J6778" s="88"/>
      <c r="K6778" s="88"/>
      <c r="L6778" s="89"/>
      <c r="M6778" s="89"/>
      <c r="Q6778" s="105"/>
    </row>
    <row r="6779" spans="3:17" x14ac:dyDescent="0.3">
      <c r="C6779" s="87"/>
      <c r="H6779" s="86" t="e">
        <f>IF(I6779="fora",0%,G6779/QUÓRUM!$C$6)</f>
        <v>#DIV/0!</v>
      </c>
      <c r="I6779" s="87"/>
      <c r="J6779" s="88"/>
      <c r="K6779" s="88"/>
      <c r="L6779" s="89"/>
      <c r="M6779" s="89"/>
      <c r="Q6779" s="105"/>
    </row>
    <row r="6780" spans="3:17" x14ac:dyDescent="0.3">
      <c r="C6780" s="87"/>
      <c r="H6780" s="86" t="e">
        <f>IF(I6780="fora",0%,G6780/QUÓRUM!$C$6)</f>
        <v>#DIV/0!</v>
      </c>
      <c r="I6780" s="87"/>
      <c r="J6780" s="88"/>
      <c r="K6780" s="88"/>
      <c r="L6780" s="89"/>
      <c r="M6780" s="89"/>
      <c r="Q6780" s="105"/>
    </row>
    <row r="6781" spans="3:17" x14ac:dyDescent="0.3">
      <c r="C6781" s="87"/>
      <c r="H6781" s="86" t="e">
        <f>IF(I6781="fora",0%,G6781/QUÓRUM!$C$6)</f>
        <v>#DIV/0!</v>
      </c>
      <c r="I6781" s="87"/>
      <c r="J6781" s="88"/>
      <c r="K6781" s="88"/>
      <c r="L6781" s="89"/>
      <c r="M6781" s="89"/>
      <c r="Q6781" s="105"/>
    </row>
    <row r="6782" spans="3:17" x14ac:dyDescent="0.3">
      <c r="C6782" s="87"/>
      <c r="H6782" s="86" t="e">
        <f>IF(I6782="fora",0%,G6782/QUÓRUM!$C$6)</f>
        <v>#DIV/0!</v>
      </c>
      <c r="I6782" s="87"/>
      <c r="J6782" s="88"/>
      <c r="K6782" s="88"/>
      <c r="L6782" s="89"/>
      <c r="M6782" s="89"/>
      <c r="Q6782" s="105"/>
    </row>
    <row r="6783" spans="3:17" x14ac:dyDescent="0.3">
      <c r="C6783" s="87"/>
      <c r="H6783" s="86" t="e">
        <f>IF(I6783="fora",0%,G6783/QUÓRUM!$C$6)</f>
        <v>#DIV/0!</v>
      </c>
      <c r="I6783" s="87"/>
      <c r="J6783" s="88"/>
      <c r="K6783" s="88"/>
      <c r="L6783" s="89"/>
      <c r="M6783" s="89"/>
      <c r="Q6783" s="105"/>
    </row>
    <row r="6784" spans="3:17" x14ac:dyDescent="0.3">
      <c r="C6784" s="87"/>
      <c r="H6784" s="86" t="e">
        <f>IF(I6784="fora",0%,G6784/QUÓRUM!$C$6)</f>
        <v>#DIV/0!</v>
      </c>
      <c r="I6784" s="87"/>
      <c r="J6784" s="88"/>
      <c r="K6784" s="88"/>
      <c r="L6784" s="89"/>
      <c r="M6784" s="89"/>
      <c r="Q6784" s="105"/>
    </row>
    <row r="6785" spans="3:17" x14ac:dyDescent="0.3">
      <c r="C6785" s="87"/>
      <c r="H6785" s="86" t="e">
        <f>IF(I6785="fora",0%,G6785/QUÓRUM!$C$6)</f>
        <v>#DIV/0!</v>
      </c>
      <c r="I6785" s="87"/>
      <c r="J6785" s="88"/>
      <c r="K6785" s="88"/>
      <c r="L6785" s="89"/>
      <c r="M6785" s="89"/>
      <c r="Q6785" s="105"/>
    </row>
    <row r="6786" spans="3:17" x14ac:dyDescent="0.3">
      <c r="C6786" s="87"/>
      <c r="H6786" s="86" t="e">
        <f>IF(I6786="fora",0%,G6786/QUÓRUM!$C$6)</f>
        <v>#DIV/0!</v>
      </c>
      <c r="I6786" s="87"/>
      <c r="J6786" s="88"/>
      <c r="K6786" s="88"/>
      <c r="L6786" s="89"/>
      <c r="M6786" s="89"/>
      <c r="Q6786" s="105"/>
    </row>
    <row r="6787" spans="3:17" x14ac:dyDescent="0.3">
      <c r="C6787" s="87"/>
      <c r="H6787" s="86" t="e">
        <f>IF(I6787="fora",0%,G6787/QUÓRUM!$C$6)</f>
        <v>#DIV/0!</v>
      </c>
      <c r="I6787" s="87"/>
      <c r="J6787" s="88"/>
      <c r="K6787" s="88"/>
      <c r="L6787" s="89"/>
      <c r="M6787" s="89"/>
      <c r="Q6787" s="105"/>
    </row>
    <row r="6788" spans="3:17" x14ac:dyDescent="0.3">
      <c r="C6788" s="87"/>
      <c r="H6788" s="86" t="e">
        <f>IF(I6788="fora",0%,G6788/QUÓRUM!$C$6)</f>
        <v>#DIV/0!</v>
      </c>
      <c r="I6788" s="87"/>
      <c r="J6788" s="88"/>
      <c r="K6788" s="88"/>
      <c r="L6788" s="89"/>
      <c r="M6788" s="89"/>
      <c r="Q6788" s="105"/>
    </row>
    <row r="6789" spans="3:17" x14ac:dyDescent="0.3">
      <c r="C6789" s="87"/>
      <c r="H6789" s="86" t="e">
        <f>IF(I6789="fora",0%,G6789/QUÓRUM!$C$6)</f>
        <v>#DIV/0!</v>
      </c>
      <c r="I6789" s="87"/>
      <c r="J6789" s="88"/>
      <c r="K6789" s="88"/>
      <c r="L6789" s="89"/>
      <c r="M6789" s="89"/>
      <c r="Q6789" s="105"/>
    </row>
    <row r="6790" spans="3:17" x14ac:dyDescent="0.3">
      <c r="C6790" s="87"/>
      <c r="H6790" s="86" t="e">
        <f>IF(I6790="fora",0%,G6790/QUÓRUM!$C$6)</f>
        <v>#DIV/0!</v>
      </c>
      <c r="I6790" s="87"/>
      <c r="J6790" s="88"/>
      <c r="K6790" s="88"/>
      <c r="L6790" s="89"/>
      <c r="M6790" s="89"/>
      <c r="Q6790" s="105"/>
    </row>
    <row r="6791" spans="3:17" x14ac:dyDescent="0.3">
      <c r="C6791" s="87"/>
      <c r="H6791" s="86" t="e">
        <f>IF(I6791="fora",0%,G6791/QUÓRUM!$C$6)</f>
        <v>#DIV/0!</v>
      </c>
      <c r="I6791" s="87"/>
      <c r="J6791" s="88"/>
      <c r="K6791" s="88"/>
      <c r="L6791" s="89"/>
      <c r="M6791" s="89"/>
      <c r="Q6791" s="105"/>
    </row>
    <row r="6792" spans="3:17" x14ac:dyDescent="0.3">
      <c r="C6792" s="87"/>
      <c r="H6792" s="86" t="e">
        <f>IF(I6792="fora",0%,G6792/QUÓRUM!$C$6)</f>
        <v>#DIV/0!</v>
      </c>
      <c r="I6792" s="87"/>
      <c r="J6792" s="88"/>
      <c r="K6792" s="88"/>
      <c r="L6792" s="89"/>
      <c r="M6792" s="89"/>
      <c r="Q6792" s="105"/>
    </row>
    <row r="6793" spans="3:17" x14ac:dyDescent="0.3">
      <c r="C6793" s="87"/>
      <c r="H6793" s="86" t="e">
        <f>IF(I6793="fora",0%,G6793/QUÓRUM!$C$6)</f>
        <v>#DIV/0!</v>
      </c>
      <c r="I6793" s="87"/>
      <c r="J6793" s="88"/>
      <c r="K6793" s="88"/>
      <c r="L6793" s="89"/>
      <c r="M6793" s="89"/>
      <c r="Q6793" s="105"/>
    </row>
    <row r="6794" spans="3:17" x14ac:dyDescent="0.3">
      <c r="C6794" s="87"/>
      <c r="H6794" s="86" t="e">
        <f>IF(I6794="fora",0%,G6794/QUÓRUM!$C$6)</f>
        <v>#DIV/0!</v>
      </c>
      <c r="I6794" s="87"/>
      <c r="J6794" s="88"/>
      <c r="K6794" s="88"/>
      <c r="L6794" s="89"/>
      <c r="M6794" s="89"/>
      <c r="Q6794" s="105"/>
    </row>
    <row r="6795" spans="3:17" x14ac:dyDescent="0.3">
      <c r="C6795" s="87"/>
      <c r="H6795" s="86" t="e">
        <f>IF(I6795="fora",0%,G6795/QUÓRUM!$C$6)</f>
        <v>#DIV/0!</v>
      </c>
      <c r="I6795" s="87"/>
      <c r="J6795" s="88"/>
      <c r="K6795" s="88"/>
      <c r="L6795" s="89"/>
      <c r="M6795" s="89"/>
      <c r="Q6795" s="105"/>
    </row>
    <row r="6796" spans="3:17" x14ac:dyDescent="0.3">
      <c r="C6796" s="87"/>
      <c r="H6796" s="86" t="e">
        <f>IF(I6796="fora",0%,G6796/QUÓRUM!$C$6)</f>
        <v>#DIV/0!</v>
      </c>
      <c r="I6796" s="87"/>
      <c r="J6796" s="88"/>
      <c r="K6796" s="88"/>
      <c r="L6796" s="89"/>
      <c r="M6796" s="89"/>
      <c r="Q6796" s="105"/>
    </row>
    <row r="6797" spans="3:17" x14ac:dyDescent="0.3">
      <c r="C6797" s="87"/>
      <c r="H6797" s="86" t="e">
        <f>IF(I6797="fora",0%,G6797/QUÓRUM!$C$6)</f>
        <v>#DIV/0!</v>
      </c>
      <c r="I6797" s="87"/>
      <c r="J6797" s="88"/>
      <c r="K6797" s="88"/>
      <c r="L6797" s="89"/>
      <c r="M6797" s="89"/>
      <c r="Q6797" s="105"/>
    </row>
    <row r="6798" spans="3:17" x14ac:dyDescent="0.3">
      <c r="C6798" s="87"/>
      <c r="H6798" s="86" t="e">
        <f>IF(I6798="fora",0%,G6798/QUÓRUM!$C$6)</f>
        <v>#DIV/0!</v>
      </c>
      <c r="I6798" s="87"/>
      <c r="J6798" s="88"/>
      <c r="K6798" s="88"/>
      <c r="L6798" s="89"/>
      <c r="M6798" s="89"/>
      <c r="Q6798" s="105"/>
    </row>
    <row r="6799" spans="3:17" x14ac:dyDescent="0.3">
      <c r="C6799" s="87"/>
      <c r="H6799" s="86" t="e">
        <f>IF(I6799="fora",0%,G6799/QUÓRUM!$C$6)</f>
        <v>#DIV/0!</v>
      </c>
      <c r="I6799" s="87"/>
      <c r="J6799" s="88"/>
      <c r="K6799" s="88"/>
      <c r="L6799" s="89"/>
      <c r="M6799" s="89"/>
      <c r="Q6799" s="105"/>
    </row>
    <row r="6800" spans="3:17" x14ac:dyDescent="0.3">
      <c r="C6800" s="87"/>
      <c r="H6800" s="86" t="e">
        <f>IF(I6800="fora",0%,G6800/QUÓRUM!$C$6)</f>
        <v>#DIV/0!</v>
      </c>
      <c r="I6800" s="87"/>
      <c r="J6800" s="88"/>
      <c r="K6800" s="88"/>
      <c r="L6800" s="89"/>
      <c r="M6800" s="89"/>
      <c r="Q6800" s="105"/>
    </row>
    <row r="6801" spans="3:17" x14ac:dyDescent="0.3">
      <c r="C6801" s="87"/>
      <c r="H6801" s="86" t="e">
        <f>IF(I6801="fora",0%,G6801/QUÓRUM!$C$6)</f>
        <v>#DIV/0!</v>
      </c>
      <c r="I6801" s="87"/>
      <c r="J6801" s="88"/>
      <c r="K6801" s="88"/>
      <c r="L6801" s="89"/>
      <c r="M6801" s="89"/>
      <c r="Q6801" s="105"/>
    </row>
    <row r="6802" spans="3:17" x14ac:dyDescent="0.3">
      <c r="C6802" s="87"/>
      <c r="H6802" s="86" t="e">
        <f>IF(I6802="fora",0%,G6802/QUÓRUM!$C$6)</f>
        <v>#DIV/0!</v>
      </c>
      <c r="I6802" s="87"/>
      <c r="J6802" s="88"/>
      <c r="K6802" s="88"/>
      <c r="L6802" s="89"/>
      <c r="M6802" s="89"/>
      <c r="Q6802" s="105"/>
    </row>
    <row r="6803" spans="3:17" x14ac:dyDescent="0.3">
      <c r="C6803" s="87"/>
      <c r="H6803" s="86" t="e">
        <f>IF(I6803="fora",0%,G6803/QUÓRUM!$C$6)</f>
        <v>#DIV/0!</v>
      </c>
      <c r="I6803" s="87"/>
      <c r="J6803" s="88"/>
      <c r="K6803" s="88"/>
      <c r="L6803" s="89"/>
      <c r="M6803" s="89"/>
      <c r="Q6803" s="105"/>
    </row>
    <row r="6804" spans="3:17" x14ac:dyDescent="0.3">
      <c r="C6804" s="87"/>
      <c r="H6804" s="86" t="e">
        <f>IF(I6804="fora",0%,G6804/QUÓRUM!$C$6)</f>
        <v>#DIV/0!</v>
      </c>
      <c r="I6804" s="87"/>
      <c r="J6804" s="88"/>
      <c r="K6804" s="88"/>
      <c r="L6804" s="89"/>
      <c r="M6804" s="89"/>
      <c r="Q6804" s="105"/>
    </row>
    <row r="6805" spans="3:17" x14ac:dyDescent="0.3">
      <c r="C6805" s="87"/>
      <c r="H6805" s="86" t="e">
        <f>IF(I6805="fora",0%,G6805/QUÓRUM!$C$6)</f>
        <v>#DIV/0!</v>
      </c>
      <c r="I6805" s="87"/>
      <c r="J6805" s="88"/>
      <c r="K6805" s="88"/>
      <c r="L6805" s="89"/>
      <c r="M6805" s="89"/>
      <c r="Q6805" s="105"/>
    </row>
    <row r="6806" spans="3:17" x14ac:dyDescent="0.3">
      <c r="C6806" s="87"/>
      <c r="H6806" s="86" t="e">
        <f>IF(I6806="fora",0%,G6806/QUÓRUM!$C$6)</f>
        <v>#DIV/0!</v>
      </c>
      <c r="I6806" s="87"/>
      <c r="J6806" s="88"/>
      <c r="K6806" s="88"/>
      <c r="L6806" s="89"/>
      <c r="M6806" s="89"/>
      <c r="Q6806" s="105"/>
    </row>
    <row r="6807" spans="3:17" x14ac:dyDescent="0.3">
      <c r="C6807" s="87"/>
      <c r="H6807" s="86" t="e">
        <f>IF(I6807="fora",0%,G6807/QUÓRUM!$C$6)</f>
        <v>#DIV/0!</v>
      </c>
      <c r="I6807" s="87"/>
      <c r="J6807" s="88"/>
      <c r="K6807" s="88"/>
      <c r="L6807" s="89"/>
      <c r="M6807" s="89"/>
      <c r="Q6807" s="105"/>
    </row>
    <row r="6808" spans="3:17" x14ac:dyDescent="0.3">
      <c r="C6808" s="87"/>
      <c r="H6808" s="86" t="e">
        <f>IF(I6808="fora",0%,G6808/QUÓRUM!$C$6)</f>
        <v>#DIV/0!</v>
      </c>
      <c r="I6808" s="87"/>
      <c r="J6808" s="88"/>
      <c r="K6808" s="88"/>
      <c r="L6808" s="89"/>
      <c r="M6808" s="89"/>
      <c r="Q6808" s="105"/>
    </row>
    <row r="6809" spans="3:17" x14ac:dyDescent="0.3">
      <c r="C6809" s="87"/>
      <c r="H6809" s="86" t="e">
        <f>IF(I6809="fora",0%,G6809/QUÓRUM!$C$6)</f>
        <v>#DIV/0!</v>
      </c>
      <c r="I6809" s="87"/>
      <c r="J6809" s="88"/>
      <c r="K6809" s="88"/>
      <c r="L6809" s="89"/>
      <c r="M6809" s="89"/>
      <c r="Q6809" s="105"/>
    </row>
    <row r="6810" spans="3:17" x14ac:dyDescent="0.3">
      <c r="C6810" s="87"/>
      <c r="H6810" s="86" t="e">
        <f>IF(I6810="fora",0%,G6810/QUÓRUM!$C$6)</f>
        <v>#DIV/0!</v>
      </c>
      <c r="I6810" s="87"/>
      <c r="J6810" s="88"/>
      <c r="K6810" s="88"/>
      <c r="L6810" s="89"/>
      <c r="M6810" s="89"/>
      <c r="Q6810" s="105"/>
    </row>
    <row r="6811" spans="3:17" x14ac:dyDescent="0.3">
      <c r="C6811" s="87"/>
      <c r="H6811" s="86" t="e">
        <f>IF(I6811="fora",0%,G6811/QUÓRUM!$C$6)</f>
        <v>#DIV/0!</v>
      </c>
      <c r="I6811" s="87"/>
      <c r="J6811" s="88"/>
      <c r="K6811" s="88"/>
      <c r="L6811" s="89"/>
      <c r="M6811" s="89"/>
      <c r="Q6811" s="105"/>
    </row>
    <row r="6812" spans="3:17" x14ac:dyDescent="0.3">
      <c r="C6812" s="87"/>
      <c r="H6812" s="86" t="e">
        <f>IF(I6812="fora",0%,G6812/QUÓRUM!$C$6)</f>
        <v>#DIV/0!</v>
      </c>
      <c r="I6812" s="87"/>
      <c r="J6812" s="88"/>
      <c r="K6812" s="88"/>
      <c r="L6812" s="89"/>
      <c r="M6812" s="89"/>
      <c r="Q6812" s="105"/>
    </row>
    <row r="6813" spans="3:17" x14ac:dyDescent="0.3">
      <c r="C6813" s="87"/>
      <c r="H6813" s="86" t="e">
        <f>IF(I6813="fora",0%,G6813/QUÓRUM!$C$6)</f>
        <v>#DIV/0!</v>
      </c>
      <c r="I6813" s="87"/>
      <c r="J6813" s="88"/>
      <c r="K6813" s="88"/>
      <c r="L6813" s="89"/>
      <c r="M6813" s="89"/>
      <c r="Q6813" s="105"/>
    </row>
    <row r="6814" spans="3:17" x14ac:dyDescent="0.3">
      <c r="C6814" s="87"/>
      <c r="H6814" s="86" t="e">
        <f>IF(I6814="fora",0%,G6814/QUÓRUM!$C$6)</f>
        <v>#DIV/0!</v>
      </c>
      <c r="I6814" s="87"/>
      <c r="J6814" s="88"/>
      <c r="K6814" s="88"/>
      <c r="L6814" s="89"/>
      <c r="M6814" s="89"/>
      <c r="Q6814" s="105"/>
    </row>
    <row r="6815" spans="3:17" x14ac:dyDescent="0.3">
      <c r="C6815" s="87"/>
      <c r="H6815" s="86" t="e">
        <f>IF(I6815="fora",0%,G6815/QUÓRUM!$C$6)</f>
        <v>#DIV/0!</v>
      </c>
      <c r="I6815" s="87"/>
      <c r="J6815" s="88"/>
      <c r="K6815" s="88"/>
      <c r="L6815" s="89"/>
      <c r="M6815" s="89"/>
      <c r="Q6815" s="105"/>
    </row>
    <row r="6816" spans="3:17" x14ac:dyDescent="0.3">
      <c r="C6816" s="87"/>
      <c r="H6816" s="86" t="e">
        <f>IF(I6816="fora",0%,G6816/QUÓRUM!$C$6)</f>
        <v>#DIV/0!</v>
      </c>
      <c r="I6816" s="87"/>
      <c r="J6816" s="88"/>
      <c r="K6816" s="88"/>
      <c r="L6816" s="89"/>
      <c r="M6816" s="89"/>
      <c r="Q6816" s="105"/>
    </row>
    <row r="6817" spans="3:17" x14ac:dyDescent="0.3">
      <c r="C6817" s="87"/>
      <c r="H6817" s="86" t="e">
        <f>IF(I6817="fora",0%,G6817/QUÓRUM!$C$6)</f>
        <v>#DIV/0!</v>
      </c>
      <c r="I6817" s="87"/>
      <c r="J6817" s="88"/>
      <c r="K6817" s="88"/>
      <c r="L6817" s="89"/>
      <c r="M6817" s="89"/>
      <c r="Q6817" s="105"/>
    </row>
    <row r="6818" spans="3:17" x14ac:dyDescent="0.3">
      <c r="C6818" s="87"/>
      <c r="H6818" s="86" t="e">
        <f>IF(I6818="fora",0%,G6818/QUÓRUM!$C$6)</f>
        <v>#DIV/0!</v>
      </c>
      <c r="I6818" s="87"/>
      <c r="J6818" s="88"/>
      <c r="K6818" s="88"/>
      <c r="L6818" s="89"/>
      <c r="M6818" s="89"/>
      <c r="Q6818" s="105"/>
    </row>
    <row r="6819" spans="3:17" x14ac:dyDescent="0.3">
      <c r="C6819" s="87"/>
      <c r="H6819" s="86" t="e">
        <f>IF(I6819="fora",0%,G6819/QUÓRUM!$C$6)</f>
        <v>#DIV/0!</v>
      </c>
      <c r="I6819" s="87"/>
      <c r="J6819" s="88"/>
      <c r="K6819" s="88"/>
      <c r="L6819" s="89"/>
      <c r="M6819" s="89"/>
      <c r="Q6819" s="105"/>
    </row>
    <row r="6820" spans="3:17" x14ac:dyDescent="0.3">
      <c r="C6820" s="87"/>
      <c r="H6820" s="86" t="e">
        <f>IF(I6820="fora",0%,G6820/QUÓRUM!$C$6)</f>
        <v>#DIV/0!</v>
      </c>
      <c r="I6820" s="87"/>
      <c r="J6820" s="88"/>
      <c r="K6820" s="88"/>
      <c r="L6820" s="89"/>
      <c r="M6820" s="89"/>
      <c r="Q6820" s="105"/>
    </row>
    <row r="6821" spans="3:17" x14ac:dyDescent="0.3">
      <c r="C6821" s="87"/>
      <c r="H6821" s="86" t="e">
        <f>IF(I6821="fora",0%,G6821/QUÓRUM!$C$6)</f>
        <v>#DIV/0!</v>
      </c>
      <c r="I6821" s="87"/>
      <c r="J6821" s="88"/>
      <c r="K6821" s="88"/>
      <c r="L6821" s="89"/>
      <c r="M6821" s="89"/>
      <c r="Q6821" s="105"/>
    </row>
    <row r="6822" spans="3:17" x14ac:dyDescent="0.3">
      <c r="C6822" s="87"/>
      <c r="H6822" s="86" t="e">
        <f>IF(I6822="fora",0%,G6822/QUÓRUM!$C$6)</f>
        <v>#DIV/0!</v>
      </c>
      <c r="I6822" s="87"/>
      <c r="J6822" s="88"/>
      <c r="K6822" s="88"/>
      <c r="L6822" s="89"/>
      <c r="M6822" s="89"/>
      <c r="Q6822" s="105"/>
    </row>
    <row r="6823" spans="3:17" x14ac:dyDescent="0.3">
      <c r="C6823" s="87"/>
      <c r="H6823" s="86" t="e">
        <f>IF(I6823="fora",0%,G6823/QUÓRUM!$C$6)</f>
        <v>#DIV/0!</v>
      </c>
      <c r="I6823" s="87"/>
      <c r="J6823" s="88"/>
      <c r="K6823" s="88"/>
      <c r="L6823" s="89"/>
      <c r="M6823" s="89"/>
      <c r="Q6823" s="105"/>
    </row>
    <row r="6824" spans="3:17" x14ac:dyDescent="0.3">
      <c r="C6824" s="87"/>
      <c r="H6824" s="86" t="e">
        <f>IF(I6824="fora",0%,G6824/QUÓRUM!$C$6)</f>
        <v>#DIV/0!</v>
      </c>
      <c r="I6824" s="87"/>
      <c r="J6824" s="88"/>
      <c r="K6824" s="88"/>
      <c r="L6824" s="89"/>
      <c r="M6824" s="89"/>
      <c r="Q6824" s="105"/>
    </row>
    <row r="6825" spans="3:17" x14ac:dyDescent="0.3">
      <c r="C6825" s="87"/>
      <c r="H6825" s="86" t="e">
        <f>IF(I6825="fora",0%,G6825/QUÓRUM!$C$6)</f>
        <v>#DIV/0!</v>
      </c>
      <c r="I6825" s="87"/>
      <c r="J6825" s="88"/>
      <c r="K6825" s="88"/>
      <c r="L6825" s="89"/>
      <c r="M6825" s="89"/>
      <c r="Q6825" s="105"/>
    </row>
    <row r="6826" spans="3:17" x14ac:dyDescent="0.3">
      <c r="C6826" s="87"/>
      <c r="H6826" s="86" t="e">
        <f>IF(I6826="fora",0%,G6826/QUÓRUM!$C$6)</f>
        <v>#DIV/0!</v>
      </c>
      <c r="I6826" s="87"/>
      <c r="J6826" s="88"/>
      <c r="K6826" s="88"/>
      <c r="L6826" s="89"/>
      <c r="M6826" s="89"/>
      <c r="Q6826" s="105"/>
    </row>
    <row r="6827" spans="3:17" x14ac:dyDescent="0.3">
      <c r="C6827" s="87"/>
      <c r="H6827" s="86" t="e">
        <f>IF(I6827="fora",0%,G6827/QUÓRUM!$C$6)</f>
        <v>#DIV/0!</v>
      </c>
      <c r="I6827" s="87"/>
      <c r="J6827" s="88"/>
      <c r="K6827" s="88"/>
      <c r="L6827" s="89"/>
      <c r="M6827" s="89"/>
      <c r="Q6827" s="105"/>
    </row>
    <row r="6828" spans="3:17" x14ac:dyDescent="0.3">
      <c r="C6828" s="87"/>
      <c r="H6828" s="86" t="e">
        <f>IF(I6828="fora",0%,G6828/QUÓRUM!$C$6)</f>
        <v>#DIV/0!</v>
      </c>
      <c r="I6828" s="87"/>
      <c r="J6828" s="88"/>
      <c r="K6828" s="88"/>
      <c r="L6828" s="89"/>
      <c r="M6828" s="89"/>
      <c r="Q6828" s="105"/>
    </row>
    <row r="6829" spans="3:17" x14ac:dyDescent="0.3">
      <c r="C6829" s="87"/>
      <c r="H6829" s="86" t="e">
        <f>IF(I6829="fora",0%,G6829/QUÓRUM!$C$6)</f>
        <v>#DIV/0!</v>
      </c>
      <c r="I6829" s="87"/>
      <c r="J6829" s="88"/>
      <c r="K6829" s="88"/>
      <c r="L6829" s="89"/>
      <c r="M6829" s="89"/>
      <c r="Q6829" s="105"/>
    </row>
    <row r="6830" spans="3:17" x14ac:dyDescent="0.3">
      <c r="C6830" s="87"/>
      <c r="H6830" s="86" t="e">
        <f>IF(I6830="fora",0%,G6830/QUÓRUM!$C$6)</f>
        <v>#DIV/0!</v>
      </c>
      <c r="I6830" s="87"/>
      <c r="J6830" s="88"/>
      <c r="K6830" s="88"/>
      <c r="L6830" s="89"/>
      <c r="M6830" s="89"/>
      <c r="Q6830" s="105"/>
    </row>
    <row r="6831" spans="3:17" x14ac:dyDescent="0.3">
      <c r="C6831" s="87"/>
      <c r="H6831" s="86" t="e">
        <f>IF(I6831="fora",0%,G6831/QUÓRUM!$C$6)</f>
        <v>#DIV/0!</v>
      </c>
      <c r="I6831" s="87"/>
      <c r="J6831" s="88"/>
      <c r="K6831" s="88"/>
      <c r="L6831" s="89"/>
      <c r="M6831" s="89"/>
      <c r="Q6831" s="105"/>
    </row>
    <row r="6832" spans="3:17" x14ac:dyDescent="0.3">
      <c r="C6832" s="87"/>
      <c r="H6832" s="86" t="e">
        <f>IF(I6832="fora",0%,G6832/QUÓRUM!$C$6)</f>
        <v>#DIV/0!</v>
      </c>
      <c r="I6832" s="87"/>
      <c r="J6832" s="88"/>
      <c r="K6832" s="88"/>
      <c r="L6832" s="89"/>
      <c r="M6832" s="89"/>
      <c r="Q6832" s="105"/>
    </row>
    <row r="6833" spans="3:17" x14ac:dyDescent="0.3">
      <c r="C6833" s="87"/>
      <c r="H6833" s="86" t="e">
        <f>IF(I6833="fora",0%,G6833/QUÓRUM!$C$6)</f>
        <v>#DIV/0!</v>
      </c>
      <c r="I6833" s="87"/>
      <c r="J6833" s="88"/>
      <c r="K6833" s="88"/>
      <c r="L6833" s="89"/>
      <c r="M6833" s="89"/>
      <c r="Q6833" s="105"/>
    </row>
    <row r="6834" spans="3:17" x14ac:dyDescent="0.3">
      <c r="C6834" s="87"/>
      <c r="H6834" s="86" t="e">
        <f>IF(I6834="fora",0%,G6834/QUÓRUM!$C$6)</f>
        <v>#DIV/0!</v>
      </c>
      <c r="I6834" s="87"/>
      <c r="J6834" s="88"/>
      <c r="K6834" s="88"/>
      <c r="L6834" s="89"/>
      <c r="M6834" s="89"/>
      <c r="Q6834" s="105"/>
    </row>
    <row r="6835" spans="3:17" x14ac:dyDescent="0.3">
      <c r="C6835" s="87"/>
      <c r="H6835" s="86" t="e">
        <f>IF(I6835="fora",0%,G6835/QUÓRUM!$C$6)</f>
        <v>#DIV/0!</v>
      </c>
      <c r="I6835" s="87"/>
      <c r="J6835" s="88"/>
      <c r="K6835" s="88"/>
      <c r="L6835" s="89"/>
      <c r="M6835" s="89"/>
      <c r="Q6835" s="105"/>
    </row>
    <row r="6836" spans="3:17" x14ac:dyDescent="0.3">
      <c r="C6836" s="87"/>
      <c r="H6836" s="86" t="e">
        <f>IF(I6836="fora",0%,G6836/QUÓRUM!$C$6)</f>
        <v>#DIV/0!</v>
      </c>
      <c r="I6836" s="87"/>
      <c r="J6836" s="88"/>
      <c r="K6836" s="88"/>
      <c r="L6836" s="89"/>
      <c r="M6836" s="89"/>
      <c r="Q6836" s="105"/>
    </row>
    <row r="6837" spans="3:17" x14ac:dyDescent="0.3">
      <c r="C6837" s="87"/>
      <c r="H6837" s="86" t="e">
        <f>IF(I6837="fora",0%,G6837/QUÓRUM!$C$6)</f>
        <v>#DIV/0!</v>
      </c>
      <c r="I6837" s="87"/>
      <c r="J6837" s="88"/>
      <c r="K6837" s="88"/>
      <c r="L6837" s="89"/>
      <c r="M6837" s="89"/>
      <c r="Q6837" s="105"/>
    </row>
    <row r="6838" spans="3:17" x14ac:dyDescent="0.3">
      <c r="C6838" s="87"/>
      <c r="H6838" s="86" t="e">
        <f>IF(I6838="fora",0%,G6838/QUÓRUM!$C$6)</f>
        <v>#DIV/0!</v>
      </c>
      <c r="I6838" s="87"/>
      <c r="J6838" s="88"/>
      <c r="K6838" s="88"/>
      <c r="L6838" s="89"/>
      <c r="M6838" s="89"/>
      <c r="Q6838" s="105"/>
    </row>
    <row r="6839" spans="3:17" x14ac:dyDescent="0.3">
      <c r="C6839" s="87"/>
      <c r="H6839" s="86" t="e">
        <f>IF(I6839="fora",0%,G6839/QUÓRUM!$C$6)</f>
        <v>#DIV/0!</v>
      </c>
      <c r="I6839" s="87"/>
      <c r="J6839" s="88"/>
      <c r="K6839" s="88"/>
      <c r="L6839" s="89"/>
      <c r="M6839" s="89"/>
      <c r="Q6839" s="105"/>
    </row>
    <row r="6840" spans="3:17" x14ac:dyDescent="0.3">
      <c r="C6840" s="87"/>
      <c r="H6840" s="86" t="e">
        <f>IF(I6840="fora",0%,G6840/QUÓRUM!$C$6)</f>
        <v>#DIV/0!</v>
      </c>
      <c r="I6840" s="87"/>
      <c r="J6840" s="88"/>
      <c r="K6840" s="88"/>
      <c r="L6840" s="89"/>
      <c r="M6840" s="89"/>
      <c r="Q6840" s="105"/>
    </row>
    <row r="6841" spans="3:17" x14ac:dyDescent="0.3">
      <c r="C6841" s="87"/>
      <c r="H6841" s="86" t="e">
        <f>IF(I6841="fora",0%,G6841/QUÓRUM!$C$6)</f>
        <v>#DIV/0!</v>
      </c>
      <c r="I6841" s="87"/>
      <c r="J6841" s="88"/>
      <c r="K6841" s="88"/>
      <c r="L6841" s="89"/>
      <c r="M6841" s="89"/>
      <c r="Q6841" s="105"/>
    </row>
    <row r="6842" spans="3:17" x14ac:dyDescent="0.3">
      <c r="C6842" s="87"/>
      <c r="H6842" s="86" t="e">
        <f>IF(I6842="fora",0%,G6842/QUÓRUM!$C$6)</f>
        <v>#DIV/0!</v>
      </c>
      <c r="I6842" s="87"/>
      <c r="J6842" s="88"/>
      <c r="K6842" s="88"/>
      <c r="L6842" s="89"/>
      <c r="M6842" s="89"/>
      <c r="Q6842" s="105"/>
    </row>
    <row r="6843" spans="3:17" x14ac:dyDescent="0.3">
      <c r="C6843" s="87"/>
      <c r="H6843" s="86" t="e">
        <f>IF(I6843="fora",0%,G6843/QUÓRUM!$C$6)</f>
        <v>#DIV/0!</v>
      </c>
      <c r="I6843" s="87"/>
      <c r="J6843" s="88"/>
      <c r="K6843" s="88"/>
      <c r="L6843" s="89"/>
      <c r="M6843" s="89"/>
      <c r="Q6843" s="105"/>
    </row>
    <row r="6844" spans="3:17" x14ac:dyDescent="0.3">
      <c r="C6844" s="87"/>
      <c r="H6844" s="86" t="e">
        <f>IF(I6844="fora",0%,G6844/QUÓRUM!$C$6)</f>
        <v>#DIV/0!</v>
      </c>
      <c r="I6844" s="87"/>
      <c r="J6844" s="88"/>
      <c r="K6844" s="88"/>
      <c r="L6844" s="89"/>
      <c r="M6844" s="89"/>
      <c r="Q6844" s="105"/>
    </row>
    <row r="6845" spans="3:17" x14ac:dyDescent="0.3">
      <c r="C6845" s="87"/>
      <c r="H6845" s="86" t="e">
        <f>IF(I6845="fora",0%,G6845/QUÓRUM!$C$6)</f>
        <v>#DIV/0!</v>
      </c>
      <c r="I6845" s="87"/>
      <c r="J6845" s="88"/>
      <c r="K6845" s="88"/>
      <c r="L6845" s="89"/>
      <c r="M6845" s="89"/>
      <c r="Q6845" s="105"/>
    </row>
    <row r="6846" spans="3:17" x14ac:dyDescent="0.3">
      <c r="C6846" s="87"/>
      <c r="H6846" s="86" t="e">
        <f>IF(I6846="fora",0%,G6846/QUÓRUM!$C$6)</f>
        <v>#DIV/0!</v>
      </c>
      <c r="I6846" s="87"/>
      <c r="J6846" s="88"/>
      <c r="K6846" s="88"/>
      <c r="L6846" s="89"/>
      <c r="M6846" s="89"/>
      <c r="Q6846" s="105"/>
    </row>
    <row r="6847" spans="3:17" x14ac:dyDescent="0.3">
      <c r="C6847" s="87"/>
      <c r="H6847" s="86" t="e">
        <f>IF(I6847="fora",0%,G6847/QUÓRUM!$C$6)</f>
        <v>#DIV/0!</v>
      </c>
      <c r="I6847" s="87"/>
      <c r="J6847" s="88"/>
      <c r="K6847" s="88"/>
      <c r="L6847" s="89"/>
      <c r="M6847" s="89"/>
      <c r="Q6847" s="105"/>
    </row>
    <row r="6848" spans="3:17" x14ac:dyDescent="0.3">
      <c r="C6848" s="87"/>
      <c r="H6848" s="86" t="e">
        <f>IF(I6848="fora",0%,G6848/QUÓRUM!$C$6)</f>
        <v>#DIV/0!</v>
      </c>
      <c r="I6848" s="87"/>
      <c r="J6848" s="88"/>
      <c r="K6848" s="88"/>
      <c r="L6848" s="89"/>
      <c r="M6848" s="89"/>
      <c r="Q6848" s="105"/>
    </row>
    <row r="6849" spans="3:17" x14ac:dyDescent="0.3">
      <c r="C6849" s="87"/>
      <c r="H6849" s="86" t="e">
        <f>IF(I6849="fora",0%,G6849/QUÓRUM!$C$6)</f>
        <v>#DIV/0!</v>
      </c>
      <c r="I6849" s="87"/>
      <c r="J6849" s="88"/>
      <c r="K6849" s="88"/>
      <c r="L6849" s="89"/>
      <c r="M6849" s="89"/>
      <c r="Q6849" s="105"/>
    </row>
    <row r="6850" spans="3:17" x14ac:dyDescent="0.3">
      <c r="C6850" s="87"/>
      <c r="H6850" s="86" t="e">
        <f>IF(I6850="fora",0%,G6850/QUÓRUM!$C$6)</f>
        <v>#DIV/0!</v>
      </c>
      <c r="I6850" s="87"/>
      <c r="J6850" s="88"/>
      <c r="K6850" s="88"/>
      <c r="L6850" s="89"/>
      <c r="M6850" s="89"/>
      <c r="Q6850" s="105"/>
    </row>
    <row r="6851" spans="3:17" x14ac:dyDescent="0.3">
      <c r="C6851" s="87"/>
      <c r="H6851" s="86" t="e">
        <f>IF(I6851="fora",0%,G6851/QUÓRUM!$C$6)</f>
        <v>#DIV/0!</v>
      </c>
      <c r="I6851" s="87"/>
      <c r="J6851" s="88"/>
      <c r="K6851" s="88"/>
      <c r="L6851" s="89"/>
      <c r="M6851" s="89"/>
      <c r="Q6851" s="105"/>
    </row>
    <row r="6852" spans="3:17" x14ac:dyDescent="0.3">
      <c r="C6852" s="87"/>
      <c r="H6852" s="86" t="e">
        <f>IF(I6852="fora",0%,G6852/QUÓRUM!$C$6)</f>
        <v>#DIV/0!</v>
      </c>
      <c r="I6852" s="87"/>
      <c r="J6852" s="88"/>
      <c r="K6852" s="88"/>
      <c r="L6852" s="89"/>
      <c r="M6852" s="89"/>
      <c r="Q6852" s="105"/>
    </row>
    <row r="6853" spans="3:17" x14ac:dyDescent="0.3">
      <c r="C6853" s="87"/>
      <c r="H6853" s="86" t="e">
        <f>IF(I6853="fora",0%,G6853/QUÓRUM!$C$6)</f>
        <v>#DIV/0!</v>
      </c>
      <c r="I6853" s="87"/>
      <c r="J6853" s="88"/>
      <c r="K6853" s="88"/>
      <c r="L6853" s="89"/>
      <c r="M6853" s="89"/>
      <c r="Q6853" s="105"/>
    </row>
    <row r="6854" spans="3:17" x14ac:dyDescent="0.3">
      <c r="C6854" s="87"/>
      <c r="H6854" s="86" t="e">
        <f>IF(I6854="fora",0%,G6854/QUÓRUM!$C$6)</f>
        <v>#DIV/0!</v>
      </c>
      <c r="I6854" s="87"/>
      <c r="J6854" s="88"/>
      <c r="K6854" s="88"/>
      <c r="L6854" s="89"/>
      <c r="M6854" s="89"/>
      <c r="Q6854" s="105"/>
    </row>
    <row r="6855" spans="3:17" x14ac:dyDescent="0.3">
      <c r="C6855" s="87"/>
      <c r="H6855" s="86" t="e">
        <f>IF(I6855="fora",0%,G6855/QUÓRUM!$C$6)</f>
        <v>#DIV/0!</v>
      </c>
      <c r="I6855" s="87"/>
      <c r="J6855" s="88"/>
      <c r="K6855" s="88"/>
      <c r="L6855" s="89"/>
      <c r="M6855" s="89"/>
      <c r="Q6855" s="105"/>
    </row>
    <row r="6856" spans="3:17" x14ac:dyDescent="0.3">
      <c r="C6856" s="87"/>
      <c r="H6856" s="86" t="e">
        <f>IF(I6856="fora",0%,G6856/QUÓRUM!$C$6)</f>
        <v>#DIV/0!</v>
      </c>
      <c r="I6856" s="87"/>
      <c r="J6856" s="88"/>
      <c r="K6856" s="88"/>
      <c r="L6856" s="89"/>
      <c r="M6856" s="89"/>
      <c r="Q6856" s="105"/>
    </row>
    <row r="6857" spans="3:17" x14ac:dyDescent="0.3">
      <c r="C6857" s="87"/>
      <c r="H6857" s="86" t="e">
        <f>IF(I6857="fora",0%,G6857/QUÓRUM!$C$6)</f>
        <v>#DIV/0!</v>
      </c>
      <c r="I6857" s="87"/>
      <c r="J6857" s="88"/>
      <c r="K6857" s="88"/>
      <c r="L6857" s="89"/>
      <c r="M6857" s="89"/>
      <c r="Q6857" s="105"/>
    </row>
    <row r="6858" spans="3:17" x14ac:dyDescent="0.3">
      <c r="C6858" s="87"/>
      <c r="H6858" s="86" t="e">
        <f>IF(I6858="fora",0%,G6858/QUÓRUM!$C$6)</f>
        <v>#DIV/0!</v>
      </c>
      <c r="I6858" s="87"/>
      <c r="J6858" s="88"/>
      <c r="K6858" s="88"/>
      <c r="L6858" s="89"/>
      <c r="M6858" s="89"/>
      <c r="Q6858" s="105"/>
    </row>
    <row r="6859" spans="3:17" x14ac:dyDescent="0.3">
      <c r="C6859" s="87"/>
      <c r="H6859" s="86" t="e">
        <f>IF(I6859="fora",0%,G6859/QUÓRUM!$C$6)</f>
        <v>#DIV/0!</v>
      </c>
      <c r="I6859" s="87"/>
      <c r="J6859" s="88"/>
      <c r="K6859" s="88"/>
      <c r="L6859" s="89"/>
      <c r="M6859" s="89"/>
      <c r="Q6859" s="105"/>
    </row>
    <row r="6860" spans="3:17" x14ac:dyDescent="0.3">
      <c r="C6860" s="87"/>
      <c r="H6860" s="86" t="e">
        <f>IF(I6860="fora",0%,G6860/QUÓRUM!$C$6)</f>
        <v>#DIV/0!</v>
      </c>
      <c r="I6860" s="87"/>
      <c r="J6860" s="88"/>
      <c r="K6860" s="88"/>
      <c r="L6860" s="89"/>
      <c r="M6860" s="89"/>
      <c r="Q6860" s="105"/>
    </row>
    <row r="6861" spans="3:17" x14ac:dyDescent="0.3">
      <c r="C6861" s="87"/>
      <c r="H6861" s="86" t="e">
        <f>IF(I6861="fora",0%,G6861/QUÓRUM!$C$6)</f>
        <v>#DIV/0!</v>
      </c>
      <c r="I6861" s="87"/>
      <c r="J6861" s="88"/>
      <c r="K6861" s="88"/>
      <c r="L6861" s="89"/>
      <c r="M6861" s="89"/>
      <c r="Q6861" s="105"/>
    </row>
    <row r="6862" spans="3:17" x14ac:dyDescent="0.3">
      <c r="C6862" s="87"/>
      <c r="H6862" s="86" t="e">
        <f>IF(I6862="fora",0%,G6862/QUÓRUM!$C$6)</f>
        <v>#DIV/0!</v>
      </c>
      <c r="I6862" s="87"/>
      <c r="J6862" s="88"/>
      <c r="K6862" s="88"/>
      <c r="L6862" s="89"/>
      <c r="M6862" s="89"/>
      <c r="Q6862" s="105"/>
    </row>
    <row r="6863" spans="3:17" x14ac:dyDescent="0.3">
      <c r="C6863" s="87"/>
      <c r="H6863" s="86" t="e">
        <f>IF(I6863="fora",0%,G6863/QUÓRUM!$C$6)</f>
        <v>#DIV/0!</v>
      </c>
      <c r="I6863" s="87"/>
      <c r="J6863" s="88"/>
      <c r="K6863" s="88"/>
      <c r="L6863" s="89"/>
      <c r="M6863" s="89"/>
      <c r="Q6863" s="105"/>
    </row>
    <row r="6864" spans="3:17" x14ac:dyDescent="0.3">
      <c r="C6864" s="87"/>
      <c r="H6864" s="86" t="e">
        <f>IF(I6864="fora",0%,G6864/QUÓRUM!$C$6)</f>
        <v>#DIV/0!</v>
      </c>
      <c r="I6864" s="87"/>
      <c r="J6864" s="88"/>
      <c r="K6864" s="88"/>
      <c r="L6864" s="89"/>
      <c r="M6864" s="89"/>
      <c r="Q6864" s="105"/>
    </row>
    <row r="6865" spans="3:17" x14ac:dyDescent="0.3">
      <c r="C6865" s="87"/>
      <c r="H6865" s="86" t="e">
        <f>IF(I6865="fora",0%,G6865/QUÓRUM!$C$6)</f>
        <v>#DIV/0!</v>
      </c>
      <c r="I6865" s="87"/>
      <c r="J6865" s="88"/>
      <c r="K6865" s="88"/>
      <c r="L6865" s="89"/>
      <c r="M6865" s="89"/>
      <c r="Q6865" s="105"/>
    </row>
    <row r="6866" spans="3:17" x14ac:dyDescent="0.3">
      <c r="C6866" s="87"/>
      <c r="H6866" s="86" t="e">
        <f>IF(I6866="fora",0%,G6866/QUÓRUM!$C$6)</f>
        <v>#DIV/0!</v>
      </c>
      <c r="I6866" s="87"/>
      <c r="J6866" s="88"/>
      <c r="K6866" s="88"/>
      <c r="L6866" s="89"/>
      <c r="M6866" s="89"/>
      <c r="Q6866" s="105"/>
    </row>
    <row r="6867" spans="3:17" x14ac:dyDescent="0.3">
      <c r="C6867" s="87"/>
      <c r="H6867" s="86" t="e">
        <f>IF(I6867="fora",0%,G6867/QUÓRUM!$C$6)</f>
        <v>#DIV/0!</v>
      </c>
      <c r="I6867" s="87"/>
      <c r="J6867" s="88"/>
      <c r="K6867" s="88"/>
      <c r="L6867" s="89"/>
      <c r="M6867" s="89"/>
      <c r="Q6867" s="105"/>
    </row>
    <row r="6868" spans="3:17" x14ac:dyDescent="0.3">
      <c r="C6868" s="87"/>
      <c r="H6868" s="86" t="e">
        <f>IF(I6868="fora",0%,G6868/QUÓRUM!$C$6)</f>
        <v>#DIV/0!</v>
      </c>
      <c r="I6868" s="87"/>
      <c r="J6868" s="88"/>
      <c r="K6868" s="88"/>
      <c r="L6868" s="89"/>
      <c r="M6868" s="89"/>
      <c r="Q6868" s="105"/>
    </row>
    <row r="6869" spans="3:17" x14ac:dyDescent="0.3">
      <c r="C6869" s="87"/>
      <c r="H6869" s="86" t="e">
        <f>IF(I6869="fora",0%,G6869/QUÓRUM!$C$6)</f>
        <v>#DIV/0!</v>
      </c>
      <c r="I6869" s="87"/>
      <c r="J6869" s="88"/>
      <c r="K6869" s="88"/>
      <c r="L6869" s="89"/>
      <c r="M6869" s="89"/>
      <c r="Q6869" s="105"/>
    </row>
    <row r="6870" spans="3:17" x14ac:dyDescent="0.3">
      <c r="C6870" s="87"/>
      <c r="H6870" s="86" t="e">
        <f>IF(I6870="fora",0%,G6870/QUÓRUM!$C$6)</f>
        <v>#DIV/0!</v>
      </c>
      <c r="I6870" s="87"/>
      <c r="J6870" s="88"/>
      <c r="K6870" s="88"/>
      <c r="L6870" s="89"/>
      <c r="M6870" s="89"/>
      <c r="Q6870" s="105"/>
    </row>
    <row r="6871" spans="3:17" x14ac:dyDescent="0.3">
      <c r="C6871" s="87"/>
      <c r="H6871" s="86" t="e">
        <f>IF(I6871="fora",0%,G6871/QUÓRUM!$C$6)</f>
        <v>#DIV/0!</v>
      </c>
      <c r="I6871" s="87"/>
      <c r="J6871" s="88"/>
      <c r="K6871" s="88"/>
      <c r="L6871" s="89"/>
      <c r="M6871" s="89"/>
      <c r="Q6871" s="105"/>
    </row>
    <row r="6872" spans="3:17" x14ac:dyDescent="0.3">
      <c r="C6872" s="87"/>
      <c r="H6872" s="86" t="e">
        <f>IF(I6872="fora",0%,G6872/QUÓRUM!$C$6)</f>
        <v>#DIV/0!</v>
      </c>
      <c r="I6872" s="87"/>
      <c r="J6872" s="88"/>
      <c r="K6872" s="88"/>
      <c r="L6872" s="89"/>
      <c r="M6872" s="89"/>
      <c r="Q6872" s="105"/>
    </row>
    <row r="6873" spans="3:17" x14ac:dyDescent="0.3">
      <c r="C6873" s="87"/>
      <c r="H6873" s="86" t="e">
        <f>IF(I6873="fora",0%,G6873/QUÓRUM!$C$6)</f>
        <v>#DIV/0!</v>
      </c>
      <c r="I6873" s="87"/>
      <c r="J6873" s="88"/>
      <c r="K6873" s="88"/>
      <c r="L6873" s="89"/>
      <c r="M6873" s="89"/>
      <c r="Q6873" s="105"/>
    </row>
    <row r="6874" spans="3:17" x14ac:dyDescent="0.3">
      <c r="C6874" s="87"/>
      <c r="H6874" s="86" t="e">
        <f>IF(I6874="fora",0%,G6874/QUÓRUM!$C$6)</f>
        <v>#DIV/0!</v>
      </c>
      <c r="I6874" s="87"/>
      <c r="J6874" s="88"/>
      <c r="K6874" s="88"/>
      <c r="L6874" s="89"/>
      <c r="M6874" s="89"/>
      <c r="Q6874" s="105"/>
    </row>
    <row r="6875" spans="3:17" x14ac:dyDescent="0.3">
      <c r="C6875" s="87"/>
      <c r="H6875" s="86" t="e">
        <f>IF(I6875="fora",0%,G6875/QUÓRUM!$C$6)</f>
        <v>#DIV/0!</v>
      </c>
      <c r="I6875" s="87"/>
      <c r="J6875" s="88"/>
      <c r="K6875" s="88"/>
      <c r="L6875" s="89"/>
      <c r="M6875" s="89"/>
      <c r="Q6875" s="105"/>
    </row>
    <row r="6876" spans="3:17" x14ac:dyDescent="0.3">
      <c r="C6876" s="87"/>
      <c r="H6876" s="86" t="e">
        <f>IF(I6876="fora",0%,G6876/QUÓRUM!$C$6)</f>
        <v>#DIV/0!</v>
      </c>
      <c r="I6876" s="87"/>
      <c r="J6876" s="88"/>
      <c r="K6876" s="88"/>
      <c r="L6876" s="89"/>
      <c r="M6876" s="89"/>
      <c r="Q6876" s="105"/>
    </row>
    <row r="6877" spans="3:17" x14ac:dyDescent="0.3">
      <c r="C6877" s="87"/>
      <c r="H6877" s="86" t="e">
        <f>IF(I6877="fora",0%,G6877/QUÓRUM!$C$6)</f>
        <v>#DIV/0!</v>
      </c>
      <c r="I6877" s="87"/>
      <c r="J6877" s="88"/>
      <c r="K6877" s="88"/>
      <c r="L6877" s="89"/>
      <c r="M6877" s="89"/>
      <c r="Q6877" s="105"/>
    </row>
    <row r="6878" spans="3:17" x14ac:dyDescent="0.3">
      <c r="C6878" s="87"/>
      <c r="H6878" s="86" t="e">
        <f>IF(I6878="fora",0%,G6878/QUÓRUM!$C$6)</f>
        <v>#DIV/0!</v>
      </c>
      <c r="I6878" s="87"/>
      <c r="J6878" s="88"/>
      <c r="K6878" s="88"/>
      <c r="L6878" s="89"/>
      <c r="M6878" s="89"/>
      <c r="Q6878" s="105"/>
    </row>
    <row r="6879" spans="3:17" x14ac:dyDescent="0.3">
      <c r="C6879" s="87"/>
      <c r="H6879" s="86" t="e">
        <f>IF(I6879="fora",0%,G6879/QUÓRUM!$C$6)</f>
        <v>#DIV/0!</v>
      </c>
      <c r="I6879" s="87"/>
      <c r="J6879" s="88"/>
      <c r="K6879" s="88"/>
      <c r="L6879" s="89"/>
      <c r="M6879" s="89"/>
      <c r="Q6879" s="105"/>
    </row>
    <row r="6880" spans="3:17" x14ac:dyDescent="0.3">
      <c r="C6880" s="87"/>
      <c r="H6880" s="86" t="e">
        <f>IF(I6880="fora",0%,G6880/QUÓRUM!$C$6)</f>
        <v>#DIV/0!</v>
      </c>
      <c r="I6880" s="87"/>
      <c r="J6880" s="88"/>
      <c r="K6880" s="88"/>
      <c r="L6880" s="89"/>
      <c r="M6880" s="89"/>
      <c r="Q6880" s="105"/>
    </row>
    <row r="6881" spans="3:17" x14ac:dyDescent="0.3">
      <c r="C6881" s="87"/>
      <c r="H6881" s="86" t="e">
        <f>IF(I6881="fora",0%,G6881/QUÓRUM!$C$6)</f>
        <v>#DIV/0!</v>
      </c>
      <c r="I6881" s="87"/>
      <c r="J6881" s="88"/>
      <c r="K6881" s="88"/>
      <c r="L6881" s="89"/>
      <c r="M6881" s="89"/>
      <c r="Q6881" s="105"/>
    </row>
    <row r="6882" spans="3:17" x14ac:dyDescent="0.3">
      <c r="C6882" s="87"/>
      <c r="H6882" s="86" t="e">
        <f>IF(I6882="fora",0%,G6882/QUÓRUM!$C$6)</f>
        <v>#DIV/0!</v>
      </c>
      <c r="I6882" s="87"/>
      <c r="J6882" s="88"/>
      <c r="K6882" s="88"/>
      <c r="L6882" s="89"/>
      <c r="M6882" s="89"/>
      <c r="Q6882" s="105"/>
    </row>
    <row r="6883" spans="3:17" x14ac:dyDescent="0.3">
      <c r="C6883" s="87"/>
      <c r="H6883" s="86" t="e">
        <f>IF(I6883="fora",0%,G6883/QUÓRUM!$C$6)</f>
        <v>#DIV/0!</v>
      </c>
      <c r="I6883" s="87"/>
      <c r="J6883" s="88"/>
      <c r="K6883" s="88"/>
      <c r="L6883" s="89"/>
      <c r="M6883" s="89"/>
      <c r="Q6883" s="105"/>
    </row>
    <row r="6884" spans="3:17" x14ac:dyDescent="0.3">
      <c r="C6884" s="87"/>
      <c r="H6884" s="86" t="e">
        <f>IF(I6884="fora",0%,G6884/QUÓRUM!$C$6)</f>
        <v>#DIV/0!</v>
      </c>
      <c r="I6884" s="87"/>
      <c r="J6884" s="88"/>
      <c r="K6884" s="88"/>
      <c r="L6884" s="89"/>
      <c r="M6884" s="89"/>
      <c r="Q6884" s="105"/>
    </row>
    <row r="6885" spans="3:17" x14ac:dyDescent="0.3">
      <c r="C6885" s="87"/>
      <c r="H6885" s="86" t="e">
        <f>IF(I6885="fora",0%,G6885/QUÓRUM!$C$6)</f>
        <v>#DIV/0!</v>
      </c>
      <c r="I6885" s="87"/>
      <c r="J6885" s="88"/>
      <c r="K6885" s="88"/>
      <c r="L6885" s="89"/>
      <c r="M6885" s="89"/>
      <c r="Q6885" s="105"/>
    </row>
    <row r="6886" spans="3:17" x14ac:dyDescent="0.3">
      <c r="C6886" s="87"/>
      <c r="H6886" s="86" t="e">
        <f>IF(I6886="fora",0%,G6886/QUÓRUM!$C$6)</f>
        <v>#DIV/0!</v>
      </c>
      <c r="I6886" s="87"/>
      <c r="J6886" s="88"/>
      <c r="K6886" s="88"/>
      <c r="L6886" s="89"/>
      <c r="M6886" s="89"/>
      <c r="Q6886" s="105"/>
    </row>
    <row r="6887" spans="3:17" x14ac:dyDescent="0.3">
      <c r="C6887" s="87"/>
      <c r="H6887" s="86" t="e">
        <f>IF(I6887="fora",0%,G6887/QUÓRUM!$C$6)</f>
        <v>#DIV/0!</v>
      </c>
      <c r="I6887" s="87"/>
      <c r="J6887" s="88"/>
      <c r="K6887" s="88"/>
      <c r="L6887" s="89"/>
      <c r="M6887" s="89"/>
      <c r="Q6887" s="105"/>
    </row>
    <row r="6888" spans="3:17" x14ac:dyDescent="0.3">
      <c r="C6888" s="87"/>
      <c r="H6888" s="86" t="e">
        <f>IF(I6888="fora",0%,G6888/QUÓRUM!$C$6)</f>
        <v>#DIV/0!</v>
      </c>
      <c r="I6888" s="87"/>
      <c r="J6888" s="88"/>
      <c r="K6888" s="88"/>
      <c r="L6888" s="89"/>
      <c r="M6888" s="89"/>
      <c r="Q6888" s="105"/>
    </row>
    <row r="6889" spans="3:17" x14ac:dyDescent="0.3">
      <c r="C6889" s="87"/>
      <c r="H6889" s="86" t="e">
        <f>IF(I6889="fora",0%,G6889/QUÓRUM!$C$6)</f>
        <v>#DIV/0!</v>
      </c>
      <c r="I6889" s="87"/>
      <c r="J6889" s="88"/>
      <c r="K6889" s="88"/>
      <c r="L6889" s="89"/>
      <c r="M6889" s="89"/>
      <c r="Q6889" s="105"/>
    </row>
    <row r="6890" spans="3:17" x14ac:dyDescent="0.3">
      <c r="C6890" s="87"/>
      <c r="H6890" s="86" t="e">
        <f>IF(I6890="fora",0%,G6890/QUÓRUM!$C$6)</f>
        <v>#DIV/0!</v>
      </c>
      <c r="I6890" s="87"/>
      <c r="J6890" s="88"/>
      <c r="K6890" s="88"/>
      <c r="L6890" s="89"/>
      <c r="M6890" s="89"/>
      <c r="Q6890" s="105"/>
    </row>
    <row r="6891" spans="3:17" x14ac:dyDescent="0.3">
      <c r="C6891" s="87"/>
      <c r="H6891" s="86" t="e">
        <f>IF(I6891="fora",0%,G6891/QUÓRUM!$C$6)</f>
        <v>#DIV/0!</v>
      </c>
      <c r="I6891" s="87"/>
      <c r="J6891" s="88"/>
      <c r="K6891" s="88"/>
      <c r="L6891" s="89"/>
      <c r="M6891" s="89"/>
      <c r="Q6891" s="105"/>
    </row>
    <row r="6892" spans="3:17" x14ac:dyDescent="0.3">
      <c r="C6892" s="87"/>
      <c r="H6892" s="86" t="e">
        <f>IF(I6892="fora",0%,G6892/QUÓRUM!$C$6)</f>
        <v>#DIV/0!</v>
      </c>
      <c r="I6892" s="87"/>
      <c r="J6892" s="88"/>
      <c r="K6892" s="88"/>
      <c r="L6892" s="89"/>
      <c r="M6892" s="89"/>
      <c r="Q6892" s="105"/>
    </row>
    <row r="6893" spans="3:17" x14ac:dyDescent="0.3">
      <c r="C6893" s="87"/>
      <c r="H6893" s="86" t="e">
        <f>IF(I6893="fora",0%,G6893/QUÓRUM!$C$6)</f>
        <v>#DIV/0!</v>
      </c>
      <c r="I6893" s="87"/>
      <c r="J6893" s="88"/>
      <c r="K6893" s="88"/>
      <c r="L6893" s="89"/>
      <c r="M6893" s="89"/>
      <c r="Q6893" s="105"/>
    </row>
    <row r="6894" spans="3:17" x14ac:dyDescent="0.3">
      <c r="C6894" s="87"/>
      <c r="H6894" s="86" t="e">
        <f>IF(I6894="fora",0%,G6894/QUÓRUM!$C$6)</f>
        <v>#DIV/0!</v>
      </c>
      <c r="I6894" s="87"/>
      <c r="J6894" s="88"/>
      <c r="K6894" s="88"/>
      <c r="L6894" s="89"/>
      <c r="M6894" s="89"/>
      <c r="Q6894" s="105"/>
    </row>
    <row r="6895" spans="3:17" x14ac:dyDescent="0.3">
      <c r="C6895" s="87"/>
      <c r="H6895" s="86" t="e">
        <f>IF(I6895="fora",0%,G6895/QUÓRUM!$C$6)</f>
        <v>#DIV/0!</v>
      </c>
      <c r="I6895" s="87"/>
      <c r="J6895" s="88"/>
      <c r="K6895" s="88"/>
      <c r="L6895" s="89"/>
      <c r="M6895" s="89"/>
      <c r="Q6895" s="105"/>
    </row>
    <row r="6896" spans="3:17" x14ac:dyDescent="0.3">
      <c r="C6896" s="87"/>
      <c r="H6896" s="86" t="e">
        <f>IF(I6896="fora",0%,G6896/QUÓRUM!$C$6)</f>
        <v>#DIV/0!</v>
      </c>
      <c r="I6896" s="87"/>
      <c r="J6896" s="88"/>
      <c r="K6896" s="88"/>
      <c r="L6896" s="89"/>
      <c r="M6896" s="89"/>
      <c r="Q6896" s="105"/>
    </row>
    <row r="6897" spans="3:17" x14ac:dyDescent="0.3">
      <c r="C6897" s="87"/>
      <c r="H6897" s="86" t="e">
        <f>IF(I6897="fora",0%,G6897/QUÓRUM!$C$6)</f>
        <v>#DIV/0!</v>
      </c>
      <c r="I6897" s="87"/>
      <c r="J6897" s="88"/>
      <c r="K6897" s="88"/>
      <c r="L6897" s="89"/>
      <c r="M6897" s="89"/>
      <c r="Q6897" s="105"/>
    </row>
    <row r="6898" spans="3:17" x14ac:dyDescent="0.3">
      <c r="C6898" s="87"/>
      <c r="H6898" s="86" t="e">
        <f>IF(I6898="fora",0%,G6898/QUÓRUM!$C$6)</f>
        <v>#DIV/0!</v>
      </c>
      <c r="I6898" s="87"/>
      <c r="J6898" s="88"/>
      <c r="K6898" s="88"/>
      <c r="L6898" s="89"/>
      <c r="M6898" s="89"/>
      <c r="Q6898" s="105"/>
    </row>
    <row r="6899" spans="3:17" x14ac:dyDescent="0.3">
      <c r="C6899" s="87"/>
      <c r="H6899" s="86" t="e">
        <f>IF(I6899="fora",0%,G6899/QUÓRUM!$C$6)</f>
        <v>#DIV/0!</v>
      </c>
      <c r="I6899" s="87"/>
      <c r="J6899" s="88"/>
      <c r="K6899" s="88"/>
      <c r="L6899" s="89"/>
      <c r="M6899" s="89"/>
      <c r="Q6899" s="105"/>
    </row>
    <row r="6900" spans="3:17" x14ac:dyDescent="0.3">
      <c r="C6900" s="87"/>
      <c r="H6900" s="86" t="e">
        <f>IF(I6900="fora",0%,G6900/QUÓRUM!$C$6)</f>
        <v>#DIV/0!</v>
      </c>
      <c r="I6900" s="87"/>
      <c r="J6900" s="88"/>
      <c r="K6900" s="88"/>
      <c r="L6900" s="89"/>
      <c r="M6900" s="89"/>
      <c r="Q6900" s="105"/>
    </row>
    <row r="6901" spans="3:17" x14ac:dyDescent="0.3">
      <c r="C6901" s="87"/>
      <c r="H6901" s="86" t="e">
        <f>IF(I6901="fora",0%,G6901/QUÓRUM!$C$6)</f>
        <v>#DIV/0!</v>
      </c>
      <c r="I6901" s="87"/>
      <c r="J6901" s="88"/>
      <c r="K6901" s="88"/>
      <c r="L6901" s="89"/>
      <c r="M6901" s="89"/>
      <c r="Q6901" s="105"/>
    </row>
    <row r="6902" spans="3:17" x14ac:dyDescent="0.3">
      <c r="C6902" s="87"/>
      <c r="H6902" s="86" t="e">
        <f>IF(I6902="fora",0%,G6902/QUÓRUM!$C$6)</f>
        <v>#DIV/0!</v>
      </c>
      <c r="I6902" s="87"/>
      <c r="J6902" s="88"/>
      <c r="K6902" s="88"/>
      <c r="L6902" s="89"/>
      <c r="M6902" s="89"/>
      <c r="Q6902" s="105"/>
    </row>
    <row r="6903" spans="3:17" x14ac:dyDescent="0.3">
      <c r="C6903" s="87"/>
      <c r="H6903" s="86" t="e">
        <f>IF(I6903="fora",0%,G6903/QUÓRUM!$C$6)</f>
        <v>#DIV/0!</v>
      </c>
      <c r="I6903" s="87"/>
      <c r="J6903" s="88"/>
      <c r="K6903" s="88"/>
      <c r="L6903" s="89"/>
      <c r="M6903" s="89"/>
      <c r="Q6903" s="105"/>
    </row>
    <row r="6904" spans="3:17" x14ac:dyDescent="0.3">
      <c r="C6904" s="87"/>
      <c r="H6904" s="86" t="e">
        <f>IF(I6904="fora",0%,G6904/QUÓRUM!$C$6)</f>
        <v>#DIV/0!</v>
      </c>
      <c r="I6904" s="87"/>
      <c r="J6904" s="88"/>
      <c r="K6904" s="88"/>
      <c r="L6904" s="89"/>
      <c r="M6904" s="89"/>
      <c r="Q6904" s="105"/>
    </row>
    <row r="6905" spans="3:17" x14ac:dyDescent="0.3">
      <c r="C6905" s="87"/>
      <c r="H6905" s="86" t="e">
        <f>IF(I6905="fora",0%,G6905/QUÓRUM!$C$6)</f>
        <v>#DIV/0!</v>
      </c>
      <c r="I6905" s="87"/>
      <c r="J6905" s="88"/>
      <c r="K6905" s="88"/>
      <c r="L6905" s="89"/>
      <c r="M6905" s="89"/>
      <c r="Q6905" s="105"/>
    </row>
    <row r="6906" spans="3:17" x14ac:dyDescent="0.3">
      <c r="C6906" s="87"/>
      <c r="H6906" s="86" t="e">
        <f>IF(I6906="fora",0%,G6906/QUÓRUM!$C$6)</f>
        <v>#DIV/0!</v>
      </c>
      <c r="I6906" s="87"/>
      <c r="J6906" s="88"/>
      <c r="K6906" s="88"/>
      <c r="L6906" s="89"/>
      <c r="M6906" s="89"/>
      <c r="Q6906" s="105"/>
    </row>
    <row r="6907" spans="3:17" x14ac:dyDescent="0.3">
      <c r="C6907" s="87"/>
      <c r="H6907" s="86" t="e">
        <f>IF(I6907="fora",0%,G6907/QUÓRUM!$C$6)</f>
        <v>#DIV/0!</v>
      </c>
      <c r="I6907" s="87"/>
      <c r="J6907" s="88"/>
      <c r="K6907" s="88"/>
      <c r="L6907" s="89"/>
      <c r="M6907" s="89"/>
      <c r="Q6907" s="105"/>
    </row>
    <row r="6908" spans="3:17" x14ac:dyDescent="0.3">
      <c r="C6908" s="87"/>
      <c r="H6908" s="86" t="e">
        <f>IF(I6908="fora",0%,G6908/QUÓRUM!$C$6)</f>
        <v>#DIV/0!</v>
      </c>
      <c r="I6908" s="87"/>
      <c r="J6908" s="88"/>
      <c r="K6908" s="88"/>
      <c r="L6908" s="89"/>
      <c r="M6908" s="89"/>
      <c r="Q6908" s="105"/>
    </row>
    <row r="6909" spans="3:17" x14ac:dyDescent="0.3">
      <c r="C6909" s="87"/>
      <c r="H6909" s="86" t="e">
        <f>IF(I6909="fora",0%,G6909/QUÓRUM!$C$6)</f>
        <v>#DIV/0!</v>
      </c>
      <c r="I6909" s="87"/>
      <c r="J6909" s="88"/>
      <c r="K6909" s="88"/>
      <c r="L6909" s="89"/>
      <c r="M6909" s="89"/>
      <c r="Q6909" s="105"/>
    </row>
    <row r="6910" spans="3:17" x14ac:dyDescent="0.3">
      <c r="C6910" s="87"/>
      <c r="H6910" s="86" t="e">
        <f>IF(I6910="fora",0%,G6910/QUÓRUM!$C$6)</f>
        <v>#DIV/0!</v>
      </c>
      <c r="I6910" s="87"/>
      <c r="J6910" s="88"/>
      <c r="K6910" s="88"/>
      <c r="L6910" s="89"/>
      <c r="M6910" s="89"/>
      <c r="Q6910" s="105"/>
    </row>
    <row r="6911" spans="3:17" x14ac:dyDescent="0.3">
      <c r="C6911" s="87"/>
      <c r="H6911" s="86" t="e">
        <f>IF(I6911="fora",0%,G6911/QUÓRUM!$C$6)</f>
        <v>#DIV/0!</v>
      </c>
      <c r="I6911" s="87"/>
      <c r="J6911" s="88"/>
      <c r="K6911" s="88"/>
      <c r="L6911" s="89"/>
      <c r="M6911" s="89"/>
      <c r="Q6911" s="105"/>
    </row>
    <row r="6912" spans="3:17" x14ac:dyDescent="0.3">
      <c r="C6912" s="87"/>
      <c r="H6912" s="86" t="e">
        <f>IF(I6912="fora",0%,G6912/QUÓRUM!$C$6)</f>
        <v>#DIV/0!</v>
      </c>
      <c r="I6912" s="87"/>
      <c r="J6912" s="88"/>
      <c r="K6912" s="88"/>
      <c r="L6912" s="89"/>
      <c r="M6912" s="89"/>
      <c r="Q6912" s="105"/>
    </row>
    <row r="6913" spans="3:17" x14ac:dyDescent="0.3">
      <c r="C6913" s="87"/>
      <c r="H6913" s="86" t="e">
        <f>IF(I6913="fora",0%,G6913/QUÓRUM!$C$6)</f>
        <v>#DIV/0!</v>
      </c>
      <c r="I6913" s="87"/>
      <c r="J6913" s="88"/>
      <c r="K6913" s="88"/>
      <c r="L6913" s="89"/>
      <c r="M6913" s="89"/>
      <c r="Q6913" s="105"/>
    </row>
    <row r="6914" spans="3:17" x14ac:dyDescent="0.3">
      <c r="C6914" s="87"/>
      <c r="H6914" s="86" t="e">
        <f>IF(I6914="fora",0%,G6914/QUÓRUM!$C$6)</f>
        <v>#DIV/0!</v>
      </c>
      <c r="I6914" s="87"/>
      <c r="J6914" s="88"/>
      <c r="K6914" s="88"/>
      <c r="L6914" s="89"/>
      <c r="M6914" s="89"/>
      <c r="Q6914" s="105"/>
    </row>
    <row r="6915" spans="3:17" x14ac:dyDescent="0.3">
      <c r="C6915" s="87"/>
      <c r="H6915" s="86" t="e">
        <f>IF(I6915="fora",0%,G6915/QUÓRUM!$C$6)</f>
        <v>#DIV/0!</v>
      </c>
      <c r="I6915" s="87"/>
      <c r="J6915" s="88"/>
      <c r="K6915" s="88"/>
      <c r="L6915" s="89"/>
      <c r="M6915" s="89"/>
      <c r="Q6915" s="105"/>
    </row>
    <row r="6916" spans="3:17" x14ac:dyDescent="0.3">
      <c r="C6916" s="87"/>
      <c r="H6916" s="86" t="e">
        <f>IF(I6916="fora",0%,G6916/QUÓRUM!$C$6)</f>
        <v>#DIV/0!</v>
      </c>
      <c r="I6916" s="87"/>
      <c r="J6916" s="88"/>
      <c r="K6916" s="88"/>
      <c r="L6916" s="89"/>
      <c r="M6916" s="89"/>
      <c r="Q6916" s="105"/>
    </row>
    <row r="6917" spans="3:17" x14ac:dyDescent="0.3">
      <c r="C6917" s="87"/>
      <c r="H6917" s="86" t="e">
        <f>IF(I6917="fora",0%,G6917/QUÓRUM!$C$6)</f>
        <v>#DIV/0!</v>
      </c>
      <c r="I6917" s="87"/>
      <c r="J6917" s="88"/>
      <c r="K6917" s="88"/>
      <c r="L6917" s="89"/>
      <c r="M6917" s="89"/>
      <c r="Q6917" s="105"/>
    </row>
    <row r="6918" spans="3:17" x14ac:dyDescent="0.3">
      <c r="C6918" s="87"/>
      <c r="H6918" s="86" t="e">
        <f>IF(I6918="fora",0%,G6918/QUÓRUM!$C$6)</f>
        <v>#DIV/0!</v>
      </c>
      <c r="I6918" s="87"/>
      <c r="J6918" s="88"/>
      <c r="K6918" s="88"/>
      <c r="L6918" s="89"/>
      <c r="M6918" s="89"/>
      <c r="Q6918" s="105"/>
    </row>
    <row r="6919" spans="3:17" x14ac:dyDescent="0.3">
      <c r="C6919" s="87"/>
      <c r="H6919" s="86" t="e">
        <f>IF(I6919="fora",0%,G6919/QUÓRUM!$C$6)</f>
        <v>#DIV/0!</v>
      </c>
      <c r="I6919" s="87"/>
      <c r="J6919" s="88"/>
      <c r="K6919" s="88"/>
      <c r="L6919" s="89"/>
      <c r="M6919" s="89"/>
      <c r="Q6919" s="105"/>
    </row>
    <row r="6920" spans="3:17" x14ac:dyDescent="0.3">
      <c r="C6920" s="87"/>
      <c r="H6920" s="86" t="e">
        <f>IF(I6920="fora",0%,G6920/QUÓRUM!$C$6)</f>
        <v>#DIV/0!</v>
      </c>
      <c r="I6920" s="87"/>
      <c r="J6920" s="88"/>
      <c r="K6920" s="88"/>
      <c r="L6920" s="89"/>
      <c r="M6920" s="89"/>
      <c r="Q6920" s="105"/>
    </row>
    <row r="6921" spans="3:17" x14ac:dyDescent="0.3">
      <c r="C6921" s="87"/>
      <c r="H6921" s="86" t="e">
        <f>IF(I6921="fora",0%,G6921/QUÓRUM!$C$6)</f>
        <v>#DIV/0!</v>
      </c>
      <c r="I6921" s="87"/>
      <c r="J6921" s="88"/>
      <c r="K6921" s="88"/>
      <c r="L6921" s="89"/>
      <c r="M6921" s="89"/>
      <c r="Q6921" s="105"/>
    </row>
    <row r="6922" spans="3:17" x14ac:dyDescent="0.3">
      <c r="C6922" s="87"/>
      <c r="H6922" s="86" t="e">
        <f>IF(I6922="fora",0%,G6922/QUÓRUM!$C$6)</f>
        <v>#DIV/0!</v>
      </c>
      <c r="I6922" s="87"/>
      <c r="J6922" s="88"/>
      <c r="K6922" s="88"/>
      <c r="L6922" s="89"/>
      <c r="M6922" s="89"/>
      <c r="Q6922" s="105"/>
    </row>
    <row r="6923" spans="3:17" x14ac:dyDescent="0.3">
      <c r="C6923" s="87"/>
      <c r="H6923" s="86" t="e">
        <f>IF(I6923="fora",0%,G6923/QUÓRUM!$C$6)</f>
        <v>#DIV/0!</v>
      </c>
      <c r="I6923" s="87"/>
      <c r="J6923" s="88"/>
      <c r="K6923" s="88"/>
      <c r="L6923" s="89"/>
      <c r="M6923" s="89"/>
      <c r="Q6923" s="105"/>
    </row>
    <row r="6924" spans="3:17" x14ac:dyDescent="0.3">
      <c r="C6924" s="87"/>
      <c r="H6924" s="86" t="e">
        <f>IF(I6924="fora",0%,G6924/QUÓRUM!$C$6)</f>
        <v>#DIV/0!</v>
      </c>
      <c r="I6924" s="87"/>
      <c r="J6924" s="88"/>
      <c r="K6924" s="88"/>
      <c r="L6924" s="89"/>
      <c r="M6924" s="89"/>
      <c r="Q6924" s="105"/>
    </row>
    <row r="6925" spans="3:17" x14ac:dyDescent="0.3">
      <c r="C6925" s="87"/>
      <c r="H6925" s="86" t="e">
        <f>IF(I6925="fora",0%,G6925/QUÓRUM!$C$6)</f>
        <v>#DIV/0!</v>
      </c>
      <c r="I6925" s="87"/>
      <c r="J6925" s="88"/>
      <c r="K6925" s="88"/>
      <c r="L6925" s="89"/>
      <c r="M6925" s="89"/>
      <c r="Q6925" s="105"/>
    </row>
    <row r="6926" spans="3:17" x14ac:dyDescent="0.3">
      <c r="C6926" s="87"/>
      <c r="H6926" s="86" t="e">
        <f>IF(I6926="fora",0%,G6926/QUÓRUM!$C$6)</f>
        <v>#DIV/0!</v>
      </c>
      <c r="I6926" s="87"/>
      <c r="J6926" s="88"/>
      <c r="K6926" s="88"/>
      <c r="L6926" s="89"/>
      <c r="M6926" s="89"/>
      <c r="Q6926" s="105"/>
    </row>
    <row r="6927" spans="3:17" x14ac:dyDescent="0.3">
      <c r="C6927" s="87"/>
      <c r="H6927" s="86" t="e">
        <f>IF(I6927="fora",0%,G6927/QUÓRUM!$C$6)</f>
        <v>#DIV/0!</v>
      </c>
      <c r="I6927" s="87"/>
      <c r="J6927" s="88"/>
      <c r="K6927" s="88"/>
      <c r="L6927" s="89"/>
      <c r="M6927" s="89"/>
      <c r="Q6927" s="105"/>
    </row>
    <row r="6928" spans="3:17" x14ac:dyDescent="0.3">
      <c r="C6928" s="87"/>
      <c r="H6928" s="86" t="e">
        <f>IF(I6928="fora",0%,G6928/QUÓRUM!$C$6)</f>
        <v>#DIV/0!</v>
      </c>
      <c r="I6928" s="87"/>
      <c r="J6928" s="88"/>
      <c r="K6928" s="88"/>
      <c r="L6928" s="89"/>
      <c r="M6928" s="89"/>
      <c r="Q6928" s="105"/>
    </row>
    <row r="6929" spans="3:17" x14ac:dyDescent="0.3">
      <c r="C6929" s="87"/>
      <c r="H6929" s="86" t="e">
        <f>IF(I6929="fora",0%,G6929/QUÓRUM!$C$6)</f>
        <v>#DIV/0!</v>
      </c>
      <c r="I6929" s="87"/>
      <c r="J6929" s="88"/>
      <c r="K6929" s="88"/>
      <c r="L6929" s="89"/>
      <c r="M6929" s="89"/>
      <c r="Q6929" s="105"/>
    </row>
    <row r="6930" spans="3:17" x14ac:dyDescent="0.3">
      <c r="C6930" s="87"/>
      <c r="H6930" s="86" t="e">
        <f>IF(I6930="fora",0%,G6930/QUÓRUM!$C$6)</f>
        <v>#DIV/0!</v>
      </c>
      <c r="I6930" s="87"/>
      <c r="J6930" s="88"/>
      <c r="K6930" s="88"/>
      <c r="L6930" s="89"/>
      <c r="M6930" s="89"/>
      <c r="Q6930" s="105"/>
    </row>
    <row r="6931" spans="3:17" x14ac:dyDescent="0.3">
      <c r="C6931" s="87"/>
      <c r="H6931" s="86" t="e">
        <f>IF(I6931="fora",0%,G6931/QUÓRUM!$C$6)</f>
        <v>#DIV/0!</v>
      </c>
      <c r="I6931" s="87"/>
      <c r="J6931" s="88"/>
      <c r="K6931" s="88"/>
      <c r="L6931" s="89"/>
      <c r="M6931" s="89"/>
      <c r="Q6931" s="105"/>
    </row>
    <row r="6932" spans="3:17" x14ac:dyDescent="0.3">
      <c r="C6932" s="87"/>
      <c r="H6932" s="86" t="e">
        <f>IF(I6932="fora",0%,G6932/QUÓRUM!$C$6)</f>
        <v>#DIV/0!</v>
      </c>
      <c r="I6932" s="87"/>
      <c r="J6932" s="88"/>
      <c r="K6932" s="88"/>
      <c r="L6932" s="89"/>
      <c r="M6932" s="89"/>
      <c r="Q6932" s="105"/>
    </row>
    <row r="6933" spans="3:17" x14ac:dyDescent="0.3">
      <c r="C6933" s="87"/>
      <c r="H6933" s="86" t="e">
        <f>IF(I6933="fora",0%,G6933/QUÓRUM!$C$6)</f>
        <v>#DIV/0!</v>
      </c>
      <c r="I6933" s="87"/>
      <c r="J6933" s="88"/>
      <c r="K6933" s="88"/>
      <c r="L6933" s="89"/>
      <c r="M6933" s="89"/>
      <c r="Q6933" s="105"/>
    </row>
    <row r="6934" spans="3:17" x14ac:dyDescent="0.3">
      <c r="C6934" s="87"/>
      <c r="H6934" s="86" t="e">
        <f>IF(I6934="fora",0%,G6934/QUÓRUM!$C$6)</f>
        <v>#DIV/0!</v>
      </c>
      <c r="I6934" s="87"/>
      <c r="J6934" s="88"/>
      <c r="K6934" s="88"/>
      <c r="L6934" s="89"/>
      <c r="M6934" s="89"/>
      <c r="Q6934" s="105"/>
    </row>
    <row r="6935" spans="3:17" x14ac:dyDescent="0.3">
      <c r="C6935" s="87"/>
      <c r="H6935" s="86" t="e">
        <f>IF(I6935="fora",0%,G6935/QUÓRUM!$C$6)</f>
        <v>#DIV/0!</v>
      </c>
      <c r="I6935" s="87"/>
      <c r="J6935" s="88"/>
      <c r="K6935" s="88"/>
      <c r="L6935" s="89"/>
      <c r="M6935" s="89"/>
      <c r="Q6935" s="105"/>
    </row>
    <row r="6936" spans="3:17" x14ac:dyDescent="0.3">
      <c r="C6936" s="87"/>
      <c r="H6936" s="86" t="e">
        <f>IF(I6936="fora",0%,G6936/QUÓRUM!$C$6)</f>
        <v>#DIV/0!</v>
      </c>
      <c r="I6936" s="87"/>
      <c r="J6936" s="88"/>
      <c r="K6936" s="88"/>
      <c r="L6936" s="89"/>
      <c r="M6936" s="89"/>
      <c r="Q6936" s="105"/>
    </row>
    <row r="6937" spans="3:17" x14ac:dyDescent="0.3">
      <c r="C6937" s="87"/>
      <c r="H6937" s="86" t="e">
        <f>IF(I6937="fora",0%,G6937/QUÓRUM!$C$6)</f>
        <v>#DIV/0!</v>
      </c>
      <c r="I6937" s="87"/>
      <c r="J6937" s="88"/>
      <c r="K6937" s="88"/>
      <c r="L6937" s="89"/>
      <c r="M6937" s="89"/>
      <c r="Q6937" s="105"/>
    </row>
    <row r="6938" spans="3:17" x14ac:dyDescent="0.3">
      <c r="C6938" s="87"/>
      <c r="H6938" s="86" t="e">
        <f>IF(I6938="fora",0%,G6938/QUÓRUM!$C$6)</f>
        <v>#DIV/0!</v>
      </c>
      <c r="I6938" s="87"/>
      <c r="J6938" s="88"/>
      <c r="K6938" s="88"/>
      <c r="L6938" s="89"/>
      <c r="M6938" s="89"/>
      <c r="Q6938" s="105"/>
    </row>
    <row r="6939" spans="3:17" x14ac:dyDescent="0.3">
      <c r="C6939" s="87"/>
      <c r="H6939" s="86" t="e">
        <f>IF(I6939="fora",0%,G6939/QUÓRUM!$C$6)</f>
        <v>#DIV/0!</v>
      </c>
      <c r="I6939" s="87"/>
      <c r="J6939" s="88"/>
      <c r="K6939" s="88"/>
      <c r="L6939" s="89"/>
      <c r="M6939" s="89"/>
      <c r="Q6939" s="105"/>
    </row>
    <row r="6940" spans="3:17" x14ac:dyDescent="0.3">
      <c r="C6940" s="87"/>
      <c r="H6940" s="86" t="e">
        <f>IF(I6940="fora",0%,G6940/QUÓRUM!$C$6)</f>
        <v>#DIV/0!</v>
      </c>
      <c r="I6940" s="87"/>
      <c r="J6940" s="88"/>
      <c r="K6940" s="88"/>
      <c r="L6940" s="89"/>
      <c r="M6940" s="89"/>
      <c r="Q6940" s="105"/>
    </row>
    <row r="6941" spans="3:17" x14ac:dyDescent="0.3">
      <c r="C6941" s="87"/>
      <c r="H6941" s="86" t="e">
        <f>IF(I6941="fora",0%,G6941/QUÓRUM!$C$6)</f>
        <v>#DIV/0!</v>
      </c>
      <c r="I6941" s="87"/>
      <c r="J6941" s="88"/>
      <c r="K6941" s="88"/>
      <c r="L6941" s="89"/>
      <c r="M6941" s="89"/>
      <c r="Q6941" s="105"/>
    </row>
    <row r="6942" spans="3:17" x14ac:dyDescent="0.3">
      <c r="C6942" s="87"/>
      <c r="H6942" s="86" t="e">
        <f>IF(I6942="fora",0%,G6942/QUÓRUM!$C$6)</f>
        <v>#DIV/0!</v>
      </c>
      <c r="I6942" s="87"/>
      <c r="J6942" s="88"/>
      <c r="K6942" s="88"/>
      <c r="L6942" s="89"/>
      <c r="M6942" s="89"/>
      <c r="Q6942" s="105"/>
    </row>
    <row r="6943" spans="3:17" x14ac:dyDescent="0.3">
      <c r="C6943" s="87"/>
      <c r="H6943" s="86" t="e">
        <f>IF(I6943="fora",0%,G6943/QUÓRUM!$C$6)</f>
        <v>#DIV/0!</v>
      </c>
      <c r="I6943" s="87"/>
      <c r="J6943" s="88"/>
      <c r="K6943" s="88"/>
      <c r="L6943" s="89"/>
      <c r="M6943" s="89"/>
      <c r="Q6943" s="105"/>
    </row>
    <row r="6944" spans="3:17" x14ac:dyDescent="0.3">
      <c r="C6944" s="87"/>
      <c r="H6944" s="86" t="e">
        <f>IF(I6944="fora",0%,G6944/QUÓRUM!$C$6)</f>
        <v>#DIV/0!</v>
      </c>
      <c r="I6944" s="87"/>
      <c r="J6944" s="88"/>
      <c r="K6944" s="88"/>
      <c r="L6944" s="89"/>
      <c r="M6944" s="89"/>
      <c r="Q6944" s="105"/>
    </row>
    <row r="6945" spans="3:17" x14ac:dyDescent="0.3">
      <c r="C6945" s="87"/>
      <c r="H6945" s="86" t="e">
        <f>IF(I6945="fora",0%,G6945/QUÓRUM!$C$6)</f>
        <v>#DIV/0!</v>
      </c>
      <c r="I6945" s="87"/>
      <c r="J6945" s="88"/>
      <c r="K6945" s="88"/>
      <c r="L6945" s="89"/>
      <c r="M6945" s="89"/>
      <c r="Q6945" s="105"/>
    </row>
    <row r="6946" spans="3:17" x14ac:dyDescent="0.3">
      <c r="C6946" s="87"/>
      <c r="H6946" s="86" t="e">
        <f>IF(I6946="fora",0%,G6946/QUÓRUM!$C$6)</f>
        <v>#DIV/0!</v>
      </c>
      <c r="I6946" s="87"/>
      <c r="J6946" s="88"/>
      <c r="K6946" s="88"/>
      <c r="L6946" s="89"/>
      <c r="M6946" s="89"/>
      <c r="Q6946" s="105"/>
    </row>
    <row r="6947" spans="3:17" x14ac:dyDescent="0.3">
      <c r="C6947" s="87"/>
      <c r="H6947" s="86" t="e">
        <f>IF(I6947="fora",0%,G6947/QUÓRUM!$C$6)</f>
        <v>#DIV/0!</v>
      </c>
      <c r="I6947" s="87"/>
      <c r="J6947" s="88"/>
      <c r="K6947" s="88"/>
      <c r="L6947" s="89"/>
      <c r="M6947" s="89"/>
      <c r="Q6947" s="105"/>
    </row>
    <row r="6948" spans="3:17" x14ac:dyDescent="0.3">
      <c r="C6948" s="87"/>
      <c r="H6948" s="86" t="e">
        <f>IF(I6948="fora",0%,G6948/QUÓRUM!$C$6)</f>
        <v>#DIV/0!</v>
      </c>
      <c r="I6948" s="87"/>
      <c r="J6948" s="88"/>
      <c r="K6948" s="88"/>
      <c r="L6948" s="89"/>
      <c r="M6948" s="89"/>
      <c r="Q6948" s="105"/>
    </row>
    <row r="6949" spans="3:17" x14ac:dyDescent="0.3">
      <c r="C6949" s="87"/>
      <c r="H6949" s="86" t="e">
        <f>IF(I6949="fora",0%,G6949/QUÓRUM!$C$6)</f>
        <v>#DIV/0!</v>
      </c>
      <c r="I6949" s="87"/>
      <c r="J6949" s="88"/>
      <c r="K6949" s="88"/>
      <c r="L6949" s="89"/>
      <c r="M6949" s="89"/>
      <c r="Q6949" s="105"/>
    </row>
    <row r="6950" spans="3:17" x14ac:dyDescent="0.3">
      <c r="C6950" s="87"/>
      <c r="H6950" s="86" t="e">
        <f>IF(I6950="fora",0%,G6950/QUÓRUM!$C$6)</f>
        <v>#DIV/0!</v>
      </c>
      <c r="I6950" s="87"/>
      <c r="J6950" s="88"/>
      <c r="K6950" s="88"/>
      <c r="L6950" s="89"/>
      <c r="M6950" s="89"/>
      <c r="Q6950" s="105"/>
    </row>
    <row r="6951" spans="3:17" x14ac:dyDescent="0.3">
      <c r="C6951" s="87"/>
      <c r="H6951" s="86" t="e">
        <f>IF(I6951="fora",0%,G6951/QUÓRUM!$C$6)</f>
        <v>#DIV/0!</v>
      </c>
      <c r="I6951" s="87"/>
      <c r="J6951" s="88"/>
      <c r="K6951" s="88"/>
      <c r="L6951" s="89"/>
      <c r="M6951" s="89"/>
      <c r="Q6951" s="105"/>
    </row>
    <row r="6952" spans="3:17" x14ac:dyDescent="0.3">
      <c r="C6952" s="87"/>
      <c r="H6952" s="86" t="e">
        <f>IF(I6952="fora",0%,G6952/QUÓRUM!$C$6)</f>
        <v>#DIV/0!</v>
      </c>
      <c r="I6952" s="87"/>
      <c r="J6952" s="88"/>
      <c r="K6952" s="88"/>
      <c r="L6952" s="89"/>
      <c r="M6952" s="89"/>
      <c r="Q6952" s="105"/>
    </row>
    <row r="6953" spans="3:17" x14ac:dyDescent="0.3">
      <c r="C6953" s="87"/>
      <c r="H6953" s="86" t="e">
        <f>IF(I6953="fora",0%,G6953/QUÓRUM!$C$6)</f>
        <v>#DIV/0!</v>
      </c>
      <c r="I6953" s="87"/>
      <c r="J6953" s="88"/>
      <c r="K6953" s="88"/>
      <c r="L6953" s="89"/>
      <c r="M6953" s="89"/>
      <c r="Q6953" s="105"/>
    </row>
    <row r="6954" spans="3:17" x14ac:dyDescent="0.3">
      <c r="C6954" s="87"/>
      <c r="H6954" s="86" t="e">
        <f>IF(I6954="fora",0%,G6954/QUÓRUM!$C$6)</f>
        <v>#DIV/0!</v>
      </c>
      <c r="I6954" s="87"/>
      <c r="J6954" s="88"/>
      <c r="K6954" s="88"/>
      <c r="L6954" s="89"/>
      <c r="M6954" s="89"/>
      <c r="Q6954" s="105"/>
    </row>
    <row r="6955" spans="3:17" x14ac:dyDescent="0.3">
      <c r="C6955" s="87"/>
      <c r="H6955" s="86" t="e">
        <f>IF(I6955="fora",0%,G6955/QUÓRUM!$C$6)</f>
        <v>#DIV/0!</v>
      </c>
      <c r="I6955" s="87"/>
      <c r="J6955" s="88"/>
      <c r="K6955" s="88"/>
      <c r="L6955" s="89"/>
      <c r="M6955" s="89"/>
      <c r="Q6955" s="105"/>
    </row>
    <row r="6956" spans="3:17" x14ac:dyDescent="0.3">
      <c r="C6956" s="87"/>
      <c r="H6956" s="86" t="e">
        <f>IF(I6956="fora",0%,G6956/QUÓRUM!$C$6)</f>
        <v>#DIV/0!</v>
      </c>
      <c r="I6956" s="87"/>
      <c r="J6956" s="88"/>
      <c r="K6956" s="88"/>
      <c r="L6956" s="89"/>
      <c r="M6956" s="89"/>
      <c r="Q6956" s="105"/>
    </row>
    <row r="6957" spans="3:17" x14ac:dyDescent="0.3">
      <c r="C6957" s="87"/>
      <c r="H6957" s="86" t="e">
        <f>IF(I6957="fora",0%,G6957/QUÓRUM!$C$6)</f>
        <v>#DIV/0!</v>
      </c>
      <c r="I6957" s="87"/>
      <c r="J6957" s="88"/>
      <c r="K6957" s="88"/>
      <c r="L6957" s="89"/>
      <c r="M6957" s="89"/>
      <c r="Q6957" s="105"/>
    </row>
    <row r="6958" spans="3:17" x14ac:dyDescent="0.3">
      <c r="C6958" s="87"/>
      <c r="H6958" s="86" t="e">
        <f>IF(I6958="fora",0%,G6958/QUÓRUM!$C$6)</f>
        <v>#DIV/0!</v>
      </c>
      <c r="I6958" s="87"/>
      <c r="J6958" s="88"/>
      <c r="K6958" s="88"/>
      <c r="L6958" s="89"/>
      <c r="M6958" s="89"/>
      <c r="Q6958" s="105"/>
    </row>
    <row r="6959" spans="3:17" x14ac:dyDescent="0.3">
      <c r="C6959" s="87"/>
      <c r="H6959" s="86" t="e">
        <f>IF(I6959="fora",0%,G6959/QUÓRUM!$C$6)</f>
        <v>#DIV/0!</v>
      </c>
      <c r="I6959" s="87"/>
      <c r="J6959" s="88"/>
      <c r="K6959" s="88"/>
      <c r="L6959" s="89"/>
      <c r="M6959" s="89"/>
      <c r="Q6959" s="105"/>
    </row>
    <row r="6960" spans="3:17" x14ac:dyDescent="0.3">
      <c r="C6960" s="87"/>
      <c r="H6960" s="86" t="e">
        <f>IF(I6960="fora",0%,G6960/QUÓRUM!$C$6)</f>
        <v>#DIV/0!</v>
      </c>
      <c r="I6960" s="87"/>
      <c r="J6960" s="88"/>
      <c r="K6960" s="88"/>
      <c r="L6960" s="89"/>
      <c r="M6960" s="89"/>
      <c r="Q6960" s="105"/>
    </row>
    <row r="6961" spans="3:17" x14ac:dyDescent="0.3">
      <c r="C6961" s="87"/>
      <c r="H6961" s="86" t="e">
        <f>IF(I6961="fora",0%,G6961/QUÓRUM!$C$6)</f>
        <v>#DIV/0!</v>
      </c>
      <c r="I6961" s="87"/>
      <c r="J6961" s="88"/>
      <c r="K6961" s="88"/>
      <c r="L6961" s="89"/>
      <c r="M6961" s="89"/>
      <c r="Q6961" s="105"/>
    </row>
    <row r="6962" spans="3:17" x14ac:dyDescent="0.3">
      <c r="C6962" s="87"/>
      <c r="H6962" s="86" t="e">
        <f>IF(I6962="fora",0%,G6962/QUÓRUM!$C$6)</f>
        <v>#DIV/0!</v>
      </c>
      <c r="I6962" s="87"/>
      <c r="J6962" s="88"/>
      <c r="K6962" s="88"/>
      <c r="L6962" s="89"/>
      <c r="M6962" s="89"/>
      <c r="Q6962" s="105"/>
    </row>
    <row r="6963" spans="3:17" x14ac:dyDescent="0.3">
      <c r="C6963" s="87"/>
      <c r="H6963" s="86" t="e">
        <f>IF(I6963="fora",0%,G6963/QUÓRUM!$C$6)</f>
        <v>#DIV/0!</v>
      </c>
      <c r="I6963" s="87"/>
      <c r="J6963" s="88"/>
      <c r="K6963" s="88"/>
      <c r="L6963" s="89"/>
      <c r="M6963" s="89"/>
      <c r="Q6963" s="105"/>
    </row>
    <row r="6964" spans="3:17" x14ac:dyDescent="0.3">
      <c r="C6964" s="87"/>
      <c r="H6964" s="86" t="e">
        <f>IF(I6964="fora",0%,G6964/QUÓRUM!$C$6)</f>
        <v>#DIV/0!</v>
      </c>
      <c r="I6964" s="87"/>
      <c r="J6964" s="88"/>
      <c r="K6964" s="88"/>
      <c r="L6964" s="89"/>
      <c r="M6964" s="89"/>
      <c r="Q6964" s="105"/>
    </row>
    <row r="6965" spans="3:17" x14ac:dyDescent="0.3">
      <c r="C6965" s="87"/>
      <c r="H6965" s="86" t="e">
        <f>IF(I6965="fora",0%,G6965/QUÓRUM!$C$6)</f>
        <v>#DIV/0!</v>
      </c>
      <c r="I6965" s="87"/>
      <c r="J6965" s="88"/>
      <c r="K6965" s="88"/>
      <c r="L6965" s="89"/>
      <c r="M6965" s="89"/>
      <c r="Q6965" s="105"/>
    </row>
    <row r="6966" spans="3:17" x14ac:dyDescent="0.3">
      <c r="C6966" s="87"/>
      <c r="H6966" s="86" t="e">
        <f>IF(I6966="fora",0%,G6966/QUÓRUM!$C$6)</f>
        <v>#DIV/0!</v>
      </c>
      <c r="I6966" s="87"/>
      <c r="J6966" s="88"/>
      <c r="K6966" s="88"/>
      <c r="L6966" s="89"/>
      <c r="M6966" s="89"/>
      <c r="Q6966" s="105"/>
    </row>
    <row r="6967" spans="3:17" x14ac:dyDescent="0.3">
      <c r="C6967" s="87"/>
      <c r="H6967" s="86" t="e">
        <f>IF(I6967="fora",0%,G6967/QUÓRUM!$C$6)</f>
        <v>#DIV/0!</v>
      </c>
      <c r="I6967" s="87"/>
      <c r="J6967" s="88"/>
      <c r="K6967" s="88"/>
      <c r="L6967" s="89"/>
      <c r="M6967" s="89"/>
      <c r="Q6967" s="105"/>
    </row>
    <row r="6968" spans="3:17" x14ac:dyDescent="0.3">
      <c r="C6968" s="87"/>
      <c r="H6968" s="86" t="e">
        <f>IF(I6968="fora",0%,G6968/QUÓRUM!$C$6)</f>
        <v>#DIV/0!</v>
      </c>
      <c r="I6968" s="87"/>
      <c r="J6968" s="88"/>
      <c r="K6968" s="88"/>
      <c r="L6968" s="89"/>
      <c r="M6968" s="89"/>
      <c r="Q6968" s="105"/>
    </row>
    <row r="6969" spans="3:17" x14ac:dyDescent="0.3">
      <c r="C6969" s="87"/>
      <c r="H6969" s="86" t="e">
        <f>IF(I6969="fora",0%,G6969/QUÓRUM!$C$6)</f>
        <v>#DIV/0!</v>
      </c>
      <c r="I6969" s="87"/>
      <c r="J6969" s="88"/>
      <c r="K6969" s="88"/>
      <c r="L6969" s="89"/>
      <c r="M6969" s="89"/>
      <c r="Q6969" s="105"/>
    </row>
    <row r="6970" spans="3:17" x14ac:dyDescent="0.3">
      <c r="C6970" s="87"/>
      <c r="H6970" s="86" t="e">
        <f>IF(I6970="fora",0%,G6970/QUÓRUM!$C$6)</f>
        <v>#DIV/0!</v>
      </c>
      <c r="I6970" s="87"/>
      <c r="J6970" s="88"/>
      <c r="K6970" s="88"/>
      <c r="L6970" s="89"/>
      <c r="M6970" s="89"/>
      <c r="Q6970" s="105"/>
    </row>
    <row r="6971" spans="3:17" x14ac:dyDescent="0.3">
      <c r="C6971" s="87"/>
      <c r="H6971" s="86" t="e">
        <f>IF(I6971="fora",0%,G6971/QUÓRUM!$C$6)</f>
        <v>#DIV/0!</v>
      </c>
      <c r="I6971" s="87"/>
      <c r="J6971" s="88"/>
      <c r="K6971" s="88"/>
      <c r="L6971" s="89"/>
      <c r="M6971" s="89"/>
      <c r="Q6971" s="105"/>
    </row>
    <row r="6972" spans="3:17" x14ac:dyDescent="0.3">
      <c r="C6972" s="87"/>
      <c r="H6972" s="86" t="e">
        <f>IF(I6972="fora",0%,G6972/QUÓRUM!$C$6)</f>
        <v>#DIV/0!</v>
      </c>
      <c r="I6972" s="87"/>
      <c r="J6972" s="88"/>
      <c r="K6972" s="88"/>
      <c r="L6972" s="89"/>
      <c r="M6972" s="89"/>
      <c r="Q6972" s="105"/>
    </row>
    <row r="6973" spans="3:17" x14ac:dyDescent="0.3">
      <c r="C6973" s="87"/>
      <c r="H6973" s="86" t="e">
        <f>IF(I6973="fora",0%,G6973/QUÓRUM!$C$6)</f>
        <v>#DIV/0!</v>
      </c>
      <c r="I6973" s="87"/>
      <c r="J6973" s="88"/>
      <c r="K6973" s="88"/>
      <c r="L6973" s="89"/>
      <c r="M6973" s="89"/>
      <c r="Q6973" s="105"/>
    </row>
    <row r="6974" spans="3:17" x14ac:dyDescent="0.3">
      <c r="C6974" s="87"/>
      <c r="H6974" s="86" t="e">
        <f>IF(I6974="fora",0%,G6974/QUÓRUM!$C$6)</f>
        <v>#DIV/0!</v>
      </c>
      <c r="I6974" s="87"/>
      <c r="J6974" s="88"/>
      <c r="K6974" s="88"/>
      <c r="L6974" s="89"/>
      <c r="M6974" s="89"/>
      <c r="Q6974" s="105"/>
    </row>
    <row r="6975" spans="3:17" x14ac:dyDescent="0.3">
      <c r="C6975" s="87"/>
      <c r="H6975" s="86" t="e">
        <f>IF(I6975="fora",0%,G6975/QUÓRUM!$C$6)</f>
        <v>#DIV/0!</v>
      </c>
      <c r="I6975" s="87"/>
      <c r="J6975" s="88"/>
      <c r="K6975" s="88"/>
      <c r="L6975" s="89"/>
      <c r="M6975" s="89"/>
      <c r="Q6975" s="105"/>
    </row>
    <row r="6976" spans="3:17" x14ac:dyDescent="0.3">
      <c r="C6976" s="87"/>
      <c r="H6976" s="86" t="e">
        <f>IF(I6976="fora",0%,G6976/QUÓRUM!$C$6)</f>
        <v>#DIV/0!</v>
      </c>
      <c r="I6976" s="87"/>
      <c r="J6976" s="88"/>
      <c r="K6976" s="88"/>
      <c r="L6976" s="89"/>
      <c r="M6976" s="89"/>
      <c r="Q6976" s="105"/>
    </row>
    <row r="6977" spans="3:17" x14ac:dyDescent="0.3">
      <c r="C6977" s="87"/>
      <c r="H6977" s="86" t="e">
        <f>IF(I6977="fora",0%,G6977/QUÓRUM!$C$6)</f>
        <v>#DIV/0!</v>
      </c>
      <c r="I6977" s="87"/>
      <c r="J6977" s="88"/>
      <c r="K6977" s="88"/>
      <c r="L6977" s="89"/>
      <c r="M6977" s="89"/>
      <c r="Q6977" s="105"/>
    </row>
    <row r="6978" spans="3:17" x14ac:dyDescent="0.3">
      <c r="C6978" s="87"/>
      <c r="H6978" s="86" t="e">
        <f>IF(I6978="fora",0%,G6978/QUÓRUM!$C$6)</f>
        <v>#DIV/0!</v>
      </c>
      <c r="I6978" s="87"/>
      <c r="J6978" s="88"/>
      <c r="K6978" s="88"/>
      <c r="L6978" s="89"/>
      <c r="M6978" s="89"/>
      <c r="Q6978" s="105"/>
    </row>
    <row r="6979" spans="3:17" x14ac:dyDescent="0.3">
      <c r="C6979" s="87"/>
      <c r="H6979" s="86" t="e">
        <f>IF(I6979="fora",0%,G6979/QUÓRUM!$C$6)</f>
        <v>#DIV/0!</v>
      </c>
      <c r="I6979" s="87"/>
      <c r="J6979" s="88"/>
      <c r="K6979" s="88"/>
      <c r="L6979" s="89"/>
      <c r="M6979" s="89"/>
      <c r="Q6979" s="105"/>
    </row>
    <row r="6980" spans="3:17" x14ac:dyDescent="0.3">
      <c r="C6980" s="87"/>
      <c r="H6980" s="86" t="e">
        <f>IF(I6980="fora",0%,G6980/QUÓRUM!$C$6)</f>
        <v>#DIV/0!</v>
      </c>
      <c r="I6980" s="87"/>
      <c r="J6980" s="88"/>
      <c r="K6980" s="88"/>
      <c r="L6980" s="89"/>
      <c r="M6980" s="89"/>
      <c r="Q6980" s="105"/>
    </row>
    <row r="6981" spans="3:17" x14ac:dyDescent="0.3">
      <c r="C6981" s="87"/>
      <c r="H6981" s="86" t="e">
        <f>IF(I6981="fora",0%,G6981/QUÓRUM!$C$6)</f>
        <v>#DIV/0!</v>
      </c>
      <c r="I6981" s="87"/>
      <c r="J6981" s="88"/>
      <c r="K6981" s="88"/>
      <c r="L6981" s="89"/>
      <c r="M6981" s="89"/>
      <c r="Q6981" s="105"/>
    </row>
    <row r="6982" spans="3:17" x14ac:dyDescent="0.3">
      <c r="C6982" s="87"/>
      <c r="H6982" s="86" t="e">
        <f>IF(I6982="fora",0%,G6982/QUÓRUM!$C$6)</f>
        <v>#DIV/0!</v>
      </c>
      <c r="I6982" s="87"/>
      <c r="J6982" s="88"/>
      <c r="K6982" s="88"/>
      <c r="L6982" s="89"/>
      <c r="M6982" s="89"/>
      <c r="Q6982" s="105"/>
    </row>
    <row r="6983" spans="3:17" x14ac:dyDescent="0.3">
      <c r="C6983" s="87"/>
      <c r="H6983" s="86" t="e">
        <f>IF(I6983="fora",0%,G6983/QUÓRUM!$C$6)</f>
        <v>#DIV/0!</v>
      </c>
      <c r="I6983" s="87"/>
      <c r="J6983" s="88"/>
      <c r="K6983" s="88"/>
      <c r="L6983" s="89"/>
      <c r="M6983" s="89"/>
      <c r="Q6983" s="105"/>
    </row>
    <row r="6984" spans="3:17" x14ac:dyDescent="0.3">
      <c r="C6984" s="87"/>
      <c r="H6984" s="86" t="e">
        <f>IF(I6984="fora",0%,G6984/QUÓRUM!$C$6)</f>
        <v>#DIV/0!</v>
      </c>
      <c r="I6984" s="87"/>
      <c r="J6984" s="88"/>
      <c r="K6984" s="88"/>
      <c r="L6984" s="89"/>
      <c r="M6984" s="89"/>
      <c r="Q6984" s="105"/>
    </row>
    <row r="6985" spans="3:17" x14ac:dyDescent="0.3">
      <c r="C6985" s="87"/>
      <c r="H6985" s="86" t="e">
        <f>IF(I6985="fora",0%,G6985/QUÓRUM!$C$6)</f>
        <v>#DIV/0!</v>
      </c>
      <c r="I6985" s="87"/>
      <c r="J6985" s="88"/>
      <c r="K6985" s="88"/>
      <c r="L6985" s="89"/>
      <c r="M6985" s="89"/>
      <c r="Q6985" s="105"/>
    </row>
    <row r="6986" spans="3:17" x14ac:dyDescent="0.3">
      <c r="C6986" s="87"/>
      <c r="H6986" s="86" t="e">
        <f>IF(I6986="fora",0%,G6986/QUÓRUM!$C$6)</f>
        <v>#DIV/0!</v>
      </c>
      <c r="I6986" s="87"/>
      <c r="J6986" s="88"/>
      <c r="K6986" s="88"/>
      <c r="L6986" s="89"/>
      <c r="M6986" s="89"/>
      <c r="Q6986" s="105"/>
    </row>
    <row r="6987" spans="3:17" x14ac:dyDescent="0.3">
      <c r="C6987" s="87"/>
      <c r="H6987" s="86" t="e">
        <f>IF(I6987="fora",0%,G6987/QUÓRUM!$C$6)</f>
        <v>#DIV/0!</v>
      </c>
      <c r="I6987" s="87"/>
      <c r="J6987" s="88"/>
      <c r="K6987" s="88"/>
      <c r="L6987" s="89"/>
      <c r="M6987" s="89"/>
      <c r="Q6987" s="105"/>
    </row>
    <row r="6988" spans="3:17" x14ac:dyDescent="0.3">
      <c r="C6988" s="87"/>
      <c r="H6988" s="86" t="e">
        <f>IF(I6988="fora",0%,G6988/QUÓRUM!$C$6)</f>
        <v>#DIV/0!</v>
      </c>
      <c r="I6988" s="87"/>
      <c r="J6988" s="88"/>
      <c r="K6988" s="88"/>
      <c r="L6988" s="89"/>
      <c r="M6988" s="89"/>
      <c r="Q6988" s="105"/>
    </row>
    <row r="6989" spans="3:17" x14ac:dyDescent="0.3">
      <c r="C6989" s="87"/>
      <c r="H6989" s="86" t="e">
        <f>IF(I6989="fora",0%,G6989/QUÓRUM!$C$6)</f>
        <v>#DIV/0!</v>
      </c>
      <c r="I6989" s="87"/>
      <c r="J6989" s="88"/>
      <c r="K6989" s="88"/>
      <c r="L6989" s="89"/>
      <c r="M6989" s="89"/>
      <c r="Q6989" s="105"/>
    </row>
    <row r="6990" spans="3:17" x14ac:dyDescent="0.3">
      <c r="C6990" s="87"/>
      <c r="H6990" s="86" t="e">
        <f>IF(I6990="fora",0%,G6990/QUÓRUM!$C$6)</f>
        <v>#DIV/0!</v>
      </c>
      <c r="I6990" s="87"/>
      <c r="J6990" s="88"/>
      <c r="K6990" s="88"/>
      <c r="L6990" s="89"/>
      <c r="M6990" s="89"/>
      <c r="Q6990" s="105"/>
    </row>
    <row r="6991" spans="3:17" x14ac:dyDescent="0.3">
      <c r="C6991" s="87"/>
      <c r="H6991" s="86" t="e">
        <f>IF(I6991="fora",0%,G6991/QUÓRUM!$C$6)</f>
        <v>#DIV/0!</v>
      </c>
      <c r="I6991" s="87"/>
      <c r="J6991" s="88"/>
      <c r="K6991" s="88"/>
      <c r="L6991" s="89"/>
      <c r="M6991" s="89"/>
      <c r="Q6991" s="105"/>
    </row>
    <row r="6992" spans="3:17" x14ac:dyDescent="0.3">
      <c r="C6992" s="87"/>
      <c r="H6992" s="86" t="e">
        <f>IF(I6992="fora",0%,G6992/QUÓRUM!$C$6)</f>
        <v>#DIV/0!</v>
      </c>
      <c r="I6992" s="87"/>
      <c r="J6992" s="88"/>
      <c r="K6992" s="88"/>
      <c r="L6992" s="89"/>
      <c r="M6992" s="89"/>
      <c r="Q6992" s="105"/>
    </row>
    <row r="6993" spans="3:17" x14ac:dyDescent="0.3">
      <c r="C6993" s="87"/>
      <c r="H6993" s="86" t="e">
        <f>IF(I6993="fora",0%,G6993/QUÓRUM!$C$6)</f>
        <v>#DIV/0!</v>
      </c>
      <c r="I6993" s="87"/>
      <c r="J6993" s="88"/>
      <c r="K6993" s="88"/>
      <c r="L6993" s="89"/>
      <c r="M6993" s="89"/>
      <c r="Q6993" s="105"/>
    </row>
    <row r="6994" spans="3:17" x14ac:dyDescent="0.3">
      <c r="C6994" s="87"/>
      <c r="H6994" s="86" t="e">
        <f>IF(I6994="fora",0%,G6994/QUÓRUM!$C$6)</f>
        <v>#DIV/0!</v>
      </c>
      <c r="I6994" s="87"/>
      <c r="J6994" s="88"/>
      <c r="K6994" s="88"/>
      <c r="L6994" s="89"/>
      <c r="M6994" s="89"/>
      <c r="Q6994" s="105"/>
    </row>
    <row r="6995" spans="3:17" x14ac:dyDescent="0.3">
      <c r="C6995" s="87"/>
      <c r="H6995" s="86" t="e">
        <f>IF(I6995="fora",0%,G6995/QUÓRUM!$C$6)</f>
        <v>#DIV/0!</v>
      </c>
      <c r="I6995" s="87"/>
      <c r="J6995" s="88"/>
      <c r="K6995" s="88"/>
      <c r="L6995" s="89"/>
      <c r="M6995" s="89"/>
      <c r="Q6995" s="105"/>
    </row>
    <row r="6996" spans="3:17" x14ac:dyDescent="0.3">
      <c r="C6996" s="87"/>
      <c r="H6996" s="86" t="e">
        <f>IF(I6996="fora",0%,G6996/QUÓRUM!$C$6)</f>
        <v>#DIV/0!</v>
      </c>
      <c r="I6996" s="87"/>
      <c r="J6996" s="88"/>
      <c r="K6996" s="88"/>
      <c r="L6996" s="89"/>
      <c r="M6996" s="89"/>
      <c r="Q6996" s="105"/>
    </row>
    <row r="6997" spans="3:17" x14ac:dyDescent="0.3">
      <c r="C6997" s="87"/>
      <c r="H6997" s="86" t="e">
        <f>IF(I6997="fora",0%,G6997/QUÓRUM!$C$6)</f>
        <v>#DIV/0!</v>
      </c>
      <c r="I6997" s="87"/>
      <c r="J6997" s="88"/>
      <c r="K6997" s="88"/>
      <c r="L6997" s="89"/>
      <c r="M6997" s="89"/>
      <c r="Q6997" s="105"/>
    </row>
    <row r="6998" spans="3:17" x14ac:dyDescent="0.3">
      <c r="C6998" s="87"/>
      <c r="H6998" s="86" t="e">
        <f>IF(I6998="fora",0%,G6998/QUÓRUM!$C$6)</f>
        <v>#DIV/0!</v>
      </c>
      <c r="I6998" s="87"/>
      <c r="J6998" s="88"/>
      <c r="K6998" s="88"/>
      <c r="L6998" s="89"/>
      <c r="M6998" s="89"/>
      <c r="Q6998" s="105"/>
    </row>
    <row r="6999" spans="3:17" x14ac:dyDescent="0.3">
      <c r="C6999" s="87"/>
      <c r="H6999" s="86" t="e">
        <f>IF(I6999="fora",0%,G6999/QUÓRUM!$C$6)</f>
        <v>#DIV/0!</v>
      </c>
      <c r="I6999" s="87"/>
      <c r="J6999" s="88"/>
      <c r="K6999" s="88"/>
      <c r="L6999" s="89"/>
      <c r="M6999" s="89"/>
      <c r="Q6999" s="105"/>
    </row>
    <row r="7000" spans="3:17" x14ac:dyDescent="0.3">
      <c r="C7000" s="87"/>
      <c r="H7000" s="86" t="e">
        <f>IF(I7000="fora",0%,G7000/QUÓRUM!$C$6)</f>
        <v>#DIV/0!</v>
      </c>
      <c r="I7000" s="87"/>
      <c r="J7000" s="88"/>
      <c r="K7000" s="88"/>
      <c r="L7000" s="89"/>
      <c r="M7000" s="89"/>
      <c r="Q7000" s="105"/>
    </row>
    <row r="7001" spans="3:17" x14ac:dyDescent="0.3">
      <c r="C7001" s="87"/>
      <c r="H7001" s="86" t="e">
        <f>IF(I7001="fora",0%,G7001/QUÓRUM!$C$6)</f>
        <v>#DIV/0!</v>
      </c>
      <c r="I7001" s="87"/>
      <c r="J7001" s="88"/>
      <c r="K7001" s="88"/>
      <c r="L7001" s="89"/>
      <c r="M7001" s="89"/>
      <c r="Q7001" s="105"/>
    </row>
    <row r="7002" spans="3:17" x14ac:dyDescent="0.3">
      <c r="C7002" s="87"/>
      <c r="H7002" s="86" t="e">
        <f>IF(I7002="fora",0%,G7002/QUÓRUM!$C$6)</f>
        <v>#DIV/0!</v>
      </c>
      <c r="I7002" s="87"/>
      <c r="J7002" s="88"/>
      <c r="K7002" s="88"/>
      <c r="L7002" s="89"/>
      <c r="M7002" s="89"/>
      <c r="Q7002" s="105"/>
    </row>
    <row r="7003" spans="3:17" x14ac:dyDescent="0.3">
      <c r="C7003" s="87"/>
      <c r="H7003" s="86" t="e">
        <f>IF(I7003="fora",0%,G7003/QUÓRUM!$C$6)</f>
        <v>#DIV/0!</v>
      </c>
      <c r="I7003" s="87"/>
      <c r="J7003" s="88"/>
      <c r="K7003" s="88"/>
      <c r="L7003" s="89"/>
      <c r="M7003" s="89"/>
      <c r="Q7003" s="105"/>
    </row>
    <row r="7004" spans="3:17" x14ac:dyDescent="0.3">
      <c r="C7004" s="87"/>
      <c r="H7004" s="86" t="e">
        <f>IF(I7004="fora",0%,G7004/QUÓRUM!$C$6)</f>
        <v>#DIV/0!</v>
      </c>
      <c r="I7004" s="87"/>
      <c r="J7004" s="88"/>
      <c r="K7004" s="88"/>
      <c r="L7004" s="89"/>
      <c r="M7004" s="89"/>
      <c r="Q7004" s="105"/>
    </row>
    <row r="7005" spans="3:17" x14ac:dyDescent="0.3">
      <c r="C7005" s="87"/>
      <c r="H7005" s="86" t="e">
        <f>IF(I7005="fora",0%,G7005/QUÓRUM!$C$6)</f>
        <v>#DIV/0!</v>
      </c>
      <c r="I7005" s="87"/>
      <c r="J7005" s="88"/>
      <c r="K7005" s="88"/>
      <c r="L7005" s="89"/>
      <c r="M7005" s="89"/>
      <c r="Q7005" s="105"/>
    </row>
    <row r="7006" spans="3:17" x14ac:dyDescent="0.3">
      <c r="C7006" s="87"/>
      <c r="H7006" s="86" t="e">
        <f>IF(I7006="fora",0%,G7006/QUÓRUM!$C$6)</f>
        <v>#DIV/0!</v>
      </c>
      <c r="I7006" s="87"/>
      <c r="J7006" s="88"/>
      <c r="K7006" s="88"/>
      <c r="L7006" s="89"/>
      <c r="M7006" s="89"/>
      <c r="Q7006" s="105"/>
    </row>
    <row r="7007" spans="3:17" x14ac:dyDescent="0.3">
      <c r="C7007" s="87"/>
      <c r="H7007" s="86" t="e">
        <f>IF(I7007="fora",0%,G7007/QUÓRUM!$C$6)</f>
        <v>#DIV/0!</v>
      </c>
      <c r="I7007" s="87"/>
      <c r="J7007" s="88"/>
      <c r="K7007" s="88"/>
      <c r="L7007" s="89"/>
      <c r="M7007" s="89"/>
      <c r="Q7007" s="105"/>
    </row>
    <row r="7008" spans="3:17" x14ac:dyDescent="0.3">
      <c r="C7008" s="87"/>
      <c r="H7008" s="86" t="e">
        <f>IF(I7008="fora",0%,G7008/QUÓRUM!$C$6)</f>
        <v>#DIV/0!</v>
      </c>
      <c r="I7008" s="87"/>
      <c r="J7008" s="88"/>
      <c r="K7008" s="88"/>
      <c r="L7008" s="89"/>
      <c r="M7008" s="89"/>
      <c r="Q7008" s="105"/>
    </row>
    <row r="7009" spans="3:17" x14ac:dyDescent="0.3">
      <c r="C7009" s="87"/>
      <c r="H7009" s="86" t="e">
        <f>IF(I7009="fora",0%,G7009/QUÓRUM!$C$6)</f>
        <v>#DIV/0!</v>
      </c>
      <c r="I7009" s="87"/>
      <c r="J7009" s="88"/>
      <c r="K7009" s="88"/>
      <c r="L7009" s="89"/>
      <c r="M7009" s="89"/>
      <c r="Q7009" s="105"/>
    </row>
    <row r="7010" spans="3:17" x14ac:dyDescent="0.3">
      <c r="C7010" s="87"/>
      <c r="H7010" s="86" t="e">
        <f>IF(I7010="fora",0%,G7010/QUÓRUM!$C$6)</f>
        <v>#DIV/0!</v>
      </c>
      <c r="I7010" s="87"/>
      <c r="J7010" s="88"/>
      <c r="K7010" s="88"/>
      <c r="L7010" s="89"/>
      <c r="M7010" s="89"/>
      <c r="Q7010" s="105"/>
    </row>
    <row r="7011" spans="3:17" x14ac:dyDescent="0.3">
      <c r="C7011" s="87"/>
      <c r="H7011" s="86" t="e">
        <f>IF(I7011="fora",0%,G7011/QUÓRUM!$C$6)</f>
        <v>#DIV/0!</v>
      </c>
      <c r="I7011" s="87"/>
      <c r="J7011" s="88"/>
      <c r="K7011" s="88"/>
      <c r="L7011" s="89"/>
      <c r="M7011" s="89"/>
      <c r="Q7011" s="105"/>
    </row>
    <row r="7012" spans="3:17" x14ac:dyDescent="0.3">
      <c r="C7012" s="87"/>
      <c r="H7012" s="86" t="e">
        <f>IF(I7012="fora",0%,G7012/QUÓRUM!$C$6)</f>
        <v>#DIV/0!</v>
      </c>
      <c r="I7012" s="87"/>
      <c r="J7012" s="88"/>
      <c r="K7012" s="88"/>
      <c r="L7012" s="89"/>
      <c r="M7012" s="89"/>
      <c r="Q7012" s="105"/>
    </row>
    <row r="7013" spans="3:17" x14ac:dyDescent="0.3">
      <c r="C7013" s="87"/>
      <c r="H7013" s="86" t="e">
        <f>IF(I7013="fora",0%,G7013/QUÓRUM!$C$6)</f>
        <v>#DIV/0!</v>
      </c>
      <c r="I7013" s="87"/>
      <c r="J7013" s="88"/>
      <c r="K7013" s="88"/>
      <c r="L7013" s="89"/>
      <c r="M7013" s="89"/>
      <c r="Q7013" s="105"/>
    </row>
    <row r="7014" spans="3:17" x14ac:dyDescent="0.3">
      <c r="C7014" s="87"/>
      <c r="H7014" s="86" t="e">
        <f>IF(I7014="fora",0%,G7014/QUÓRUM!$C$6)</f>
        <v>#DIV/0!</v>
      </c>
      <c r="I7014" s="87"/>
      <c r="J7014" s="88"/>
      <c r="K7014" s="88"/>
      <c r="L7014" s="89"/>
      <c r="M7014" s="89"/>
      <c r="Q7014" s="105"/>
    </row>
    <row r="7015" spans="3:17" x14ac:dyDescent="0.3">
      <c r="C7015" s="87"/>
      <c r="H7015" s="86" t="e">
        <f>IF(I7015="fora",0%,G7015/QUÓRUM!$C$6)</f>
        <v>#DIV/0!</v>
      </c>
      <c r="I7015" s="87"/>
      <c r="J7015" s="88"/>
      <c r="K7015" s="88"/>
      <c r="L7015" s="89"/>
      <c r="M7015" s="89"/>
      <c r="Q7015" s="105"/>
    </row>
    <row r="7016" spans="3:17" x14ac:dyDescent="0.3">
      <c r="C7016" s="87"/>
      <c r="H7016" s="86" t="e">
        <f>IF(I7016="fora",0%,G7016/QUÓRUM!$C$6)</f>
        <v>#DIV/0!</v>
      </c>
      <c r="I7016" s="87"/>
      <c r="J7016" s="88"/>
      <c r="K7016" s="88"/>
      <c r="L7016" s="89"/>
      <c r="M7016" s="89"/>
      <c r="Q7016" s="105"/>
    </row>
    <row r="7017" spans="3:17" x14ac:dyDescent="0.3">
      <c r="C7017" s="87"/>
      <c r="H7017" s="86" t="e">
        <f>IF(I7017="fora",0%,G7017/QUÓRUM!$C$6)</f>
        <v>#DIV/0!</v>
      </c>
      <c r="I7017" s="87"/>
      <c r="J7017" s="88"/>
      <c r="K7017" s="88"/>
      <c r="L7017" s="89"/>
      <c r="M7017" s="89"/>
      <c r="Q7017" s="105"/>
    </row>
    <row r="7018" spans="3:17" x14ac:dyDescent="0.3">
      <c r="C7018" s="87"/>
      <c r="H7018" s="86" t="e">
        <f>IF(I7018="fora",0%,G7018/QUÓRUM!$C$6)</f>
        <v>#DIV/0!</v>
      </c>
      <c r="I7018" s="87"/>
      <c r="J7018" s="88"/>
      <c r="K7018" s="88"/>
      <c r="L7018" s="89"/>
      <c r="M7018" s="89"/>
      <c r="Q7018" s="105"/>
    </row>
    <row r="7019" spans="3:17" x14ac:dyDescent="0.3">
      <c r="C7019" s="87"/>
      <c r="H7019" s="86" t="e">
        <f>IF(I7019="fora",0%,G7019/QUÓRUM!$C$6)</f>
        <v>#DIV/0!</v>
      </c>
      <c r="I7019" s="87"/>
      <c r="J7019" s="88"/>
      <c r="K7019" s="88"/>
      <c r="L7019" s="89"/>
      <c r="M7019" s="89"/>
      <c r="Q7019" s="105"/>
    </row>
    <row r="7020" spans="3:17" x14ac:dyDescent="0.3">
      <c r="C7020" s="87"/>
      <c r="H7020" s="86" t="e">
        <f>IF(I7020="fora",0%,G7020/QUÓRUM!$C$6)</f>
        <v>#DIV/0!</v>
      </c>
      <c r="I7020" s="87"/>
      <c r="J7020" s="88"/>
      <c r="K7020" s="88"/>
      <c r="L7020" s="89"/>
      <c r="M7020" s="89"/>
      <c r="Q7020" s="105"/>
    </row>
    <row r="7021" spans="3:17" x14ac:dyDescent="0.3">
      <c r="C7021" s="87"/>
      <c r="H7021" s="86" t="e">
        <f>IF(I7021="fora",0%,G7021/QUÓRUM!$C$6)</f>
        <v>#DIV/0!</v>
      </c>
      <c r="I7021" s="87"/>
      <c r="J7021" s="88"/>
      <c r="K7021" s="88"/>
      <c r="L7021" s="89"/>
      <c r="M7021" s="89"/>
      <c r="Q7021" s="105"/>
    </row>
    <row r="7022" spans="3:17" x14ac:dyDescent="0.3">
      <c r="C7022" s="87"/>
      <c r="H7022" s="86" t="e">
        <f>IF(I7022="fora",0%,G7022/QUÓRUM!$C$6)</f>
        <v>#DIV/0!</v>
      </c>
      <c r="I7022" s="87"/>
      <c r="J7022" s="88"/>
      <c r="K7022" s="88"/>
      <c r="L7022" s="89"/>
      <c r="M7022" s="89"/>
      <c r="Q7022" s="105"/>
    </row>
    <row r="7023" spans="3:17" x14ac:dyDescent="0.3">
      <c r="C7023" s="87"/>
      <c r="H7023" s="86" t="e">
        <f>IF(I7023="fora",0%,G7023/QUÓRUM!$C$6)</f>
        <v>#DIV/0!</v>
      </c>
      <c r="I7023" s="87"/>
      <c r="J7023" s="88"/>
      <c r="K7023" s="88"/>
      <c r="L7023" s="89"/>
      <c r="M7023" s="89"/>
      <c r="Q7023" s="105"/>
    </row>
    <row r="7024" spans="3:17" x14ac:dyDescent="0.3">
      <c r="C7024" s="87"/>
      <c r="H7024" s="86" t="e">
        <f>IF(I7024="fora",0%,G7024/QUÓRUM!$C$6)</f>
        <v>#DIV/0!</v>
      </c>
      <c r="I7024" s="87"/>
      <c r="J7024" s="88"/>
      <c r="K7024" s="88"/>
      <c r="L7024" s="89"/>
      <c r="M7024" s="89"/>
      <c r="Q7024" s="105"/>
    </row>
    <row r="7025" spans="3:17" x14ac:dyDescent="0.3">
      <c r="C7025" s="87"/>
      <c r="H7025" s="86" t="e">
        <f>IF(I7025="fora",0%,G7025/QUÓRUM!$C$6)</f>
        <v>#DIV/0!</v>
      </c>
      <c r="I7025" s="87"/>
      <c r="J7025" s="88"/>
      <c r="K7025" s="88"/>
      <c r="L7025" s="89"/>
      <c r="M7025" s="89"/>
      <c r="Q7025" s="105"/>
    </row>
    <row r="7026" spans="3:17" x14ac:dyDescent="0.3">
      <c r="C7026" s="87"/>
      <c r="H7026" s="86" t="e">
        <f>IF(I7026="fora",0%,G7026/QUÓRUM!$C$6)</f>
        <v>#DIV/0!</v>
      </c>
      <c r="I7026" s="87"/>
      <c r="J7026" s="88"/>
      <c r="K7026" s="88"/>
      <c r="L7026" s="89"/>
      <c r="M7026" s="89"/>
      <c r="Q7026" s="105"/>
    </row>
    <row r="7027" spans="3:17" x14ac:dyDescent="0.3">
      <c r="C7027" s="87"/>
      <c r="H7027" s="86" t="e">
        <f>IF(I7027="fora",0%,G7027/QUÓRUM!$C$6)</f>
        <v>#DIV/0!</v>
      </c>
      <c r="I7027" s="87"/>
      <c r="J7027" s="88"/>
      <c r="K7027" s="88"/>
      <c r="L7027" s="89"/>
      <c r="M7027" s="89"/>
      <c r="Q7027" s="105"/>
    </row>
    <row r="7028" spans="3:17" x14ac:dyDescent="0.3">
      <c r="C7028" s="87"/>
      <c r="H7028" s="86" t="e">
        <f>IF(I7028="fora",0%,G7028/QUÓRUM!$C$6)</f>
        <v>#DIV/0!</v>
      </c>
      <c r="I7028" s="87"/>
      <c r="J7028" s="88"/>
      <c r="K7028" s="88"/>
      <c r="L7028" s="89"/>
      <c r="M7028" s="89"/>
      <c r="Q7028" s="105"/>
    </row>
    <row r="7029" spans="3:17" x14ac:dyDescent="0.3">
      <c r="C7029" s="87"/>
      <c r="H7029" s="86" t="e">
        <f>IF(I7029="fora",0%,G7029/QUÓRUM!$C$6)</f>
        <v>#DIV/0!</v>
      </c>
      <c r="I7029" s="87"/>
      <c r="J7029" s="88"/>
      <c r="K7029" s="88"/>
      <c r="L7029" s="89"/>
      <c r="M7029" s="89"/>
      <c r="Q7029" s="105"/>
    </row>
    <row r="7030" spans="3:17" x14ac:dyDescent="0.3">
      <c r="C7030" s="87"/>
      <c r="H7030" s="86" t="e">
        <f>IF(I7030="fora",0%,G7030/QUÓRUM!$C$6)</f>
        <v>#DIV/0!</v>
      </c>
      <c r="I7030" s="87"/>
      <c r="J7030" s="88"/>
      <c r="K7030" s="88"/>
      <c r="L7030" s="89"/>
      <c r="M7030" s="89"/>
      <c r="Q7030" s="105"/>
    </row>
    <row r="7031" spans="3:17" x14ac:dyDescent="0.3">
      <c r="C7031" s="87"/>
      <c r="H7031" s="86" t="e">
        <f>IF(I7031="fora",0%,G7031/QUÓRUM!$C$6)</f>
        <v>#DIV/0!</v>
      </c>
      <c r="I7031" s="87"/>
      <c r="J7031" s="88"/>
      <c r="K7031" s="88"/>
      <c r="L7031" s="89"/>
      <c r="M7031" s="89"/>
      <c r="Q7031" s="105"/>
    </row>
    <row r="7032" spans="3:17" x14ac:dyDescent="0.3">
      <c r="C7032" s="87"/>
      <c r="H7032" s="86" t="e">
        <f>IF(I7032="fora",0%,G7032/QUÓRUM!$C$6)</f>
        <v>#DIV/0!</v>
      </c>
      <c r="I7032" s="87"/>
      <c r="J7032" s="88"/>
      <c r="K7032" s="88"/>
      <c r="L7032" s="89"/>
      <c r="M7032" s="89"/>
      <c r="Q7032" s="105"/>
    </row>
    <row r="7033" spans="3:17" x14ac:dyDescent="0.3">
      <c r="C7033" s="87"/>
      <c r="H7033" s="86" t="e">
        <f>IF(I7033="fora",0%,G7033/QUÓRUM!$C$6)</f>
        <v>#DIV/0!</v>
      </c>
      <c r="I7033" s="87"/>
      <c r="J7033" s="88"/>
      <c r="K7033" s="88"/>
      <c r="L7033" s="89"/>
      <c r="M7033" s="89"/>
      <c r="Q7033" s="105"/>
    </row>
    <row r="7034" spans="3:17" x14ac:dyDescent="0.3">
      <c r="C7034" s="87"/>
      <c r="H7034" s="86" t="e">
        <f>IF(I7034="fora",0%,G7034/QUÓRUM!$C$6)</f>
        <v>#DIV/0!</v>
      </c>
      <c r="I7034" s="87"/>
      <c r="J7034" s="88"/>
      <c r="K7034" s="88"/>
      <c r="L7034" s="89"/>
      <c r="M7034" s="89"/>
      <c r="Q7034" s="105"/>
    </row>
    <row r="7035" spans="3:17" x14ac:dyDescent="0.3">
      <c r="C7035" s="87"/>
      <c r="H7035" s="86" t="e">
        <f>IF(I7035="fora",0%,G7035/QUÓRUM!$C$6)</f>
        <v>#DIV/0!</v>
      </c>
      <c r="I7035" s="87"/>
      <c r="J7035" s="88"/>
      <c r="K7035" s="88"/>
      <c r="L7035" s="89"/>
      <c r="M7035" s="89"/>
      <c r="Q7035" s="105"/>
    </row>
    <row r="7036" spans="3:17" x14ac:dyDescent="0.3">
      <c r="C7036" s="87"/>
      <c r="H7036" s="86" t="e">
        <f>IF(I7036="fora",0%,G7036/QUÓRUM!$C$6)</f>
        <v>#DIV/0!</v>
      </c>
      <c r="I7036" s="87"/>
      <c r="J7036" s="88"/>
      <c r="K7036" s="88"/>
      <c r="L7036" s="89"/>
      <c r="M7036" s="89"/>
      <c r="Q7036" s="105"/>
    </row>
    <row r="7037" spans="3:17" x14ac:dyDescent="0.3">
      <c r="C7037" s="87"/>
      <c r="H7037" s="86" t="e">
        <f>IF(I7037="fora",0%,G7037/QUÓRUM!$C$6)</f>
        <v>#DIV/0!</v>
      </c>
      <c r="I7037" s="87"/>
      <c r="J7037" s="88"/>
      <c r="K7037" s="88"/>
      <c r="L7037" s="89"/>
      <c r="M7037" s="89"/>
      <c r="Q7037" s="105"/>
    </row>
    <row r="7038" spans="3:17" x14ac:dyDescent="0.3">
      <c r="C7038" s="87"/>
      <c r="H7038" s="86" t="e">
        <f>IF(I7038="fora",0%,G7038/QUÓRUM!$C$6)</f>
        <v>#DIV/0!</v>
      </c>
      <c r="I7038" s="87"/>
      <c r="J7038" s="88"/>
      <c r="K7038" s="88"/>
      <c r="L7038" s="89"/>
      <c r="M7038" s="89"/>
      <c r="Q7038" s="105"/>
    </row>
    <row r="7039" spans="3:17" x14ac:dyDescent="0.3">
      <c r="C7039" s="87"/>
      <c r="H7039" s="86" t="e">
        <f>IF(I7039="fora",0%,G7039/QUÓRUM!$C$6)</f>
        <v>#DIV/0!</v>
      </c>
      <c r="I7039" s="87"/>
      <c r="J7039" s="88"/>
      <c r="K7039" s="88"/>
      <c r="L7039" s="89"/>
      <c r="M7039" s="89"/>
      <c r="Q7039" s="105"/>
    </row>
    <row r="7040" spans="3:17" x14ac:dyDescent="0.3">
      <c r="C7040" s="87"/>
      <c r="H7040" s="86" t="e">
        <f>IF(I7040="fora",0%,G7040/QUÓRUM!$C$6)</f>
        <v>#DIV/0!</v>
      </c>
      <c r="I7040" s="87"/>
      <c r="J7040" s="88"/>
      <c r="K7040" s="88"/>
      <c r="L7040" s="89"/>
      <c r="M7040" s="89"/>
      <c r="Q7040" s="105"/>
    </row>
    <row r="7041" spans="3:17" x14ac:dyDescent="0.3">
      <c r="C7041" s="87"/>
      <c r="H7041" s="86" t="e">
        <f>IF(I7041="fora",0%,G7041/QUÓRUM!$C$6)</f>
        <v>#DIV/0!</v>
      </c>
      <c r="I7041" s="87"/>
      <c r="J7041" s="88"/>
      <c r="K7041" s="88"/>
      <c r="L7041" s="89"/>
      <c r="M7041" s="89"/>
      <c r="Q7041" s="105"/>
    </row>
    <row r="7042" spans="3:17" x14ac:dyDescent="0.3">
      <c r="C7042" s="87"/>
      <c r="H7042" s="86" t="e">
        <f>IF(I7042="fora",0%,G7042/QUÓRUM!$C$6)</f>
        <v>#DIV/0!</v>
      </c>
      <c r="I7042" s="87"/>
      <c r="J7042" s="88"/>
      <c r="K7042" s="88"/>
      <c r="L7042" s="89"/>
      <c r="M7042" s="89"/>
      <c r="Q7042" s="105"/>
    </row>
    <row r="7043" spans="3:17" x14ac:dyDescent="0.3">
      <c r="C7043" s="87"/>
      <c r="H7043" s="86" t="e">
        <f>IF(I7043="fora",0%,G7043/QUÓRUM!$C$6)</f>
        <v>#DIV/0!</v>
      </c>
      <c r="I7043" s="87"/>
      <c r="J7043" s="88"/>
      <c r="K7043" s="88"/>
      <c r="L7043" s="89"/>
      <c r="M7043" s="89"/>
      <c r="Q7043" s="105"/>
    </row>
    <row r="7044" spans="3:17" x14ac:dyDescent="0.3">
      <c r="C7044" s="87"/>
      <c r="H7044" s="86" t="e">
        <f>IF(I7044="fora",0%,G7044/QUÓRUM!$C$6)</f>
        <v>#DIV/0!</v>
      </c>
      <c r="I7044" s="87"/>
      <c r="J7044" s="88"/>
      <c r="K7044" s="88"/>
      <c r="L7044" s="89"/>
      <c r="M7044" s="89"/>
      <c r="Q7044" s="105"/>
    </row>
    <row r="7045" spans="3:17" x14ac:dyDescent="0.3">
      <c r="C7045" s="87"/>
      <c r="H7045" s="86" t="e">
        <f>IF(I7045="fora",0%,G7045/QUÓRUM!$C$6)</f>
        <v>#DIV/0!</v>
      </c>
      <c r="I7045" s="87"/>
      <c r="J7045" s="88"/>
      <c r="K7045" s="88"/>
      <c r="L7045" s="89"/>
      <c r="M7045" s="89"/>
      <c r="Q7045" s="105"/>
    </row>
    <row r="7046" spans="3:17" x14ac:dyDescent="0.3">
      <c r="C7046" s="87"/>
      <c r="H7046" s="86" t="e">
        <f>IF(I7046="fora",0%,G7046/QUÓRUM!$C$6)</f>
        <v>#DIV/0!</v>
      </c>
      <c r="I7046" s="87"/>
      <c r="J7046" s="88"/>
      <c r="K7046" s="88"/>
      <c r="L7046" s="89"/>
      <c r="M7046" s="89"/>
      <c r="Q7046" s="105"/>
    </row>
    <row r="7047" spans="3:17" x14ac:dyDescent="0.3">
      <c r="C7047" s="87"/>
      <c r="H7047" s="86" t="e">
        <f>IF(I7047="fora",0%,G7047/QUÓRUM!$C$6)</f>
        <v>#DIV/0!</v>
      </c>
      <c r="I7047" s="87"/>
      <c r="J7047" s="88"/>
      <c r="K7047" s="88"/>
      <c r="L7047" s="89"/>
      <c r="M7047" s="89"/>
      <c r="Q7047" s="105"/>
    </row>
    <row r="7048" spans="3:17" x14ac:dyDescent="0.3">
      <c r="C7048" s="87"/>
      <c r="H7048" s="86" t="e">
        <f>IF(I7048="fora",0%,G7048/QUÓRUM!$C$6)</f>
        <v>#DIV/0!</v>
      </c>
      <c r="I7048" s="87"/>
      <c r="J7048" s="88"/>
      <c r="K7048" s="88"/>
      <c r="L7048" s="89"/>
      <c r="M7048" s="89"/>
      <c r="Q7048" s="105"/>
    </row>
    <row r="7049" spans="3:17" x14ac:dyDescent="0.3">
      <c r="C7049" s="87"/>
      <c r="H7049" s="86" t="e">
        <f>IF(I7049="fora",0%,G7049/QUÓRUM!$C$6)</f>
        <v>#DIV/0!</v>
      </c>
      <c r="I7049" s="87"/>
      <c r="J7049" s="88"/>
      <c r="K7049" s="88"/>
      <c r="L7049" s="89"/>
      <c r="M7049" s="89"/>
      <c r="Q7049" s="105"/>
    </row>
    <row r="7050" spans="3:17" x14ac:dyDescent="0.3">
      <c r="C7050" s="87"/>
      <c r="H7050" s="86" t="e">
        <f>IF(I7050="fora",0%,G7050/QUÓRUM!$C$6)</f>
        <v>#DIV/0!</v>
      </c>
      <c r="I7050" s="87"/>
      <c r="J7050" s="88"/>
      <c r="K7050" s="88"/>
      <c r="L7050" s="89"/>
      <c r="M7050" s="89"/>
      <c r="Q7050" s="105"/>
    </row>
    <row r="7051" spans="3:17" x14ac:dyDescent="0.3">
      <c r="C7051" s="87"/>
      <c r="H7051" s="86" t="e">
        <f>IF(I7051="fora",0%,G7051/QUÓRUM!$C$6)</f>
        <v>#DIV/0!</v>
      </c>
      <c r="I7051" s="87"/>
      <c r="J7051" s="88"/>
      <c r="K7051" s="88"/>
      <c r="L7051" s="89"/>
      <c r="M7051" s="89"/>
      <c r="Q7051" s="105"/>
    </row>
    <row r="7052" spans="3:17" x14ac:dyDescent="0.3">
      <c r="C7052" s="87"/>
      <c r="H7052" s="86" t="e">
        <f>IF(I7052="fora",0%,G7052/QUÓRUM!$C$6)</f>
        <v>#DIV/0!</v>
      </c>
      <c r="I7052" s="87"/>
      <c r="J7052" s="88"/>
      <c r="K7052" s="88"/>
      <c r="L7052" s="89"/>
      <c r="M7052" s="89"/>
      <c r="Q7052" s="105"/>
    </row>
    <row r="7053" spans="3:17" x14ac:dyDescent="0.3">
      <c r="C7053" s="87"/>
      <c r="H7053" s="86" t="e">
        <f>IF(I7053="fora",0%,G7053/QUÓRUM!$C$6)</f>
        <v>#DIV/0!</v>
      </c>
      <c r="I7053" s="87"/>
      <c r="J7053" s="88"/>
      <c r="K7053" s="88"/>
      <c r="L7053" s="89"/>
      <c r="M7053" s="89"/>
      <c r="Q7053" s="105"/>
    </row>
    <row r="7054" spans="3:17" x14ac:dyDescent="0.3">
      <c r="C7054" s="87"/>
      <c r="H7054" s="86" t="e">
        <f>IF(I7054="fora",0%,G7054/QUÓRUM!$C$6)</f>
        <v>#DIV/0!</v>
      </c>
      <c r="I7054" s="87"/>
      <c r="J7054" s="88"/>
      <c r="K7054" s="88"/>
      <c r="L7054" s="89"/>
      <c r="M7054" s="89"/>
      <c r="Q7054" s="105"/>
    </row>
    <row r="7055" spans="3:17" x14ac:dyDescent="0.3">
      <c r="C7055" s="87"/>
      <c r="H7055" s="86" t="e">
        <f>IF(I7055="fora",0%,G7055/QUÓRUM!$C$6)</f>
        <v>#DIV/0!</v>
      </c>
      <c r="I7055" s="87"/>
      <c r="J7055" s="88"/>
      <c r="K7055" s="88"/>
      <c r="L7055" s="89"/>
      <c r="M7055" s="89"/>
      <c r="Q7055" s="105"/>
    </row>
    <row r="7056" spans="3:17" x14ac:dyDescent="0.3">
      <c r="C7056" s="87"/>
      <c r="H7056" s="86" t="e">
        <f>IF(I7056="fora",0%,G7056/QUÓRUM!$C$6)</f>
        <v>#DIV/0!</v>
      </c>
      <c r="I7056" s="87"/>
      <c r="J7056" s="88"/>
      <c r="K7056" s="88"/>
      <c r="L7056" s="89"/>
      <c r="M7056" s="89"/>
      <c r="Q7056" s="105"/>
    </row>
    <row r="7057" spans="3:17" x14ac:dyDescent="0.3">
      <c r="C7057" s="87"/>
      <c r="H7057" s="86" t="e">
        <f>IF(I7057="fora",0%,G7057/QUÓRUM!$C$6)</f>
        <v>#DIV/0!</v>
      </c>
      <c r="I7057" s="87"/>
      <c r="J7057" s="88"/>
      <c r="K7057" s="88"/>
      <c r="L7057" s="89"/>
      <c r="M7057" s="89"/>
      <c r="Q7057" s="105"/>
    </row>
    <row r="7058" spans="3:17" x14ac:dyDescent="0.3">
      <c r="C7058" s="87"/>
      <c r="H7058" s="86" t="e">
        <f>IF(I7058="fora",0%,G7058/QUÓRUM!$C$6)</f>
        <v>#DIV/0!</v>
      </c>
      <c r="I7058" s="87"/>
      <c r="J7058" s="88"/>
      <c r="K7058" s="88"/>
      <c r="L7058" s="89"/>
      <c r="M7058" s="89"/>
      <c r="Q7058" s="105"/>
    </row>
    <row r="7059" spans="3:17" x14ac:dyDescent="0.3">
      <c r="C7059" s="87"/>
      <c r="H7059" s="86" t="e">
        <f>IF(I7059="fora",0%,G7059/QUÓRUM!$C$6)</f>
        <v>#DIV/0!</v>
      </c>
      <c r="I7059" s="87"/>
      <c r="J7059" s="88"/>
      <c r="K7059" s="88"/>
      <c r="L7059" s="89"/>
      <c r="M7059" s="89"/>
      <c r="Q7059" s="105"/>
    </row>
    <row r="7060" spans="3:17" x14ac:dyDescent="0.3">
      <c r="C7060" s="87"/>
      <c r="H7060" s="86" t="e">
        <f>IF(I7060="fora",0%,G7060/QUÓRUM!$C$6)</f>
        <v>#DIV/0!</v>
      </c>
      <c r="I7060" s="87"/>
      <c r="J7060" s="88"/>
      <c r="K7060" s="88"/>
      <c r="L7060" s="89"/>
      <c r="M7060" s="89"/>
      <c r="Q7060" s="105"/>
    </row>
    <row r="7061" spans="3:17" x14ac:dyDescent="0.3">
      <c r="C7061" s="87"/>
      <c r="H7061" s="86" t="e">
        <f>IF(I7061="fora",0%,G7061/QUÓRUM!$C$6)</f>
        <v>#DIV/0!</v>
      </c>
      <c r="I7061" s="87"/>
      <c r="J7061" s="88"/>
      <c r="K7061" s="88"/>
      <c r="L7061" s="89"/>
      <c r="M7061" s="89"/>
      <c r="Q7061" s="105"/>
    </row>
    <row r="7062" spans="3:17" x14ac:dyDescent="0.3">
      <c r="C7062" s="87"/>
      <c r="H7062" s="86" t="e">
        <f>IF(I7062="fora",0%,G7062/QUÓRUM!$C$6)</f>
        <v>#DIV/0!</v>
      </c>
      <c r="I7062" s="87"/>
      <c r="J7062" s="88"/>
      <c r="K7062" s="88"/>
      <c r="L7062" s="89"/>
      <c r="M7062" s="89"/>
      <c r="Q7062" s="105"/>
    </row>
    <row r="7063" spans="3:17" x14ac:dyDescent="0.3">
      <c r="C7063" s="87"/>
      <c r="H7063" s="86" t="e">
        <f>IF(I7063="fora",0%,G7063/QUÓRUM!$C$6)</f>
        <v>#DIV/0!</v>
      </c>
      <c r="I7063" s="87"/>
      <c r="J7063" s="88"/>
      <c r="K7063" s="88"/>
      <c r="L7063" s="89"/>
      <c r="M7063" s="89"/>
      <c r="Q7063" s="105"/>
    </row>
    <row r="7064" spans="3:17" x14ac:dyDescent="0.3">
      <c r="C7064" s="87"/>
      <c r="H7064" s="86" t="e">
        <f>IF(I7064="fora",0%,G7064/QUÓRUM!$C$6)</f>
        <v>#DIV/0!</v>
      </c>
      <c r="I7064" s="87"/>
      <c r="J7064" s="88"/>
      <c r="K7064" s="88"/>
      <c r="L7064" s="89"/>
      <c r="M7064" s="89"/>
      <c r="Q7064" s="105"/>
    </row>
    <row r="7065" spans="3:17" x14ac:dyDescent="0.3">
      <c r="C7065" s="87"/>
      <c r="H7065" s="86" t="e">
        <f>IF(I7065="fora",0%,G7065/QUÓRUM!$C$6)</f>
        <v>#DIV/0!</v>
      </c>
      <c r="I7065" s="87"/>
      <c r="J7065" s="88"/>
      <c r="K7065" s="88"/>
      <c r="L7065" s="89"/>
      <c r="M7065" s="89"/>
      <c r="Q7065" s="105"/>
    </row>
    <row r="7066" spans="3:17" x14ac:dyDescent="0.3">
      <c r="C7066" s="87"/>
      <c r="H7066" s="86" t="e">
        <f>IF(I7066="fora",0%,G7066/QUÓRUM!$C$6)</f>
        <v>#DIV/0!</v>
      </c>
      <c r="I7066" s="87"/>
      <c r="J7066" s="88"/>
      <c r="K7066" s="88"/>
      <c r="L7066" s="89"/>
      <c r="M7066" s="89"/>
      <c r="Q7066" s="105"/>
    </row>
    <row r="7067" spans="3:17" x14ac:dyDescent="0.3">
      <c r="C7067" s="87"/>
      <c r="H7067" s="86" t="e">
        <f>IF(I7067="fora",0%,G7067/QUÓRUM!$C$6)</f>
        <v>#DIV/0!</v>
      </c>
      <c r="I7067" s="87"/>
      <c r="J7067" s="88"/>
      <c r="K7067" s="88"/>
      <c r="L7067" s="89"/>
      <c r="M7067" s="89"/>
      <c r="Q7067" s="105"/>
    </row>
    <row r="7068" spans="3:17" x14ac:dyDescent="0.3">
      <c r="C7068" s="87"/>
      <c r="H7068" s="86" t="e">
        <f>IF(I7068="fora",0%,G7068/QUÓRUM!$C$6)</f>
        <v>#DIV/0!</v>
      </c>
      <c r="I7068" s="87"/>
      <c r="J7068" s="88"/>
      <c r="K7068" s="88"/>
      <c r="L7068" s="89"/>
      <c r="M7068" s="89"/>
      <c r="Q7068" s="105"/>
    </row>
    <row r="7069" spans="3:17" x14ac:dyDescent="0.3">
      <c r="C7069" s="87"/>
      <c r="H7069" s="86" t="e">
        <f>IF(I7069="fora",0%,G7069/QUÓRUM!$C$6)</f>
        <v>#DIV/0!</v>
      </c>
      <c r="I7069" s="87"/>
      <c r="J7069" s="88"/>
      <c r="K7069" s="88"/>
      <c r="L7069" s="89"/>
      <c r="M7069" s="89"/>
      <c r="Q7069" s="105"/>
    </row>
    <row r="7070" spans="3:17" x14ac:dyDescent="0.3">
      <c r="C7070" s="87"/>
      <c r="H7070" s="86" t="e">
        <f>IF(I7070="fora",0%,G7070/QUÓRUM!$C$6)</f>
        <v>#DIV/0!</v>
      </c>
      <c r="I7070" s="87"/>
      <c r="J7070" s="88"/>
      <c r="K7070" s="88"/>
      <c r="L7070" s="89"/>
      <c r="M7070" s="89"/>
      <c r="Q7070" s="105"/>
    </row>
    <row r="7071" spans="3:17" x14ac:dyDescent="0.3">
      <c r="C7071" s="87"/>
      <c r="H7071" s="86" t="e">
        <f>IF(I7071="fora",0%,G7071/QUÓRUM!$C$6)</f>
        <v>#DIV/0!</v>
      </c>
      <c r="I7071" s="87"/>
      <c r="J7071" s="88"/>
      <c r="K7071" s="88"/>
      <c r="L7071" s="89"/>
      <c r="M7071" s="89"/>
      <c r="Q7071" s="105"/>
    </row>
    <row r="7072" spans="3:17" x14ac:dyDescent="0.3">
      <c r="C7072" s="87"/>
      <c r="H7072" s="86" t="e">
        <f>IF(I7072="fora",0%,G7072/QUÓRUM!$C$6)</f>
        <v>#DIV/0!</v>
      </c>
      <c r="I7072" s="87"/>
      <c r="J7072" s="88"/>
      <c r="K7072" s="88"/>
      <c r="L7072" s="89"/>
      <c r="M7072" s="89"/>
      <c r="Q7072" s="105"/>
    </row>
    <row r="7073" spans="3:17" x14ac:dyDescent="0.3">
      <c r="C7073" s="87"/>
      <c r="H7073" s="86" t="e">
        <f>IF(I7073="fora",0%,G7073/QUÓRUM!$C$6)</f>
        <v>#DIV/0!</v>
      </c>
      <c r="I7073" s="87"/>
      <c r="J7073" s="88"/>
      <c r="K7073" s="88"/>
      <c r="L7073" s="89"/>
      <c r="M7073" s="89"/>
      <c r="Q7073" s="105"/>
    </row>
    <row r="7074" spans="3:17" x14ac:dyDescent="0.3">
      <c r="C7074" s="87"/>
      <c r="H7074" s="86" t="e">
        <f>IF(I7074="fora",0%,G7074/QUÓRUM!$C$6)</f>
        <v>#DIV/0!</v>
      </c>
      <c r="I7074" s="87"/>
      <c r="J7074" s="88"/>
      <c r="K7074" s="88"/>
      <c r="L7074" s="89"/>
      <c r="M7074" s="89"/>
      <c r="Q7074" s="105"/>
    </row>
    <row r="7075" spans="3:17" x14ac:dyDescent="0.3">
      <c r="C7075" s="87"/>
      <c r="H7075" s="86" t="e">
        <f>IF(I7075="fora",0%,G7075/QUÓRUM!$C$6)</f>
        <v>#DIV/0!</v>
      </c>
      <c r="I7075" s="87"/>
      <c r="J7075" s="88"/>
      <c r="K7075" s="88"/>
      <c r="L7075" s="89"/>
      <c r="M7075" s="89"/>
      <c r="Q7075" s="105"/>
    </row>
    <row r="7076" spans="3:17" x14ac:dyDescent="0.3">
      <c r="C7076" s="87"/>
      <c r="H7076" s="86" t="e">
        <f>IF(I7076="fora",0%,G7076/QUÓRUM!$C$6)</f>
        <v>#DIV/0!</v>
      </c>
      <c r="I7076" s="87"/>
      <c r="J7076" s="88"/>
      <c r="K7076" s="88"/>
      <c r="L7076" s="89"/>
      <c r="M7076" s="89"/>
      <c r="Q7076" s="105"/>
    </row>
    <row r="7077" spans="3:17" x14ac:dyDescent="0.3">
      <c r="C7077" s="87"/>
      <c r="H7077" s="86" t="e">
        <f>IF(I7077="fora",0%,G7077/QUÓRUM!$C$6)</f>
        <v>#DIV/0!</v>
      </c>
      <c r="I7077" s="87"/>
      <c r="J7077" s="88"/>
      <c r="K7077" s="88"/>
      <c r="L7077" s="89"/>
      <c r="M7077" s="89"/>
      <c r="Q7077" s="105"/>
    </row>
    <row r="7078" spans="3:17" x14ac:dyDescent="0.3">
      <c r="C7078" s="87"/>
      <c r="H7078" s="86" t="e">
        <f>IF(I7078="fora",0%,G7078/QUÓRUM!$C$6)</f>
        <v>#DIV/0!</v>
      </c>
      <c r="I7078" s="87"/>
      <c r="J7078" s="88"/>
      <c r="K7078" s="88"/>
      <c r="L7078" s="89"/>
      <c r="M7078" s="89"/>
      <c r="Q7078" s="105"/>
    </row>
    <row r="7079" spans="3:17" x14ac:dyDescent="0.3">
      <c r="C7079" s="87"/>
      <c r="H7079" s="86" t="e">
        <f>IF(I7079="fora",0%,G7079/QUÓRUM!$C$6)</f>
        <v>#DIV/0!</v>
      </c>
      <c r="I7079" s="87"/>
      <c r="J7079" s="88"/>
      <c r="K7079" s="88"/>
      <c r="L7079" s="89"/>
      <c r="M7079" s="89"/>
      <c r="Q7079" s="105"/>
    </row>
    <row r="7080" spans="3:17" x14ac:dyDescent="0.3">
      <c r="C7080" s="87"/>
      <c r="H7080" s="86" t="e">
        <f>IF(I7080="fora",0%,G7080/QUÓRUM!$C$6)</f>
        <v>#DIV/0!</v>
      </c>
      <c r="I7080" s="87"/>
      <c r="J7080" s="88"/>
      <c r="K7080" s="88"/>
      <c r="L7080" s="89"/>
      <c r="M7080" s="89"/>
      <c r="Q7080" s="105"/>
    </row>
    <row r="7081" spans="3:17" x14ac:dyDescent="0.3">
      <c r="C7081" s="87"/>
      <c r="H7081" s="86" t="e">
        <f>IF(I7081="fora",0%,G7081/QUÓRUM!$C$6)</f>
        <v>#DIV/0!</v>
      </c>
      <c r="I7081" s="87"/>
      <c r="J7081" s="88"/>
      <c r="K7081" s="88"/>
      <c r="L7081" s="89"/>
      <c r="M7081" s="89"/>
      <c r="Q7081" s="105"/>
    </row>
    <row r="7082" spans="3:17" x14ac:dyDescent="0.3">
      <c r="C7082" s="87"/>
      <c r="H7082" s="86" t="e">
        <f>IF(I7082="fora",0%,G7082/QUÓRUM!$C$6)</f>
        <v>#DIV/0!</v>
      </c>
      <c r="I7082" s="87"/>
      <c r="J7082" s="88"/>
      <c r="K7082" s="88"/>
      <c r="L7082" s="89"/>
      <c r="M7082" s="89"/>
      <c r="Q7082" s="105"/>
    </row>
    <row r="7083" spans="3:17" x14ac:dyDescent="0.3">
      <c r="C7083" s="87"/>
      <c r="H7083" s="86" t="e">
        <f>IF(I7083="fora",0%,G7083/QUÓRUM!$C$6)</f>
        <v>#DIV/0!</v>
      </c>
      <c r="I7083" s="87"/>
      <c r="J7083" s="88"/>
      <c r="K7083" s="88"/>
      <c r="L7083" s="89"/>
      <c r="M7083" s="89"/>
      <c r="Q7083" s="105"/>
    </row>
    <row r="7084" spans="3:17" x14ac:dyDescent="0.3">
      <c r="C7084" s="87"/>
      <c r="H7084" s="86" t="e">
        <f>IF(I7084="fora",0%,G7084/QUÓRUM!$C$6)</f>
        <v>#DIV/0!</v>
      </c>
      <c r="I7084" s="87"/>
      <c r="J7084" s="88"/>
      <c r="K7084" s="88"/>
      <c r="L7084" s="89"/>
      <c r="M7084" s="89"/>
      <c r="Q7084" s="105"/>
    </row>
    <row r="7085" spans="3:17" x14ac:dyDescent="0.3">
      <c r="C7085" s="87"/>
      <c r="H7085" s="86" t="e">
        <f>IF(I7085="fora",0%,G7085/QUÓRUM!$C$6)</f>
        <v>#DIV/0!</v>
      </c>
      <c r="I7085" s="87"/>
      <c r="J7085" s="88"/>
      <c r="K7085" s="88"/>
      <c r="L7085" s="89"/>
      <c r="M7085" s="89"/>
      <c r="Q7085" s="105"/>
    </row>
    <row r="7086" spans="3:17" x14ac:dyDescent="0.3">
      <c r="C7086" s="87"/>
      <c r="H7086" s="86" t="e">
        <f>IF(I7086="fora",0%,G7086/QUÓRUM!$C$6)</f>
        <v>#DIV/0!</v>
      </c>
      <c r="I7086" s="87"/>
      <c r="J7086" s="88"/>
      <c r="K7086" s="88"/>
      <c r="L7086" s="89"/>
      <c r="M7086" s="89"/>
      <c r="Q7086" s="105"/>
    </row>
    <row r="7087" spans="3:17" x14ac:dyDescent="0.3">
      <c r="C7087" s="87"/>
      <c r="H7087" s="86" t="e">
        <f>IF(I7087="fora",0%,G7087/QUÓRUM!$C$6)</f>
        <v>#DIV/0!</v>
      </c>
      <c r="I7087" s="87"/>
      <c r="J7087" s="88"/>
      <c r="K7087" s="88"/>
      <c r="L7087" s="89"/>
      <c r="M7087" s="89"/>
      <c r="Q7087" s="105"/>
    </row>
    <row r="7088" spans="3:17" x14ac:dyDescent="0.3">
      <c r="C7088" s="87"/>
      <c r="H7088" s="86" t="e">
        <f>IF(I7088="fora",0%,G7088/QUÓRUM!$C$6)</f>
        <v>#DIV/0!</v>
      </c>
      <c r="I7088" s="87"/>
      <c r="J7088" s="88"/>
      <c r="K7088" s="88"/>
      <c r="L7088" s="89"/>
      <c r="M7088" s="89"/>
      <c r="Q7088" s="105"/>
    </row>
    <row r="7089" spans="3:17" x14ac:dyDescent="0.3">
      <c r="C7089" s="87"/>
      <c r="H7089" s="86" t="e">
        <f>IF(I7089="fora",0%,G7089/QUÓRUM!$C$6)</f>
        <v>#DIV/0!</v>
      </c>
      <c r="I7089" s="87"/>
      <c r="J7089" s="88"/>
      <c r="K7089" s="88"/>
      <c r="L7089" s="89"/>
      <c r="M7089" s="89"/>
      <c r="Q7089" s="105"/>
    </row>
    <row r="7090" spans="3:17" x14ac:dyDescent="0.3">
      <c r="C7090" s="87"/>
      <c r="H7090" s="86" t="e">
        <f>IF(I7090="fora",0%,G7090/QUÓRUM!$C$6)</f>
        <v>#DIV/0!</v>
      </c>
      <c r="I7090" s="87"/>
      <c r="J7090" s="88"/>
      <c r="K7090" s="88"/>
      <c r="L7090" s="89"/>
      <c r="M7090" s="89"/>
      <c r="Q7090" s="105"/>
    </row>
    <row r="7091" spans="3:17" x14ac:dyDescent="0.3">
      <c r="C7091" s="87"/>
      <c r="H7091" s="86" t="e">
        <f>IF(I7091="fora",0%,G7091/QUÓRUM!$C$6)</f>
        <v>#DIV/0!</v>
      </c>
      <c r="I7091" s="87"/>
      <c r="J7091" s="88"/>
      <c r="K7091" s="88"/>
      <c r="L7091" s="89"/>
      <c r="M7091" s="89"/>
      <c r="Q7091" s="105"/>
    </row>
    <row r="7092" spans="3:17" x14ac:dyDescent="0.3">
      <c r="C7092" s="87"/>
      <c r="H7092" s="86" t="e">
        <f>IF(I7092="fora",0%,G7092/QUÓRUM!$C$6)</f>
        <v>#DIV/0!</v>
      </c>
      <c r="I7092" s="87"/>
      <c r="J7092" s="88"/>
      <c r="K7092" s="88"/>
      <c r="L7092" s="89"/>
      <c r="M7092" s="89"/>
      <c r="Q7092" s="105"/>
    </row>
    <row r="7093" spans="3:17" x14ac:dyDescent="0.3">
      <c r="C7093" s="87"/>
      <c r="H7093" s="86" t="e">
        <f>IF(I7093="fora",0%,G7093/QUÓRUM!$C$6)</f>
        <v>#DIV/0!</v>
      </c>
      <c r="I7093" s="87"/>
      <c r="J7093" s="88"/>
      <c r="K7093" s="88"/>
      <c r="L7093" s="89"/>
      <c r="M7093" s="89"/>
      <c r="Q7093" s="105"/>
    </row>
    <row r="7094" spans="3:17" x14ac:dyDescent="0.3">
      <c r="C7094" s="87"/>
      <c r="H7094" s="86" t="e">
        <f>IF(I7094="fora",0%,G7094/QUÓRUM!$C$6)</f>
        <v>#DIV/0!</v>
      </c>
      <c r="I7094" s="87"/>
      <c r="J7094" s="88"/>
      <c r="K7094" s="88"/>
      <c r="L7094" s="89"/>
      <c r="M7094" s="89"/>
      <c r="Q7094" s="105"/>
    </row>
    <row r="7095" spans="3:17" x14ac:dyDescent="0.3">
      <c r="C7095" s="87"/>
      <c r="H7095" s="86" t="e">
        <f>IF(I7095="fora",0%,G7095/QUÓRUM!$C$6)</f>
        <v>#DIV/0!</v>
      </c>
      <c r="I7095" s="87"/>
      <c r="J7095" s="88"/>
      <c r="K7095" s="88"/>
      <c r="L7095" s="89"/>
      <c r="M7095" s="89"/>
      <c r="Q7095" s="105"/>
    </row>
    <row r="7096" spans="3:17" x14ac:dyDescent="0.3">
      <c r="C7096" s="87"/>
      <c r="H7096" s="86" t="e">
        <f>IF(I7096="fora",0%,G7096/QUÓRUM!$C$6)</f>
        <v>#DIV/0!</v>
      </c>
      <c r="I7096" s="87"/>
      <c r="J7096" s="88"/>
      <c r="K7096" s="88"/>
      <c r="L7096" s="89"/>
      <c r="M7096" s="89"/>
      <c r="Q7096" s="105"/>
    </row>
    <row r="7097" spans="3:17" x14ac:dyDescent="0.3">
      <c r="C7097" s="87"/>
      <c r="H7097" s="86" t="e">
        <f>IF(I7097="fora",0%,G7097/QUÓRUM!$C$6)</f>
        <v>#DIV/0!</v>
      </c>
      <c r="I7097" s="87"/>
      <c r="J7097" s="88"/>
      <c r="K7097" s="88"/>
      <c r="L7097" s="89"/>
      <c r="M7097" s="89"/>
      <c r="Q7097" s="105"/>
    </row>
    <row r="7098" spans="3:17" x14ac:dyDescent="0.3">
      <c r="C7098" s="87"/>
      <c r="H7098" s="86" t="e">
        <f>IF(I7098="fora",0%,G7098/QUÓRUM!$C$6)</f>
        <v>#DIV/0!</v>
      </c>
      <c r="I7098" s="87"/>
      <c r="J7098" s="88"/>
      <c r="K7098" s="88"/>
      <c r="L7098" s="89"/>
      <c r="M7098" s="89"/>
      <c r="Q7098" s="105"/>
    </row>
    <row r="7099" spans="3:17" x14ac:dyDescent="0.3">
      <c r="C7099" s="87"/>
      <c r="H7099" s="86" t="e">
        <f>IF(I7099="fora",0%,G7099/QUÓRUM!$C$6)</f>
        <v>#DIV/0!</v>
      </c>
      <c r="I7099" s="87"/>
      <c r="J7099" s="88"/>
      <c r="K7099" s="88"/>
      <c r="L7099" s="89"/>
      <c r="M7099" s="89"/>
      <c r="Q7099" s="105"/>
    </row>
    <row r="7100" spans="3:17" x14ac:dyDescent="0.3">
      <c r="C7100" s="87"/>
      <c r="H7100" s="86" t="e">
        <f>IF(I7100="fora",0%,G7100/QUÓRUM!$C$6)</f>
        <v>#DIV/0!</v>
      </c>
      <c r="I7100" s="87"/>
      <c r="J7100" s="88"/>
      <c r="K7100" s="88"/>
      <c r="L7100" s="89"/>
      <c r="M7100" s="89"/>
      <c r="Q7100" s="105"/>
    </row>
    <row r="7101" spans="3:17" x14ac:dyDescent="0.3">
      <c r="C7101" s="87"/>
      <c r="H7101" s="86" t="e">
        <f>IF(I7101="fora",0%,G7101/QUÓRUM!$C$6)</f>
        <v>#DIV/0!</v>
      </c>
      <c r="I7101" s="87"/>
      <c r="J7101" s="88"/>
      <c r="K7101" s="88"/>
      <c r="L7101" s="89"/>
      <c r="M7101" s="89"/>
      <c r="Q7101" s="105"/>
    </row>
    <row r="7102" spans="3:17" x14ac:dyDescent="0.3">
      <c r="C7102" s="87"/>
      <c r="H7102" s="86" t="e">
        <f>IF(I7102="fora",0%,G7102/QUÓRUM!$C$6)</f>
        <v>#DIV/0!</v>
      </c>
      <c r="I7102" s="87"/>
      <c r="J7102" s="88"/>
      <c r="K7102" s="88"/>
      <c r="L7102" s="89"/>
      <c r="M7102" s="89"/>
      <c r="Q7102" s="105"/>
    </row>
    <row r="7103" spans="3:17" x14ac:dyDescent="0.3">
      <c r="C7103" s="87"/>
      <c r="H7103" s="86" t="e">
        <f>IF(I7103="fora",0%,G7103/QUÓRUM!$C$6)</f>
        <v>#DIV/0!</v>
      </c>
      <c r="I7103" s="87"/>
      <c r="J7103" s="88"/>
      <c r="K7103" s="88"/>
      <c r="L7103" s="89"/>
      <c r="M7103" s="89"/>
      <c r="Q7103" s="105"/>
    </row>
    <row r="7104" spans="3:17" x14ac:dyDescent="0.3">
      <c r="C7104" s="87"/>
      <c r="H7104" s="86" t="e">
        <f>IF(I7104="fora",0%,G7104/QUÓRUM!$C$6)</f>
        <v>#DIV/0!</v>
      </c>
      <c r="I7104" s="87"/>
      <c r="J7104" s="88"/>
      <c r="K7104" s="88"/>
      <c r="L7104" s="89"/>
      <c r="M7104" s="89"/>
      <c r="Q7104" s="105"/>
    </row>
    <row r="7105" spans="3:17" x14ac:dyDescent="0.3">
      <c r="C7105" s="87"/>
      <c r="H7105" s="86" t="e">
        <f>IF(I7105="fora",0%,G7105/QUÓRUM!$C$6)</f>
        <v>#DIV/0!</v>
      </c>
      <c r="I7105" s="87"/>
      <c r="J7105" s="88"/>
      <c r="K7105" s="88"/>
      <c r="L7105" s="89"/>
      <c r="M7105" s="89"/>
      <c r="Q7105" s="105"/>
    </row>
    <row r="7106" spans="3:17" x14ac:dyDescent="0.3">
      <c r="C7106" s="87"/>
      <c r="H7106" s="86" t="e">
        <f>IF(I7106="fora",0%,G7106/QUÓRUM!$C$6)</f>
        <v>#DIV/0!</v>
      </c>
      <c r="I7106" s="87"/>
      <c r="J7106" s="88"/>
      <c r="K7106" s="88"/>
      <c r="L7106" s="89"/>
      <c r="M7106" s="89"/>
      <c r="Q7106" s="105"/>
    </row>
    <row r="7107" spans="3:17" x14ac:dyDescent="0.3">
      <c r="C7107" s="87"/>
      <c r="H7107" s="86" t="e">
        <f>IF(I7107="fora",0%,G7107/QUÓRUM!$C$6)</f>
        <v>#DIV/0!</v>
      </c>
      <c r="I7107" s="87"/>
      <c r="J7107" s="88"/>
      <c r="K7107" s="88"/>
      <c r="L7107" s="89"/>
      <c r="M7107" s="89"/>
      <c r="Q7107" s="105"/>
    </row>
    <row r="7108" spans="3:17" x14ac:dyDescent="0.3">
      <c r="C7108" s="87"/>
      <c r="H7108" s="86" t="e">
        <f>IF(I7108="fora",0%,G7108/QUÓRUM!$C$6)</f>
        <v>#DIV/0!</v>
      </c>
      <c r="I7108" s="87"/>
      <c r="J7108" s="88"/>
      <c r="K7108" s="88"/>
      <c r="L7108" s="89"/>
      <c r="M7108" s="89"/>
      <c r="Q7108" s="105"/>
    </row>
    <row r="7109" spans="3:17" x14ac:dyDescent="0.3">
      <c r="C7109" s="87"/>
      <c r="H7109" s="86" t="e">
        <f>IF(I7109="fora",0%,G7109/QUÓRUM!$C$6)</f>
        <v>#DIV/0!</v>
      </c>
      <c r="I7109" s="87"/>
      <c r="J7109" s="88"/>
      <c r="K7109" s="88"/>
      <c r="L7109" s="89"/>
      <c r="M7109" s="89"/>
      <c r="Q7109" s="105"/>
    </row>
    <row r="7110" spans="3:17" x14ac:dyDescent="0.3">
      <c r="C7110" s="87"/>
      <c r="H7110" s="86" t="e">
        <f>IF(I7110="fora",0%,G7110/QUÓRUM!$C$6)</f>
        <v>#DIV/0!</v>
      </c>
      <c r="I7110" s="87"/>
      <c r="J7110" s="88"/>
      <c r="K7110" s="88"/>
      <c r="L7110" s="89"/>
      <c r="M7110" s="89"/>
      <c r="Q7110" s="105"/>
    </row>
    <row r="7111" spans="3:17" x14ac:dyDescent="0.3">
      <c r="C7111" s="87"/>
      <c r="H7111" s="86" t="e">
        <f>IF(I7111="fora",0%,G7111/QUÓRUM!$C$6)</f>
        <v>#DIV/0!</v>
      </c>
      <c r="I7111" s="87"/>
      <c r="J7111" s="88"/>
      <c r="K7111" s="88"/>
      <c r="L7111" s="89"/>
      <c r="M7111" s="89"/>
      <c r="Q7111" s="105"/>
    </row>
    <row r="7112" spans="3:17" x14ac:dyDescent="0.3">
      <c r="C7112" s="87"/>
      <c r="H7112" s="86" t="e">
        <f>IF(I7112="fora",0%,G7112/QUÓRUM!$C$6)</f>
        <v>#DIV/0!</v>
      </c>
      <c r="I7112" s="87"/>
      <c r="J7112" s="88"/>
      <c r="K7112" s="88"/>
      <c r="L7112" s="89"/>
      <c r="M7112" s="89"/>
      <c r="Q7112" s="105"/>
    </row>
    <row r="7113" spans="3:17" x14ac:dyDescent="0.3">
      <c r="C7113" s="87"/>
      <c r="H7113" s="86" t="e">
        <f>IF(I7113="fora",0%,G7113/QUÓRUM!$C$6)</f>
        <v>#DIV/0!</v>
      </c>
      <c r="I7113" s="87"/>
      <c r="J7113" s="88"/>
      <c r="K7113" s="88"/>
      <c r="L7113" s="89"/>
      <c r="M7113" s="89"/>
      <c r="Q7113" s="105"/>
    </row>
    <row r="7114" spans="3:17" x14ac:dyDescent="0.3">
      <c r="C7114" s="87"/>
      <c r="H7114" s="86" t="e">
        <f>IF(I7114="fora",0%,G7114/QUÓRUM!$C$6)</f>
        <v>#DIV/0!</v>
      </c>
      <c r="I7114" s="87"/>
      <c r="J7114" s="88"/>
      <c r="K7114" s="88"/>
      <c r="L7114" s="89"/>
      <c r="M7114" s="89"/>
      <c r="Q7114" s="105"/>
    </row>
    <row r="7115" spans="3:17" x14ac:dyDescent="0.3">
      <c r="C7115" s="87"/>
      <c r="G7115" s="115"/>
      <c r="H7115" s="86" t="e">
        <f>IF(I7115="fora",0%,G7115/QUÓRUM!$C$6)</f>
        <v>#DIV/0!</v>
      </c>
      <c r="I7115" s="87"/>
      <c r="J7115" s="88"/>
      <c r="K7115" s="88"/>
      <c r="L7115" s="89"/>
      <c r="M7115" s="89"/>
      <c r="Q7115" s="105"/>
    </row>
    <row r="7116" spans="3:17" x14ac:dyDescent="0.3">
      <c r="C7116" s="87"/>
      <c r="H7116" s="86" t="e">
        <f>IF(I7116="fora",0%,G7116/QUÓRUM!$C$6)</f>
        <v>#DIV/0!</v>
      </c>
      <c r="I7116" s="87"/>
      <c r="J7116" s="88"/>
      <c r="K7116" s="88"/>
      <c r="L7116" s="89"/>
      <c r="M7116" s="89"/>
      <c r="Q7116" s="105"/>
    </row>
    <row r="7117" spans="3:17" x14ac:dyDescent="0.3">
      <c r="C7117" s="87"/>
      <c r="H7117" s="86" t="e">
        <f>IF(I7117="fora",0%,G7117/QUÓRUM!$C$6)</f>
        <v>#DIV/0!</v>
      </c>
      <c r="I7117" s="87"/>
      <c r="J7117" s="88"/>
      <c r="K7117" s="88"/>
      <c r="L7117" s="89"/>
      <c r="M7117" s="89"/>
      <c r="Q7117" s="105"/>
    </row>
    <row r="7118" spans="3:17" x14ac:dyDescent="0.3">
      <c r="C7118" s="87"/>
      <c r="H7118" s="86" t="e">
        <f>IF(I7118="fora",0%,G7118/QUÓRUM!$C$6)</f>
        <v>#DIV/0!</v>
      </c>
      <c r="I7118" s="87"/>
      <c r="J7118" s="88"/>
      <c r="K7118" s="88"/>
      <c r="L7118" s="89"/>
      <c r="M7118" s="89"/>
      <c r="Q7118" s="105"/>
    </row>
    <row r="7119" spans="3:17" x14ac:dyDescent="0.3">
      <c r="C7119" s="87"/>
      <c r="H7119" s="86" t="e">
        <f>IF(I7119="fora",0%,G7119/QUÓRUM!$C$6)</f>
        <v>#DIV/0!</v>
      </c>
      <c r="I7119" s="87"/>
      <c r="J7119" s="88"/>
      <c r="K7119" s="88"/>
      <c r="L7119" s="89"/>
      <c r="M7119" s="89"/>
      <c r="Q7119" s="105"/>
    </row>
    <row r="7120" spans="3:17" x14ac:dyDescent="0.3">
      <c r="C7120" s="87"/>
      <c r="H7120" s="86" t="e">
        <f>IF(I7120="fora",0%,G7120/QUÓRUM!$C$6)</f>
        <v>#DIV/0!</v>
      </c>
      <c r="I7120" s="87"/>
      <c r="J7120" s="88"/>
      <c r="K7120" s="88"/>
      <c r="L7120" s="89"/>
      <c r="M7120" s="89"/>
      <c r="Q7120" s="105"/>
    </row>
    <row r="7121" spans="3:17" x14ac:dyDescent="0.3">
      <c r="C7121" s="87"/>
      <c r="H7121" s="86" t="e">
        <f>IF(I7121="fora",0%,G7121/QUÓRUM!$C$6)</f>
        <v>#DIV/0!</v>
      </c>
      <c r="I7121" s="87"/>
      <c r="J7121" s="88"/>
      <c r="K7121" s="88"/>
      <c r="L7121" s="89"/>
      <c r="M7121" s="89"/>
      <c r="Q7121" s="105"/>
    </row>
    <row r="7122" spans="3:17" x14ac:dyDescent="0.3">
      <c r="C7122" s="87"/>
      <c r="H7122" s="86" t="e">
        <f>IF(I7122="fora",0%,G7122/QUÓRUM!$C$6)</f>
        <v>#DIV/0!</v>
      </c>
      <c r="I7122" s="87"/>
      <c r="J7122" s="88"/>
      <c r="K7122" s="88"/>
      <c r="L7122" s="89"/>
      <c r="M7122" s="89"/>
      <c r="Q7122" s="105"/>
    </row>
    <row r="7123" spans="3:17" x14ac:dyDescent="0.3">
      <c r="C7123" s="87"/>
      <c r="H7123" s="86" t="e">
        <f>IF(I7123="fora",0%,G7123/QUÓRUM!$C$6)</f>
        <v>#DIV/0!</v>
      </c>
      <c r="I7123" s="87"/>
      <c r="J7123" s="88"/>
      <c r="K7123" s="88"/>
      <c r="L7123" s="89"/>
      <c r="M7123" s="89"/>
      <c r="Q7123" s="105"/>
    </row>
    <row r="7124" spans="3:17" x14ac:dyDescent="0.3">
      <c r="C7124" s="87"/>
      <c r="H7124" s="86" t="e">
        <f>IF(I7124="fora",0%,G7124/QUÓRUM!$C$6)</f>
        <v>#DIV/0!</v>
      </c>
      <c r="I7124" s="87"/>
      <c r="J7124" s="88"/>
      <c r="K7124" s="88"/>
      <c r="L7124" s="89"/>
      <c r="M7124" s="89"/>
      <c r="Q7124" s="105"/>
    </row>
    <row r="7125" spans="3:17" x14ac:dyDescent="0.3">
      <c r="C7125" s="87"/>
      <c r="H7125" s="86" t="e">
        <f>IF(I7125="fora",0%,G7125/QUÓRUM!$C$6)</f>
        <v>#DIV/0!</v>
      </c>
      <c r="I7125" s="87"/>
      <c r="J7125" s="88"/>
      <c r="K7125" s="88"/>
      <c r="L7125" s="89"/>
      <c r="M7125" s="89"/>
      <c r="Q7125" s="105"/>
    </row>
    <row r="7126" spans="3:17" x14ac:dyDescent="0.3">
      <c r="C7126" s="87"/>
      <c r="H7126" s="86" t="e">
        <f>IF(I7126="fora",0%,G7126/QUÓRUM!$C$6)</f>
        <v>#DIV/0!</v>
      </c>
      <c r="I7126" s="87"/>
      <c r="J7126" s="88"/>
      <c r="K7126" s="88"/>
      <c r="L7126" s="89"/>
      <c r="M7126" s="89"/>
      <c r="Q7126" s="105"/>
    </row>
    <row r="7127" spans="3:17" x14ac:dyDescent="0.3">
      <c r="C7127" s="87"/>
      <c r="H7127" s="86" t="e">
        <f>IF(I7127="fora",0%,G7127/QUÓRUM!$C$6)</f>
        <v>#DIV/0!</v>
      </c>
      <c r="I7127" s="87"/>
      <c r="J7127" s="88"/>
      <c r="K7127" s="88"/>
      <c r="L7127" s="89"/>
      <c r="M7127" s="89"/>
      <c r="Q7127" s="105"/>
    </row>
    <row r="7128" spans="3:17" x14ac:dyDescent="0.3">
      <c r="C7128" s="87"/>
      <c r="H7128" s="86" t="e">
        <f>IF(I7128="fora",0%,G7128/QUÓRUM!$C$6)</f>
        <v>#DIV/0!</v>
      </c>
      <c r="I7128" s="87"/>
      <c r="J7128" s="88"/>
      <c r="K7128" s="88"/>
      <c r="L7128" s="89"/>
      <c r="M7128" s="89"/>
      <c r="Q7128" s="105"/>
    </row>
    <row r="7129" spans="3:17" x14ac:dyDescent="0.3">
      <c r="C7129" s="87"/>
      <c r="H7129" s="86" t="e">
        <f>IF(I7129="fora",0%,G7129/QUÓRUM!$C$6)</f>
        <v>#DIV/0!</v>
      </c>
      <c r="I7129" s="87"/>
      <c r="J7129" s="88"/>
      <c r="K7129" s="88"/>
      <c r="L7129" s="89"/>
      <c r="M7129" s="89"/>
      <c r="Q7129" s="105"/>
    </row>
    <row r="7130" spans="3:17" x14ac:dyDescent="0.3">
      <c r="C7130" s="87"/>
      <c r="H7130" s="86" t="e">
        <f>IF(I7130="fora",0%,G7130/QUÓRUM!$C$6)</f>
        <v>#DIV/0!</v>
      </c>
      <c r="I7130" s="87"/>
      <c r="J7130" s="88"/>
      <c r="K7130" s="88"/>
      <c r="L7130" s="89"/>
      <c r="M7130" s="89"/>
      <c r="Q7130" s="105"/>
    </row>
    <row r="7131" spans="3:17" x14ac:dyDescent="0.3">
      <c r="C7131" s="87"/>
      <c r="H7131" s="86" t="e">
        <f>IF(I7131="fora",0%,G7131/QUÓRUM!$C$6)</f>
        <v>#DIV/0!</v>
      </c>
      <c r="I7131" s="87"/>
      <c r="J7131" s="88"/>
      <c r="K7131" s="88"/>
      <c r="L7131" s="89"/>
      <c r="M7131" s="89"/>
      <c r="Q7131" s="105"/>
    </row>
    <row r="7132" spans="3:17" x14ac:dyDescent="0.3">
      <c r="C7132" s="87"/>
      <c r="H7132" s="86" t="e">
        <f>IF(I7132="fora",0%,G7132/QUÓRUM!$C$6)</f>
        <v>#DIV/0!</v>
      </c>
      <c r="I7132" s="87"/>
      <c r="J7132" s="88"/>
      <c r="K7132" s="88"/>
      <c r="L7132" s="89"/>
      <c r="M7132" s="89"/>
      <c r="Q7132" s="105"/>
    </row>
    <row r="7133" spans="3:17" x14ac:dyDescent="0.3">
      <c r="C7133" s="87"/>
      <c r="H7133" s="86" t="e">
        <f>IF(I7133="fora",0%,G7133/QUÓRUM!$C$6)</f>
        <v>#DIV/0!</v>
      </c>
      <c r="I7133" s="87"/>
      <c r="J7133" s="88"/>
      <c r="K7133" s="88"/>
      <c r="L7133" s="89"/>
      <c r="M7133" s="89"/>
      <c r="Q7133" s="105"/>
    </row>
    <row r="7134" spans="3:17" x14ac:dyDescent="0.3">
      <c r="C7134" s="87"/>
      <c r="H7134" s="86" t="e">
        <f>IF(I7134="fora",0%,G7134/QUÓRUM!$C$6)</f>
        <v>#DIV/0!</v>
      </c>
      <c r="I7134" s="87"/>
      <c r="J7134" s="88"/>
      <c r="K7134" s="88"/>
      <c r="L7134" s="89"/>
      <c r="M7134" s="89"/>
      <c r="Q7134" s="105"/>
    </row>
    <row r="7135" spans="3:17" x14ac:dyDescent="0.3">
      <c r="C7135" s="87"/>
      <c r="H7135" s="86" t="e">
        <f>IF(I7135="fora",0%,G7135/QUÓRUM!$C$6)</f>
        <v>#DIV/0!</v>
      </c>
      <c r="I7135" s="87"/>
      <c r="J7135" s="88"/>
      <c r="K7135" s="88"/>
      <c r="L7135" s="89"/>
      <c r="M7135" s="89"/>
      <c r="Q7135" s="105"/>
    </row>
    <row r="7136" spans="3:17" x14ac:dyDescent="0.3">
      <c r="C7136" s="87"/>
      <c r="H7136" s="86" t="e">
        <f>IF(I7136="fora",0%,G7136/QUÓRUM!$C$6)</f>
        <v>#DIV/0!</v>
      </c>
      <c r="I7136" s="87"/>
      <c r="J7136" s="88"/>
      <c r="K7136" s="88"/>
      <c r="L7136" s="89"/>
      <c r="M7136" s="89"/>
      <c r="Q7136" s="105"/>
    </row>
    <row r="7137" spans="3:17" x14ac:dyDescent="0.3">
      <c r="C7137" s="87"/>
      <c r="G7137" s="115"/>
      <c r="H7137" s="86" t="e">
        <f>IF(I7137="fora",0%,G7137/QUÓRUM!$C$6)</f>
        <v>#DIV/0!</v>
      </c>
      <c r="I7137" s="87"/>
      <c r="J7137" s="88"/>
      <c r="K7137" s="88"/>
      <c r="L7137" s="89"/>
      <c r="M7137" s="89"/>
      <c r="Q7137" s="105"/>
    </row>
    <row r="7138" spans="3:17" x14ac:dyDescent="0.3">
      <c r="C7138" s="87"/>
      <c r="H7138" s="86" t="e">
        <f>IF(I7138="fora",0%,G7138/QUÓRUM!$C$6)</f>
        <v>#DIV/0!</v>
      </c>
      <c r="I7138" s="87"/>
      <c r="J7138" s="88"/>
      <c r="K7138" s="88"/>
      <c r="L7138" s="89"/>
      <c r="M7138" s="89"/>
      <c r="Q7138" s="105"/>
    </row>
    <row r="7139" spans="3:17" x14ac:dyDescent="0.3">
      <c r="C7139" s="87"/>
      <c r="H7139" s="86" t="e">
        <f>IF(I7139="fora",0%,G7139/QUÓRUM!$C$6)</f>
        <v>#DIV/0!</v>
      </c>
      <c r="I7139" s="87"/>
      <c r="J7139" s="88"/>
      <c r="K7139" s="88"/>
      <c r="L7139" s="89"/>
      <c r="M7139" s="89"/>
      <c r="Q7139" s="105"/>
    </row>
    <row r="7140" spans="3:17" x14ac:dyDescent="0.3">
      <c r="C7140" s="87"/>
      <c r="H7140" s="86" t="e">
        <f>IF(I7140="fora",0%,G7140/QUÓRUM!$C$6)</f>
        <v>#DIV/0!</v>
      </c>
      <c r="I7140" s="87"/>
      <c r="J7140" s="88"/>
      <c r="K7140" s="88"/>
      <c r="L7140" s="89"/>
      <c r="M7140" s="89"/>
      <c r="Q7140" s="105"/>
    </row>
    <row r="7141" spans="3:17" x14ac:dyDescent="0.3">
      <c r="C7141" s="87"/>
      <c r="H7141" s="86" t="e">
        <f>IF(I7141="fora",0%,G7141/QUÓRUM!$C$6)</f>
        <v>#DIV/0!</v>
      </c>
      <c r="I7141" s="87"/>
      <c r="J7141" s="88"/>
      <c r="K7141" s="88"/>
      <c r="L7141" s="89"/>
      <c r="M7141" s="89"/>
      <c r="Q7141" s="105"/>
    </row>
    <row r="7142" spans="3:17" x14ac:dyDescent="0.3">
      <c r="C7142" s="87"/>
      <c r="H7142" s="86" t="e">
        <f>IF(I7142="fora",0%,G7142/QUÓRUM!$C$6)</f>
        <v>#DIV/0!</v>
      </c>
      <c r="I7142" s="87"/>
      <c r="J7142" s="88"/>
      <c r="K7142" s="88"/>
      <c r="L7142" s="89"/>
      <c r="M7142" s="89"/>
      <c r="Q7142" s="105"/>
    </row>
    <row r="7143" spans="3:17" x14ac:dyDescent="0.3">
      <c r="C7143" s="87"/>
      <c r="H7143" s="86" t="e">
        <f>IF(I7143="fora",0%,G7143/QUÓRUM!$C$6)</f>
        <v>#DIV/0!</v>
      </c>
      <c r="I7143" s="87"/>
      <c r="J7143" s="88"/>
      <c r="K7143" s="88"/>
      <c r="L7143" s="89"/>
      <c r="M7143" s="89"/>
      <c r="Q7143" s="105"/>
    </row>
    <row r="7144" spans="3:17" x14ac:dyDescent="0.3">
      <c r="C7144" s="87"/>
      <c r="H7144" s="86" t="e">
        <f>IF(I7144="fora",0%,G7144/QUÓRUM!$C$6)</f>
        <v>#DIV/0!</v>
      </c>
      <c r="I7144" s="87"/>
      <c r="J7144" s="88"/>
      <c r="K7144" s="88"/>
      <c r="L7144" s="89"/>
      <c r="M7144" s="89"/>
      <c r="Q7144" s="105"/>
    </row>
    <row r="7145" spans="3:17" x14ac:dyDescent="0.3">
      <c r="C7145" s="87"/>
      <c r="H7145" s="86" t="e">
        <f>IF(I7145="fora",0%,G7145/QUÓRUM!$C$6)</f>
        <v>#DIV/0!</v>
      </c>
      <c r="I7145" s="87"/>
      <c r="J7145" s="88"/>
      <c r="K7145" s="88"/>
      <c r="L7145" s="89"/>
      <c r="M7145" s="89"/>
      <c r="Q7145" s="105"/>
    </row>
    <row r="7146" spans="3:17" x14ac:dyDescent="0.3">
      <c r="C7146" s="87"/>
      <c r="H7146" s="86" t="e">
        <f>IF(I7146="fora",0%,G7146/QUÓRUM!$C$6)</f>
        <v>#DIV/0!</v>
      </c>
      <c r="I7146" s="87"/>
      <c r="J7146" s="88"/>
      <c r="K7146" s="88"/>
      <c r="L7146" s="89"/>
      <c r="M7146" s="89"/>
      <c r="Q7146" s="105"/>
    </row>
    <row r="7147" spans="3:17" x14ac:dyDescent="0.3">
      <c r="C7147" s="87"/>
      <c r="H7147" s="86" t="e">
        <f>IF(I7147="fora",0%,G7147/QUÓRUM!$C$6)</f>
        <v>#DIV/0!</v>
      </c>
      <c r="I7147" s="87"/>
      <c r="J7147" s="88"/>
      <c r="K7147" s="88"/>
      <c r="L7147" s="89"/>
      <c r="M7147" s="89"/>
      <c r="Q7147" s="105"/>
    </row>
    <row r="7148" spans="3:17" x14ac:dyDescent="0.3">
      <c r="C7148" s="87"/>
      <c r="H7148" s="86" t="e">
        <f>IF(I7148="fora",0%,G7148/QUÓRUM!$C$6)</f>
        <v>#DIV/0!</v>
      </c>
      <c r="I7148" s="87"/>
      <c r="J7148" s="88"/>
      <c r="K7148" s="88"/>
      <c r="L7148" s="89"/>
      <c r="M7148" s="89"/>
      <c r="Q7148" s="105"/>
    </row>
    <row r="7149" spans="3:17" x14ac:dyDescent="0.3">
      <c r="C7149" s="87"/>
      <c r="H7149" s="86" t="e">
        <f>IF(I7149="fora",0%,G7149/QUÓRUM!$C$6)</f>
        <v>#DIV/0!</v>
      </c>
      <c r="I7149" s="87"/>
      <c r="J7149" s="88"/>
      <c r="K7149" s="88"/>
      <c r="L7149" s="89"/>
      <c r="M7149" s="89"/>
      <c r="Q7149" s="105"/>
    </row>
    <row r="7150" spans="3:17" x14ac:dyDescent="0.3">
      <c r="C7150" s="87"/>
      <c r="H7150" s="86" t="e">
        <f>IF(I7150="fora",0%,G7150/QUÓRUM!$C$6)</f>
        <v>#DIV/0!</v>
      </c>
      <c r="I7150" s="87"/>
      <c r="J7150" s="88"/>
      <c r="K7150" s="88"/>
      <c r="L7150" s="89"/>
      <c r="M7150" s="89"/>
      <c r="Q7150" s="105"/>
    </row>
    <row r="7151" spans="3:17" x14ac:dyDescent="0.3">
      <c r="C7151" s="87"/>
      <c r="H7151" s="86" t="e">
        <f>IF(I7151="fora",0%,G7151/QUÓRUM!$C$6)</f>
        <v>#DIV/0!</v>
      </c>
      <c r="I7151" s="87"/>
      <c r="J7151" s="88"/>
      <c r="K7151" s="88"/>
      <c r="L7151" s="89"/>
      <c r="M7151" s="89"/>
      <c r="Q7151" s="105"/>
    </row>
    <row r="7152" spans="3:17" x14ac:dyDescent="0.3">
      <c r="C7152" s="87"/>
      <c r="H7152" s="86" t="e">
        <f>IF(I7152="fora",0%,G7152/QUÓRUM!$C$6)</f>
        <v>#DIV/0!</v>
      </c>
      <c r="I7152" s="87"/>
      <c r="J7152" s="88"/>
      <c r="K7152" s="88"/>
      <c r="L7152" s="89"/>
      <c r="M7152" s="89"/>
      <c r="Q7152" s="105"/>
    </row>
    <row r="7153" spans="3:17" x14ac:dyDescent="0.3">
      <c r="C7153" s="87"/>
      <c r="H7153" s="86" t="e">
        <f>IF(I7153="fora",0%,G7153/QUÓRUM!$C$6)</f>
        <v>#DIV/0!</v>
      </c>
      <c r="I7153" s="87"/>
      <c r="J7153" s="88"/>
      <c r="K7153" s="88"/>
      <c r="L7153" s="89"/>
      <c r="M7153" s="89"/>
      <c r="Q7153" s="105"/>
    </row>
    <row r="7154" spans="3:17" x14ac:dyDescent="0.3">
      <c r="C7154" s="87"/>
      <c r="H7154" s="86" t="e">
        <f>IF(I7154="fora",0%,G7154/QUÓRUM!$C$6)</f>
        <v>#DIV/0!</v>
      </c>
      <c r="I7154" s="87"/>
      <c r="J7154" s="88"/>
      <c r="K7154" s="88"/>
      <c r="L7154" s="89"/>
      <c r="M7154" s="89"/>
      <c r="Q7154" s="105"/>
    </row>
    <row r="7155" spans="3:17" x14ac:dyDescent="0.3">
      <c r="C7155" s="87"/>
      <c r="H7155" s="86" t="e">
        <f>IF(I7155="fora",0%,G7155/QUÓRUM!$C$6)</f>
        <v>#DIV/0!</v>
      </c>
      <c r="I7155" s="87"/>
      <c r="J7155" s="88"/>
      <c r="K7155" s="88"/>
      <c r="L7155" s="89"/>
      <c r="M7155" s="89"/>
      <c r="Q7155" s="105"/>
    </row>
    <row r="7156" spans="3:17" x14ac:dyDescent="0.3">
      <c r="C7156" s="87"/>
      <c r="H7156" s="86" t="e">
        <f>IF(I7156="fora",0%,G7156/QUÓRUM!$C$6)</f>
        <v>#DIV/0!</v>
      </c>
      <c r="I7156" s="87"/>
      <c r="J7156" s="88"/>
      <c r="K7156" s="88"/>
      <c r="L7156" s="89"/>
      <c r="M7156" s="89"/>
      <c r="Q7156" s="105"/>
    </row>
    <row r="7157" spans="3:17" x14ac:dyDescent="0.3">
      <c r="C7157" s="87"/>
      <c r="H7157" s="86" t="e">
        <f>IF(I7157="fora",0%,G7157/QUÓRUM!$C$6)</f>
        <v>#DIV/0!</v>
      </c>
      <c r="I7157" s="87"/>
      <c r="J7157" s="88"/>
      <c r="K7157" s="88"/>
      <c r="L7157" s="89"/>
      <c r="M7157" s="89"/>
      <c r="Q7157" s="105"/>
    </row>
    <row r="7158" spans="3:17" x14ac:dyDescent="0.3">
      <c r="C7158" s="87"/>
      <c r="H7158" s="86" t="e">
        <f>IF(I7158="fora",0%,G7158/QUÓRUM!$C$6)</f>
        <v>#DIV/0!</v>
      </c>
      <c r="I7158" s="87"/>
      <c r="J7158" s="88"/>
      <c r="K7158" s="88"/>
      <c r="L7158" s="89"/>
      <c r="M7158" s="89"/>
      <c r="Q7158" s="105"/>
    </row>
    <row r="7159" spans="3:17" x14ac:dyDescent="0.3">
      <c r="C7159" s="87"/>
      <c r="H7159" s="86" t="e">
        <f>IF(I7159="fora",0%,G7159/QUÓRUM!$C$6)</f>
        <v>#DIV/0!</v>
      </c>
      <c r="I7159" s="87"/>
      <c r="J7159" s="88"/>
      <c r="K7159" s="88"/>
      <c r="L7159" s="89"/>
      <c r="M7159" s="89"/>
      <c r="Q7159" s="105"/>
    </row>
    <row r="7160" spans="3:17" x14ac:dyDescent="0.3">
      <c r="C7160" s="87"/>
      <c r="H7160" s="86" t="e">
        <f>IF(I7160="fora",0%,G7160/QUÓRUM!$C$6)</f>
        <v>#DIV/0!</v>
      </c>
      <c r="I7160" s="87"/>
      <c r="J7160" s="88"/>
      <c r="K7160" s="88"/>
      <c r="L7160" s="89"/>
      <c r="M7160" s="89"/>
      <c r="Q7160" s="105"/>
    </row>
    <row r="7161" spans="3:17" x14ac:dyDescent="0.3">
      <c r="C7161" s="87"/>
      <c r="H7161" s="86" t="e">
        <f>IF(I7161="fora",0%,G7161/QUÓRUM!$C$6)</f>
        <v>#DIV/0!</v>
      </c>
      <c r="I7161" s="87"/>
      <c r="J7161" s="88"/>
      <c r="K7161" s="88"/>
      <c r="L7161" s="89"/>
      <c r="M7161" s="89"/>
      <c r="Q7161" s="105"/>
    </row>
    <row r="7162" spans="3:17" x14ac:dyDescent="0.3">
      <c r="C7162" s="87"/>
      <c r="H7162" s="86" t="e">
        <f>IF(I7162="fora",0%,G7162/QUÓRUM!$C$6)</f>
        <v>#DIV/0!</v>
      </c>
      <c r="I7162" s="87"/>
      <c r="J7162" s="88"/>
      <c r="K7162" s="88"/>
      <c r="L7162" s="89"/>
      <c r="M7162" s="89"/>
      <c r="Q7162" s="105"/>
    </row>
    <row r="7163" spans="3:17" x14ac:dyDescent="0.3">
      <c r="C7163" s="87"/>
      <c r="H7163" s="86" t="e">
        <f>IF(I7163="fora",0%,G7163/QUÓRUM!$C$6)</f>
        <v>#DIV/0!</v>
      </c>
      <c r="I7163" s="87"/>
      <c r="J7163" s="88"/>
      <c r="K7163" s="88"/>
      <c r="L7163" s="89"/>
      <c r="M7163" s="89"/>
      <c r="Q7163" s="105"/>
    </row>
    <row r="7164" spans="3:17" x14ac:dyDescent="0.3">
      <c r="C7164" s="87"/>
      <c r="H7164" s="86" t="e">
        <f>IF(I7164="fora",0%,G7164/QUÓRUM!$C$6)</f>
        <v>#DIV/0!</v>
      </c>
      <c r="I7164" s="87"/>
      <c r="J7164" s="88"/>
      <c r="K7164" s="88"/>
      <c r="L7164" s="89"/>
      <c r="M7164" s="89"/>
      <c r="Q7164" s="105"/>
    </row>
    <row r="7165" spans="3:17" x14ac:dyDescent="0.3">
      <c r="C7165" s="87"/>
      <c r="H7165" s="86" t="e">
        <f>IF(I7165="fora",0%,G7165/QUÓRUM!$C$6)</f>
        <v>#DIV/0!</v>
      </c>
      <c r="I7165" s="87"/>
      <c r="J7165" s="88"/>
      <c r="K7165" s="88"/>
      <c r="L7165" s="89"/>
      <c r="M7165" s="89"/>
      <c r="Q7165" s="105"/>
    </row>
    <row r="7166" spans="3:17" x14ac:dyDescent="0.3">
      <c r="C7166" s="87"/>
      <c r="H7166" s="86" t="e">
        <f>IF(I7166="fora",0%,G7166/QUÓRUM!$C$6)</f>
        <v>#DIV/0!</v>
      </c>
      <c r="I7166" s="87"/>
      <c r="J7166" s="88"/>
      <c r="K7166" s="88"/>
      <c r="L7166" s="89"/>
      <c r="M7166" s="89"/>
      <c r="Q7166" s="105"/>
    </row>
    <row r="7167" spans="3:17" x14ac:dyDescent="0.3">
      <c r="C7167" s="87"/>
      <c r="H7167" s="86" t="e">
        <f>IF(I7167="fora",0%,G7167/QUÓRUM!$C$6)</f>
        <v>#DIV/0!</v>
      </c>
      <c r="I7167" s="87"/>
      <c r="J7167" s="88"/>
      <c r="K7167" s="88"/>
      <c r="L7167" s="89"/>
      <c r="M7167" s="89"/>
      <c r="Q7167" s="105"/>
    </row>
    <row r="7168" spans="3:17" x14ac:dyDescent="0.3">
      <c r="C7168" s="87"/>
      <c r="H7168" s="86" t="e">
        <f>IF(I7168="fora",0%,G7168/QUÓRUM!$C$6)</f>
        <v>#DIV/0!</v>
      </c>
      <c r="I7168" s="87"/>
      <c r="J7168" s="88"/>
      <c r="K7168" s="88"/>
      <c r="L7168" s="89"/>
      <c r="M7168" s="89"/>
      <c r="Q7168" s="105"/>
    </row>
    <row r="7169" spans="3:17" x14ac:dyDescent="0.3">
      <c r="C7169" s="87"/>
      <c r="H7169" s="86" t="e">
        <f>IF(I7169="fora",0%,G7169/QUÓRUM!$C$6)</f>
        <v>#DIV/0!</v>
      </c>
      <c r="I7169" s="87"/>
      <c r="J7169" s="88"/>
      <c r="K7169" s="88"/>
      <c r="L7169" s="89"/>
      <c r="M7169" s="89"/>
      <c r="Q7169" s="105"/>
    </row>
    <row r="7170" spans="3:17" x14ac:dyDescent="0.3">
      <c r="C7170" s="87"/>
      <c r="H7170" s="86" t="e">
        <f>IF(I7170="fora",0%,G7170/QUÓRUM!$C$6)</f>
        <v>#DIV/0!</v>
      </c>
      <c r="I7170" s="87"/>
      <c r="J7170" s="88"/>
      <c r="K7170" s="88"/>
      <c r="L7170" s="89"/>
      <c r="M7170" s="89"/>
      <c r="Q7170" s="105"/>
    </row>
    <row r="7171" spans="3:17" x14ac:dyDescent="0.3">
      <c r="C7171" s="87"/>
      <c r="H7171" s="86" t="e">
        <f>IF(I7171="fora",0%,G7171/QUÓRUM!$C$6)</f>
        <v>#DIV/0!</v>
      </c>
      <c r="I7171" s="87"/>
      <c r="J7171" s="88"/>
      <c r="K7171" s="88"/>
      <c r="L7171" s="89"/>
      <c r="M7171" s="89"/>
      <c r="Q7171" s="105"/>
    </row>
    <row r="7172" spans="3:17" x14ac:dyDescent="0.3">
      <c r="C7172" s="87"/>
      <c r="H7172" s="86" t="e">
        <f>IF(I7172="fora",0%,G7172/QUÓRUM!$C$6)</f>
        <v>#DIV/0!</v>
      </c>
      <c r="I7172" s="87"/>
      <c r="J7172" s="88"/>
      <c r="K7172" s="88"/>
      <c r="L7172" s="89"/>
      <c r="M7172" s="89"/>
      <c r="Q7172" s="105"/>
    </row>
    <row r="7173" spans="3:17" x14ac:dyDescent="0.3">
      <c r="C7173" s="87"/>
      <c r="H7173" s="86" t="e">
        <f>IF(I7173="fora",0%,G7173/QUÓRUM!$C$6)</f>
        <v>#DIV/0!</v>
      </c>
      <c r="I7173" s="87"/>
      <c r="J7173" s="88"/>
      <c r="K7173" s="88"/>
      <c r="L7173" s="89"/>
      <c r="M7173" s="89"/>
      <c r="Q7173" s="105"/>
    </row>
    <row r="7174" spans="3:17" x14ac:dyDescent="0.3">
      <c r="C7174" s="87"/>
      <c r="H7174" s="86" t="e">
        <f>IF(I7174="fora",0%,G7174/QUÓRUM!$C$6)</f>
        <v>#DIV/0!</v>
      </c>
      <c r="I7174" s="87"/>
      <c r="J7174" s="88"/>
      <c r="K7174" s="88"/>
      <c r="L7174" s="89"/>
      <c r="M7174" s="89"/>
      <c r="Q7174" s="105"/>
    </row>
    <row r="7175" spans="3:17" x14ac:dyDescent="0.3">
      <c r="C7175" s="87"/>
      <c r="H7175" s="86" t="e">
        <f>IF(I7175="fora",0%,G7175/QUÓRUM!$C$6)</f>
        <v>#DIV/0!</v>
      </c>
      <c r="I7175" s="87"/>
      <c r="J7175" s="88"/>
      <c r="K7175" s="88"/>
      <c r="L7175" s="89"/>
      <c r="M7175" s="89"/>
      <c r="Q7175" s="105"/>
    </row>
    <row r="7176" spans="3:17" x14ac:dyDescent="0.3">
      <c r="C7176" s="87"/>
      <c r="H7176" s="86" t="e">
        <f>IF(I7176="fora",0%,G7176/QUÓRUM!$C$6)</f>
        <v>#DIV/0!</v>
      </c>
      <c r="I7176" s="87"/>
      <c r="J7176" s="88"/>
      <c r="K7176" s="88"/>
      <c r="L7176" s="89"/>
      <c r="M7176" s="89"/>
      <c r="Q7176" s="105"/>
    </row>
    <row r="7177" spans="3:17" x14ac:dyDescent="0.3">
      <c r="C7177" s="87"/>
      <c r="H7177" s="86" t="e">
        <f>IF(I7177="fora",0%,G7177/QUÓRUM!$C$6)</f>
        <v>#DIV/0!</v>
      </c>
      <c r="I7177" s="87"/>
      <c r="J7177" s="88"/>
      <c r="K7177" s="88"/>
      <c r="L7177" s="89"/>
      <c r="M7177" s="89"/>
      <c r="Q7177" s="105"/>
    </row>
    <row r="7178" spans="3:17" x14ac:dyDescent="0.3">
      <c r="C7178" s="87"/>
      <c r="H7178" s="86" t="e">
        <f>IF(I7178="fora",0%,G7178/QUÓRUM!$C$6)</f>
        <v>#DIV/0!</v>
      </c>
      <c r="I7178" s="87"/>
      <c r="J7178" s="88"/>
      <c r="K7178" s="88"/>
      <c r="L7178" s="89"/>
      <c r="M7178" s="89"/>
      <c r="Q7178" s="105"/>
    </row>
    <row r="7179" spans="3:17" x14ac:dyDescent="0.3">
      <c r="C7179" s="87"/>
      <c r="H7179" s="86" t="e">
        <f>IF(I7179="fora",0%,G7179/QUÓRUM!$C$6)</f>
        <v>#DIV/0!</v>
      </c>
      <c r="I7179" s="87"/>
      <c r="J7179" s="88"/>
      <c r="K7179" s="88"/>
      <c r="L7179" s="89"/>
      <c r="M7179" s="89"/>
      <c r="Q7179" s="105"/>
    </row>
    <row r="7180" spans="3:17" x14ac:dyDescent="0.3">
      <c r="C7180" s="87"/>
      <c r="H7180" s="86" t="e">
        <f>IF(I7180="fora",0%,G7180/QUÓRUM!$C$6)</f>
        <v>#DIV/0!</v>
      </c>
      <c r="I7180" s="87"/>
      <c r="J7180" s="88"/>
      <c r="K7180" s="88"/>
      <c r="L7180" s="89"/>
      <c r="M7180" s="89"/>
      <c r="Q7180" s="105"/>
    </row>
    <row r="7181" spans="3:17" x14ac:dyDescent="0.3">
      <c r="C7181" s="87"/>
      <c r="H7181" s="86" t="e">
        <f>IF(I7181="fora",0%,G7181/QUÓRUM!$C$6)</f>
        <v>#DIV/0!</v>
      </c>
      <c r="I7181" s="87"/>
      <c r="J7181" s="88"/>
      <c r="K7181" s="88"/>
      <c r="L7181" s="89"/>
      <c r="M7181" s="89"/>
      <c r="Q7181" s="105"/>
    </row>
    <row r="7182" spans="3:17" x14ac:dyDescent="0.3">
      <c r="C7182" s="87"/>
      <c r="H7182" s="86" t="e">
        <f>IF(I7182="fora",0%,G7182/QUÓRUM!$C$6)</f>
        <v>#DIV/0!</v>
      </c>
      <c r="I7182" s="87"/>
      <c r="J7182" s="88"/>
      <c r="K7182" s="88"/>
      <c r="L7182" s="89"/>
      <c r="M7182" s="89"/>
      <c r="Q7182" s="105"/>
    </row>
    <row r="7183" spans="3:17" x14ac:dyDescent="0.3">
      <c r="C7183" s="87"/>
      <c r="H7183" s="86" t="e">
        <f>IF(I7183="fora",0%,G7183/QUÓRUM!$C$6)</f>
        <v>#DIV/0!</v>
      </c>
      <c r="I7183" s="87"/>
      <c r="J7183" s="88"/>
      <c r="K7183" s="88"/>
      <c r="L7183" s="89"/>
      <c r="M7183" s="89"/>
      <c r="Q7183" s="105"/>
    </row>
    <row r="7184" spans="3:17" x14ac:dyDescent="0.3">
      <c r="C7184" s="87"/>
      <c r="H7184" s="86" t="e">
        <f>IF(I7184="fora",0%,G7184/QUÓRUM!$C$6)</f>
        <v>#DIV/0!</v>
      </c>
      <c r="I7184" s="87"/>
      <c r="J7184" s="88"/>
      <c r="K7184" s="88"/>
      <c r="L7184" s="89"/>
      <c r="M7184" s="89"/>
      <c r="Q7184" s="105"/>
    </row>
    <row r="7185" spans="3:17" x14ac:dyDescent="0.3">
      <c r="C7185" s="87"/>
      <c r="H7185" s="86" t="e">
        <f>IF(I7185="fora",0%,G7185/QUÓRUM!$C$6)</f>
        <v>#DIV/0!</v>
      </c>
      <c r="I7185" s="87"/>
      <c r="J7185" s="88"/>
      <c r="K7185" s="88"/>
      <c r="L7185" s="89"/>
      <c r="M7185" s="89"/>
      <c r="Q7185" s="105"/>
    </row>
    <row r="7186" spans="3:17" x14ac:dyDescent="0.3">
      <c r="C7186" s="87"/>
      <c r="H7186" s="86" t="e">
        <f>IF(I7186="fora",0%,G7186/QUÓRUM!$C$6)</f>
        <v>#DIV/0!</v>
      </c>
      <c r="I7186" s="87"/>
      <c r="J7186" s="88"/>
      <c r="K7186" s="88"/>
      <c r="L7186" s="89"/>
      <c r="M7186" s="89"/>
      <c r="Q7186" s="105"/>
    </row>
    <row r="7187" spans="3:17" x14ac:dyDescent="0.3">
      <c r="C7187" s="87"/>
      <c r="H7187" s="86" t="e">
        <f>IF(I7187="fora",0%,G7187/QUÓRUM!$C$6)</f>
        <v>#DIV/0!</v>
      </c>
      <c r="I7187" s="87"/>
      <c r="J7187" s="88"/>
      <c r="K7187" s="88"/>
      <c r="L7187" s="89"/>
      <c r="M7187" s="89"/>
      <c r="Q7187" s="105"/>
    </row>
    <row r="7188" spans="3:17" x14ac:dyDescent="0.3">
      <c r="C7188" s="87"/>
      <c r="H7188" s="86" t="e">
        <f>IF(I7188="fora",0%,G7188/QUÓRUM!$C$6)</f>
        <v>#DIV/0!</v>
      </c>
      <c r="I7188" s="87"/>
      <c r="J7188" s="88"/>
      <c r="K7188" s="88"/>
      <c r="L7188" s="89"/>
      <c r="M7188" s="89"/>
      <c r="Q7188" s="105"/>
    </row>
    <row r="7189" spans="3:17" x14ac:dyDescent="0.3">
      <c r="C7189" s="87"/>
      <c r="H7189" s="86" t="e">
        <f>IF(I7189="fora",0%,G7189/QUÓRUM!$C$6)</f>
        <v>#DIV/0!</v>
      </c>
      <c r="I7189" s="87"/>
      <c r="J7189" s="88"/>
      <c r="K7189" s="88"/>
      <c r="L7189" s="89"/>
      <c r="M7189" s="89"/>
      <c r="Q7189" s="105"/>
    </row>
    <row r="7190" spans="3:17" x14ac:dyDescent="0.3">
      <c r="C7190" s="87"/>
      <c r="H7190" s="86" t="e">
        <f>IF(I7190="fora",0%,G7190/QUÓRUM!$C$6)</f>
        <v>#DIV/0!</v>
      </c>
      <c r="I7190" s="87"/>
      <c r="J7190" s="88"/>
      <c r="K7190" s="88"/>
      <c r="L7190" s="89"/>
      <c r="M7190" s="89"/>
      <c r="Q7190" s="105"/>
    </row>
    <row r="7191" spans="3:17" x14ac:dyDescent="0.3">
      <c r="C7191" s="87"/>
      <c r="H7191" s="86" t="e">
        <f>IF(I7191="fora",0%,G7191/QUÓRUM!$C$6)</f>
        <v>#DIV/0!</v>
      </c>
      <c r="I7191" s="87"/>
      <c r="J7191" s="88"/>
      <c r="K7191" s="88"/>
      <c r="L7191" s="89"/>
      <c r="M7191" s="89"/>
      <c r="Q7191" s="105"/>
    </row>
    <row r="7192" spans="3:17" x14ac:dyDescent="0.3">
      <c r="C7192" s="87"/>
      <c r="H7192" s="86" t="e">
        <f>IF(I7192="fora",0%,G7192/QUÓRUM!$C$6)</f>
        <v>#DIV/0!</v>
      </c>
      <c r="I7192" s="87"/>
      <c r="J7192" s="88"/>
      <c r="K7192" s="88"/>
      <c r="L7192" s="89"/>
      <c r="M7192" s="89"/>
      <c r="Q7192" s="105"/>
    </row>
    <row r="7193" spans="3:17" x14ac:dyDescent="0.3">
      <c r="C7193" s="87"/>
      <c r="H7193" s="86" t="e">
        <f>IF(I7193="fora",0%,G7193/QUÓRUM!$C$6)</f>
        <v>#DIV/0!</v>
      </c>
      <c r="I7193" s="87"/>
      <c r="J7193" s="88"/>
      <c r="K7193" s="88"/>
      <c r="L7193" s="89"/>
      <c r="M7193" s="89"/>
      <c r="Q7193" s="105"/>
    </row>
    <row r="7194" spans="3:17" x14ac:dyDescent="0.3">
      <c r="C7194" s="87"/>
      <c r="H7194" s="86" t="e">
        <f>IF(I7194="fora",0%,G7194/QUÓRUM!$C$6)</f>
        <v>#DIV/0!</v>
      </c>
      <c r="I7194" s="87"/>
      <c r="J7194" s="88"/>
      <c r="K7194" s="88"/>
      <c r="L7194" s="89"/>
      <c r="M7194" s="89"/>
      <c r="Q7194" s="105"/>
    </row>
    <row r="7195" spans="3:17" x14ac:dyDescent="0.3">
      <c r="C7195" s="87"/>
      <c r="H7195" s="86" t="e">
        <f>IF(I7195="fora",0%,G7195/QUÓRUM!$C$6)</f>
        <v>#DIV/0!</v>
      </c>
      <c r="I7195" s="87"/>
      <c r="J7195" s="88"/>
      <c r="K7195" s="88"/>
      <c r="L7195" s="89"/>
      <c r="M7195" s="89"/>
      <c r="Q7195" s="105"/>
    </row>
    <row r="7196" spans="3:17" x14ac:dyDescent="0.3">
      <c r="C7196" s="87"/>
      <c r="H7196" s="86" t="e">
        <f>IF(I7196="fora",0%,G7196/QUÓRUM!$C$6)</f>
        <v>#DIV/0!</v>
      </c>
      <c r="I7196" s="87"/>
      <c r="J7196" s="88"/>
      <c r="K7196" s="88"/>
      <c r="L7196" s="89"/>
      <c r="M7196" s="89"/>
      <c r="Q7196" s="105"/>
    </row>
    <row r="7197" spans="3:17" x14ac:dyDescent="0.3">
      <c r="C7197" s="87"/>
      <c r="H7197" s="86" t="e">
        <f>IF(I7197="fora",0%,G7197/QUÓRUM!$C$6)</f>
        <v>#DIV/0!</v>
      </c>
      <c r="I7197" s="87"/>
      <c r="J7197" s="88"/>
      <c r="K7197" s="88"/>
      <c r="L7197" s="89"/>
      <c r="M7197" s="89"/>
      <c r="Q7197" s="105"/>
    </row>
    <row r="7198" spans="3:17" x14ac:dyDescent="0.3">
      <c r="C7198" s="87"/>
      <c r="H7198" s="86" t="e">
        <f>IF(I7198="fora",0%,G7198/QUÓRUM!$C$6)</f>
        <v>#DIV/0!</v>
      </c>
      <c r="I7198" s="87"/>
      <c r="J7198" s="88"/>
      <c r="K7198" s="88"/>
      <c r="L7198" s="89"/>
      <c r="M7198" s="89"/>
      <c r="Q7198" s="105"/>
    </row>
    <row r="7199" spans="3:17" x14ac:dyDescent="0.3">
      <c r="C7199" s="87"/>
      <c r="H7199" s="86" t="e">
        <f>IF(I7199="fora",0%,G7199/QUÓRUM!$C$6)</f>
        <v>#DIV/0!</v>
      </c>
      <c r="I7199" s="87"/>
      <c r="J7199" s="88"/>
      <c r="K7199" s="88"/>
      <c r="L7199" s="89"/>
      <c r="M7199" s="89"/>
      <c r="Q7199" s="105"/>
    </row>
    <row r="7200" spans="3:17" x14ac:dyDescent="0.3">
      <c r="C7200" s="87"/>
      <c r="H7200" s="86" t="e">
        <f>IF(I7200="fora",0%,G7200/QUÓRUM!$C$6)</f>
        <v>#DIV/0!</v>
      </c>
      <c r="I7200" s="87"/>
      <c r="J7200" s="88"/>
      <c r="K7200" s="88"/>
      <c r="L7200" s="89"/>
      <c r="M7200" s="89"/>
      <c r="Q7200" s="105"/>
    </row>
    <row r="7201" spans="3:17" x14ac:dyDescent="0.3">
      <c r="C7201" s="87"/>
      <c r="H7201" s="86" t="e">
        <f>IF(I7201="fora",0%,G7201/QUÓRUM!$C$6)</f>
        <v>#DIV/0!</v>
      </c>
      <c r="I7201" s="87"/>
      <c r="J7201" s="88"/>
      <c r="K7201" s="88"/>
      <c r="L7201" s="89"/>
      <c r="M7201" s="89"/>
      <c r="Q7201" s="105"/>
    </row>
    <row r="7202" spans="3:17" x14ac:dyDescent="0.3">
      <c r="C7202" s="87"/>
      <c r="H7202" s="86" t="e">
        <f>IF(I7202="fora",0%,G7202/QUÓRUM!$C$6)</f>
        <v>#DIV/0!</v>
      </c>
      <c r="I7202" s="87"/>
      <c r="J7202" s="88"/>
      <c r="K7202" s="88"/>
      <c r="L7202" s="89"/>
      <c r="M7202" s="89"/>
      <c r="Q7202" s="105"/>
    </row>
    <row r="7203" spans="3:17" x14ac:dyDescent="0.3">
      <c r="C7203" s="87"/>
      <c r="H7203" s="86" t="e">
        <f>IF(I7203="fora",0%,G7203/QUÓRUM!$C$6)</f>
        <v>#DIV/0!</v>
      </c>
      <c r="I7203" s="87"/>
      <c r="J7203" s="88"/>
      <c r="K7203" s="88"/>
      <c r="L7203" s="89"/>
      <c r="M7203" s="89"/>
      <c r="Q7203" s="105"/>
    </row>
    <row r="7204" spans="3:17" x14ac:dyDescent="0.3">
      <c r="C7204" s="87"/>
      <c r="H7204" s="86" t="e">
        <f>IF(I7204="fora",0%,G7204/QUÓRUM!$C$6)</f>
        <v>#DIV/0!</v>
      </c>
      <c r="I7204" s="87"/>
      <c r="J7204" s="88"/>
      <c r="K7204" s="88"/>
      <c r="L7204" s="89"/>
      <c r="M7204" s="89"/>
      <c r="Q7204" s="105"/>
    </row>
    <row r="7205" spans="3:17" x14ac:dyDescent="0.3">
      <c r="C7205" s="87"/>
      <c r="H7205" s="86" t="e">
        <f>IF(I7205="fora",0%,G7205/QUÓRUM!$C$6)</f>
        <v>#DIV/0!</v>
      </c>
      <c r="I7205" s="87"/>
      <c r="J7205" s="88"/>
      <c r="K7205" s="88"/>
      <c r="L7205" s="89"/>
      <c r="M7205" s="89"/>
      <c r="Q7205" s="105"/>
    </row>
    <row r="7206" spans="3:17" x14ac:dyDescent="0.3">
      <c r="C7206" s="87"/>
      <c r="H7206" s="86" t="e">
        <f>IF(I7206="fora",0%,G7206/QUÓRUM!$C$6)</f>
        <v>#DIV/0!</v>
      </c>
      <c r="I7206" s="87"/>
      <c r="J7206" s="88"/>
      <c r="K7206" s="88"/>
      <c r="L7206" s="89"/>
      <c r="M7206" s="89"/>
      <c r="Q7206" s="105"/>
    </row>
    <row r="7207" spans="3:17" x14ac:dyDescent="0.3">
      <c r="C7207" s="87"/>
      <c r="H7207" s="86" t="e">
        <f>IF(I7207="fora",0%,G7207/QUÓRUM!$C$6)</f>
        <v>#DIV/0!</v>
      </c>
      <c r="I7207" s="87"/>
      <c r="J7207" s="88"/>
      <c r="K7207" s="88"/>
      <c r="L7207" s="89"/>
      <c r="M7207" s="89"/>
      <c r="Q7207" s="105"/>
    </row>
    <row r="7208" spans="3:17" x14ac:dyDescent="0.3">
      <c r="C7208" s="87"/>
      <c r="H7208" s="86" t="e">
        <f>IF(I7208="fora",0%,G7208/QUÓRUM!$C$6)</f>
        <v>#DIV/0!</v>
      </c>
      <c r="I7208" s="87"/>
      <c r="J7208" s="88"/>
      <c r="K7208" s="88"/>
      <c r="L7208" s="89"/>
      <c r="M7208" s="89"/>
      <c r="Q7208" s="105"/>
    </row>
    <row r="7209" spans="3:17" x14ac:dyDescent="0.3">
      <c r="C7209" s="87"/>
      <c r="H7209" s="86" t="e">
        <f>IF(I7209="fora",0%,G7209/QUÓRUM!$C$6)</f>
        <v>#DIV/0!</v>
      </c>
      <c r="I7209" s="87"/>
      <c r="J7209" s="88"/>
      <c r="K7209" s="88"/>
      <c r="L7209" s="89"/>
      <c r="M7209" s="89"/>
      <c r="Q7209" s="105"/>
    </row>
    <row r="7210" spans="3:17" x14ac:dyDescent="0.3">
      <c r="C7210" s="87"/>
      <c r="H7210" s="86" t="e">
        <f>IF(I7210="fora",0%,G7210/QUÓRUM!$C$6)</f>
        <v>#DIV/0!</v>
      </c>
      <c r="I7210" s="87"/>
      <c r="J7210" s="88"/>
      <c r="K7210" s="88"/>
      <c r="L7210" s="89"/>
      <c r="M7210" s="89"/>
      <c r="Q7210" s="105"/>
    </row>
    <row r="7211" spans="3:17" x14ac:dyDescent="0.3">
      <c r="C7211" s="87"/>
      <c r="H7211" s="86" t="e">
        <f>IF(I7211="fora",0%,G7211/QUÓRUM!$C$6)</f>
        <v>#DIV/0!</v>
      </c>
      <c r="I7211" s="87"/>
      <c r="J7211" s="88"/>
      <c r="K7211" s="88"/>
      <c r="L7211" s="89"/>
      <c r="M7211" s="89"/>
      <c r="Q7211" s="105"/>
    </row>
    <row r="7212" spans="3:17" x14ac:dyDescent="0.3">
      <c r="C7212" s="87"/>
      <c r="H7212" s="86" t="e">
        <f>IF(I7212="fora",0%,G7212/QUÓRUM!$C$6)</f>
        <v>#DIV/0!</v>
      </c>
      <c r="I7212" s="87"/>
      <c r="J7212" s="88"/>
      <c r="K7212" s="88"/>
      <c r="L7212" s="89"/>
      <c r="M7212" s="89"/>
      <c r="Q7212" s="105"/>
    </row>
    <row r="7213" spans="3:17" x14ac:dyDescent="0.3">
      <c r="C7213" s="87"/>
      <c r="H7213" s="86" t="e">
        <f>IF(I7213="fora",0%,G7213/QUÓRUM!$C$6)</f>
        <v>#DIV/0!</v>
      </c>
      <c r="I7213" s="87"/>
      <c r="J7213" s="88"/>
      <c r="K7213" s="88"/>
      <c r="L7213" s="89"/>
      <c r="M7213" s="89"/>
      <c r="Q7213" s="105"/>
    </row>
    <row r="7214" spans="3:17" x14ac:dyDescent="0.3">
      <c r="C7214" s="87"/>
      <c r="H7214" s="86" t="e">
        <f>IF(I7214="fora",0%,G7214/QUÓRUM!$C$6)</f>
        <v>#DIV/0!</v>
      </c>
      <c r="I7214" s="87"/>
      <c r="J7214" s="88"/>
      <c r="K7214" s="88"/>
      <c r="L7214" s="89"/>
      <c r="M7214" s="89"/>
      <c r="Q7214" s="105"/>
    </row>
    <row r="7215" spans="3:17" x14ac:dyDescent="0.3">
      <c r="C7215" s="87"/>
      <c r="H7215" s="86" t="e">
        <f>IF(I7215="fora",0%,G7215/QUÓRUM!$C$6)</f>
        <v>#DIV/0!</v>
      </c>
      <c r="I7215" s="87"/>
      <c r="J7215" s="88"/>
      <c r="K7215" s="88"/>
      <c r="L7215" s="89"/>
      <c r="M7215" s="89"/>
      <c r="Q7215" s="105"/>
    </row>
    <row r="7216" spans="3:17" x14ac:dyDescent="0.3">
      <c r="C7216" s="87"/>
      <c r="H7216" s="86" t="e">
        <f>IF(I7216="fora",0%,G7216/QUÓRUM!$C$6)</f>
        <v>#DIV/0!</v>
      </c>
      <c r="I7216" s="87"/>
      <c r="J7216" s="88"/>
      <c r="K7216" s="88"/>
      <c r="L7216" s="89"/>
      <c r="M7216" s="89"/>
      <c r="Q7216" s="105"/>
    </row>
    <row r="7217" spans="3:17" x14ac:dyDescent="0.3">
      <c r="C7217" s="87"/>
      <c r="H7217" s="86" t="e">
        <f>IF(I7217="fora",0%,G7217/QUÓRUM!$C$6)</f>
        <v>#DIV/0!</v>
      </c>
      <c r="I7217" s="87"/>
      <c r="J7217" s="88"/>
      <c r="K7217" s="88"/>
      <c r="L7217" s="89"/>
      <c r="M7217" s="89"/>
      <c r="Q7217" s="105"/>
    </row>
    <row r="7218" spans="3:17" x14ac:dyDescent="0.3">
      <c r="C7218" s="87"/>
      <c r="H7218" s="86" t="e">
        <f>IF(I7218="fora",0%,G7218/QUÓRUM!$C$6)</f>
        <v>#DIV/0!</v>
      </c>
      <c r="I7218" s="87"/>
      <c r="J7218" s="88"/>
      <c r="K7218" s="88"/>
      <c r="L7218" s="89"/>
      <c r="M7218" s="89"/>
      <c r="Q7218" s="105"/>
    </row>
    <row r="7219" spans="3:17" x14ac:dyDescent="0.3">
      <c r="C7219" s="87"/>
      <c r="H7219" s="86" t="e">
        <f>IF(I7219="fora",0%,G7219/QUÓRUM!$C$6)</f>
        <v>#DIV/0!</v>
      </c>
      <c r="I7219" s="87"/>
      <c r="J7219" s="88"/>
      <c r="K7219" s="88"/>
      <c r="L7219" s="89"/>
      <c r="M7219" s="89"/>
      <c r="Q7219" s="105"/>
    </row>
    <row r="7220" spans="3:17" x14ac:dyDescent="0.3">
      <c r="C7220" s="87"/>
      <c r="H7220" s="86" t="e">
        <f>IF(I7220="fora",0%,G7220/QUÓRUM!$C$6)</f>
        <v>#DIV/0!</v>
      </c>
      <c r="I7220" s="87"/>
      <c r="J7220" s="88"/>
      <c r="K7220" s="88"/>
      <c r="L7220" s="89"/>
      <c r="M7220" s="89"/>
      <c r="Q7220" s="105"/>
    </row>
    <row r="7221" spans="3:17" x14ac:dyDescent="0.3">
      <c r="C7221" s="87"/>
      <c r="H7221" s="86" t="e">
        <f>IF(I7221="fora",0%,G7221/QUÓRUM!$C$6)</f>
        <v>#DIV/0!</v>
      </c>
      <c r="I7221" s="87"/>
      <c r="J7221" s="88"/>
      <c r="K7221" s="88"/>
      <c r="L7221" s="89"/>
      <c r="M7221" s="89"/>
      <c r="Q7221" s="105"/>
    </row>
    <row r="7222" spans="3:17" x14ac:dyDescent="0.3">
      <c r="C7222" s="87"/>
      <c r="H7222" s="86" t="e">
        <f>IF(I7222="fora",0%,G7222/QUÓRUM!$C$6)</f>
        <v>#DIV/0!</v>
      </c>
      <c r="I7222" s="87"/>
      <c r="J7222" s="88"/>
      <c r="K7222" s="88"/>
      <c r="L7222" s="89"/>
      <c r="M7222" s="89"/>
      <c r="Q7222" s="105"/>
    </row>
    <row r="7223" spans="3:17" x14ac:dyDescent="0.3">
      <c r="C7223" s="87"/>
      <c r="H7223" s="86" t="e">
        <f>IF(I7223="fora",0%,G7223/QUÓRUM!$C$6)</f>
        <v>#DIV/0!</v>
      </c>
      <c r="I7223" s="87"/>
      <c r="J7223" s="88"/>
      <c r="K7223" s="88"/>
      <c r="L7223" s="89"/>
      <c r="M7223" s="89"/>
      <c r="Q7223" s="105"/>
    </row>
    <row r="7224" spans="3:17" x14ac:dyDescent="0.3">
      <c r="C7224" s="87"/>
      <c r="H7224" s="86" t="e">
        <f>IF(I7224="fora",0%,G7224/QUÓRUM!$C$6)</f>
        <v>#DIV/0!</v>
      </c>
      <c r="I7224" s="87"/>
      <c r="J7224" s="88"/>
      <c r="K7224" s="88"/>
      <c r="L7224" s="89"/>
      <c r="M7224" s="89"/>
      <c r="Q7224" s="105"/>
    </row>
    <row r="7225" spans="3:17" x14ac:dyDescent="0.3">
      <c r="C7225" s="87"/>
      <c r="H7225" s="86" t="e">
        <f>IF(I7225="fora",0%,G7225/QUÓRUM!$C$6)</f>
        <v>#DIV/0!</v>
      </c>
      <c r="I7225" s="87"/>
      <c r="J7225" s="88"/>
      <c r="K7225" s="88"/>
      <c r="L7225" s="89"/>
      <c r="M7225" s="89"/>
      <c r="Q7225" s="105"/>
    </row>
    <row r="7226" spans="3:17" x14ac:dyDescent="0.3">
      <c r="C7226" s="87"/>
      <c r="H7226" s="86" t="e">
        <f>IF(I7226="fora",0%,G7226/QUÓRUM!$C$6)</f>
        <v>#DIV/0!</v>
      </c>
      <c r="I7226" s="87"/>
      <c r="J7226" s="88"/>
      <c r="K7226" s="88"/>
      <c r="L7226" s="89"/>
      <c r="M7226" s="89"/>
      <c r="Q7226" s="105"/>
    </row>
    <row r="7227" spans="3:17" x14ac:dyDescent="0.3">
      <c r="C7227" s="87"/>
      <c r="H7227" s="86" t="e">
        <f>IF(I7227="fora",0%,G7227/QUÓRUM!$C$6)</f>
        <v>#DIV/0!</v>
      </c>
      <c r="I7227" s="87"/>
      <c r="J7227" s="88"/>
      <c r="K7227" s="88"/>
      <c r="L7227" s="89"/>
      <c r="M7227" s="89"/>
      <c r="Q7227" s="105"/>
    </row>
    <row r="7228" spans="3:17" x14ac:dyDescent="0.3">
      <c r="C7228" s="87"/>
      <c r="H7228" s="86" t="e">
        <f>IF(I7228="fora",0%,G7228/QUÓRUM!$C$6)</f>
        <v>#DIV/0!</v>
      </c>
      <c r="I7228" s="87"/>
      <c r="J7228" s="88"/>
      <c r="K7228" s="88"/>
      <c r="L7228" s="89"/>
      <c r="M7228" s="89"/>
      <c r="Q7228" s="105"/>
    </row>
    <row r="7229" spans="3:17" x14ac:dyDescent="0.3">
      <c r="C7229" s="87"/>
      <c r="H7229" s="86" t="e">
        <f>IF(I7229="fora",0%,G7229/QUÓRUM!$C$6)</f>
        <v>#DIV/0!</v>
      </c>
      <c r="I7229" s="87"/>
      <c r="J7229" s="88"/>
      <c r="K7229" s="88"/>
      <c r="L7229" s="89"/>
      <c r="M7229" s="89"/>
      <c r="Q7229" s="105"/>
    </row>
    <row r="7230" spans="3:17" x14ac:dyDescent="0.3">
      <c r="C7230" s="87"/>
      <c r="H7230" s="86" t="e">
        <f>IF(I7230="fora",0%,G7230/QUÓRUM!$C$6)</f>
        <v>#DIV/0!</v>
      </c>
      <c r="I7230" s="87"/>
      <c r="J7230" s="88"/>
      <c r="K7230" s="88"/>
      <c r="L7230" s="89"/>
      <c r="M7230" s="89"/>
      <c r="Q7230" s="105"/>
    </row>
    <row r="7231" spans="3:17" x14ac:dyDescent="0.3">
      <c r="C7231" s="87"/>
      <c r="H7231" s="86" t="e">
        <f>IF(I7231="fora",0%,G7231/QUÓRUM!$C$6)</f>
        <v>#DIV/0!</v>
      </c>
      <c r="I7231" s="87"/>
      <c r="J7231" s="88"/>
      <c r="K7231" s="88"/>
      <c r="L7231" s="89"/>
      <c r="M7231" s="89"/>
      <c r="Q7231" s="105"/>
    </row>
    <row r="7232" spans="3:17" x14ac:dyDescent="0.3">
      <c r="C7232" s="87"/>
      <c r="H7232" s="86" t="e">
        <f>IF(I7232="fora",0%,G7232/QUÓRUM!$C$6)</f>
        <v>#DIV/0!</v>
      </c>
      <c r="I7232" s="87"/>
      <c r="J7232" s="88"/>
      <c r="K7232" s="88"/>
      <c r="L7232" s="89"/>
      <c r="M7232" s="89"/>
      <c r="Q7232" s="105"/>
    </row>
    <row r="7233" spans="3:17" x14ac:dyDescent="0.3">
      <c r="C7233" s="87"/>
      <c r="H7233" s="86" t="e">
        <f>IF(I7233="fora",0%,G7233/QUÓRUM!$C$6)</f>
        <v>#DIV/0!</v>
      </c>
      <c r="I7233" s="87"/>
      <c r="J7233" s="88"/>
      <c r="K7233" s="88"/>
      <c r="L7233" s="89"/>
      <c r="M7233" s="89"/>
      <c r="Q7233" s="105"/>
    </row>
    <row r="7234" spans="3:17" x14ac:dyDescent="0.3">
      <c r="C7234" s="87"/>
      <c r="H7234" s="86" t="e">
        <f>IF(I7234="fora",0%,G7234/QUÓRUM!$C$6)</f>
        <v>#DIV/0!</v>
      </c>
      <c r="I7234" s="87"/>
      <c r="J7234" s="88"/>
      <c r="K7234" s="88"/>
      <c r="L7234" s="89"/>
      <c r="M7234" s="89"/>
      <c r="Q7234" s="105"/>
    </row>
    <row r="7235" spans="3:17" x14ac:dyDescent="0.3">
      <c r="C7235" s="87"/>
      <c r="H7235" s="86" t="e">
        <f>IF(I7235="fora",0%,G7235/QUÓRUM!$C$6)</f>
        <v>#DIV/0!</v>
      </c>
      <c r="I7235" s="87"/>
      <c r="J7235" s="88"/>
      <c r="K7235" s="88"/>
      <c r="L7235" s="89"/>
      <c r="M7235" s="89"/>
      <c r="Q7235" s="105"/>
    </row>
    <row r="7236" spans="3:17" x14ac:dyDescent="0.3">
      <c r="C7236" s="87"/>
      <c r="H7236" s="86" t="e">
        <f>IF(I7236="fora",0%,G7236/QUÓRUM!$C$6)</f>
        <v>#DIV/0!</v>
      </c>
      <c r="I7236" s="87"/>
      <c r="J7236" s="88"/>
      <c r="K7236" s="88"/>
      <c r="L7236" s="89"/>
      <c r="M7236" s="89"/>
      <c r="Q7236" s="105"/>
    </row>
    <row r="7237" spans="3:17" x14ac:dyDescent="0.3">
      <c r="C7237" s="87"/>
      <c r="H7237" s="86" t="e">
        <f>IF(I7237="fora",0%,G7237/QUÓRUM!$C$6)</f>
        <v>#DIV/0!</v>
      </c>
      <c r="I7237" s="87"/>
      <c r="J7237" s="88"/>
      <c r="K7237" s="88"/>
      <c r="L7237" s="89"/>
      <c r="M7237" s="89"/>
      <c r="Q7237" s="105"/>
    </row>
    <row r="7238" spans="3:17" x14ac:dyDescent="0.3">
      <c r="C7238" s="87"/>
      <c r="H7238" s="86" t="e">
        <f>IF(I7238="fora",0%,G7238/QUÓRUM!$C$6)</f>
        <v>#DIV/0!</v>
      </c>
      <c r="I7238" s="87"/>
      <c r="J7238" s="88"/>
      <c r="K7238" s="88"/>
      <c r="L7238" s="89"/>
      <c r="M7238" s="89"/>
      <c r="Q7238" s="105"/>
    </row>
    <row r="7239" spans="3:17" x14ac:dyDescent="0.3">
      <c r="C7239" s="87"/>
      <c r="H7239" s="86" t="e">
        <f>IF(I7239="fora",0%,G7239/QUÓRUM!$C$6)</f>
        <v>#DIV/0!</v>
      </c>
      <c r="I7239" s="87"/>
      <c r="J7239" s="88"/>
      <c r="K7239" s="88"/>
      <c r="L7239" s="89"/>
      <c r="M7239" s="89"/>
      <c r="Q7239" s="105"/>
    </row>
    <row r="7240" spans="3:17" x14ac:dyDescent="0.3">
      <c r="C7240" s="87"/>
      <c r="H7240" s="86" t="e">
        <f>IF(I7240="fora",0%,G7240/QUÓRUM!$C$6)</f>
        <v>#DIV/0!</v>
      </c>
      <c r="I7240" s="87"/>
      <c r="J7240" s="88"/>
      <c r="K7240" s="88"/>
      <c r="L7240" s="89"/>
      <c r="M7240" s="89"/>
      <c r="Q7240" s="105"/>
    </row>
    <row r="7241" spans="3:17" x14ac:dyDescent="0.3">
      <c r="C7241" s="87"/>
      <c r="H7241" s="86" t="e">
        <f>IF(I7241="fora",0%,G7241/QUÓRUM!$C$6)</f>
        <v>#DIV/0!</v>
      </c>
      <c r="I7241" s="87"/>
      <c r="J7241" s="88"/>
      <c r="K7241" s="88"/>
      <c r="L7241" s="89"/>
      <c r="M7241" s="89"/>
      <c r="Q7241" s="105"/>
    </row>
    <row r="7242" spans="3:17" x14ac:dyDescent="0.3">
      <c r="C7242" s="87"/>
      <c r="H7242" s="86" t="e">
        <f>IF(I7242="fora",0%,G7242/QUÓRUM!$C$6)</f>
        <v>#DIV/0!</v>
      </c>
      <c r="I7242" s="87"/>
      <c r="J7242" s="88"/>
      <c r="K7242" s="88"/>
      <c r="L7242" s="89"/>
      <c r="M7242" s="89"/>
      <c r="Q7242" s="105"/>
    </row>
    <row r="7243" spans="3:17" x14ac:dyDescent="0.3">
      <c r="C7243" s="87"/>
      <c r="H7243" s="86" t="e">
        <f>IF(I7243="fora",0%,G7243/QUÓRUM!$C$6)</f>
        <v>#DIV/0!</v>
      </c>
      <c r="I7243" s="87"/>
      <c r="J7243" s="88"/>
      <c r="K7243" s="88"/>
      <c r="L7243" s="89"/>
      <c r="M7243" s="89"/>
      <c r="Q7243" s="105"/>
    </row>
    <row r="7244" spans="3:17" x14ac:dyDescent="0.3">
      <c r="C7244" s="87"/>
      <c r="H7244" s="86" t="e">
        <f>IF(I7244="fora",0%,G7244/QUÓRUM!$C$6)</f>
        <v>#DIV/0!</v>
      </c>
      <c r="I7244" s="87"/>
      <c r="J7244" s="88"/>
      <c r="K7244" s="88"/>
      <c r="L7244" s="89"/>
      <c r="M7244" s="89"/>
      <c r="Q7244" s="105"/>
    </row>
    <row r="7245" spans="3:17" x14ac:dyDescent="0.3">
      <c r="C7245" s="87"/>
      <c r="H7245" s="86" t="e">
        <f>IF(I7245="fora",0%,G7245/QUÓRUM!$C$6)</f>
        <v>#DIV/0!</v>
      </c>
      <c r="I7245" s="87"/>
      <c r="J7245" s="88"/>
      <c r="K7245" s="88"/>
      <c r="L7245" s="89"/>
      <c r="M7245" s="89"/>
      <c r="Q7245" s="105"/>
    </row>
    <row r="7246" spans="3:17" x14ac:dyDescent="0.3">
      <c r="C7246" s="87"/>
      <c r="H7246" s="86" t="e">
        <f>IF(I7246="fora",0%,G7246/QUÓRUM!$C$6)</f>
        <v>#DIV/0!</v>
      </c>
      <c r="I7246" s="87"/>
      <c r="J7246" s="88"/>
      <c r="K7246" s="88"/>
      <c r="L7246" s="89"/>
      <c r="M7246" s="89"/>
      <c r="Q7246" s="105"/>
    </row>
    <row r="7247" spans="3:17" x14ac:dyDescent="0.3">
      <c r="C7247" s="87"/>
      <c r="H7247" s="86" t="e">
        <f>IF(I7247="fora",0%,G7247/QUÓRUM!$C$6)</f>
        <v>#DIV/0!</v>
      </c>
      <c r="I7247" s="87"/>
      <c r="J7247" s="88"/>
      <c r="K7247" s="88"/>
      <c r="L7247" s="89"/>
      <c r="M7247" s="89"/>
      <c r="Q7247" s="105"/>
    </row>
    <row r="7248" spans="3:17" x14ac:dyDescent="0.3">
      <c r="C7248" s="87"/>
      <c r="H7248" s="86" t="e">
        <f>IF(I7248="fora",0%,G7248/QUÓRUM!$C$6)</f>
        <v>#DIV/0!</v>
      </c>
      <c r="I7248" s="87"/>
      <c r="J7248" s="88"/>
      <c r="K7248" s="88"/>
      <c r="L7248" s="89"/>
      <c r="M7248" s="89"/>
      <c r="Q7248" s="105"/>
    </row>
    <row r="7249" spans="3:17" x14ac:dyDescent="0.3">
      <c r="C7249" s="87"/>
      <c r="H7249" s="86" t="e">
        <f>IF(I7249="fora",0%,G7249/QUÓRUM!$C$6)</f>
        <v>#DIV/0!</v>
      </c>
      <c r="I7249" s="87"/>
      <c r="J7249" s="88"/>
      <c r="K7249" s="88"/>
      <c r="L7249" s="89"/>
      <c r="M7249" s="89"/>
      <c r="Q7249" s="105"/>
    </row>
    <row r="7250" spans="3:17" x14ac:dyDescent="0.3">
      <c r="C7250" s="87"/>
      <c r="H7250" s="86" t="e">
        <f>IF(I7250="fora",0%,G7250/QUÓRUM!$C$6)</f>
        <v>#DIV/0!</v>
      </c>
      <c r="I7250" s="87"/>
      <c r="J7250" s="88"/>
      <c r="K7250" s="88"/>
      <c r="L7250" s="89"/>
      <c r="M7250" s="89"/>
      <c r="Q7250" s="105"/>
    </row>
    <row r="7251" spans="3:17" x14ac:dyDescent="0.3">
      <c r="C7251" s="87"/>
      <c r="H7251" s="86" t="e">
        <f>IF(I7251="fora",0%,G7251/QUÓRUM!$C$6)</f>
        <v>#DIV/0!</v>
      </c>
      <c r="I7251" s="87"/>
      <c r="J7251" s="88"/>
      <c r="K7251" s="88"/>
      <c r="L7251" s="89"/>
      <c r="M7251" s="89"/>
      <c r="Q7251" s="105"/>
    </row>
    <row r="7252" spans="3:17" x14ac:dyDescent="0.3">
      <c r="C7252" s="87"/>
      <c r="H7252" s="86" t="e">
        <f>IF(I7252="fora",0%,G7252/QUÓRUM!$C$6)</f>
        <v>#DIV/0!</v>
      </c>
      <c r="I7252" s="87"/>
      <c r="J7252" s="88"/>
      <c r="K7252" s="88"/>
      <c r="L7252" s="89"/>
      <c r="M7252" s="89"/>
      <c r="Q7252" s="105"/>
    </row>
    <row r="7253" spans="3:17" x14ac:dyDescent="0.3">
      <c r="C7253" s="87"/>
      <c r="H7253" s="86" t="e">
        <f>IF(I7253="fora",0%,G7253/QUÓRUM!$C$6)</f>
        <v>#DIV/0!</v>
      </c>
      <c r="I7253" s="87"/>
      <c r="J7253" s="88"/>
      <c r="K7253" s="88"/>
      <c r="L7253" s="89"/>
      <c r="M7253" s="89"/>
      <c r="Q7253" s="105"/>
    </row>
    <row r="7254" spans="3:17" x14ac:dyDescent="0.3">
      <c r="C7254" s="87"/>
      <c r="H7254" s="86" t="e">
        <f>IF(I7254="fora",0%,G7254/QUÓRUM!$C$6)</f>
        <v>#DIV/0!</v>
      </c>
      <c r="I7254" s="87"/>
      <c r="J7254" s="88"/>
      <c r="K7254" s="88"/>
      <c r="L7254" s="89"/>
      <c r="M7254" s="89"/>
      <c r="Q7254" s="105"/>
    </row>
    <row r="7255" spans="3:17" x14ac:dyDescent="0.3">
      <c r="C7255" s="87"/>
      <c r="H7255" s="86" t="e">
        <f>IF(I7255="fora",0%,G7255/QUÓRUM!$C$6)</f>
        <v>#DIV/0!</v>
      </c>
      <c r="I7255" s="87"/>
      <c r="J7255" s="88"/>
      <c r="K7255" s="88"/>
      <c r="L7255" s="89"/>
      <c r="M7255" s="89"/>
      <c r="Q7255" s="105"/>
    </row>
    <row r="7256" spans="3:17" x14ac:dyDescent="0.3">
      <c r="C7256" s="87"/>
      <c r="H7256" s="86" t="e">
        <f>IF(I7256="fora",0%,G7256/QUÓRUM!$C$6)</f>
        <v>#DIV/0!</v>
      </c>
      <c r="I7256" s="87"/>
      <c r="J7256" s="88"/>
      <c r="K7256" s="88"/>
      <c r="L7256" s="89"/>
      <c r="M7256" s="89"/>
      <c r="Q7256" s="105"/>
    </row>
    <row r="7257" spans="3:17" x14ac:dyDescent="0.3">
      <c r="C7257" s="87"/>
      <c r="H7257" s="86" t="e">
        <f>IF(I7257="fora",0%,G7257/QUÓRUM!$C$6)</f>
        <v>#DIV/0!</v>
      </c>
      <c r="I7257" s="87"/>
      <c r="J7257" s="88"/>
      <c r="K7257" s="88"/>
      <c r="L7257" s="89"/>
      <c r="M7257" s="89"/>
      <c r="Q7257" s="105"/>
    </row>
    <row r="7258" spans="3:17" x14ac:dyDescent="0.3">
      <c r="C7258" s="87"/>
      <c r="H7258" s="86" t="e">
        <f>IF(I7258="fora",0%,G7258/QUÓRUM!$C$6)</f>
        <v>#DIV/0!</v>
      </c>
      <c r="I7258" s="87"/>
      <c r="J7258" s="88"/>
      <c r="K7258" s="88"/>
      <c r="L7258" s="89"/>
      <c r="M7258" s="89"/>
      <c r="Q7258" s="105"/>
    </row>
    <row r="7259" spans="3:17" x14ac:dyDescent="0.3">
      <c r="C7259" s="87"/>
      <c r="H7259" s="86" t="e">
        <f>IF(I7259="fora",0%,G7259/QUÓRUM!$C$6)</f>
        <v>#DIV/0!</v>
      </c>
      <c r="I7259" s="87"/>
      <c r="J7259" s="88"/>
      <c r="K7259" s="88"/>
      <c r="L7259" s="89"/>
      <c r="M7259" s="89"/>
      <c r="Q7259" s="105"/>
    </row>
    <row r="7260" spans="3:17" x14ac:dyDescent="0.3">
      <c r="C7260" s="87"/>
      <c r="H7260" s="86" t="e">
        <f>IF(I7260="fora",0%,G7260/QUÓRUM!$C$6)</f>
        <v>#DIV/0!</v>
      </c>
      <c r="I7260" s="87"/>
      <c r="J7260" s="88"/>
      <c r="K7260" s="88"/>
      <c r="L7260" s="89"/>
      <c r="M7260" s="89"/>
      <c r="Q7260" s="105"/>
    </row>
    <row r="7261" spans="3:17" x14ac:dyDescent="0.3">
      <c r="C7261" s="87"/>
      <c r="H7261" s="86" t="e">
        <f>IF(I7261="fora",0%,G7261/QUÓRUM!$C$6)</f>
        <v>#DIV/0!</v>
      </c>
      <c r="I7261" s="87"/>
      <c r="J7261" s="88"/>
      <c r="K7261" s="88"/>
      <c r="L7261" s="89"/>
      <c r="M7261" s="89"/>
      <c r="Q7261" s="105"/>
    </row>
    <row r="7262" spans="3:17" x14ac:dyDescent="0.3">
      <c r="C7262" s="87"/>
      <c r="H7262" s="86" t="e">
        <f>IF(I7262="fora",0%,G7262/QUÓRUM!$C$6)</f>
        <v>#DIV/0!</v>
      </c>
      <c r="I7262" s="87"/>
      <c r="J7262" s="88"/>
      <c r="K7262" s="88"/>
      <c r="L7262" s="89"/>
      <c r="M7262" s="89"/>
      <c r="Q7262" s="105"/>
    </row>
    <row r="7263" spans="3:17" x14ac:dyDescent="0.3">
      <c r="C7263" s="87"/>
      <c r="H7263" s="86" t="e">
        <f>IF(I7263="fora",0%,G7263/QUÓRUM!$C$6)</f>
        <v>#DIV/0!</v>
      </c>
      <c r="I7263" s="87"/>
      <c r="J7263" s="88"/>
      <c r="K7263" s="88"/>
      <c r="L7263" s="89"/>
      <c r="M7263" s="89"/>
      <c r="Q7263" s="105"/>
    </row>
    <row r="7264" spans="3:17" x14ac:dyDescent="0.3">
      <c r="C7264" s="87"/>
      <c r="H7264" s="86" t="e">
        <f>IF(I7264="fora",0%,G7264/QUÓRUM!$C$6)</f>
        <v>#DIV/0!</v>
      </c>
      <c r="I7264" s="87"/>
      <c r="J7264" s="88"/>
      <c r="K7264" s="88"/>
      <c r="L7264" s="89"/>
      <c r="M7264" s="89"/>
      <c r="Q7264" s="105"/>
    </row>
    <row r="7265" spans="3:17" x14ac:dyDescent="0.3">
      <c r="C7265" s="87"/>
      <c r="H7265" s="86" t="e">
        <f>IF(I7265="fora",0%,G7265/QUÓRUM!$C$6)</f>
        <v>#DIV/0!</v>
      </c>
      <c r="I7265" s="87"/>
      <c r="J7265" s="88"/>
      <c r="K7265" s="88"/>
      <c r="L7265" s="89"/>
      <c r="M7265" s="89"/>
      <c r="Q7265" s="105"/>
    </row>
    <row r="7266" spans="3:17" x14ac:dyDescent="0.3">
      <c r="C7266" s="87"/>
      <c r="H7266" s="86" t="e">
        <f>IF(I7266="fora",0%,G7266/QUÓRUM!$C$6)</f>
        <v>#DIV/0!</v>
      </c>
      <c r="I7266" s="87"/>
      <c r="J7266" s="88"/>
      <c r="K7266" s="88"/>
      <c r="L7266" s="89"/>
      <c r="M7266" s="89"/>
      <c r="Q7266" s="105"/>
    </row>
    <row r="7267" spans="3:17" x14ac:dyDescent="0.3">
      <c r="C7267" s="87"/>
      <c r="H7267" s="86" t="e">
        <f>IF(I7267="fora",0%,G7267/QUÓRUM!$C$6)</f>
        <v>#DIV/0!</v>
      </c>
      <c r="I7267" s="87"/>
      <c r="J7267" s="88"/>
      <c r="K7267" s="88"/>
      <c r="L7267" s="89"/>
      <c r="M7267" s="89"/>
      <c r="Q7267" s="105"/>
    </row>
    <row r="7268" spans="3:17" x14ac:dyDescent="0.3">
      <c r="C7268" s="87"/>
      <c r="H7268" s="86" t="e">
        <f>IF(I7268="fora",0%,G7268/QUÓRUM!$C$6)</f>
        <v>#DIV/0!</v>
      </c>
      <c r="I7268" s="87"/>
      <c r="J7268" s="88"/>
      <c r="K7268" s="88"/>
      <c r="L7268" s="89"/>
      <c r="M7268" s="89"/>
      <c r="Q7268" s="105"/>
    </row>
    <row r="7269" spans="3:17" x14ac:dyDescent="0.3">
      <c r="C7269" s="87"/>
      <c r="H7269" s="86" t="e">
        <f>IF(I7269="fora",0%,G7269/QUÓRUM!$C$6)</f>
        <v>#DIV/0!</v>
      </c>
      <c r="I7269" s="87"/>
      <c r="J7269" s="88"/>
      <c r="K7269" s="88"/>
      <c r="L7269" s="89"/>
      <c r="M7269" s="89"/>
      <c r="Q7269" s="105"/>
    </row>
    <row r="7270" spans="3:17" x14ac:dyDescent="0.3">
      <c r="C7270" s="87"/>
      <c r="H7270" s="86" t="e">
        <f>IF(I7270="fora",0%,G7270/QUÓRUM!$C$6)</f>
        <v>#DIV/0!</v>
      </c>
      <c r="I7270" s="87"/>
      <c r="J7270" s="88"/>
      <c r="K7270" s="88"/>
      <c r="L7270" s="89"/>
      <c r="M7270" s="89"/>
      <c r="Q7270" s="105"/>
    </row>
    <row r="7271" spans="3:17" x14ac:dyDescent="0.3">
      <c r="C7271" s="87"/>
      <c r="H7271" s="86" t="e">
        <f>IF(I7271="fora",0%,G7271/QUÓRUM!$C$6)</f>
        <v>#DIV/0!</v>
      </c>
      <c r="I7271" s="87"/>
      <c r="J7271" s="88"/>
      <c r="K7271" s="88"/>
      <c r="L7271" s="89"/>
      <c r="M7271" s="89"/>
      <c r="Q7271" s="105"/>
    </row>
    <row r="7272" spans="3:17" x14ac:dyDescent="0.3">
      <c r="C7272" s="87"/>
      <c r="H7272" s="86" t="e">
        <f>IF(I7272="fora",0%,G7272/QUÓRUM!$C$6)</f>
        <v>#DIV/0!</v>
      </c>
      <c r="I7272" s="87"/>
      <c r="J7272" s="88"/>
      <c r="K7272" s="88"/>
      <c r="L7272" s="89"/>
      <c r="M7272" s="89"/>
      <c r="Q7272" s="105"/>
    </row>
    <row r="7273" spans="3:17" x14ac:dyDescent="0.3">
      <c r="C7273" s="87"/>
      <c r="H7273" s="86" t="e">
        <f>IF(I7273="fora",0%,G7273/QUÓRUM!$C$6)</f>
        <v>#DIV/0!</v>
      </c>
      <c r="I7273" s="87"/>
      <c r="J7273" s="88"/>
      <c r="K7273" s="88"/>
      <c r="L7273" s="89"/>
      <c r="M7273" s="89"/>
      <c r="Q7273" s="105"/>
    </row>
    <row r="7274" spans="3:17" x14ac:dyDescent="0.3">
      <c r="C7274" s="87"/>
      <c r="H7274" s="86" t="e">
        <f>IF(I7274="fora",0%,G7274/QUÓRUM!$C$6)</f>
        <v>#DIV/0!</v>
      </c>
      <c r="I7274" s="87"/>
      <c r="J7274" s="88"/>
      <c r="K7274" s="88"/>
      <c r="L7274" s="89"/>
      <c r="M7274" s="89"/>
      <c r="Q7274" s="105"/>
    </row>
    <row r="7275" spans="3:17" x14ac:dyDescent="0.3">
      <c r="C7275" s="87"/>
      <c r="H7275" s="86" t="e">
        <f>IF(I7275="fora",0%,G7275/QUÓRUM!$C$6)</f>
        <v>#DIV/0!</v>
      </c>
      <c r="I7275" s="87"/>
      <c r="J7275" s="88"/>
      <c r="K7275" s="88"/>
      <c r="L7275" s="89"/>
      <c r="M7275" s="89"/>
      <c r="Q7275" s="105"/>
    </row>
    <row r="7276" spans="3:17" x14ac:dyDescent="0.3">
      <c r="C7276" s="87"/>
      <c r="H7276" s="86" t="e">
        <f>IF(I7276="fora",0%,G7276/QUÓRUM!$C$6)</f>
        <v>#DIV/0!</v>
      </c>
      <c r="I7276" s="87"/>
      <c r="J7276" s="88"/>
      <c r="K7276" s="88"/>
      <c r="L7276" s="89"/>
      <c r="M7276" s="89"/>
      <c r="Q7276" s="105"/>
    </row>
    <row r="7277" spans="3:17" x14ac:dyDescent="0.3">
      <c r="C7277" s="87"/>
      <c r="H7277" s="86" t="e">
        <f>IF(I7277="fora",0%,G7277/QUÓRUM!$C$6)</f>
        <v>#DIV/0!</v>
      </c>
      <c r="I7277" s="87"/>
      <c r="J7277" s="88"/>
      <c r="K7277" s="88"/>
      <c r="L7277" s="89"/>
      <c r="M7277" s="89"/>
      <c r="Q7277" s="105"/>
    </row>
    <row r="7278" spans="3:17" x14ac:dyDescent="0.3">
      <c r="C7278" s="87"/>
      <c r="H7278" s="86" t="e">
        <f>IF(I7278="fora",0%,G7278/QUÓRUM!$C$6)</f>
        <v>#DIV/0!</v>
      </c>
      <c r="I7278" s="87"/>
      <c r="J7278" s="88"/>
      <c r="K7278" s="88"/>
      <c r="L7278" s="89"/>
      <c r="M7278" s="89"/>
      <c r="Q7278" s="105"/>
    </row>
    <row r="7279" spans="3:17" x14ac:dyDescent="0.3">
      <c r="C7279" s="87"/>
      <c r="H7279" s="86" t="e">
        <f>IF(I7279="fora",0%,G7279/QUÓRUM!$C$6)</f>
        <v>#DIV/0!</v>
      </c>
      <c r="I7279" s="87"/>
      <c r="J7279" s="88"/>
      <c r="K7279" s="88"/>
      <c r="L7279" s="89"/>
      <c r="M7279" s="89"/>
      <c r="Q7279" s="105"/>
    </row>
    <row r="7280" spans="3:17" x14ac:dyDescent="0.3">
      <c r="C7280" s="87"/>
      <c r="H7280" s="86" t="e">
        <f>IF(I7280="fora",0%,G7280/QUÓRUM!$C$6)</f>
        <v>#DIV/0!</v>
      </c>
      <c r="I7280" s="87"/>
      <c r="J7280" s="88"/>
      <c r="K7280" s="88"/>
      <c r="L7280" s="89"/>
      <c r="M7280" s="89"/>
      <c r="Q7280" s="105"/>
    </row>
    <row r="7281" spans="3:17" x14ac:dyDescent="0.3">
      <c r="C7281" s="87"/>
      <c r="H7281" s="86" t="e">
        <f>IF(I7281="fora",0%,G7281/QUÓRUM!$C$6)</f>
        <v>#DIV/0!</v>
      </c>
      <c r="I7281" s="87"/>
      <c r="J7281" s="88"/>
      <c r="K7281" s="88"/>
      <c r="L7281" s="89"/>
      <c r="M7281" s="89"/>
      <c r="Q7281" s="105"/>
    </row>
    <row r="7282" spans="3:17" x14ac:dyDescent="0.3">
      <c r="C7282" s="87"/>
      <c r="H7282" s="86" t="e">
        <f>IF(I7282="fora",0%,G7282/QUÓRUM!$C$6)</f>
        <v>#DIV/0!</v>
      </c>
      <c r="I7282" s="87"/>
      <c r="J7282" s="88"/>
      <c r="K7282" s="88"/>
      <c r="L7282" s="89"/>
      <c r="M7282" s="89"/>
      <c r="Q7282" s="105"/>
    </row>
    <row r="7283" spans="3:17" x14ac:dyDescent="0.3">
      <c r="C7283" s="87"/>
      <c r="H7283" s="86" t="e">
        <f>IF(I7283="fora",0%,G7283/QUÓRUM!$C$6)</f>
        <v>#DIV/0!</v>
      </c>
      <c r="I7283" s="87"/>
      <c r="J7283" s="88"/>
      <c r="K7283" s="88"/>
      <c r="L7283" s="89"/>
      <c r="M7283" s="89"/>
      <c r="Q7283" s="105"/>
    </row>
    <row r="7284" spans="3:17" x14ac:dyDescent="0.3">
      <c r="C7284" s="87"/>
      <c r="H7284" s="86" t="e">
        <f>IF(I7284="fora",0%,G7284/QUÓRUM!$C$6)</f>
        <v>#DIV/0!</v>
      </c>
      <c r="I7284" s="87"/>
      <c r="J7284" s="88"/>
      <c r="K7284" s="88"/>
      <c r="L7284" s="89"/>
      <c r="M7284" s="89"/>
      <c r="Q7284" s="105"/>
    </row>
    <row r="7285" spans="3:17" x14ac:dyDescent="0.3">
      <c r="C7285" s="87"/>
      <c r="H7285" s="86" t="e">
        <f>IF(I7285="fora",0%,G7285/QUÓRUM!$C$6)</f>
        <v>#DIV/0!</v>
      </c>
      <c r="I7285" s="87"/>
      <c r="J7285" s="88"/>
      <c r="K7285" s="88"/>
      <c r="L7285" s="89"/>
      <c r="M7285" s="89"/>
      <c r="Q7285" s="105"/>
    </row>
    <row r="7286" spans="3:17" x14ac:dyDescent="0.3">
      <c r="C7286" s="87"/>
      <c r="H7286" s="86" t="e">
        <f>IF(I7286="fora",0%,G7286/QUÓRUM!$C$6)</f>
        <v>#DIV/0!</v>
      </c>
      <c r="I7286" s="87"/>
      <c r="J7286" s="88"/>
      <c r="K7286" s="88"/>
      <c r="L7286" s="89"/>
      <c r="M7286" s="89"/>
      <c r="Q7286" s="105"/>
    </row>
    <row r="7287" spans="3:17" x14ac:dyDescent="0.3">
      <c r="C7287" s="87"/>
      <c r="H7287" s="86" t="e">
        <f>IF(I7287="fora",0%,G7287/QUÓRUM!$C$6)</f>
        <v>#DIV/0!</v>
      </c>
      <c r="I7287" s="87"/>
      <c r="J7287" s="88"/>
      <c r="K7287" s="88"/>
      <c r="L7287" s="89"/>
      <c r="M7287" s="89"/>
      <c r="Q7287" s="105"/>
    </row>
    <row r="7288" spans="3:17" x14ac:dyDescent="0.3">
      <c r="C7288" s="87"/>
      <c r="H7288" s="86" t="e">
        <f>IF(I7288="fora",0%,G7288/QUÓRUM!$C$6)</f>
        <v>#DIV/0!</v>
      </c>
      <c r="I7288" s="87"/>
      <c r="J7288" s="88"/>
      <c r="K7288" s="88"/>
      <c r="L7288" s="89"/>
      <c r="M7288" s="89"/>
      <c r="Q7288" s="105"/>
    </row>
    <row r="7289" spans="3:17" x14ac:dyDescent="0.3">
      <c r="C7289" s="87"/>
      <c r="H7289" s="86" t="e">
        <f>IF(I7289="fora",0%,G7289/QUÓRUM!$C$6)</f>
        <v>#DIV/0!</v>
      </c>
      <c r="I7289" s="87"/>
      <c r="J7289" s="88"/>
      <c r="K7289" s="88"/>
      <c r="L7289" s="89"/>
      <c r="M7289" s="89"/>
      <c r="Q7289" s="105"/>
    </row>
    <row r="7290" spans="3:17" x14ac:dyDescent="0.3">
      <c r="C7290" s="87"/>
      <c r="H7290" s="86" t="e">
        <f>IF(I7290="fora",0%,G7290/QUÓRUM!$C$6)</f>
        <v>#DIV/0!</v>
      </c>
      <c r="I7290" s="87"/>
      <c r="J7290" s="88"/>
      <c r="K7290" s="88"/>
      <c r="L7290" s="89"/>
      <c r="M7290" s="89"/>
      <c r="Q7290" s="105"/>
    </row>
    <row r="7291" spans="3:17" x14ac:dyDescent="0.3">
      <c r="C7291" s="87"/>
      <c r="H7291" s="86" t="e">
        <f>IF(I7291="fora",0%,G7291/QUÓRUM!$C$6)</f>
        <v>#DIV/0!</v>
      </c>
      <c r="I7291" s="87"/>
      <c r="J7291" s="88"/>
      <c r="K7291" s="88"/>
      <c r="L7291" s="89"/>
      <c r="M7291" s="89"/>
      <c r="Q7291" s="105"/>
    </row>
    <row r="7292" spans="3:17" x14ac:dyDescent="0.3">
      <c r="C7292" s="87"/>
      <c r="H7292" s="86" t="e">
        <f>IF(I7292="fora",0%,G7292/QUÓRUM!$C$6)</f>
        <v>#DIV/0!</v>
      </c>
      <c r="I7292" s="87"/>
      <c r="J7292" s="88"/>
      <c r="K7292" s="88"/>
      <c r="L7292" s="89"/>
      <c r="M7292" s="89"/>
      <c r="Q7292" s="105"/>
    </row>
    <row r="7293" spans="3:17" x14ac:dyDescent="0.3">
      <c r="C7293" s="87"/>
      <c r="H7293" s="86" t="e">
        <f>IF(I7293="fora",0%,G7293/QUÓRUM!$C$6)</f>
        <v>#DIV/0!</v>
      </c>
      <c r="I7293" s="87"/>
      <c r="J7293" s="88"/>
      <c r="K7293" s="88"/>
      <c r="L7293" s="89"/>
      <c r="M7293" s="89"/>
      <c r="Q7293" s="105"/>
    </row>
    <row r="7294" spans="3:17" x14ac:dyDescent="0.3">
      <c r="C7294" s="87"/>
      <c r="H7294" s="86" t="e">
        <f>IF(I7294="fora",0%,G7294/QUÓRUM!$C$6)</f>
        <v>#DIV/0!</v>
      </c>
      <c r="I7294" s="87"/>
      <c r="J7294" s="88"/>
      <c r="K7294" s="88"/>
      <c r="L7294" s="89"/>
      <c r="M7294" s="89"/>
      <c r="Q7294" s="105"/>
    </row>
    <row r="7295" spans="3:17" x14ac:dyDescent="0.3">
      <c r="C7295" s="87"/>
      <c r="H7295" s="86" t="e">
        <f>IF(I7295="fora",0%,G7295/QUÓRUM!$C$6)</f>
        <v>#DIV/0!</v>
      </c>
      <c r="I7295" s="87"/>
      <c r="J7295" s="88"/>
      <c r="K7295" s="88"/>
      <c r="L7295" s="89"/>
      <c r="M7295" s="89"/>
      <c r="Q7295" s="105"/>
    </row>
    <row r="7296" spans="3:17" x14ac:dyDescent="0.3">
      <c r="C7296" s="87"/>
      <c r="H7296" s="86" t="e">
        <f>IF(I7296="fora",0%,G7296/QUÓRUM!$C$6)</f>
        <v>#DIV/0!</v>
      </c>
      <c r="I7296" s="87"/>
      <c r="J7296" s="88"/>
      <c r="K7296" s="88"/>
      <c r="L7296" s="89"/>
      <c r="M7296" s="89"/>
      <c r="Q7296" s="105"/>
    </row>
    <row r="7297" spans="3:17" x14ac:dyDescent="0.3">
      <c r="C7297" s="87"/>
      <c r="H7297" s="86" t="e">
        <f>IF(I7297="fora",0%,G7297/QUÓRUM!$C$6)</f>
        <v>#DIV/0!</v>
      </c>
      <c r="I7297" s="87"/>
      <c r="J7297" s="88"/>
      <c r="K7297" s="88"/>
      <c r="L7297" s="89"/>
      <c r="M7297" s="89"/>
      <c r="Q7297" s="105"/>
    </row>
    <row r="7298" spans="3:17" x14ac:dyDescent="0.3">
      <c r="C7298" s="87"/>
      <c r="H7298" s="86" t="e">
        <f>IF(I7298="fora",0%,G7298/QUÓRUM!$C$6)</f>
        <v>#DIV/0!</v>
      </c>
      <c r="I7298" s="87"/>
      <c r="J7298" s="88"/>
      <c r="K7298" s="88"/>
      <c r="L7298" s="89"/>
      <c r="M7298" s="89"/>
      <c r="Q7298" s="105"/>
    </row>
    <row r="7299" spans="3:17" x14ac:dyDescent="0.3">
      <c r="C7299" s="87"/>
      <c r="H7299" s="86" t="e">
        <f>IF(I7299="fora",0%,G7299/QUÓRUM!$C$6)</f>
        <v>#DIV/0!</v>
      </c>
      <c r="I7299" s="87"/>
      <c r="J7299" s="88"/>
      <c r="K7299" s="88"/>
      <c r="L7299" s="89"/>
      <c r="M7299" s="89"/>
      <c r="Q7299" s="105"/>
    </row>
    <row r="7300" spans="3:17" x14ac:dyDescent="0.3">
      <c r="C7300" s="87"/>
      <c r="H7300" s="86" t="e">
        <f>IF(I7300="fora",0%,G7300/QUÓRUM!$C$6)</f>
        <v>#DIV/0!</v>
      </c>
      <c r="I7300" s="87"/>
      <c r="J7300" s="88"/>
      <c r="K7300" s="88"/>
      <c r="L7300" s="89"/>
      <c r="M7300" s="89"/>
      <c r="Q7300" s="105"/>
    </row>
    <row r="7301" spans="3:17" x14ac:dyDescent="0.3">
      <c r="C7301" s="87"/>
      <c r="H7301" s="86" t="e">
        <f>IF(I7301="fora",0%,G7301/QUÓRUM!$C$6)</f>
        <v>#DIV/0!</v>
      </c>
      <c r="I7301" s="87"/>
      <c r="J7301" s="88"/>
      <c r="K7301" s="88"/>
      <c r="L7301" s="89"/>
      <c r="M7301" s="89"/>
      <c r="Q7301" s="105"/>
    </row>
    <row r="7302" spans="3:17" x14ac:dyDescent="0.3">
      <c r="C7302" s="87"/>
      <c r="H7302" s="86" t="e">
        <f>IF(I7302="fora",0%,G7302/QUÓRUM!$C$6)</f>
        <v>#DIV/0!</v>
      </c>
      <c r="I7302" s="87"/>
      <c r="J7302" s="88"/>
      <c r="K7302" s="88"/>
      <c r="L7302" s="89"/>
      <c r="M7302" s="89"/>
      <c r="Q7302" s="105"/>
    </row>
    <row r="7303" spans="3:17" x14ac:dyDescent="0.3">
      <c r="C7303" s="87"/>
      <c r="H7303" s="86" t="e">
        <f>IF(I7303="fora",0%,G7303/QUÓRUM!$C$6)</f>
        <v>#DIV/0!</v>
      </c>
      <c r="I7303" s="87"/>
      <c r="J7303" s="88"/>
      <c r="K7303" s="88"/>
      <c r="L7303" s="89"/>
      <c r="M7303" s="89"/>
      <c r="Q7303" s="105"/>
    </row>
    <row r="7304" spans="3:17" x14ac:dyDescent="0.3">
      <c r="C7304" s="87"/>
      <c r="H7304" s="86" t="e">
        <f>IF(I7304="fora",0%,G7304/QUÓRUM!$C$6)</f>
        <v>#DIV/0!</v>
      </c>
      <c r="I7304" s="87"/>
      <c r="J7304" s="88"/>
      <c r="K7304" s="88"/>
      <c r="L7304" s="89"/>
      <c r="M7304" s="89"/>
      <c r="Q7304" s="105"/>
    </row>
    <row r="7305" spans="3:17" x14ac:dyDescent="0.3">
      <c r="C7305" s="87"/>
      <c r="H7305" s="86" t="e">
        <f>IF(I7305="fora",0%,G7305/QUÓRUM!$C$6)</f>
        <v>#DIV/0!</v>
      </c>
      <c r="I7305" s="87"/>
      <c r="J7305" s="88"/>
      <c r="K7305" s="88"/>
      <c r="L7305" s="89"/>
      <c r="M7305" s="89"/>
      <c r="Q7305" s="105"/>
    </row>
    <row r="7306" spans="3:17" x14ac:dyDescent="0.3">
      <c r="C7306" s="87"/>
      <c r="H7306" s="86" t="e">
        <f>IF(I7306="fora",0%,G7306/QUÓRUM!$C$6)</f>
        <v>#DIV/0!</v>
      </c>
      <c r="I7306" s="87"/>
      <c r="J7306" s="88"/>
      <c r="K7306" s="88"/>
      <c r="L7306" s="89"/>
      <c r="M7306" s="89"/>
      <c r="Q7306" s="105"/>
    </row>
    <row r="7307" spans="3:17" x14ac:dyDescent="0.3">
      <c r="C7307" s="87"/>
      <c r="H7307" s="86" t="e">
        <f>IF(I7307="fora",0%,G7307/QUÓRUM!$C$6)</f>
        <v>#DIV/0!</v>
      </c>
      <c r="I7307" s="87"/>
      <c r="J7307" s="88"/>
      <c r="K7307" s="88"/>
      <c r="L7307" s="89"/>
      <c r="M7307" s="89"/>
      <c r="Q7307" s="105"/>
    </row>
    <row r="7308" spans="3:17" x14ac:dyDescent="0.3">
      <c r="C7308" s="87"/>
      <c r="H7308" s="86" t="e">
        <f>IF(I7308="fora",0%,G7308/QUÓRUM!$C$6)</f>
        <v>#DIV/0!</v>
      </c>
      <c r="I7308" s="87"/>
      <c r="J7308" s="88"/>
      <c r="K7308" s="88"/>
      <c r="L7308" s="89"/>
      <c r="M7308" s="89"/>
      <c r="Q7308" s="105"/>
    </row>
    <row r="7309" spans="3:17" x14ac:dyDescent="0.3">
      <c r="C7309" s="87"/>
      <c r="H7309" s="86" t="e">
        <f>IF(I7309="fora",0%,G7309/QUÓRUM!$C$6)</f>
        <v>#DIV/0!</v>
      </c>
      <c r="I7309" s="87"/>
      <c r="J7309" s="88"/>
      <c r="K7309" s="88"/>
      <c r="L7309" s="89"/>
      <c r="M7309" s="89"/>
      <c r="Q7309" s="105"/>
    </row>
    <row r="7310" spans="3:17" x14ac:dyDescent="0.3">
      <c r="C7310" s="87"/>
      <c r="H7310" s="86" t="e">
        <f>IF(I7310="fora",0%,G7310/QUÓRUM!$C$6)</f>
        <v>#DIV/0!</v>
      </c>
      <c r="I7310" s="87"/>
      <c r="J7310" s="88"/>
      <c r="K7310" s="88"/>
      <c r="L7310" s="89"/>
      <c r="M7310" s="89"/>
      <c r="Q7310" s="105"/>
    </row>
    <row r="7311" spans="3:17" x14ac:dyDescent="0.3">
      <c r="C7311" s="87"/>
      <c r="H7311" s="86" t="e">
        <f>IF(I7311="fora",0%,G7311/QUÓRUM!$C$6)</f>
        <v>#DIV/0!</v>
      </c>
      <c r="I7311" s="87"/>
      <c r="J7311" s="88"/>
      <c r="K7311" s="88"/>
      <c r="L7311" s="89"/>
      <c r="M7311" s="89"/>
      <c r="Q7311" s="105"/>
    </row>
    <row r="7312" spans="3:17" x14ac:dyDescent="0.3">
      <c r="C7312" s="87"/>
      <c r="H7312" s="86" t="e">
        <f>IF(I7312="fora",0%,G7312/QUÓRUM!$C$6)</f>
        <v>#DIV/0!</v>
      </c>
      <c r="I7312" s="87"/>
      <c r="J7312" s="88"/>
      <c r="K7312" s="88"/>
      <c r="L7312" s="89"/>
      <c r="M7312" s="89"/>
      <c r="Q7312" s="105"/>
    </row>
    <row r="7313" spans="3:17" x14ac:dyDescent="0.3">
      <c r="C7313" s="87"/>
      <c r="H7313" s="86" t="e">
        <f>IF(I7313="fora",0%,G7313/QUÓRUM!$C$6)</f>
        <v>#DIV/0!</v>
      </c>
      <c r="I7313" s="87"/>
      <c r="J7313" s="88"/>
      <c r="K7313" s="88"/>
      <c r="L7313" s="89"/>
      <c r="M7313" s="89"/>
      <c r="Q7313" s="105"/>
    </row>
    <row r="7314" spans="3:17" x14ac:dyDescent="0.3">
      <c r="C7314" s="87"/>
      <c r="H7314" s="86" t="e">
        <f>IF(I7314="fora",0%,G7314/QUÓRUM!$C$6)</f>
        <v>#DIV/0!</v>
      </c>
      <c r="I7314" s="87"/>
      <c r="J7314" s="88"/>
      <c r="K7314" s="88"/>
      <c r="L7314" s="89"/>
      <c r="M7314" s="89"/>
      <c r="Q7314" s="105"/>
    </row>
    <row r="7315" spans="3:17" x14ac:dyDescent="0.3">
      <c r="C7315" s="87"/>
      <c r="H7315" s="86" t="e">
        <f>IF(I7315="fora",0%,G7315/QUÓRUM!$C$6)</f>
        <v>#DIV/0!</v>
      </c>
      <c r="I7315" s="87"/>
      <c r="J7315" s="88"/>
      <c r="K7315" s="88"/>
      <c r="L7315" s="89"/>
      <c r="M7315" s="89"/>
      <c r="Q7315" s="105"/>
    </row>
    <row r="7316" spans="3:17" x14ac:dyDescent="0.3">
      <c r="C7316" s="87"/>
      <c r="H7316" s="86" t="e">
        <f>IF(I7316="fora",0%,G7316/QUÓRUM!$C$6)</f>
        <v>#DIV/0!</v>
      </c>
      <c r="I7316" s="87"/>
      <c r="J7316" s="88"/>
      <c r="K7316" s="88"/>
      <c r="L7316" s="89"/>
      <c r="M7316" s="89"/>
      <c r="Q7316" s="105"/>
    </row>
    <row r="7317" spans="3:17" x14ac:dyDescent="0.3">
      <c r="C7317" s="87"/>
      <c r="H7317" s="86" t="e">
        <f>IF(I7317="fora",0%,G7317/QUÓRUM!$C$6)</f>
        <v>#DIV/0!</v>
      </c>
      <c r="I7317" s="87"/>
      <c r="J7317" s="88"/>
      <c r="K7317" s="88"/>
      <c r="L7317" s="89"/>
      <c r="M7317" s="89"/>
      <c r="Q7317" s="105"/>
    </row>
    <row r="7318" spans="3:17" x14ac:dyDescent="0.3">
      <c r="C7318" s="87"/>
      <c r="H7318" s="86" t="e">
        <f>IF(I7318="fora",0%,G7318/QUÓRUM!$C$6)</f>
        <v>#DIV/0!</v>
      </c>
      <c r="I7318" s="87"/>
      <c r="J7318" s="88"/>
      <c r="K7318" s="88"/>
      <c r="L7318" s="89"/>
      <c r="M7318" s="89"/>
      <c r="Q7318" s="105"/>
    </row>
    <row r="7319" spans="3:17" x14ac:dyDescent="0.3">
      <c r="C7319" s="87"/>
      <c r="H7319" s="86" t="e">
        <f>IF(I7319="fora",0%,G7319/QUÓRUM!$C$6)</f>
        <v>#DIV/0!</v>
      </c>
      <c r="I7319" s="87"/>
      <c r="J7319" s="88"/>
      <c r="K7319" s="88"/>
      <c r="L7319" s="89"/>
      <c r="M7319" s="89"/>
      <c r="Q7319" s="105"/>
    </row>
    <row r="7320" spans="3:17" x14ac:dyDescent="0.3">
      <c r="C7320" s="87"/>
      <c r="H7320" s="86" t="e">
        <f>IF(I7320="fora",0%,G7320/QUÓRUM!$C$6)</f>
        <v>#DIV/0!</v>
      </c>
      <c r="I7320" s="87"/>
      <c r="J7320" s="88"/>
      <c r="K7320" s="88"/>
      <c r="L7320" s="89"/>
      <c r="M7320" s="89"/>
      <c r="Q7320" s="105"/>
    </row>
    <row r="7321" spans="3:17" x14ac:dyDescent="0.3">
      <c r="C7321" s="87"/>
      <c r="H7321" s="86" t="e">
        <f>IF(I7321="fora",0%,G7321/QUÓRUM!$C$6)</f>
        <v>#DIV/0!</v>
      </c>
      <c r="I7321" s="87"/>
      <c r="J7321" s="88"/>
      <c r="K7321" s="88"/>
      <c r="L7321" s="89"/>
      <c r="M7321" s="89"/>
      <c r="Q7321" s="105"/>
    </row>
    <row r="7322" spans="3:17" x14ac:dyDescent="0.3">
      <c r="C7322" s="87"/>
      <c r="H7322" s="86" t="e">
        <f>IF(I7322="fora",0%,G7322/QUÓRUM!$C$6)</f>
        <v>#DIV/0!</v>
      </c>
      <c r="I7322" s="87"/>
      <c r="J7322" s="88"/>
      <c r="K7322" s="88"/>
      <c r="L7322" s="89"/>
      <c r="M7322" s="89"/>
      <c r="Q7322" s="105"/>
    </row>
    <row r="7323" spans="3:17" x14ac:dyDescent="0.3">
      <c r="C7323" s="87"/>
      <c r="H7323" s="86" t="e">
        <f>IF(I7323="fora",0%,G7323/QUÓRUM!$C$6)</f>
        <v>#DIV/0!</v>
      </c>
      <c r="I7323" s="87"/>
      <c r="J7323" s="88"/>
      <c r="K7323" s="88"/>
      <c r="L7323" s="89"/>
      <c r="M7323" s="89"/>
      <c r="Q7323" s="105"/>
    </row>
    <row r="7324" spans="3:17" x14ac:dyDescent="0.3">
      <c r="C7324" s="87"/>
      <c r="H7324" s="86" t="e">
        <f>IF(I7324="fora",0%,G7324/QUÓRUM!$C$6)</f>
        <v>#DIV/0!</v>
      </c>
      <c r="I7324" s="87"/>
      <c r="J7324" s="88"/>
      <c r="K7324" s="88"/>
      <c r="L7324" s="89"/>
      <c r="M7324" s="89"/>
      <c r="Q7324" s="105"/>
    </row>
    <row r="7325" spans="3:17" x14ac:dyDescent="0.3">
      <c r="C7325" s="87"/>
      <c r="H7325" s="86" t="e">
        <f>IF(I7325="fora",0%,G7325/QUÓRUM!$C$6)</f>
        <v>#DIV/0!</v>
      </c>
      <c r="I7325" s="87"/>
      <c r="J7325" s="88"/>
      <c r="K7325" s="88"/>
      <c r="L7325" s="89"/>
      <c r="M7325" s="89"/>
      <c r="Q7325" s="105"/>
    </row>
    <row r="7326" spans="3:17" x14ac:dyDescent="0.3">
      <c r="C7326" s="87"/>
      <c r="H7326" s="86" t="e">
        <f>IF(I7326="fora",0%,G7326/QUÓRUM!$C$6)</f>
        <v>#DIV/0!</v>
      </c>
      <c r="I7326" s="87"/>
      <c r="J7326" s="88"/>
      <c r="K7326" s="88"/>
      <c r="L7326" s="89"/>
      <c r="M7326" s="89"/>
      <c r="Q7326" s="105"/>
    </row>
    <row r="7327" spans="3:17" x14ac:dyDescent="0.3">
      <c r="C7327" s="87"/>
      <c r="H7327" s="86" t="e">
        <f>IF(I7327="fora",0%,G7327/QUÓRUM!$C$6)</f>
        <v>#DIV/0!</v>
      </c>
      <c r="I7327" s="87"/>
      <c r="J7327" s="88"/>
      <c r="K7327" s="88"/>
      <c r="L7327" s="89"/>
      <c r="M7327" s="89"/>
      <c r="Q7327" s="105"/>
    </row>
    <row r="7328" spans="3:17" x14ac:dyDescent="0.3">
      <c r="C7328" s="87"/>
      <c r="H7328" s="86" t="e">
        <f>IF(I7328="fora",0%,G7328/QUÓRUM!$C$6)</f>
        <v>#DIV/0!</v>
      </c>
      <c r="I7328" s="87"/>
      <c r="J7328" s="88"/>
      <c r="K7328" s="88"/>
      <c r="L7328" s="89"/>
      <c r="M7328" s="89"/>
      <c r="Q7328" s="105"/>
    </row>
    <row r="7329" spans="3:17" x14ac:dyDescent="0.3">
      <c r="C7329" s="87"/>
      <c r="H7329" s="86" t="e">
        <f>IF(I7329="fora",0%,G7329/QUÓRUM!$C$6)</f>
        <v>#DIV/0!</v>
      </c>
      <c r="I7329" s="87"/>
      <c r="J7329" s="88"/>
      <c r="K7329" s="88"/>
      <c r="L7329" s="89"/>
      <c r="M7329" s="89"/>
      <c r="Q7329" s="105"/>
    </row>
    <row r="7330" spans="3:17" x14ac:dyDescent="0.3">
      <c r="C7330" s="87"/>
      <c r="H7330" s="86" t="e">
        <f>IF(I7330="fora",0%,G7330/QUÓRUM!$C$6)</f>
        <v>#DIV/0!</v>
      </c>
      <c r="I7330" s="87"/>
      <c r="J7330" s="88"/>
      <c r="K7330" s="88"/>
      <c r="L7330" s="89"/>
      <c r="M7330" s="89"/>
      <c r="Q7330" s="105"/>
    </row>
    <row r="7331" spans="3:17" x14ac:dyDescent="0.3">
      <c r="C7331" s="87"/>
      <c r="H7331" s="86" t="e">
        <f>IF(I7331="fora",0%,G7331/QUÓRUM!$C$6)</f>
        <v>#DIV/0!</v>
      </c>
      <c r="I7331" s="87"/>
      <c r="J7331" s="88"/>
      <c r="K7331" s="88"/>
      <c r="L7331" s="89"/>
      <c r="M7331" s="89"/>
      <c r="Q7331" s="105"/>
    </row>
    <row r="7332" spans="3:17" x14ac:dyDescent="0.3">
      <c r="C7332" s="87"/>
      <c r="H7332" s="86" t="e">
        <f>IF(I7332="fora",0%,G7332/QUÓRUM!$C$6)</f>
        <v>#DIV/0!</v>
      </c>
      <c r="I7332" s="87"/>
      <c r="J7332" s="88"/>
      <c r="K7332" s="88"/>
      <c r="L7332" s="89"/>
      <c r="M7332" s="89"/>
      <c r="Q7332" s="105"/>
    </row>
    <row r="7333" spans="3:17" x14ac:dyDescent="0.3">
      <c r="C7333" s="87"/>
      <c r="H7333" s="86" t="e">
        <f>IF(I7333="fora",0%,G7333/QUÓRUM!$C$6)</f>
        <v>#DIV/0!</v>
      </c>
      <c r="I7333" s="87"/>
      <c r="J7333" s="88"/>
      <c r="K7333" s="88"/>
      <c r="L7333" s="89"/>
      <c r="M7333" s="89"/>
      <c r="Q7333" s="105"/>
    </row>
    <row r="7334" spans="3:17" x14ac:dyDescent="0.3">
      <c r="C7334" s="87"/>
      <c r="H7334" s="86" t="e">
        <f>IF(I7334="fora",0%,G7334/QUÓRUM!$C$6)</f>
        <v>#DIV/0!</v>
      </c>
      <c r="I7334" s="87"/>
      <c r="J7334" s="88"/>
      <c r="K7334" s="88"/>
      <c r="L7334" s="89"/>
      <c r="M7334" s="89"/>
      <c r="Q7334" s="105"/>
    </row>
    <row r="7335" spans="3:17" x14ac:dyDescent="0.3">
      <c r="C7335" s="87"/>
      <c r="H7335" s="86" t="e">
        <f>IF(I7335="fora",0%,G7335/QUÓRUM!$C$6)</f>
        <v>#DIV/0!</v>
      </c>
      <c r="I7335" s="87"/>
      <c r="J7335" s="88"/>
      <c r="K7335" s="88"/>
      <c r="L7335" s="89"/>
      <c r="M7335" s="89"/>
      <c r="Q7335" s="105"/>
    </row>
    <row r="7336" spans="3:17" x14ac:dyDescent="0.3">
      <c r="C7336" s="87"/>
      <c r="H7336" s="86" t="e">
        <f>IF(I7336="fora",0%,G7336/QUÓRUM!$C$6)</f>
        <v>#DIV/0!</v>
      </c>
      <c r="I7336" s="87"/>
      <c r="J7336" s="88"/>
      <c r="K7336" s="88"/>
      <c r="L7336" s="89"/>
      <c r="M7336" s="89"/>
      <c r="Q7336" s="105"/>
    </row>
    <row r="7337" spans="3:17" x14ac:dyDescent="0.3">
      <c r="C7337" s="87"/>
      <c r="H7337" s="86" t="e">
        <f>IF(I7337="fora",0%,G7337/QUÓRUM!$C$6)</f>
        <v>#DIV/0!</v>
      </c>
      <c r="I7337" s="87"/>
      <c r="J7337" s="88"/>
      <c r="K7337" s="88"/>
      <c r="L7337" s="89"/>
      <c r="M7337" s="89"/>
      <c r="Q7337" s="105"/>
    </row>
    <row r="7338" spans="3:17" x14ac:dyDescent="0.3">
      <c r="C7338" s="87"/>
      <c r="H7338" s="86" t="e">
        <f>IF(I7338="fora",0%,G7338/QUÓRUM!$C$6)</f>
        <v>#DIV/0!</v>
      </c>
      <c r="I7338" s="87"/>
      <c r="J7338" s="88"/>
      <c r="K7338" s="88"/>
      <c r="L7338" s="89"/>
      <c r="M7338" s="89"/>
      <c r="Q7338" s="105"/>
    </row>
    <row r="7339" spans="3:17" x14ac:dyDescent="0.3">
      <c r="C7339" s="87"/>
      <c r="H7339" s="86" t="e">
        <f>IF(I7339="fora",0%,G7339/QUÓRUM!$C$6)</f>
        <v>#DIV/0!</v>
      </c>
      <c r="I7339" s="87"/>
      <c r="J7339" s="88"/>
      <c r="K7339" s="88"/>
      <c r="L7339" s="89"/>
      <c r="M7339" s="89"/>
      <c r="Q7339" s="105"/>
    </row>
    <row r="7340" spans="3:17" x14ac:dyDescent="0.3">
      <c r="C7340" s="87"/>
      <c r="H7340" s="86" t="e">
        <f>IF(I7340="fora",0%,G7340/QUÓRUM!$C$6)</f>
        <v>#DIV/0!</v>
      </c>
      <c r="I7340" s="87"/>
      <c r="J7340" s="88"/>
      <c r="K7340" s="88"/>
      <c r="L7340" s="89"/>
      <c r="M7340" s="89"/>
      <c r="Q7340" s="105"/>
    </row>
    <row r="7341" spans="3:17" x14ac:dyDescent="0.3">
      <c r="C7341" s="87"/>
      <c r="H7341" s="86" t="e">
        <f>IF(I7341="fora",0%,G7341/QUÓRUM!$C$6)</f>
        <v>#DIV/0!</v>
      </c>
      <c r="I7341" s="87"/>
      <c r="J7341" s="88"/>
      <c r="K7341" s="88"/>
      <c r="L7341" s="89"/>
      <c r="M7341" s="89"/>
      <c r="Q7341" s="105"/>
    </row>
    <row r="7342" spans="3:17" x14ac:dyDescent="0.3">
      <c r="C7342" s="87"/>
      <c r="H7342" s="86" t="e">
        <f>IF(I7342="fora",0%,G7342/QUÓRUM!$C$6)</f>
        <v>#DIV/0!</v>
      </c>
      <c r="I7342" s="87"/>
      <c r="J7342" s="88"/>
      <c r="K7342" s="88"/>
      <c r="L7342" s="89"/>
      <c r="M7342" s="89"/>
      <c r="Q7342" s="105"/>
    </row>
    <row r="7343" spans="3:17" x14ac:dyDescent="0.3">
      <c r="C7343" s="87"/>
      <c r="H7343" s="86" t="e">
        <f>IF(I7343="fora",0%,G7343/QUÓRUM!$C$6)</f>
        <v>#DIV/0!</v>
      </c>
      <c r="I7343" s="87"/>
      <c r="J7343" s="88"/>
      <c r="K7343" s="88"/>
      <c r="L7343" s="89"/>
      <c r="M7343" s="89"/>
      <c r="Q7343" s="105"/>
    </row>
    <row r="7344" spans="3:17" x14ac:dyDescent="0.3">
      <c r="C7344" s="87"/>
      <c r="H7344" s="86" t="e">
        <f>IF(I7344="fora",0%,G7344/QUÓRUM!$C$6)</f>
        <v>#DIV/0!</v>
      </c>
      <c r="I7344" s="87"/>
      <c r="J7344" s="88"/>
      <c r="K7344" s="88"/>
      <c r="L7344" s="89"/>
      <c r="M7344" s="89"/>
      <c r="Q7344" s="105"/>
    </row>
    <row r="7345" spans="3:17" x14ac:dyDescent="0.3">
      <c r="C7345" s="87"/>
      <c r="H7345" s="86" t="e">
        <f>IF(I7345="fora",0%,G7345/QUÓRUM!$C$6)</f>
        <v>#DIV/0!</v>
      </c>
      <c r="I7345" s="87"/>
      <c r="J7345" s="88"/>
      <c r="K7345" s="88"/>
      <c r="L7345" s="89"/>
      <c r="M7345" s="89"/>
      <c r="Q7345" s="105"/>
    </row>
    <row r="7346" spans="3:17" x14ac:dyDescent="0.3">
      <c r="C7346" s="87"/>
      <c r="H7346" s="86" t="e">
        <f>IF(I7346="fora",0%,G7346/QUÓRUM!$C$6)</f>
        <v>#DIV/0!</v>
      </c>
      <c r="I7346" s="87"/>
      <c r="J7346" s="88"/>
      <c r="K7346" s="88"/>
      <c r="L7346" s="89"/>
      <c r="M7346" s="89"/>
      <c r="Q7346" s="105"/>
    </row>
    <row r="7347" spans="3:17" x14ac:dyDescent="0.3">
      <c r="C7347" s="87"/>
      <c r="H7347" s="86" t="e">
        <f>IF(I7347="fora",0%,G7347/QUÓRUM!$C$6)</f>
        <v>#DIV/0!</v>
      </c>
      <c r="I7347" s="87"/>
      <c r="J7347" s="88"/>
      <c r="K7347" s="88"/>
      <c r="L7347" s="89"/>
      <c r="M7347" s="89"/>
      <c r="Q7347" s="105"/>
    </row>
    <row r="7348" spans="3:17" x14ac:dyDescent="0.3">
      <c r="C7348" s="87"/>
      <c r="H7348" s="86" t="e">
        <f>IF(I7348="fora",0%,G7348/QUÓRUM!$C$6)</f>
        <v>#DIV/0!</v>
      </c>
      <c r="I7348" s="87"/>
      <c r="J7348" s="88"/>
      <c r="K7348" s="88"/>
      <c r="L7348" s="89"/>
      <c r="M7348" s="89"/>
      <c r="Q7348" s="105"/>
    </row>
    <row r="7349" spans="3:17" x14ac:dyDescent="0.3">
      <c r="C7349" s="87"/>
      <c r="H7349" s="86" t="e">
        <f>IF(I7349="fora",0%,G7349/QUÓRUM!$C$6)</f>
        <v>#DIV/0!</v>
      </c>
      <c r="I7349" s="87"/>
      <c r="J7349" s="88"/>
      <c r="K7349" s="88"/>
      <c r="L7349" s="89"/>
      <c r="M7349" s="89"/>
      <c r="Q7349" s="105"/>
    </row>
    <row r="7350" spans="3:17" x14ac:dyDescent="0.3">
      <c r="C7350" s="87"/>
      <c r="H7350" s="86" t="e">
        <f>IF(I7350="fora",0%,G7350/QUÓRUM!$C$6)</f>
        <v>#DIV/0!</v>
      </c>
      <c r="I7350" s="87"/>
      <c r="J7350" s="88"/>
      <c r="K7350" s="88"/>
      <c r="L7350" s="89"/>
      <c r="M7350" s="89"/>
      <c r="Q7350" s="105"/>
    </row>
    <row r="7351" spans="3:17" x14ac:dyDescent="0.3">
      <c r="C7351" s="87"/>
      <c r="H7351" s="86" t="e">
        <f>IF(I7351="fora",0%,G7351/QUÓRUM!$C$6)</f>
        <v>#DIV/0!</v>
      </c>
      <c r="I7351" s="87"/>
      <c r="J7351" s="88"/>
      <c r="K7351" s="88"/>
      <c r="L7351" s="89"/>
      <c r="M7351" s="89"/>
      <c r="Q7351" s="105"/>
    </row>
    <row r="7352" spans="3:17" x14ac:dyDescent="0.3">
      <c r="C7352" s="87"/>
      <c r="H7352" s="86" t="e">
        <f>IF(I7352="fora",0%,G7352/QUÓRUM!$C$6)</f>
        <v>#DIV/0!</v>
      </c>
      <c r="I7352" s="87"/>
      <c r="J7352" s="88"/>
      <c r="K7352" s="88"/>
      <c r="L7352" s="89"/>
      <c r="M7352" s="89"/>
      <c r="Q7352" s="105"/>
    </row>
    <row r="7353" spans="3:17" x14ac:dyDescent="0.3">
      <c r="C7353" s="87"/>
      <c r="H7353" s="86" t="e">
        <f>IF(I7353="fora",0%,G7353/QUÓRUM!$C$6)</f>
        <v>#DIV/0!</v>
      </c>
      <c r="I7353" s="87"/>
      <c r="J7353" s="88"/>
      <c r="K7353" s="88"/>
      <c r="L7353" s="89"/>
      <c r="M7353" s="89"/>
      <c r="Q7353" s="105"/>
    </row>
    <row r="7354" spans="3:17" x14ac:dyDescent="0.3">
      <c r="C7354" s="87"/>
      <c r="H7354" s="86" t="e">
        <f>IF(I7354="fora",0%,G7354/QUÓRUM!$C$6)</f>
        <v>#DIV/0!</v>
      </c>
      <c r="I7354" s="87"/>
      <c r="J7354" s="88"/>
      <c r="K7354" s="88"/>
      <c r="L7354" s="89"/>
      <c r="M7354" s="89"/>
      <c r="Q7354" s="105"/>
    </row>
    <row r="7355" spans="3:17" x14ac:dyDescent="0.3">
      <c r="C7355" s="87"/>
      <c r="H7355" s="86" t="e">
        <f>IF(I7355="fora",0%,G7355/QUÓRUM!$C$6)</f>
        <v>#DIV/0!</v>
      </c>
      <c r="I7355" s="87"/>
      <c r="J7355" s="88"/>
      <c r="K7355" s="88"/>
      <c r="L7355" s="89"/>
      <c r="M7355" s="89"/>
      <c r="Q7355" s="105"/>
    </row>
    <row r="7356" spans="3:17" x14ac:dyDescent="0.3">
      <c r="C7356" s="87"/>
      <c r="H7356" s="86" t="e">
        <f>IF(I7356="fora",0%,G7356/QUÓRUM!$C$6)</f>
        <v>#DIV/0!</v>
      </c>
      <c r="I7356" s="87"/>
      <c r="J7356" s="88"/>
      <c r="K7356" s="88"/>
      <c r="L7356" s="89"/>
      <c r="M7356" s="89"/>
      <c r="Q7356" s="105"/>
    </row>
    <row r="7357" spans="3:17" x14ac:dyDescent="0.3">
      <c r="C7357" s="87"/>
      <c r="H7357" s="86" t="e">
        <f>IF(I7357="fora",0%,G7357/QUÓRUM!$C$6)</f>
        <v>#DIV/0!</v>
      </c>
      <c r="I7357" s="87"/>
      <c r="J7357" s="88"/>
      <c r="K7357" s="88"/>
      <c r="L7357" s="89"/>
      <c r="M7357" s="89"/>
      <c r="Q7357" s="105"/>
    </row>
    <row r="7358" spans="3:17" x14ac:dyDescent="0.3">
      <c r="C7358" s="87"/>
      <c r="H7358" s="86" t="e">
        <f>IF(I7358="fora",0%,G7358/QUÓRUM!$C$6)</f>
        <v>#DIV/0!</v>
      </c>
      <c r="I7358" s="87"/>
      <c r="J7358" s="88"/>
      <c r="K7358" s="88"/>
      <c r="L7358" s="89"/>
      <c r="M7358" s="89"/>
      <c r="Q7358" s="105"/>
    </row>
    <row r="7359" spans="3:17" x14ac:dyDescent="0.3">
      <c r="C7359" s="87"/>
      <c r="H7359" s="86" t="e">
        <f>IF(I7359="fora",0%,G7359/QUÓRUM!$C$6)</f>
        <v>#DIV/0!</v>
      </c>
      <c r="I7359" s="87"/>
      <c r="J7359" s="88"/>
      <c r="K7359" s="88"/>
      <c r="L7359" s="89"/>
      <c r="M7359" s="89"/>
      <c r="Q7359" s="105"/>
    </row>
    <row r="7360" spans="3:17" x14ac:dyDescent="0.3">
      <c r="C7360" s="87"/>
      <c r="H7360" s="86" t="e">
        <f>IF(I7360="fora",0%,G7360/QUÓRUM!$C$6)</f>
        <v>#DIV/0!</v>
      </c>
      <c r="I7360" s="87"/>
      <c r="J7360" s="88"/>
      <c r="K7360" s="88"/>
      <c r="L7360" s="89"/>
      <c r="M7360" s="89"/>
      <c r="Q7360" s="105"/>
    </row>
    <row r="7361" spans="3:17" x14ac:dyDescent="0.3">
      <c r="C7361" s="87"/>
      <c r="H7361" s="86" t="e">
        <f>IF(I7361="fora",0%,G7361/QUÓRUM!$C$6)</f>
        <v>#DIV/0!</v>
      </c>
      <c r="I7361" s="87"/>
      <c r="J7361" s="88"/>
      <c r="K7361" s="88"/>
      <c r="L7361" s="89"/>
      <c r="M7361" s="89"/>
      <c r="Q7361" s="105"/>
    </row>
    <row r="7362" spans="3:17" x14ac:dyDescent="0.3">
      <c r="C7362" s="87"/>
      <c r="H7362" s="86" t="e">
        <f>IF(I7362="fora",0%,G7362/QUÓRUM!$C$6)</f>
        <v>#DIV/0!</v>
      </c>
      <c r="I7362" s="87"/>
      <c r="J7362" s="88"/>
      <c r="K7362" s="88"/>
      <c r="L7362" s="89"/>
      <c r="M7362" s="89"/>
      <c r="Q7362" s="105"/>
    </row>
    <row r="7363" spans="3:17" x14ac:dyDescent="0.3">
      <c r="C7363" s="87"/>
      <c r="H7363" s="86" t="e">
        <f>IF(I7363="fora",0%,G7363/QUÓRUM!$C$6)</f>
        <v>#DIV/0!</v>
      </c>
      <c r="I7363" s="87"/>
      <c r="J7363" s="88"/>
      <c r="K7363" s="88"/>
      <c r="L7363" s="89"/>
      <c r="M7363" s="89"/>
      <c r="Q7363" s="105"/>
    </row>
    <row r="7364" spans="3:17" x14ac:dyDescent="0.3">
      <c r="C7364" s="87"/>
      <c r="H7364" s="86" t="e">
        <f>IF(I7364="fora",0%,G7364/QUÓRUM!$C$6)</f>
        <v>#DIV/0!</v>
      </c>
      <c r="I7364" s="87"/>
      <c r="J7364" s="88"/>
      <c r="K7364" s="88"/>
      <c r="L7364" s="89"/>
      <c r="M7364" s="89"/>
      <c r="Q7364" s="105"/>
    </row>
    <row r="7365" spans="3:17" x14ac:dyDescent="0.3">
      <c r="C7365" s="87"/>
      <c r="H7365" s="86" t="e">
        <f>IF(I7365="fora",0%,G7365/QUÓRUM!$C$6)</f>
        <v>#DIV/0!</v>
      </c>
      <c r="I7365" s="87"/>
      <c r="J7365" s="88"/>
      <c r="K7365" s="88"/>
      <c r="L7365" s="89"/>
      <c r="M7365" s="89"/>
      <c r="Q7365" s="105"/>
    </row>
    <row r="7366" spans="3:17" x14ac:dyDescent="0.3">
      <c r="C7366" s="87"/>
      <c r="H7366" s="86" t="e">
        <f>IF(I7366="fora",0%,G7366/QUÓRUM!$C$6)</f>
        <v>#DIV/0!</v>
      </c>
      <c r="I7366" s="87"/>
      <c r="J7366" s="88"/>
      <c r="K7366" s="88"/>
      <c r="L7366" s="89"/>
      <c r="M7366" s="89"/>
      <c r="Q7366" s="105"/>
    </row>
    <row r="7367" spans="3:17" x14ac:dyDescent="0.3">
      <c r="C7367" s="87"/>
      <c r="H7367" s="86" t="e">
        <f>IF(I7367="fora",0%,G7367/QUÓRUM!$C$6)</f>
        <v>#DIV/0!</v>
      </c>
      <c r="I7367" s="87"/>
      <c r="J7367" s="88"/>
      <c r="K7367" s="88"/>
      <c r="L7367" s="89"/>
      <c r="M7367" s="89"/>
      <c r="Q7367" s="105"/>
    </row>
    <row r="7368" spans="3:17" x14ac:dyDescent="0.3">
      <c r="C7368" s="87"/>
      <c r="H7368" s="86" t="e">
        <f>IF(I7368="fora",0%,G7368/QUÓRUM!$C$6)</f>
        <v>#DIV/0!</v>
      </c>
      <c r="I7368" s="87"/>
      <c r="J7368" s="88"/>
      <c r="K7368" s="88"/>
      <c r="L7368" s="89"/>
      <c r="M7368" s="89"/>
      <c r="Q7368" s="105"/>
    </row>
    <row r="7369" spans="3:17" x14ac:dyDescent="0.3">
      <c r="C7369" s="87"/>
      <c r="H7369" s="86" t="e">
        <f>IF(I7369="fora",0%,G7369/QUÓRUM!$C$6)</f>
        <v>#DIV/0!</v>
      </c>
      <c r="I7369" s="87"/>
      <c r="J7369" s="88"/>
      <c r="K7369" s="88"/>
      <c r="L7369" s="89"/>
      <c r="M7369" s="89"/>
      <c r="Q7369" s="105"/>
    </row>
    <row r="7370" spans="3:17" x14ac:dyDescent="0.3">
      <c r="C7370" s="87"/>
      <c r="H7370" s="86" t="e">
        <f>IF(I7370="fora",0%,G7370/QUÓRUM!$C$6)</f>
        <v>#DIV/0!</v>
      </c>
      <c r="I7370" s="87"/>
      <c r="J7370" s="88"/>
      <c r="K7370" s="88"/>
      <c r="L7370" s="89"/>
      <c r="M7370" s="89"/>
      <c r="Q7370" s="105"/>
    </row>
    <row r="7371" spans="3:17" x14ac:dyDescent="0.3">
      <c r="C7371" s="87"/>
      <c r="H7371" s="86" t="e">
        <f>IF(I7371="fora",0%,G7371/QUÓRUM!$C$6)</f>
        <v>#DIV/0!</v>
      </c>
      <c r="I7371" s="87"/>
      <c r="J7371" s="88"/>
      <c r="K7371" s="88"/>
      <c r="L7371" s="89"/>
      <c r="M7371" s="89"/>
      <c r="Q7371" s="105"/>
    </row>
    <row r="7372" spans="3:17" x14ac:dyDescent="0.3">
      <c r="C7372" s="87"/>
      <c r="H7372" s="86" t="e">
        <f>IF(I7372="fora",0%,G7372/QUÓRUM!$C$6)</f>
        <v>#DIV/0!</v>
      </c>
      <c r="I7372" s="87"/>
      <c r="J7372" s="88"/>
      <c r="K7372" s="88"/>
      <c r="L7372" s="89"/>
      <c r="M7372" s="89"/>
      <c r="Q7372" s="105"/>
    </row>
    <row r="7373" spans="3:17" x14ac:dyDescent="0.3">
      <c r="C7373" s="87"/>
      <c r="H7373" s="86" t="e">
        <f>IF(I7373="fora",0%,G7373/QUÓRUM!$C$6)</f>
        <v>#DIV/0!</v>
      </c>
      <c r="I7373" s="87"/>
      <c r="J7373" s="88"/>
      <c r="K7373" s="88"/>
      <c r="L7373" s="89"/>
      <c r="M7373" s="89"/>
      <c r="Q7373" s="105"/>
    </row>
    <row r="7374" spans="3:17" x14ac:dyDescent="0.3">
      <c r="C7374" s="87"/>
      <c r="H7374" s="86" t="e">
        <f>IF(I7374="fora",0%,G7374/QUÓRUM!$C$6)</f>
        <v>#DIV/0!</v>
      </c>
      <c r="I7374" s="87"/>
      <c r="J7374" s="88"/>
      <c r="K7374" s="88"/>
      <c r="L7374" s="89"/>
      <c r="M7374" s="89"/>
      <c r="Q7374" s="105"/>
    </row>
    <row r="7375" spans="3:17" x14ac:dyDescent="0.3">
      <c r="C7375" s="87"/>
      <c r="H7375" s="86" t="e">
        <f>IF(I7375="fora",0%,G7375/QUÓRUM!$C$6)</f>
        <v>#DIV/0!</v>
      </c>
      <c r="I7375" s="87"/>
      <c r="J7375" s="88"/>
      <c r="K7375" s="88"/>
      <c r="L7375" s="89"/>
      <c r="M7375" s="89"/>
      <c r="Q7375" s="105"/>
    </row>
    <row r="7376" spans="3:17" x14ac:dyDescent="0.3">
      <c r="C7376" s="87"/>
      <c r="H7376" s="86" t="e">
        <f>IF(I7376="fora",0%,G7376/QUÓRUM!$C$6)</f>
        <v>#DIV/0!</v>
      </c>
      <c r="I7376" s="87"/>
      <c r="J7376" s="88"/>
      <c r="K7376" s="88"/>
      <c r="L7376" s="89"/>
      <c r="M7376" s="89"/>
      <c r="Q7376" s="105"/>
    </row>
    <row r="7377" spans="3:17" x14ac:dyDescent="0.3">
      <c r="C7377" s="87"/>
      <c r="H7377" s="86" t="e">
        <f>IF(I7377="fora",0%,G7377/QUÓRUM!$C$6)</f>
        <v>#DIV/0!</v>
      </c>
      <c r="I7377" s="87"/>
      <c r="J7377" s="88"/>
      <c r="K7377" s="88"/>
      <c r="L7377" s="89"/>
      <c r="M7377" s="89"/>
      <c r="Q7377" s="105"/>
    </row>
    <row r="7378" spans="3:17" x14ac:dyDescent="0.3">
      <c r="C7378" s="87"/>
      <c r="H7378" s="86" t="e">
        <f>IF(I7378="fora",0%,G7378/QUÓRUM!$C$6)</f>
        <v>#DIV/0!</v>
      </c>
      <c r="I7378" s="87"/>
      <c r="J7378" s="88"/>
      <c r="K7378" s="88"/>
      <c r="L7378" s="89"/>
      <c r="M7378" s="89"/>
      <c r="Q7378" s="105"/>
    </row>
    <row r="7379" spans="3:17" x14ac:dyDescent="0.3">
      <c r="C7379" s="87"/>
      <c r="H7379" s="86" t="e">
        <f>IF(I7379="fora",0%,G7379/QUÓRUM!$C$6)</f>
        <v>#DIV/0!</v>
      </c>
      <c r="I7379" s="87"/>
      <c r="J7379" s="88"/>
      <c r="K7379" s="88"/>
      <c r="L7379" s="89"/>
      <c r="M7379" s="89"/>
      <c r="Q7379" s="105"/>
    </row>
    <row r="7380" spans="3:17" x14ac:dyDescent="0.3">
      <c r="C7380" s="87"/>
      <c r="H7380" s="86" t="e">
        <f>IF(I7380="fora",0%,G7380/QUÓRUM!$C$6)</f>
        <v>#DIV/0!</v>
      </c>
      <c r="I7380" s="87"/>
      <c r="J7380" s="88"/>
      <c r="K7380" s="88"/>
      <c r="L7380" s="89"/>
      <c r="M7380" s="89"/>
      <c r="Q7380" s="105"/>
    </row>
    <row r="7381" spans="3:17" x14ac:dyDescent="0.3">
      <c r="C7381" s="87"/>
      <c r="H7381" s="86" t="e">
        <f>IF(I7381="fora",0%,G7381/QUÓRUM!$C$6)</f>
        <v>#DIV/0!</v>
      </c>
      <c r="I7381" s="87"/>
      <c r="J7381" s="88"/>
      <c r="K7381" s="88"/>
      <c r="L7381" s="89"/>
      <c r="M7381" s="89"/>
      <c r="Q7381" s="105"/>
    </row>
    <row r="7382" spans="3:17" x14ac:dyDescent="0.3">
      <c r="C7382" s="87"/>
      <c r="H7382" s="86" t="e">
        <f>IF(I7382="fora",0%,G7382/QUÓRUM!$C$6)</f>
        <v>#DIV/0!</v>
      </c>
      <c r="I7382" s="87"/>
      <c r="J7382" s="88"/>
      <c r="K7382" s="88"/>
      <c r="L7382" s="89"/>
      <c r="M7382" s="89"/>
      <c r="Q7382" s="105"/>
    </row>
    <row r="7383" spans="3:17" x14ac:dyDescent="0.3">
      <c r="C7383" s="87"/>
      <c r="H7383" s="86" t="e">
        <f>IF(I7383="fora",0%,G7383/QUÓRUM!$C$6)</f>
        <v>#DIV/0!</v>
      </c>
      <c r="I7383" s="87"/>
      <c r="J7383" s="88"/>
      <c r="K7383" s="88"/>
      <c r="L7383" s="89"/>
      <c r="M7383" s="89"/>
      <c r="Q7383" s="105"/>
    </row>
    <row r="7384" spans="3:17" x14ac:dyDescent="0.3">
      <c r="C7384" s="87"/>
      <c r="H7384" s="86" t="e">
        <f>IF(I7384="fora",0%,G7384/QUÓRUM!$C$6)</f>
        <v>#DIV/0!</v>
      </c>
      <c r="I7384" s="87"/>
      <c r="J7384" s="88"/>
      <c r="K7384" s="88"/>
      <c r="L7384" s="89"/>
      <c r="M7384" s="89"/>
      <c r="Q7384" s="105"/>
    </row>
    <row r="7385" spans="3:17" x14ac:dyDescent="0.3">
      <c r="C7385" s="87"/>
      <c r="H7385" s="86" t="e">
        <f>IF(I7385="fora",0%,G7385/QUÓRUM!$C$6)</f>
        <v>#DIV/0!</v>
      </c>
      <c r="I7385" s="87"/>
      <c r="J7385" s="88"/>
      <c r="K7385" s="88"/>
      <c r="L7385" s="89"/>
      <c r="M7385" s="89"/>
      <c r="Q7385" s="105"/>
    </row>
    <row r="7386" spans="3:17" x14ac:dyDescent="0.3">
      <c r="C7386" s="87"/>
      <c r="H7386" s="86" t="e">
        <f>IF(I7386="fora",0%,G7386/QUÓRUM!$C$6)</f>
        <v>#DIV/0!</v>
      </c>
      <c r="I7386" s="87"/>
      <c r="J7386" s="88"/>
      <c r="K7386" s="88"/>
      <c r="L7386" s="89"/>
      <c r="M7386" s="89"/>
      <c r="Q7386" s="105"/>
    </row>
    <row r="7387" spans="3:17" x14ac:dyDescent="0.3">
      <c r="C7387" s="87"/>
      <c r="H7387" s="86" t="e">
        <f>IF(I7387="fora",0%,G7387/QUÓRUM!$C$6)</f>
        <v>#DIV/0!</v>
      </c>
      <c r="I7387" s="87"/>
      <c r="J7387" s="88"/>
      <c r="K7387" s="88"/>
      <c r="L7387" s="89"/>
      <c r="M7387" s="89"/>
      <c r="Q7387" s="105"/>
    </row>
    <row r="7388" spans="3:17" x14ac:dyDescent="0.3">
      <c r="C7388" s="87"/>
      <c r="H7388" s="86" t="e">
        <f>IF(I7388="fora",0%,G7388/QUÓRUM!$C$6)</f>
        <v>#DIV/0!</v>
      </c>
      <c r="I7388" s="87"/>
      <c r="J7388" s="88"/>
      <c r="K7388" s="88"/>
      <c r="L7388" s="89"/>
      <c r="M7388" s="89"/>
      <c r="Q7388" s="105"/>
    </row>
    <row r="7389" spans="3:17" x14ac:dyDescent="0.3">
      <c r="C7389" s="87"/>
      <c r="H7389" s="86" t="e">
        <f>IF(I7389="fora",0%,G7389/QUÓRUM!$C$6)</f>
        <v>#DIV/0!</v>
      </c>
      <c r="I7389" s="87"/>
      <c r="J7389" s="88"/>
      <c r="K7389" s="88"/>
      <c r="L7389" s="89"/>
      <c r="M7389" s="89"/>
      <c r="Q7389" s="105"/>
    </row>
    <row r="7390" spans="3:17" x14ac:dyDescent="0.3">
      <c r="C7390" s="87"/>
      <c r="H7390" s="86" t="e">
        <f>IF(I7390="fora",0%,G7390/QUÓRUM!$C$6)</f>
        <v>#DIV/0!</v>
      </c>
      <c r="I7390" s="87"/>
      <c r="J7390" s="88"/>
      <c r="K7390" s="88"/>
      <c r="L7390" s="89"/>
      <c r="M7390" s="89"/>
      <c r="Q7390" s="105"/>
    </row>
    <row r="7391" spans="3:17" x14ac:dyDescent="0.3">
      <c r="C7391" s="87"/>
      <c r="H7391" s="86" t="e">
        <f>IF(I7391="fora",0%,G7391/QUÓRUM!$C$6)</f>
        <v>#DIV/0!</v>
      </c>
      <c r="I7391" s="87"/>
      <c r="J7391" s="88"/>
      <c r="K7391" s="88"/>
      <c r="L7391" s="89"/>
      <c r="M7391" s="89"/>
      <c r="Q7391" s="105"/>
    </row>
    <row r="7392" spans="3:17" x14ac:dyDescent="0.3">
      <c r="C7392" s="87"/>
      <c r="H7392" s="86" t="e">
        <f>IF(I7392="fora",0%,G7392/QUÓRUM!$C$6)</f>
        <v>#DIV/0!</v>
      </c>
      <c r="I7392" s="87"/>
      <c r="J7392" s="88"/>
      <c r="K7392" s="88"/>
      <c r="L7392" s="89"/>
      <c r="M7392" s="89"/>
      <c r="Q7392" s="105"/>
    </row>
    <row r="7393" spans="3:17" x14ac:dyDescent="0.3">
      <c r="C7393" s="87"/>
      <c r="H7393" s="86" t="e">
        <f>IF(I7393="fora",0%,G7393/QUÓRUM!$C$6)</f>
        <v>#DIV/0!</v>
      </c>
      <c r="I7393" s="87"/>
      <c r="J7393" s="88"/>
      <c r="K7393" s="88"/>
      <c r="L7393" s="89"/>
      <c r="M7393" s="89"/>
      <c r="Q7393" s="105"/>
    </row>
    <row r="7394" spans="3:17" x14ac:dyDescent="0.3">
      <c r="C7394" s="87"/>
      <c r="H7394" s="86" t="e">
        <f>IF(I7394="fora",0%,G7394/QUÓRUM!$C$6)</f>
        <v>#DIV/0!</v>
      </c>
      <c r="I7394" s="87"/>
      <c r="J7394" s="88"/>
      <c r="K7394" s="88"/>
      <c r="L7394" s="89"/>
      <c r="M7394" s="89"/>
      <c r="Q7394" s="105"/>
    </row>
    <row r="7395" spans="3:17" x14ac:dyDescent="0.3">
      <c r="C7395" s="87"/>
      <c r="H7395" s="86" t="e">
        <f>IF(I7395="fora",0%,G7395/QUÓRUM!$C$6)</f>
        <v>#DIV/0!</v>
      </c>
      <c r="I7395" s="87"/>
      <c r="J7395" s="88"/>
      <c r="K7395" s="88"/>
      <c r="L7395" s="89"/>
      <c r="M7395" s="89"/>
      <c r="Q7395" s="105"/>
    </row>
    <row r="7396" spans="3:17" x14ac:dyDescent="0.3">
      <c r="C7396" s="87"/>
      <c r="H7396" s="86" t="e">
        <f>IF(I7396="fora",0%,G7396/QUÓRUM!$C$6)</f>
        <v>#DIV/0!</v>
      </c>
      <c r="I7396" s="87"/>
      <c r="J7396" s="88"/>
      <c r="K7396" s="88"/>
      <c r="L7396" s="89"/>
      <c r="M7396" s="89"/>
      <c r="Q7396" s="105"/>
    </row>
    <row r="7397" spans="3:17" x14ac:dyDescent="0.3">
      <c r="C7397" s="87"/>
      <c r="H7397" s="86" t="e">
        <f>IF(I7397="fora",0%,G7397/QUÓRUM!$C$6)</f>
        <v>#DIV/0!</v>
      </c>
      <c r="I7397" s="87"/>
      <c r="J7397" s="88"/>
      <c r="K7397" s="88"/>
      <c r="L7397" s="89"/>
      <c r="M7397" s="89"/>
      <c r="Q7397" s="105"/>
    </row>
    <row r="7398" spans="3:17" x14ac:dyDescent="0.3">
      <c r="C7398" s="87"/>
      <c r="H7398" s="86" t="e">
        <f>IF(I7398="fora",0%,G7398/QUÓRUM!$C$6)</f>
        <v>#DIV/0!</v>
      </c>
      <c r="I7398" s="87"/>
      <c r="J7398" s="88"/>
      <c r="K7398" s="88"/>
      <c r="L7398" s="89"/>
      <c r="M7398" s="89"/>
      <c r="Q7398" s="105"/>
    </row>
    <row r="7399" spans="3:17" x14ac:dyDescent="0.3">
      <c r="C7399" s="87"/>
      <c r="H7399" s="86" t="e">
        <f>IF(I7399="fora",0%,G7399/QUÓRUM!$C$6)</f>
        <v>#DIV/0!</v>
      </c>
      <c r="I7399" s="87"/>
      <c r="J7399" s="88"/>
      <c r="K7399" s="88"/>
      <c r="L7399" s="89"/>
      <c r="M7399" s="89"/>
      <c r="Q7399" s="105"/>
    </row>
    <row r="7400" spans="3:17" x14ac:dyDescent="0.3">
      <c r="C7400" s="87"/>
      <c r="H7400" s="86" t="e">
        <f>IF(I7400="fora",0%,G7400/QUÓRUM!$C$6)</f>
        <v>#DIV/0!</v>
      </c>
      <c r="I7400" s="87"/>
      <c r="J7400" s="88"/>
      <c r="K7400" s="88"/>
      <c r="L7400" s="89"/>
      <c r="M7400" s="89"/>
      <c r="Q7400" s="105"/>
    </row>
    <row r="7401" spans="3:17" x14ac:dyDescent="0.3">
      <c r="C7401" s="87"/>
      <c r="H7401" s="86" t="e">
        <f>IF(I7401="fora",0%,G7401/QUÓRUM!$C$6)</f>
        <v>#DIV/0!</v>
      </c>
      <c r="I7401" s="87"/>
      <c r="J7401" s="88"/>
      <c r="K7401" s="88"/>
      <c r="L7401" s="89"/>
      <c r="M7401" s="89"/>
      <c r="Q7401" s="105"/>
    </row>
    <row r="7402" spans="3:17" x14ac:dyDescent="0.3">
      <c r="C7402" s="87"/>
      <c r="H7402" s="86" t="e">
        <f>IF(I7402="fora",0%,G7402/QUÓRUM!$C$6)</f>
        <v>#DIV/0!</v>
      </c>
      <c r="I7402" s="87"/>
      <c r="J7402" s="88"/>
      <c r="K7402" s="88"/>
      <c r="L7402" s="89"/>
      <c r="M7402" s="89"/>
      <c r="Q7402" s="105"/>
    </row>
    <row r="7403" spans="3:17" x14ac:dyDescent="0.3">
      <c r="C7403" s="87"/>
      <c r="H7403" s="86" t="e">
        <f>IF(I7403="fora",0%,G7403/QUÓRUM!$C$6)</f>
        <v>#DIV/0!</v>
      </c>
      <c r="I7403" s="87"/>
      <c r="J7403" s="88"/>
      <c r="K7403" s="88"/>
      <c r="L7403" s="89"/>
      <c r="M7403" s="89"/>
      <c r="Q7403" s="105"/>
    </row>
    <row r="7404" spans="3:17" x14ac:dyDescent="0.3">
      <c r="C7404" s="87"/>
      <c r="H7404" s="86" t="e">
        <f>IF(I7404="fora",0%,G7404/QUÓRUM!$C$6)</f>
        <v>#DIV/0!</v>
      </c>
      <c r="I7404" s="87"/>
      <c r="J7404" s="88"/>
      <c r="K7404" s="88"/>
      <c r="L7404" s="89"/>
      <c r="M7404" s="89"/>
      <c r="Q7404" s="105"/>
    </row>
    <row r="7405" spans="3:17" x14ac:dyDescent="0.3">
      <c r="C7405" s="87"/>
      <c r="H7405" s="86" t="e">
        <f>IF(I7405="fora",0%,G7405/QUÓRUM!$C$6)</f>
        <v>#DIV/0!</v>
      </c>
      <c r="I7405" s="87"/>
      <c r="J7405" s="88"/>
      <c r="K7405" s="88"/>
      <c r="L7405" s="89"/>
      <c r="M7405" s="89"/>
      <c r="Q7405" s="105"/>
    </row>
    <row r="7406" spans="3:17" x14ac:dyDescent="0.3">
      <c r="C7406" s="87"/>
      <c r="H7406" s="86" t="e">
        <f>IF(I7406="fora",0%,G7406/QUÓRUM!$C$6)</f>
        <v>#DIV/0!</v>
      </c>
      <c r="I7406" s="87"/>
      <c r="J7406" s="88"/>
      <c r="K7406" s="88"/>
      <c r="L7406" s="89"/>
      <c r="M7406" s="89"/>
      <c r="Q7406" s="105"/>
    </row>
    <row r="7407" spans="3:17" x14ac:dyDescent="0.3">
      <c r="C7407" s="87"/>
      <c r="H7407" s="86" t="e">
        <f>IF(I7407="fora",0%,G7407/QUÓRUM!$C$6)</f>
        <v>#DIV/0!</v>
      </c>
      <c r="I7407" s="87"/>
      <c r="J7407" s="88"/>
      <c r="K7407" s="88"/>
      <c r="L7407" s="89"/>
      <c r="M7407" s="89"/>
      <c r="Q7407" s="105"/>
    </row>
    <row r="7408" spans="3:17" x14ac:dyDescent="0.3">
      <c r="C7408" s="87"/>
      <c r="H7408" s="86" t="e">
        <f>IF(I7408="fora",0%,G7408/QUÓRUM!$C$6)</f>
        <v>#DIV/0!</v>
      </c>
      <c r="I7408" s="87"/>
      <c r="J7408" s="88"/>
      <c r="K7408" s="88"/>
      <c r="L7408" s="89"/>
      <c r="M7408" s="89"/>
      <c r="Q7408" s="105"/>
    </row>
    <row r="7409" spans="3:17" x14ac:dyDescent="0.3">
      <c r="C7409" s="87"/>
      <c r="H7409" s="86" t="e">
        <f>IF(I7409="fora",0%,G7409/QUÓRUM!$C$6)</f>
        <v>#DIV/0!</v>
      </c>
      <c r="I7409" s="87"/>
      <c r="J7409" s="88"/>
      <c r="K7409" s="88"/>
      <c r="L7409" s="89"/>
      <c r="M7409" s="89"/>
      <c r="Q7409" s="105"/>
    </row>
    <row r="7410" spans="3:17" x14ac:dyDescent="0.3">
      <c r="C7410" s="87"/>
      <c r="H7410" s="86" t="e">
        <f>IF(I7410="fora",0%,G7410/QUÓRUM!$C$6)</f>
        <v>#DIV/0!</v>
      </c>
      <c r="I7410" s="87"/>
      <c r="J7410" s="88"/>
      <c r="K7410" s="88"/>
      <c r="L7410" s="89"/>
      <c r="M7410" s="89"/>
      <c r="Q7410" s="105"/>
    </row>
    <row r="7411" spans="3:17" x14ac:dyDescent="0.3">
      <c r="C7411" s="87"/>
      <c r="H7411" s="86" t="e">
        <f>IF(I7411="fora",0%,G7411/QUÓRUM!$C$6)</f>
        <v>#DIV/0!</v>
      </c>
      <c r="I7411" s="87"/>
      <c r="J7411" s="88"/>
      <c r="K7411" s="88"/>
      <c r="L7411" s="89"/>
      <c r="M7411" s="89"/>
      <c r="Q7411" s="105"/>
    </row>
    <row r="7412" spans="3:17" x14ac:dyDescent="0.3">
      <c r="C7412" s="87"/>
      <c r="H7412" s="86" t="e">
        <f>IF(I7412="fora",0%,G7412/QUÓRUM!$C$6)</f>
        <v>#DIV/0!</v>
      </c>
      <c r="I7412" s="87"/>
      <c r="J7412" s="88"/>
      <c r="K7412" s="88"/>
      <c r="L7412" s="89"/>
      <c r="M7412" s="89"/>
      <c r="Q7412" s="105"/>
    </row>
    <row r="7413" spans="3:17" x14ac:dyDescent="0.3">
      <c r="C7413" s="87"/>
      <c r="G7413" s="115"/>
      <c r="H7413" s="86" t="e">
        <f>IF(I7413="fora",0%,G7413/QUÓRUM!$C$6)</f>
        <v>#DIV/0!</v>
      </c>
      <c r="I7413" s="87"/>
      <c r="J7413" s="88"/>
      <c r="K7413" s="88"/>
      <c r="L7413" s="89"/>
      <c r="M7413" s="89"/>
      <c r="Q7413" s="105"/>
    </row>
    <row r="7414" spans="3:17" x14ac:dyDescent="0.3">
      <c r="C7414" s="87"/>
      <c r="H7414" s="86" t="e">
        <f>IF(I7414="fora",0%,G7414/QUÓRUM!$C$6)</f>
        <v>#DIV/0!</v>
      </c>
      <c r="I7414" s="87"/>
      <c r="J7414" s="88"/>
      <c r="K7414" s="88"/>
      <c r="L7414" s="89"/>
      <c r="M7414" s="89"/>
      <c r="Q7414" s="105"/>
    </row>
    <row r="7415" spans="3:17" x14ac:dyDescent="0.3">
      <c r="C7415" s="87"/>
      <c r="H7415" s="86" t="e">
        <f>IF(I7415="fora",0%,G7415/QUÓRUM!$C$6)</f>
        <v>#DIV/0!</v>
      </c>
      <c r="I7415" s="87"/>
      <c r="J7415" s="88"/>
      <c r="K7415" s="88"/>
      <c r="L7415" s="89"/>
      <c r="M7415" s="89"/>
      <c r="Q7415" s="105"/>
    </row>
    <row r="7416" spans="3:17" x14ac:dyDescent="0.3">
      <c r="C7416" s="87"/>
      <c r="H7416" s="86" t="e">
        <f>IF(I7416="fora",0%,G7416/QUÓRUM!$C$6)</f>
        <v>#DIV/0!</v>
      </c>
      <c r="I7416" s="87"/>
      <c r="J7416" s="88"/>
      <c r="K7416" s="88"/>
      <c r="L7416" s="89"/>
      <c r="M7416" s="89"/>
      <c r="Q7416" s="105"/>
    </row>
    <row r="7417" spans="3:17" x14ac:dyDescent="0.3">
      <c r="C7417" s="87"/>
      <c r="H7417" s="86" t="e">
        <f>IF(I7417="fora",0%,G7417/QUÓRUM!$C$6)</f>
        <v>#DIV/0!</v>
      </c>
      <c r="I7417" s="87"/>
      <c r="J7417" s="88"/>
      <c r="K7417" s="88"/>
      <c r="L7417" s="89"/>
      <c r="M7417" s="89"/>
      <c r="Q7417" s="105"/>
    </row>
    <row r="7418" spans="3:17" x14ac:dyDescent="0.3">
      <c r="C7418" s="87"/>
      <c r="H7418" s="86" t="e">
        <f>IF(I7418="fora",0%,G7418/QUÓRUM!$C$6)</f>
        <v>#DIV/0!</v>
      </c>
      <c r="I7418" s="87"/>
      <c r="J7418" s="88"/>
      <c r="K7418" s="88"/>
      <c r="L7418" s="89"/>
      <c r="M7418" s="89"/>
      <c r="Q7418" s="105"/>
    </row>
    <row r="7419" spans="3:17" x14ac:dyDescent="0.3">
      <c r="C7419" s="87"/>
      <c r="H7419" s="86" t="e">
        <f>IF(I7419="fora",0%,G7419/QUÓRUM!$C$6)</f>
        <v>#DIV/0!</v>
      </c>
      <c r="I7419" s="87"/>
      <c r="J7419" s="88"/>
      <c r="K7419" s="88"/>
      <c r="L7419" s="89"/>
      <c r="M7419" s="89"/>
      <c r="Q7419" s="105"/>
    </row>
    <row r="7420" spans="3:17" x14ac:dyDescent="0.3">
      <c r="C7420" s="87"/>
      <c r="H7420" s="86" t="e">
        <f>IF(I7420="fora",0%,G7420/QUÓRUM!$C$6)</f>
        <v>#DIV/0!</v>
      </c>
      <c r="I7420" s="87"/>
      <c r="J7420" s="88"/>
      <c r="K7420" s="88"/>
      <c r="L7420" s="89"/>
      <c r="M7420" s="89"/>
      <c r="Q7420" s="105"/>
    </row>
    <row r="7421" spans="3:17" x14ac:dyDescent="0.3">
      <c r="C7421" s="87"/>
      <c r="H7421" s="86" t="e">
        <f>IF(I7421="fora",0%,G7421/QUÓRUM!$C$6)</f>
        <v>#DIV/0!</v>
      </c>
      <c r="I7421" s="87"/>
      <c r="J7421" s="88"/>
      <c r="K7421" s="88"/>
      <c r="L7421" s="89"/>
      <c r="M7421" s="89"/>
      <c r="Q7421" s="105"/>
    </row>
    <row r="7422" spans="3:17" x14ac:dyDescent="0.3">
      <c r="C7422" s="87"/>
      <c r="H7422" s="86" t="e">
        <f>IF(I7422="fora",0%,G7422/QUÓRUM!$C$6)</f>
        <v>#DIV/0!</v>
      </c>
      <c r="I7422" s="87"/>
      <c r="J7422" s="88"/>
      <c r="K7422" s="88"/>
      <c r="L7422" s="89"/>
      <c r="M7422" s="89"/>
      <c r="Q7422" s="105"/>
    </row>
    <row r="7423" spans="3:17" x14ac:dyDescent="0.3">
      <c r="C7423" s="87"/>
      <c r="H7423" s="86" t="e">
        <f>IF(I7423="fora",0%,G7423/QUÓRUM!$C$6)</f>
        <v>#DIV/0!</v>
      </c>
      <c r="I7423" s="87"/>
      <c r="J7423" s="88"/>
      <c r="K7423" s="88"/>
      <c r="L7423" s="89"/>
      <c r="M7423" s="89"/>
      <c r="Q7423" s="105"/>
    </row>
    <row r="7424" spans="3:17" x14ac:dyDescent="0.3">
      <c r="C7424" s="87"/>
      <c r="H7424" s="86" t="e">
        <f>IF(I7424="fora",0%,G7424/QUÓRUM!$C$6)</f>
        <v>#DIV/0!</v>
      </c>
      <c r="I7424" s="87"/>
      <c r="J7424" s="88"/>
      <c r="K7424" s="88"/>
      <c r="L7424" s="89"/>
      <c r="M7424" s="89"/>
      <c r="Q7424" s="105"/>
    </row>
    <row r="7425" spans="3:17" x14ac:dyDescent="0.3">
      <c r="C7425" s="87"/>
      <c r="H7425" s="86" t="e">
        <f>IF(I7425="fora",0%,G7425/QUÓRUM!$C$6)</f>
        <v>#DIV/0!</v>
      </c>
      <c r="I7425" s="87"/>
      <c r="J7425" s="88"/>
      <c r="K7425" s="88"/>
      <c r="L7425" s="89"/>
      <c r="M7425" s="89"/>
      <c r="Q7425" s="105"/>
    </row>
    <row r="7426" spans="3:17" x14ac:dyDescent="0.3">
      <c r="C7426" s="87"/>
      <c r="H7426" s="86" t="e">
        <f>IF(I7426="fora",0%,G7426/QUÓRUM!$C$6)</f>
        <v>#DIV/0!</v>
      </c>
      <c r="I7426" s="87"/>
      <c r="J7426" s="88"/>
      <c r="K7426" s="88"/>
      <c r="L7426" s="89"/>
      <c r="M7426" s="89"/>
      <c r="Q7426" s="105"/>
    </row>
    <row r="7427" spans="3:17" x14ac:dyDescent="0.3">
      <c r="C7427" s="87"/>
      <c r="H7427" s="86" t="e">
        <f>IF(I7427="fora",0%,G7427/QUÓRUM!$C$6)</f>
        <v>#DIV/0!</v>
      </c>
      <c r="I7427" s="87"/>
      <c r="J7427" s="88"/>
      <c r="K7427" s="88"/>
      <c r="L7427" s="89"/>
      <c r="M7427" s="89"/>
      <c r="Q7427" s="105"/>
    </row>
    <row r="7428" spans="3:17" x14ac:dyDescent="0.3">
      <c r="C7428" s="87"/>
      <c r="H7428" s="86" t="e">
        <f>IF(I7428="fora",0%,G7428/QUÓRUM!$C$6)</f>
        <v>#DIV/0!</v>
      </c>
      <c r="I7428" s="87"/>
      <c r="J7428" s="88"/>
      <c r="K7428" s="88"/>
      <c r="L7428" s="89"/>
      <c r="M7428" s="89"/>
      <c r="Q7428" s="105"/>
    </row>
    <row r="7429" spans="3:17" x14ac:dyDescent="0.3">
      <c r="C7429" s="87"/>
      <c r="H7429" s="86" t="e">
        <f>IF(I7429="fora",0%,G7429/QUÓRUM!$C$6)</f>
        <v>#DIV/0!</v>
      </c>
      <c r="I7429" s="87"/>
      <c r="J7429" s="88"/>
      <c r="K7429" s="88"/>
      <c r="L7429" s="89"/>
      <c r="M7429" s="89"/>
      <c r="Q7429" s="105"/>
    </row>
    <row r="7430" spans="3:17" x14ac:dyDescent="0.3">
      <c r="C7430" s="87"/>
      <c r="H7430" s="86" t="e">
        <f>IF(I7430="fora",0%,G7430/QUÓRUM!$C$6)</f>
        <v>#DIV/0!</v>
      </c>
      <c r="I7430" s="87"/>
      <c r="J7430" s="88"/>
      <c r="K7430" s="88"/>
      <c r="L7430" s="89"/>
      <c r="M7430" s="89"/>
      <c r="Q7430" s="105"/>
    </row>
    <row r="7431" spans="3:17" x14ac:dyDescent="0.3">
      <c r="C7431" s="87"/>
      <c r="H7431" s="86" t="e">
        <f>IF(I7431="fora",0%,G7431/QUÓRUM!$C$6)</f>
        <v>#DIV/0!</v>
      </c>
      <c r="I7431" s="87"/>
      <c r="J7431" s="88"/>
      <c r="K7431" s="88"/>
      <c r="L7431" s="89"/>
      <c r="M7431" s="89"/>
      <c r="Q7431" s="105"/>
    </row>
    <row r="7432" spans="3:17" x14ac:dyDescent="0.3">
      <c r="C7432" s="87"/>
      <c r="H7432" s="86" t="e">
        <f>IF(I7432="fora",0%,G7432/QUÓRUM!$C$6)</f>
        <v>#DIV/0!</v>
      </c>
      <c r="I7432" s="87"/>
      <c r="J7432" s="88"/>
      <c r="K7432" s="88"/>
      <c r="L7432" s="89"/>
      <c r="M7432" s="89"/>
      <c r="Q7432" s="105"/>
    </row>
    <row r="7433" spans="3:17" x14ac:dyDescent="0.3">
      <c r="C7433" s="87"/>
      <c r="H7433" s="86" t="e">
        <f>IF(I7433="fora",0%,G7433/QUÓRUM!$C$6)</f>
        <v>#DIV/0!</v>
      </c>
      <c r="I7433" s="87"/>
      <c r="J7433" s="88"/>
      <c r="K7433" s="88"/>
      <c r="L7433" s="89"/>
      <c r="M7433" s="89"/>
      <c r="Q7433" s="105"/>
    </row>
    <row r="7434" spans="3:17" x14ac:dyDescent="0.3">
      <c r="C7434" s="87"/>
      <c r="H7434" s="86" t="e">
        <f>IF(I7434="fora",0%,G7434/QUÓRUM!$C$6)</f>
        <v>#DIV/0!</v>
      </c>
      <c r="I7434" s="87"/>
      <c r="J7434" s="88"/>
      <c r="K7434" s="88"/>
      <c r="L7434" s="89"/>
      <c r="M7434" s="89"/>
      <c r="Q7434" s="105"/>
    </row>
    <row r="7435" spans="3:17" x14ac:dyDescent="0.3">
      <c r="C7435" s="87"/>
      <c r="H7435" s="86" t="e">
        <f>IF(I7435="fora",0%,G7435/QUÓRUM!$C$6)</f>
        <v>#DIV/0!</v>
      </c>
      <c r="I7435" s="87"/>
      <c r="J7435" s="88"/>
      <c r="K7435" s="88"/>
      <c r="L7435" s="89"/>
      <c r="M7435" s="89"/>
      <c r="Q7435" s="105"/>
    </row>
    <row r="7436" spans="3:17" x14ac:dyDescent="0.3">
      <c r="C7436" s="87"/>
      <c r="H7436" s="86" t="e">
        <f>IF(I7436="fora",0%,G7436/QUÓRUM!$C$6)</f>
        <v>#DIV/0!</v>
      </c>
      <c r="I7436" s="87"/>
      <c r="J7436" s="88"/>
      <c r="K7436" s="88"/>
      <c r="L7436" s="89"/>
      <c r="M7436" s="89"/>
      <c r="Q7436" s="105"/>
    </row>
    <row r="7437" spans="3:17" x14ac:dyDescent="0.3">
      <c r="C7437" s="87"/>
      <c r="H7437" s="86" t="e">
        <f>IF(I7437="fora",0%,G7437/QUÓRUM!$C$6)</f>
        <v>#DIV/0!</v>
      </c>
      <c r="I7437" s="87"/>
      <c r="J7437" s="88"/>
      <c r="K7437" s="88"/>
      <c r="L7437" s="89"/>
      <c r="M7437" s="89"/>
      <c r="Q7437" s="105"/>
    </row>
    <row r="7438" spans="3:17" x14ac:dyDescent="0.3">
      <c r="C7438" s="87"/>
      <c r="H7438" s="86" t="e">
        <f>IF(I7438="fora",0%,G7438/QUÓRUM!$C$6)</f>
        <v>#DIV/0!</v>
      </c>
      <c r="I7438" s="87"/>
      <c r="J7438" s="88"/>
      <c r="K7438" s="88"/>
      <c r="L7438" s="89"/>
      <c r="M7438" s="89"/>
      <c r="Q7438" s="105"/>
    </row>
    <row r="7439" spans="3:17" x14ac:dyDescent="0.3">
      <c r="C7439" s="87"/>
      <c r="H7439" s="86" t="e">
        <f>IF(I7439="fora",0%,G7439/QUÓRUM!$C$6)</f>
        <v>#DIV/0!</v>
      </c>
      <c r="I7439" s="87"/>
      <c r="J7439" s="88"/>
      <c r="K7439" s="88"/>
      <c r="L7439" s="89"/>
      <c r="M7439" s="89"/>
      <c r="Q7439" s="105"/>
    </row>
    <row r="7440" spans="3:17" x14ac:dyDescent="0.3">
      <c r="C7440" s="87"/>
      <c r="H7440" s="86" t="e">
        <f>IF(I7440="fora",0%,G7440/QUÓRUM!$C$6)</f>
        <v>#DIV/0!</v>
      </c>
      <c r="I7440" s="87"/>
      <c r="J7440" s="88"/>
      <c r="K7440" s="88"/>
      <c r="L7440" s="89"/>
      <c r="M7440" s="89"/>
      <c r="Q7440" s="105"/>
    </row>
    <row r="7441" spans="3:17" x14ac:dyDescent="0.3">
      <c r="C7441" s="87"/>
      <c r="H7441" s="86" t="e">
        <f>IF(I7441="fora",0%,G7441/QUÓRUM!$C$6)</f>
        <v>#DIV/0!</v>
      </c>
      <c r="I7441" s="87"/>
      <c r="J7441" s="88"/>
      <c r="K7441" s="88"/>
      <c r="L7441" s="89"/>
      <c r="M7441" s="89"/>
      <c r="Q7441" s="105"/>
    </row>
    <row r="7442" spans="3:17" x14ac:dyDescent="0.3">
      <c r="C7442" s="87"/>
      <c r="H7442" s="86" t="e">
        <f>IF(I7442="fora",0%,G7442/QUÓRUM!$C$6)</f>
        <v>#DIV/0!</v>
      </c>
      <c r="I7442" s="87"/>
      <c r="J7442" s="88"/>
      <c r="K7442" s="88"/>
      <c r="L7442" s="89"/>
      <c r="M7442" s="89"/>
      <c r="Q7442" s="105"/>
    </row>
    <row r="7443" spans="3:17" x14ac:dyDescent="0.3">
      <c r="C7443" s="87"/>
      <c r="H7443" s="86" t="e">
        <f>IF(I7443="fora",0%,G7443/QUÓRUM!$C$6)</f>
        <v>#DIV/0!</v>
      </c>
      <c r="I7443" s="87"/>
      <c r="J7443" s="88"/>
      <c r="K7443" s="88"/>
      <c r="L7443" s="89"/>
      <c r="M7443" s="89"/>
      <c r="Q7443" s="105"/>
    </row>
    <row r="7444" spans="3:17" x14ac:dyDescent="0.3">
      <c r="C7444" s="87"/>
      <c r="H7444" s="86" t="e">
        <f>IF(I7444="fora",0%,G7444/QUÓRUM!$C$6)</f>
        <v>#DIV/0!</v>
      </c>
      <c r="I7444" s="87"/>
      <c r="J7444" s="88"/>
      <c r="K7444" s="88"/>
      <c r="L7444" s="89"/>
      <c r="M7444" s="89"/>
      <c r="Q7444" s="105"/>
    </row>
    <row r="7445" spans="3:17" x14ac:dyDescent="0.3">
      <c r="C7445" s="87"/>
      <c r="H7445" s="86" t="e">
        <f>IF(I7445="fora",0%,G7445/QUÓRUM!$C$6)</f>
        <v>#DIV/0!</v>
      </c>
      <c r="I7445" s="87"/>
      <c r="J7445" s="88"/>
      <c r="K7445" s="88"/>
      <c r="L7445" s="89"/>
      <c r="M7445" s="89"/>
      <c r="Q7445" s="105"/>
    </row>
    <row r="7446" spans="3:17" x14ac:dyDescent="0.3">
      <c r="C7446" s="87"/>
      <c r="H7446" s="86" t="e">
        <f>IF(I7446="fora",0%,G7446/QUÓRUM!$C$6)</f>
        <v>#DIV/0!</v>
      </c>
      <c r="I7446" s="87"/>
      <c r="J7446" s="88"/>
      <c r="K7446" s="88"/>
      <c r="L7446" s="89"/>
      <c r="M7446" s="89"/>
      <c r="Q7446" s="105"/>
    </row>
    <row r="7447" spans="3:17" x14ac:dyDescent="0.3">
      <c r="C7447" s="87"/>
      <c r="H7447" s="86" t="e">
        <f>IF(I7447="fora",0%,G7447/QUÓRUM!$C$6)</f>
        <v>#DIV/0!</v>
      </c>
      <c r="I7447" s="87"/>
      <c r="J7447" s="88"/>
      <c r="K7447" s="88"/>
      <c r="L7447" s="89"/>
      <c r="M7447" s="89"/>
      <c r="Q7447" s="105"/>
    </row>
    <row r="7448" spans="3:17" x14ac:dyDescent="0.3">
      <c r="C7448" s="87"/>
      <c r="H7448" s="86" t="e">
        <f>IF(I7448="fora",0%,G7448/QUÓRUM!$C$6)</f>
        <v>#DIV/0!</v>
      </c>
      <c r="I7448" s="87"/>
      <c r="J7448" s="88"/>
      <c r="K7448" s="88"/>
      <c r="L7448" s="89"/>
      <c r="M7448" s="89"/>
      <c r="Q7448" s="105"/>
    </row>
    <row r="7449" spans="3:17" x14ac:dyDescent="0.3">
      <c r="C7449" s="87"/>
      <c r="H7449" s="86" t="e">
        <f>IF(I7449="fora",0%,G7449/QUÓRUM!$C$6)</f>
        <v>#DIV/0!</v>
      </c>
      <c r="I7449" s="87"/>
      <c r="J7449" s="88"/>
      <c r="K7449" s="88"/>
      <c r="L7449" s="89"/>
      <c r="M7449" s="89"/>
      <c r="Q7449" s="105"/>
    </row>
    <row r="7450" spans="3:17" x14ac:dyDescent="0.3">
      <c r="C7450" s="87"/>
      <c r="H7450" s="86" t="e">
        <f>IF(I7450="fora",0%,G7450/QUÓRUM!$C$6)</f>
        <v>#DIV/0!</v>
      </c>
      <c r="I7450" s="87"/>
      <c r="J7450" s="88"/>
      <c r="K7450" s="88"/>
      <c r="L7450" s="89"/>
      <c r="M7450" s="89"/>
      <c r="Q7450" s="105"/>
    </row>
    <row r="7451" spans="3:17" x14ac:dyDescent="0.3">
      <c r="C7451" s="87"/>
      <c r="H7451" s="86" t="e">
        <f>IF(I7451="fora",0%,G7451/QUÓRUM!$C$6)</f>
        <v>#DIV/0!</v>
      </c>
      <c r="I7451" s="87"/>
      <c r="J7451" s="88"/>
      <c r="K7451" s="88"/>
      <c r="L7451" s="89"/>
      <c r="M7451" s="89"/>
      <c r="Q7451" s="105"/>
    </row>
    <row r="7452" spans="3:17" x14ac:dyDescent="0.3">
      <c r="C7452" s="87"/>
      <c r="H7452" s="86" t="e">
        <f>IF(I7452="fora",0%,G7452/QUÓRUM!$C$6)</f>
        <v>#DIV/0!</v>
      </c>
      <c r="I7452" s="87"/>
      <c r="J7452" s="88"/>
      <c r="K7452" s="88"/>
      <c r="L7452" s="89"/>
      <c r="M7452" s="89"/>
      <c r="Q7452" s="105"/>
    </row>
    <row r="7453" spans="3:17" x14ac:dyDescent="0.3">
      <c r="C7453" s="87"/>
      <c r="H7453" s="86" t="e">
        <f>IF(I7453="fora",0%,G7453/QUÓRUM!$C$6)</f>
        <v>#DIV/0!</v>
      </c>
      <c r="I7453" s="87"/>
      <c r="J7453" s="88"/>
      <c r="K7453" s="88"/>
      <c r="L7453" s="89"/>
      <c r="M7453" s="89"/>
      <c r="Q7453" s="105"/>
    </row>
    <row r="7454" spans="3:17" x14ac:dyDescent="0.3">
      <c r="C7454" s="87"/>
      <c r="H7454" s="86" t="e">
        <f>IF(I7454="fora",0%,G7454/QUÓRUM!$C$6)</f>
        <v>#DIV/0!</v>
      </c>
      <c r="I7454" s="87"/>
      <c r="J7454" s="88"/>
      <c r="K7454" s="88"/>
      <c r="L7454" s="89"/>
      <c r="M7454" s="89"/>
      <c r="Q7454" s="105"/>
    </row>
    <row r="7455" spans="3:17" x14ac:dyDescent="0.3">
      <c r="C7455" s="87"/>
      <c r="H7455" s="86" t="e">
        <f>IF(I7455="fora",0%,G7455/QUÓRUM!$C$6)</f>
        <v>#DIV/0!</v>
      </c>
      <c r="I7455" s="87"/>
      <c r="J7455" s="88"/>
      <c r="K7455" s="88"/>
      <c r="L7455" s="89"/>
      <c r="M7455" s="89"/>
      <c r="Q7455" s="105"/>
    </row>
    <row r="7456" spans="3:17" x14ac:dyDescent="0.3">
      <c r="C7456" s="87"/>
      <c r="H7456" s="86" t="e">
        <f>IF(I7456="fora",0%,G7456/QUÓRUM!$C$6)</f>
        <v>#DIV/0!</v>
      </c>
      <c r="I7456" s="87"/>
      <c r="J7456" s="88"/>
      <c r="K7456" s="88"/>
      <c r="L7456" s="89"/>
      <c r="M7456" s="89"/>
      <c r="Q7456" s="105"/>
    </row>
    <row r="7457" spans="3:17" x14ac:dyDescent="0.3">
      <c r="C7457" s="87"/>
      <c r="H7457" s="86" t="e">
        <f>IF(I7457="fora",0%,G7457/QUÓRUM!$C$6)</f>
        <v>#DIV/0!</v>
      </c>
      <c r="I7457" s="87"/>
      <c r="J7457" s="88"/>
      <c r="K7457" s="88"/>
      <c r="L7457" s="89"/>
      <c r="M7457" s="89"/>
      <c r="Q7457" s="105"/>
    </row>
    <row r="7458" spans="3:17" x14ac:dyDescent="0.3">
      <c r="C7458" s="87"/>
      <c r="H7458" s="86" t="e">
        <f>IF(I7458="fora",0%,G7458/QUÓRUM!$C$6)</f>
        <v>#DIV/0!</v>
      </c>
      <c r="I7458" s="87"/>
      <c r="J7458" s="88"/>
      <c r="K7458" s="88"/>
      <c r="L7458" s="89"/>
      <c r="M7458" s="89"/>
      <c r="Q7458" s="105"/>
    </row>
    <row r="7459" spans="3:17" x14ac:dyDescent="0.3">
      <c r="C7459" s="87"/>
      <c r="H7459" s="86" t="e">
        <f>IF(I7459="fora",0%,G7459/QUÓRUM!$C$6)</f>
        <v>#DIV/0!</v>
      </c>
      <c r="I7459" s="87"/>
      <c r="J7459" s="88"/>
      <c r="K7459" s="88"/>
      <c r="L7459" s="89"/>
      <c r="M7459" s="89"/>
      <c r="Q7459" s="105"/>
    </row>
    <row r="7460" spans="3:17" x14ac:dyDescent="0.3">
      <c r="C7460" s="87"/>
      <c r="H7460" s="86" t="e">
        <f>IF(I7460="fora",0%,G7460/QUÓRUM!$C$6)</f>
        <v>#DIV/0!</v>
      </c>
      <c r="I7460" s="87"/>
      <c r="J7460" s="88"/>
      <c r="K7460" s="88"/>
      <c r="L7460" s="89"/>
      <c r="M7460" s="89"/>
      <c r="Q7460" s="105"/>
    </row>
    <row r="7461" spans="3:17" x14ac:dyDescent="0.3">
      <c r="C7461" s="87"/>
      <c r="H7461" s="86" t="e">
        <f>IF(I7461="fora",0%,G7461/QUÓRUM!$C$6)</f>
        <v>#DIV/0!</v>
      </c>
      <c r="I7461" s="87"/>
      <c r="J7461" s="88"/>
      <c r="K7461" s="88"/>
      <c r="L7461" s="89"/>
      <c r="M7461" s="89"/>
      <c r="Q7461" s="105"/>
    </row>
    <row r="7462" spans="3:17" x14ac:dyDescent="0.3">
      <c r="C7462" s="87"/>
      <c r="H7462" s="86" t="e">
        <f>IF(I7462="fora",0%,G7462/QUÓRUM!$C$6)</f>
        <v>#DIV/0!</v>
      </c>
      <c r="I7462" s="87"/>
      <c r="J7462" s="88"/>
      <c r="K7462" s="88"/>
      <c r="L7462" s="89"/>
      <c r="M7462" s="89"/>
      <c r="Q7462" s="105"/>
    </row>
    <row r="7463" spans="3:17" x14ac:dyDescent="0.3">
      <c r="C7463" s="87"/>
      <c r="H7463" s="86" t="e">
        <f>IF(I7463="fora",0%,G7463/QUÓRUM!$C$6)</f>
        <v>#DIV/0!</v>
      </c>
      <c r="I7463" s="87"/>
      <c r="J7463" s="88"/>
      <c r="K7463" s="88"/>
      <c r="L7463" s="89"/>
      <c r="M7463" s="89"/>
      <c r="Q7463" s="105"/>
    </row>
    <row r="7464" spans="3:17" x14ac:dyDescent="0.3">
      <c r="C7464" s="87"/>
      <c r="H7464" s="86" t="e">
        <f>IF(I7464="fora",0%,G7464/QUÓRUM!$C$6)</f>
        <v>#DIV/0!</v>
      </c>
      <c r="I7464" s="87"/>
      <c r="J7464" s="88"/>
      <c r="K7464" s="88"/>
      <c r="L7464" s="89"/>
      <c r="M7464" s="89"/>
      <c r="Q7464" s="105"/>
    </row>
    <row r="7465" spans="3:17" x14ac:dyDescent="0.3">
      <c r="C7465" s="87"/>
      <c r="H7465" s="86" t="e">
        <f>IF(I7465="fora",0%,G7465/QUÓRUM!$C$6)</f>
        <v>#DIV/0!</v>
      </c>
      <c r="I7465" s="87"/>
      <c r="J7465" s="88"/>
      <c r="K7465" s="88"/>
      <c r="L7465" s="89"/>
      <c r="M7465" s="89"/>
      <c r="Q7465" s="105"/>
    </row>
    <row r="7466" spans="3:17" x14ac:dyDescent="0.3">
      <c r="C7466" s="87"/>
      <c r="H7466" s="86" t="e">
        <f>IF(I7466="fora",0%,G7466/QUÓRUM!$C$6)</f>
        <v>#DIV/0!</v>
      </c>
      <c r="I7466" s="87"/>
      <c r="J7466" s="88"/>
      <c r="K7466" s="88"/>
      <c r="L7466" s="89"/>
      <c r="M7466" s="89"/>
      <c r="Q7466" s="105"/>
    </row>
    <row r="7467" spans="3:17" x14ac:dyDescent="0.3">
      <c r="C7467" s="87"/>
      <c r="H7467" s="86" t="e">
        <f>IF(I7467="fora",0%,G7467/QUÓRUM!$C$6)</f>
        <v>#DIV/0!</v>
      </c>
      <c r="I7467" s="87"/>
      <c r="J7467" s="88"/>
      <c r="K7467" s="88"/>
      <c r="L7467" s="89"/>
      <c r="M7467" s="89"/>
      <c r="Q7467" s="105"/>
    </row>
    <row r="7468" spans="3:17" x14ac:dyDescent="0.3">
      <c r="C7468" s="87"/>
      <c r="H7468" s="86" t="e">
        <f>IF(I7468="fora",0%,G7468/QUÓRUM!$C$6)</f>
        <v>#DIV/0!</v>
      </c>
      <c r="I7468" s="87"/>
      <c r="J7468" s="88"/>
      <c r="K7468" s="88"/>
      <c r="L7468" s="89"/>
      <c r="M7468" s="89"/>
      <c r="Q7468" s="105"/>
    </row>
    <row r="7469" spans="3:17" x14ac:dyDescent="0.3">
      <c r="C7469" s="87"/>
      <c r="H7469" s="86" t="e">
        <f>IF(I7469="fora",0%,G7469/QUÓRUM!$C$6)</f>
        <v>#DIV/0!</v>
      </c>
      <c r="I7469" s="87"/>
      <c r="J7469" s="88"/>
      <c r="K7469" s="88"/>
      <c r="L7469" s="89"/>
      <c r="M7469" s="89"/>
      <c r="Q7469" s="105"/>
    </row>
    <row r="7470" spans="3:17" x14ac:dyDescent="0.3">
      <c r="C7470" s="87"/>
      <c r="H7470" s="86" t="e">
        <f>IF(I7470="fora",0%,G7470/QUÓRUM!$C$6)</f>
        <v>#DIV/0!</v>
      </c>
      <c r="I7470" s="87"/>
      <c r="J7470" s="88"/>
      <c r="K7470" s="88"/>
      <c r="L7470" s="89"/>
      <c r="M7470" s="89"/>
      <c r="Q7470" s="105"/>
    </row>
    <row r="7471" spans="3:17" x14ac:dyDescent="0.3">
      <c r="C7471" s="87"/>
      <c r="H7471" s="86" t="e">
        <f>IF(I7471="fora",0%,G7471/QUÓRUM!$C$6)</f>
        <v>#DIV/0!</v>
      </c>
      <c r="I7471" s="87"/>
      <c r="J7471" s="88"/>
      <c r="K7471" s="88"/>
      <c r="L7471" s="89"/>
      <c r="M7471" s="89"/>
      <c r="Q7471" s="105"/>
    </row>
    <row r="7472" spans="3:17" x14ac:dyDescent="0.3">
      <c r="C7472" s="87"/>
      <c r="H7472" s="86" t="e">
        <f>IF(I7472="fora",0%,G7472/QUÓRUM!$C$6)</f>
        <v>#DIV/0!</v>
      </c>
      <c r="I7472" s="87"/>
      <c r="J7472" s="88"/>
      <c r="K7472" s="88"/>
      <c r="L7472" s="89"/>
      <c r="M7472" s="89"/>
      <c r="Q7472" s="105"/>
    </row>
    <row r="7473" spans="3:17" x14ac:dyDescent="0.3">
      <c r="C7473" s="87"/>
      <c r="H7473" s="86" t="e">
        <f>IF(I7473="fora",0%,G7473/QUÓRUM!$C$6)</f>
        <v>#DIV/0!</v>
      </c>
      <c r="I7473" s="87"/>
      <c r="J7473" s="88"/>
      <c r="K7473" s="88"/>
      <c r="L7473" s="89"/>
      <c r="M7473" s="89"/>
      <c r="Q7473" s="105"/>
    </row>
    <row r="7474" spans="3:17" x14ac:dyDescent="0.3">
      <c r="C7474" s="87"/>
      <c r="H7474" s="86" t="e">
        <f>IF(I7474="fora",0%,G7474/QUÓRUM!$C$6)</f>
        <v>#DIV/0!</v>
      </c>
      <c r="I7474" s="87"/>
      <c r="J7474" s="88"/>
      <c r="K7474" s="88"/>
      <c r="L7474" s="89"/>
      <c r="M7474" s="89"/>
      <c r="Q7474" s="105"/>
    </row>
    <row r="7475" spans="3:17" x14ac:dyDescent="0.3">
      <c r="C7475" s="87"/>
      <c r="H7475" s="86" t="e">
        <f>IF(I7475="fora",0%,G7475/QUÓRUM!$C$6)</f>
        <v>#DIV/0!</v>
      </c>
      <c r="I7475" s="87"/>
      <c r="J7475" s="88"/>
      <c r="K7475" s="88"/>
      <c r="L7475" s="89"/>
      <c r="M7475" s="89"/>
      <c r="Q7475" s="105"/>
    </row>
    <row r="7476" spans="3:17" x14ac:dyDescent="0.3">
      <c r="C7476" s="87"/>
      <c r="H7476" s="86" t="e">
        <f>IF(I7476="fora",0%,G7476/QUÓRUM!$C$6)</f>
        <v>#DIV/0!</v>
      </c>
      <c r="I7476" s="87"/>
      <c r="J7476" s="88"/>
      <c r="K7476" s="88"/>
      <c r="L7476" s="89"/>
      <c r="M7476" s="89"/>
      <c r="Q7476" s="105"/>
    </row>
    <row r="7477" spans="3:17" x14ac:dyDescent="0.3">
      <c r="C7477" s="87"/>
      <c r="H7477" s="86" t="e">
        <f>IF(I7477="fora",0%,G7477/QUÓRUM!$C$6)</f>
        <v>#DIV/0!</v>
      </c>
      <c r="I7477" s="87"/>
      <c r="J7477" s="88"/>
      <c r="K7477" s="88"/>
      <c r="L7477" s="89"/>
      <c r="M7477" s="89"/>
      <c r="Q7477" s="105"/>
    </row>
    <row r="7478" spans="3:17" x14ac:dyDescent="0.3">
      <c r="C7478" s="87"/>
      <c r="H7478" s="86" t="e">
        <f>IF(I7478="fora",0%,G7478/QUÓRUM!$C$6)</f>
        <v>#DIV/0!</v>
      </c>
      <c r="I7478" s="87"/>
      <c r="J7478" s="88"/>
      <c r="K7478" s="88"/>
      <c r="L7478" s="89"/>
      <c r="M7478" s="89"/>
      <c r="Q7478" s="105"/>
    </row>
    <row r="7479" spans="3:17" x14ac:dyDescent="0.3">
      <c r="C7479" s="87"/>
      <c r="H7479" s="86" t="e">
        <f>IF(I7479="fora",0%,G7479/QUÓRUM!$C$6)</f>
        <v>#DIV/0!</v>
      </c>
      <c r="I7479" s="87"/>
      <c r="J7479" s="88"/>
      <c r="K7479" s="88"/>
      <c r="L7479" s="89"/>
      <c r="M7479" s="89"/>
      <c r="Q7479" s="105"/>
    </row>
    <row r="7480" spans="3:17" x14ac:dyDescent="0.3">
      <c r="C7480" s="87"/>
      <c r="H7480" s="86" t="e">
        <f>IF(I7480="fora",0%,G7480/QUÓRUM!$C$6)</f>
        <v>#DIV/0!</v>
      </c>
      <c r="I7480" s="87"/>
      <c r="J7480" s="88"/>
      <c r="K7480" s="88"/>
      <c r="L7480" s="89"/>
      <c r="M7480" s="89"/>
      <c r="Q7480" s="105"/>
    </row>
    <row r="7481" spans="3:17" x14ac:dyDescent="0.3">
      <c r="C7481" s="87"/>
      <c r="H7481" s="86" t="e">
        <f>IF(I7481="fora",0%,G7481/QUÓRUM!$C$6)</f>
        <v>#DIV/0!</v>
      </c>
      <c r="I7481" s="87"/>
      <c r="J7481" s="88"/>
      <c r="K7481" s="88"/>
      <c r="L7481" s="89"/>
      <c r="M7481" s="89"/>
      <c r="Q7481" s="105"/>
    </row>
    <row r="7482" spans="3:17" x14ac:dyDescent="0.3">
      <c r="C7482" s="87"/>
      <c r="H7482" s="86" t="e">
        <f>IF(I7482="fora",0%,G7482/QUÓRUM!$C$6)</f>
        <v>#DIV/0!</v>
      </c>
      <c r="I7482" s="87"/>
      <c r="J7482" s="88"/>
      <c r="K7482" s="88"/>
      <c r="L7482" s="89"/>
      <c r="M7482" s="89"/>
      <c r="Q7482" s="105"/>
    </row>
    <row r="7483" spans="3:17" x14ac:dyDescent="0.3">
      <c r="C7483" s="87"/>
      <c r="H7483" s="86" t="e">
        <f>IF(I7483="fora",0%,G7483/QUÓRUM!$C$6)</f>
        <v>#DIV/0!</v>
      </c>
      <c r="I7483" s="87"/>
      <c r="J7483" s="88"/>
      <c r="K7483" s="88"/>
      <c r="L7483" s="89"/>
      <c r="M7483" s="89"/>
      <c r="Q7483" s="105"/>
    </row>
    <row r="7484" spans="3:17" x14ac:dyDescent="0.3">
      <c r="C7484" s="87"/>
      <c r="H7484" s="86" t="e">
        <f>IF(I7484="fora",0%,G7484/QUÓRUM!$C$6)</f>
        <v>#DIV/0!</v>
      </c>
      <c r="I7484" s="87"/>
      <c r="J7484" s="88"/>
      <c r="K7484" s="88"/>
      <c r="L7484" s="89"/>
      <c r="M7484" s="89"/>
      <c r="Q7484" s="105"/>
    </row>
    <row r="7485" spans="3:17" x14ac:dyDescent="0.3">
      <c r="C7485" s="87"/>
      <c r="H7485" s="86" t="e">
        <f>IF(I7485="fora",0%,G7485/QUÓRUM!$C$6)</f>
        <v>#DIV/0!</v>
      </c>
      <c r="I7485" s="87"/>
      <c r="J7485" s="88"/>
      <c r="K7485" s="88"/>
      <c r="L7485" s="89"/>
      <c r="M7485" s="89"/>
      <c r="Q7485" s="105"/>
    </row>
    <row r="7486" spans="3:17" x14ac:dyDescent="0.3">
      <c r="C7486" s="87"/>
      <c r="H7486" s="86" t="e">
        <f>IF(I7486="fora",0%,G7486/QUÓRUM!$C$6)</f>
        <v>#DIV/0!</v>
      </c>
      <c r="I7486" s="87"/>
      <c r="J7486" s="88"/>
      <c r="K7486" s="88"/>
      <c r="L7486" s="89"/>
      <c r="M7486" s="89"/>
      <c r="Q7486" s="105"/>
    </row>
    <row r="7487" spans="3:17" x14ac:dyDescent="0.3">
      <c r="C7487" s="87"/>
      <c r="H7487" s="86" t="e">
        <f>IF(I7487="fora",0%,G7487/QUÓRUM!$C$6)</f>
        <v>#DIV/0!</v>
      </c>
      <c r="I7487" s="87"/>
      <c r="J7487" s="88"/>
      <c r="K7487" s="88"/>
      <c r="L7487" s="89"/>
      <c r="M7487" s="89"/>
      <c r="Q7487" s="105"/>
    </row>
    <row r="7488" spans="3:17" x14ac:dyDescent="0.3">
      <c r="C7488" s="87"/>
      <c r="H7488" s="86" t="e">
        <f>IF(I7488="fora",0%,G7488/QUÓRUM!$C$6)</f>
        <v>#DIV/0!</v>
      </c>
      <c r="I7488" s="87"/>
      <c r="J7488" s="88"/>
      <c r="K7488" s="88"/>
      <c r="L7488" s="89"/>
      <c r="M7488" s="89"/>
      <c r="Q7488" s="105"/>
    </row>
    <row r="7489" spans="3:17" x14ac:dyDescent="0.3">
      <c r="C7489" s="87"/>
      <c r="H7489" s="86" t="e">
        <f>IF(I7489="fora",0%,G7489/QUÓRUM!$C$6)</f>
        <v>#DIV/0!</v>
      </c>
      <c r="I7489" s="87"/>
      <c r="J7489" s="88"/>
      <c r="K7489" s="88"/>
      <c r="L7489" s="89"/>
      <c r="M7489" s="89"/>
      <c r="Q7489" s="105"/>
    </row>
    <row r="7490" spans="3:17" x14ac:dyDescent="0.3">
      <c r="C7490" s="87"/>
      <c r="H7490" s="86" t="e">
        <f>IF(I7490="fora",0%,G7490/QUÓRUM!$C$6)</f>
        <v>#DIV/0!</v>
      </c>
      <c r="I7490" s="87"/>
      <c r="J7490" s="88"/>
      <c r="K7490" s="88"/>
      <c r="L7490" s="89"/>
      <c r="M7490" s="89"/>
      <c r="Q7490" s="105"/>
    </row>
    <row r="7491" spans="3:17" x14ac:dyDescent="0.3">
      <c r="C7491" s="87"/>
      <c r="H7491" s="86" t="e">
        <f>IF(I7491="fora",0%,G7491/QUÓRUM!$C$6)</f>
        <v>#DIV/0!</v>
      </c>
      <c r="I7491" s="87"/>
      <c r="J7491" s="88"/>
      <c r="K7491" s="88"/>
      <c r="L7491" s="89"/>
      <c r="M7491" s="89"/>
      <c r="Q7491" s="105"/>
    </row>
    <row r="7492" spans="3:17" x14ac:dyDescent="0.3">
      <c r="C7492" s="87"/>
      <c r="H7492" s="86" t="e">
        <f>IF(I7492="fora",0%,G7492/QUÓRUM!$C$6)</f>
        <v>#DIV/0!</v>
      </c>
      <c r="I7492" s="87"/>
      <c r="J7492" s="88"/>
      <c r="K7492" s="88"/>
      <c r="L7492" s="89"/>
      <c r="M7492" s="89"/>
      <c r="Q7492" s="105"/>
    </row>
    <row r="7493" spans="3:17" x14ac:dyDescent="0.3">
      <c r="C7493" s="87"/>
      <c r="H7493" s="86" t="e">
        <f>IF(I7493="fora",0%,G7493/QUÓRUM!$C$6)</f>
        <v>#DIV/0!</v>
      </c>
      <c r="I7493" s="87"/>
      <c r="J7493" s="88"/>
      <c r="K7493" s="88"/>
      <c r="L7493" s="89"/>
      <c r="M7493" s="89"/>
      <c r="Q7493" s="105"/>
    </row>
    <row r="7494" spans="3:17" x14ac:dyDescent="0.3">
      <c r="C7494" s="87"/>
      <c r="H7494" s="86" t="e">
        <f>IF(I7494="fora",0%,G7494/QUÓRUM!$C$6)</f>
        <v>#DIV/0!</v>
      </c>
      <c r="I7494" s="87"/>
      <c r="J7494" s="88"/>
      <c r="K7494" s="88"/>
      <c r="L7494" s="89"/>
      <c r="M7494" s="89"/>
      <c r="Q7494" s="105"/>
    </row>
    <row r="7495" spans="3:17" x14ac:dyDescent="0.3">
      <c r="C7495" s="87"/>
      <c r="H7495" s="86" t="e">
        <f>IF(I7495="fora",0%,G7495/QUÓRUM!$C$6)</f>
        <v>#DIV/0!</v>
      </c>
      <c r="I7495" s="87"/>
      <c r="J7495" s="88"/>
      <c r="K7495" s="88"/>
      <c r="L7495" s="89"/>
      <c r="M7495" s="89"/>
      <c r="Q7495" s="105"/>
    </row>
    <row r="7496" spans="3:17" x14ac:dyDescent="0.3">
      <c r="C7496" s="87"/>
      <c r="H7496" s="86" t="e">
        <f>IF(I7496="fora",0%,G7496/QUÓRUM!$C$6)</f>
        <v>#DIV/0!</v>
      </c>
      <c r="I7496" s="87"/>
      <c r="J7496" s="88"/>
      <c r="K7496" s="88"/>
      <c r="L7496" s="89"/>
      <c r="M7496" s="89"/>
      <c r="Q7496" s="105"/>
    </row>
    <row r="7497" spans="3:17" x14ac:dyDescent="0.3">
      <c r="C7497" s="87"/>
      <c r="H7497" s="86" t="e">
        <f>IF(I7497="fora",0%,G7497/QUÓRUM!$C$6)</f>
        <v>#DIV/0!</v>
      </c>
      <c r="I7497" s="87"/>
      <c r="J7497" s="88"/>
      <c r="K7497" s="88"/>
      <c r="L7497" s="89"/>
      <c r="M7497" s="89"/>
      <c r="Q7497" s="105"/>
    </row>
    <row r="7498" spans="3:17" x14ac:dyDescent="0.3">
      <c r="C7498" s="87"/>
      <c r="H7498" s="86" t="e">
        <f>IF(I7498="fora",0%,G7498/QUÓRUM!$C$6)</f>
        <v>#DIV/0!</v>
      </c>
      <c r="I7498" s="87"/>
      <c r="J7498" s="88"/>
      <c r="K7498" s="88"/>
      <c r="L7498" s="89"/>
      <c r="M7498" s="89"/>
      <c r="Q7498" s="105"/>
    </row>
    <row r="7499" spans="3:17" x14ac:dyDescent="0.3">
      <c r="C7499" s="87"/>
      <c r="H7499" s="86" t="e">
        <f>IF(I7499="fora",0%,G7499/QUÓRUM!$C$6)</f>
        <v>#DIV/0!</v>
      </c>
      <c r="I7499" s="87"/>
      <c r="J7499" s="88"/>
      <c r="K7499" s="88"/>
      <c r="L7499" s="89"/>
      <c r="M7499" s="89"/>
      <c r="Q7499" s="105"/>
    </row>
    <row r="7500" spans="3:17" x14ac:dyDescent="0.3">
      <c r="C7500" s="87"/>
      <c r="H7500" s="86" t="e">
        <f>IF(I7500="fora",0%,G7500/QUÓRUM!$C$6)</f>
        <v>#DIV/0!</v>
      </c>
      <c r="I7500" s="87"/>
      <c r="J7500" s="88"/>
      <c r="K7500" s="88"/>
      <c r="L7500" s="89"/>
      <c r="M7500" s="89"/>
      <c r="Q7500" s="105"/>
    </row>
    <row r="7501" spans="3:17" x14ac:dyDescent="0.3">
      <c r="C7501" s="87"/>
      <c r="H7501" s="86" t="e">
        <f>IF(I7501="fora",0%,G7501/QUÓRUM!$C$6)</f>
        <v>#DIV/0!</v>
      </c>
      <c r="I7501" s="87"/>
      <c r="J7501" s="88"/>
      <c r="K7501" s="88"/>
      <c r="L7501" s="89"/>
      <c r="M7501" s="89"/>
      <c r="Q7501" s="105"/>
    </row>
    <row r="7502" spans="3:17" x14ac:dyDescent="0.3">
      <c r="C7502" s="87"/>
      <c r="H7502" s="86" t="e">
        <f>IF(I7502="fora",0%,G7502/QUÓRUM!$C$6)</f>
        <v>#DIV/0!</v>
      </c>
      <c r="I7502" s="87"/>
      <c r="J7502" s="88"/>
      <c r="K7502" s="88"/>
      <c r="L7502" s="89"/>
      <c r="M7502" s="89"/>
      <c r="Q7502" s="105"/>
    </row>
    <row r="7503" spans="3:17" x14ac:dyDescent="0.3">
      <c r="C7503" s="87"/>
      <c r="H7503" s="86" t="e">
        <f>IF(I7503="fora",0%,G7503/QUÓRUM!$C$6)</f>
        <v>#DIV/0!</v>
      </c>
      <c r="I7503" s="87"/>
      <c r="J7503" s="88"/>
      <c r="K7503" s="88"/>
      <c r="L7503" s="89"/>
      <c r="M7503" s="89"/>
      <c r="Q7503" s="105"/>
    </row>
    <row r="7504" spans="3:17" x14ac:dyDescent="0.3">
      <c r="C7504" s="87"/>
      <c r="H7504" s="86" t="e">
        <f>IF(I7504="fora",0%,G7504/QUÓRUM!$C$6)</f>
        <v>#DIV/0!</v>
      </c>
      <c r="I7504" s="87"/>
      <c r="J7504" s="88"/>
      <c r="K7504" s="88"/>
      <c r="L7504" s="89"/>
      <c r="M7504" s="89"/>
      <c r="Q7504" s="105"/>
    </row>
    <row r="7505" spans="3:17" x14ac:dyDescent="0.3">
      <c r="C7505" s="87"/>
      <c r="H7505" s="86" t="e">
        <f>IF(I7505="fora",0%,G7505/QUÓRUM!$C$6)</f>
        <v>#DIV/0!</v>
      </c>
      <c r="I7505" s="87"/>
      <c r="J7505" s="88"/>
      <c r="K7505" s="88"/>
      <c r="L7505" s="89"/>
      <c r="M7505" s="89"/>
      <c r="Q7505" s="105"/>
    </row>
    <row r="7506" spans="3:17" x14ac:dyDescent="0.3">
      <c r="C7506" s="87"/>
      <c r="H7506" s="86" t="e">
        <f>IF(I7506="fora",0%,G7506/QUÓRUM!$C$6)</f>
        <v>#DIV/0!</v>
      </c>
      <c r="I7506" s="87"/>
      <c r="J7506" s="88"/>
      <c r="K7506" s="88"/>
      <c r="L7506" s="89"/>
      <c r="M7506" s="89"/>
      <c r="Q7506" s="105"/>
    </row>
    <row r="7507" spans="3:17" x14ac:dyDescent="0.3">
      <c r="C7507" s="87"/>
      <c r="H7507" s="86" t="e">
        <f>IF(I7507="fora",0%,G7507/QUÓRUM!$C$6)</f>
        <v>#DIV/0!</v>
      </c>
      <c r="I7507" s="87"/>
      <c r="J7507" s="88"/>
      <c r="K7507" s="88"/>
      <c r="L7507" s="89"/>
      <c r="M7507" s="89"/>
      <c r="Q7507" s="105"/>
    </row>
    <row r="7508" spans="3:17" x14ac:dyDescent="0.3">
      <c r="C7508" s="87"/>
      <c r="H7508" s="86" t="e">
        <f>IF(I7508="fora",0%,G7508/QUÓRUM!$C$6)</f>
        <v>#DIV/0!</v>
      </c>
      <c r="I7508" s="87"/>
      <c r="J7508" s="88"/>
      <c r="K7508" s="88"/>
      <c r="L7508" s="89"/>
      <c r="M7508" s="89"/>
      <c r="Q7508" s="105"/>
    </row>
    <row r="7509" spans="3:17" x14ac:dyDescent="0.3">
      <c r="C7509" s="87"/>
      <c r="H7509" s="86" t="e">
        <f>IF(I7509="fora",0%,G7509/QUÓRUM!$C$6)</f>
        <v>#DIV/0!</v>
      </c>
      <c r="I7509" s="87"/>
      <c r="J7509" s="88"/>
      <c r="K7509" s="88"/>
      <c r="L7509" s="89"/>
      <c r="M7509" s="89"/>
      <c r="Q7509" s="105"/>
    </row>
    <row r="7510" spans="3:17" x14ac:dyDescent="0.3">
      <c r="C7510" s="87"/>
      <c r="H7510" s="86" t="e">
        <f>IF(I7510="fora",0%,G7510/QUÓRUM!$C$6)</f>
        <v>#DIV/0!</v>
      </c>
      <c r="I7510" s="87"/>
      <c r="J7510" s="88"/>
      <c r="K7510" s="88"/>
      <c r="L7510" s="89"/>
      <c r="M7510" s="89"/>
      <c r="Q7510" s="105"/>
    </row>
    <row r="7511" spans="3:17" x14ac:dyDescent="0.3">
      <c r="C7511" s="87"/>
      <c r="H7511" s="86" t="e">
        <f>IF(I7511="fora",0%,G7511/QUÓRUM!$C$6)</f>
        <v>#DIV/0!</v>
      </c>
      <c r="I7511" s="87"/>
      <c r="J7511" s="88"/>
      <c r="K7511" s="88"/>
      <c r="L7511" s="89"/>
      <c r="M7511" s="89"/>
      <c r="Q7511" s="105"/>
    </row>
    <row r="7512" spans="3:17" x14ac:dyDescent="0.3">
      <c r="C7512" s="87"/>
      <c r="H7512" s="86" t="e">
        <f>IF(I7512="fora",0%,G7512/QUÓRUM!$C$6)</f>
        <v>#DIV/0!</v>
      </c>
      <c r="I7512" s="87"/>
      <c r="J7512" s="88"/>
      <c r="K7512" s="88"/>
      <c r="L7512" s="89"/>
      <c r="M7512" s="89"/>
      <c r="Q7512" s="105"/>
    </row>
    <row r="7513" spans="3:17" x14ac:dyDescent="0.3">
      <c r="C7513" s="87"/>
      <c r="H7513" s="86" t="e">
        <f>IF(I7513="fora",0%,G7513/QUÓRUM!$C$6)</f>
        <v>#DIV/0!</v>
      </c>
      <c r="I7513" s="87"/>
      <c r="J7513" s="88"/>
      <c r="K7513" s="88"/>
      <c r="L7513" s="89"/>
      <c r="M7513" s="89"/>
      <c r="Q7513" s="105"/>
    </row>
    <row r="7514" spans="3:17" x14ac:dyDescent="0.3">
      <c r="C7514" s="87"/>
      <c r="H7514" s="86" t="e">
        <f>IF(I7514="fora",0%,G7514/QUÓRUM!$C$6)</f>
        <v>#DIV/0!</v>
      </c>
      <c r="I7514" s="87"/>
      <c r="J7514" s="88"/>
      <c r="K7514" s="88"/>
      <c r="L7514" s="89"/>
      <c r="M7514" s="89"/>
      <c r="Q7514" s="105"/>
    </row>
    <row r="7515" spans="3:17" x14ac:dyDescent="0.3">
      <c r="C7515" s="87"/>
      <c r="H7515" s="86" t="e">
        <f>IF(I7515="fora",0%,G7515/QUÓRUM!$C$6)</f>
        <v>#DIV/0!</v>
      </c>
      <c r="I7515" s="87"/>
      <c r="J7515" s="88"/>
      <c r="K7515" s="88"/>
      <c r="L7515" s="89"/>
      <c r="M7515" s="89"/>
      <c r="Q7515" s="105"/>
    </row>
    <row r="7516" spans="3:17" x14ac:dyDescent="0.3">
      <c r="C7516" s="87"/>
      <c r="H7516" s="86" t="e">
        <f>IF(I7516="fora",0%,G7516/QUÓRUM!$C$6)</f>
        <v>#DIV/0!</v>
      </c>
      <c r="I7516" s="87"/>
      <c r="J7516" s="88"/>
      <c r="K7516" s="88"/>
      <c r="L7516" s="89"/>
      <c r="M7516" s="89"/>
      <c r="Q7516" s="105"/>
    </row>
    <row r="7517" spans="3:17" x14ac:dyDescent="0.3">
      <c r="C7517" s="87"/>
      <c r="H7517" s="86" t="e">
        <f>IF(I7517="fora",0%,G7517/QUÓRUM!$C$6)</f>
        <v>#DIV/0!</v>
      </c>
      <c r="I7517" s="87"/>
      <c r="J7517" s="88"/>
      <c r="K7517" s="88"/>
      <c r="L7517" s="89"/>
      <c r="M7517" s="89"/>
      <c r="Q7517" s="105"/>
    </row>
    <row r="7518" spans="3:17" x14ac:dyDescent="0.3">
      <c r="C7518" s="87"/>
      <c r="H7518" s="86" t="e">
        <f>IF(I7518="fora",0%,G7518/QUÓRUM!$C$6)</f>
        <v>#DIV/0!</v>
      </c>
      <c r="I7518" s="87"/>
      <c r="J7518" s="88"/>
      <c r="K7518" s="88"/>
      <c r="L7518" s="89"/>
      <c r="M7518" s="89"/>
      <c r="Q7518" s="105"/>
    </row>
    <row r="7519" spans="3:17" x14ac:dyDescent="0.3">
      <c r="C7519" s="87"/>
      <c r="H7519" s="86" t="e">
        <f>IF(I7519="fora",0%,G7519/QUÓRUM!$C$6)</f>
        <v>#DIV/0!</v>
      </c>
      <c r="I7519" s="87"/>
      <c r="J7519" s="88"/>
      <c r="K7519" s="88"/>
      <c r="L7519" s="89"/>
      <c r="M7519" s="89"/>
      <c r="Q7519" s="105"/>
    </row>
    <row r="7520" spans="3:17" x14ac:dyDescent="0.3">
      <c r="C7520" s="87"/>
      <c r="H7520" s="86" t="e">
        <f>IF(I7520="fora",0%,G7520/QUÓRUM!$C$6)</f>
        <v>#DIV/0!</v>
      </c>
      <c r="I7520" s="87"/>
      <c r="J7520" s="88"/>
      <c r="K7520" s="88"/>
      <c r="L7520" s="89"/>
      <c r="M7520" s="89"/>
      <c r="Q7520" s="105"/>
    </row>
    <row r="7521" spans="3:17" x14ac:dyDescent="0.3">
      <c r="C7521" s="87"/>
      <c r="H7521" s="86" t="e">
        <f>IF(I7521="fora",0%,G7521/QUÓRUM!$C$6)</f>
        <v>#DIV/0!</v>
      </c>
      <c r="I7521" s="87"/>
      <c r="J7521" s="88"/>
      <c r="K7521" s="88"/>
      <c r="L7521" s="89"/>
      <c r="M7521" s="89"/>
      <c r="Q7521" s="105"/>
    </row>
    <row r="7522" spans="3:17" x14ac:dyDescent="0.3">
      <c r="C7522" s="87"/>
      <c r="H7522" s="86" t="e">
        <f>IF(I7522="fora",0%,G7522/QUÓRUM!$C$6)</f>
        <v>#DIV/0!</v>
      </c>
      <c r="I7522" s="87"/>
      <c r="J7522" s="88"/>
      <c r="K7522" s="88"/>
      <c r="L7522" s="89"/>
      <c r="M7522" s="89"/>
      <c r="Q7522" s="105"/>
    </row>
    <row r="7523" spans="3:17" x14ac:dyDescent="0.3">
      <c r="C7523" s="87"/>
      <c r="H7523" s="86" t="e">
        <f>IF(I7523="fora",0%,G7523/QUÓRUM!$C$6)</f>
        <v>#DIV/0!</v>
      </c>
      <c r="I7523" s="87"/>
      <c r="J7523" s="88"/>
      <c r="K7523" s="88"/>
      <c r="L7523" s="89"/>
      <c r="M7523" s="89"/>
      <c r="Q7523" s="105"/>
    </row>
    <row r="7524" spans="3:17" x14ac:dyDescent="0.3">
      <c r="C7524" s="87"/>
      <c r="H7524" s="86" t="e">
        <f>IF(I7524="fora",0%,G7524/QUÓRUM!$C$6)</f>
        <v>#DIV/0!</v>
      </c>
      <c r="I7524" s="87"/>
      <c r="J7524" s="88"/>
      <c r="K7524" s="88"/>
      <c r="L7524" s="89"/>
      <c r="M7524" s="89"/>
      <c r="Q7524" s="105"/>
    </row>
    <row r="7525" spans="3:17" x14ac:dyDescent="0.3">
      <c r="C7525" s="87"/>
      <c r="H7525" s="86" t="e">
        <f>IF(I7525="fora",0%,G7525/QUÓRUM!$C$6)</f>
        <v>#DIV/0!</v>
      </c>
      <c r="I7525" s="87"/>
      <c r="J7525" s="88"/>
      <c r="K7525" s="88"/>
      <c r="L7525" s="89"/>
      <c r="M7525" s="89"/>
      <c r="Q7525" s="105"/>
    </row>
    <row r="7526" spans="3:17" x14ac:dyDescent="0.3">
      <c r="C7526" s="87"/>
      <c r="H7526" s="86" t="e">
        <f>IF(I7526="fora",0%,G7526/QUÓRUM!$C$6)</f>
        <v>#DIV/0!</v>
      </c>
      <c r="I7526" s="87"/>
      <c r="J7526" s="88"/>
      <c r="K7526" s="88"/>
      <c r="L7526" s="89"/>
      <c r="M7526" s="89"/>
      <c r="Q7526" s="105"/>
    </row>
    <row r="7527" spans="3:17" x14ac:dyDescent="0.3">
      <c r="C7527" s="87"/>
      <c r="H7527" s="86" t="e">
        <f>IF(I7527="fora",0%,G7527/QUÓRUM!$C$6)</f>
        <v>#DIV/0!</v>
      </c>
      <c r="I7527" s="87"/>
      <c r="J7527" s="88"/>
      <c r="K7527" s="88"/>
      <c r="L7527" s="89"/>
      <c r="M7527" s="89"/>
      <c r="Q7527" s="105"/>
    </row>
    <row r="7528" spans="3:17" x14ac:dyDescent="0.3">
      <c r="C7528" s="87"/>
      <c r="H7528" s="86" t="e">
        <f>IF(I7528="fora",0%,G7528/QUÓRUM!$C$6)</f>
        <v>#DIV/0!</v>
      </c>
      <c r="I7528" s="87"/>
      <c r="J7528" s="88"/>
      <c r="K7528" s="88"/>
      <c r="L7528" s="89"/>
      <c r="M7528" s="89"/>
      <c r="Q7528" s="105"/>
    </row>
    <row r="7529" spans="3:17" x14ac:dyDescent="0.3">
      <c r="C7529" s="87"/>
      <c r="H7529" s="86" t="e">
        <f>IF(I7529="fora",0%,G7529/QUÓRUM!$C$6)</f>
        <v>#DIV/0!</v>
      </c>
      <c r="I7529" s="87"/>
      <c r="J7529" s="88"/>
      <c r="K7529" s="88"/>
      <c r="L7529" s="89"/>
      <c r="M7529" s="89"/>
      <c r="Q7529" s="105"/>
    </row>
    <row r="7530" spans="3:17" x14ac:dyDescent="0.3">
      <c r="C7530" s="87"/>
      <c r="H7530" s="86" t="e">
        <f>IF(I7530="fora",0%,G7530/QUÓRUM!$C$6)</f>
        <v>#DIV/0!</v>
      </c>
      <c r="I7530" s="87"/>
      <c r="J7530" s="88"/>
      <c r="K7530" s="88"/>
      <c r="L7530" s="89"/>
      <c r="M7530" s="89"/>
      <c r="Q7530" s="105"/>
    </row>
    <row r="7531" spans="3:17" x14ac:dyDescent="0.3">
      <c r="C7531" s="87"/>
      <c r="H7531" s="86" t="e">
        <f>IF(I7531="fora",0%,G7531/QUÓRUM!$C$6)</f>
        <v>#DIV/0!</v>
      </c>
      <c r="I7531" s="87"/>
      <c r="J7531" s="88"/>
      <c r="K7531" s="88"/>
      <c r="L7531" s="89"/>
      <c r="M7531" s="89"/>
      <c r="Q7531" s="105"/>
    </row>
    <row r="7532" spans="3:17" x14ac:dyDescent="0.3">
      <c r="C7532" s="87"/>
      <c r="H7532" s="86" t="e">
        <f>IF(I7532="fora",0%,G7532/QUÓRUM!$C$6)</f>
        <v>#DIV/0!</v>
      </c>
      <c r="I7532" s="87"/>
      <c r="J7532" s="88"/>
      <c r="K7532" s="88"/>
      <c r="L7532" s="89"/>
      <c r="M7532" s="89"/>
      <c r="Q7532" s="105"/>
    </row>
    <row r="7533" spans="3:17" x14ac:dyDescent="0.3">
      <c r="C7533" s="87"/>
      <c r="H7533" s="86" t="e">
        <f>IF(I7533="fora",0%,G7533/QUÓRUM!$C$6)</f>
        <v>#DIV/0!</v>
      </c>
      <c r="I7533" s="87"/>
      <c r="J7533" s="88"/>
      <c r="K7533" s="88"/>
      <c r="L7533" s="89"/>
      <c r="M7533" s="89"/>
      <c r="Q7533" s="105"/>
    </row>
    <row r="7534" spans="3:17" x14ac:dyDescent="0.3">
      <c r="C7534" s="87"/>
      <c r="H7534" s="86" t="e">
        <f>IF(I7534="fora",0%,G7534/QUÓRUM!$C$6)</f>
        <v>#DIV/0!</v>
      </c>
      <c r="I7534" s="87"/>
      <c r="J7534" s="88"/>
      <c r="K7534" s="88"/>
      <c r="L7534" s="89"/>
      <c r="M7534" s="89"/>
      <c r="Q7534" s="105"/>
    </row>
    <row r="7535" spans="3:17" x14ac:dyDescent="0.3">
      <c r="C7535" s="87"/>
      <c r="H7535" s="86" t="e">
        <f>IF(I7535="fora",0%,G7535/QUÓRUM!$C$6)</f>
        <v>#DIV/0!</v>
      </c>
      <c r="I7535" s="87"/>
      <c r="J7535" s="88"/>
      <c r="K7535" s="88"/>
      <c r="L7535" s="89"/>
      <c r="M7535" s="89"/>
      <c r="Q7535" s="105"/>
    </row>
    <row r="7536" spans="3:17" x14ac:dyDescent="0.3">
      <c r="C7536" s="87"/>
      <c r="H7536" s="86" t="e">
        <f>IF(I7536="fora",0%,G7536/QUÓRUM!$C$6)</f>
        <v>#DIV/0!</v>
      </c>
      <c r="I7536" s="87"/>
      <c r="J7536" s="88"/>
      <c r="K7536" s="88"/>
      <c r="L7536" s="89"/>
      <c r="M7536" s="89"/>
      <c r="Q7536" s="105"/>
    </row>
    <row r="7537" spans="3:17" x14ac:dyDescent="0.3">
      <c r="C7537" s="87"/>
      <c r="H7537" s="86" t="e">
        <f>IF(I7537="fora",0%,G7537/QUÓRUM!$C$6)</f>
        <v>#DIV/0!</v>
      </c>
      <c r="I7537" s="87"/>
      <c r="J7537" s="88"/>
      <c r="K7537" s="88"/>
      <c r="L7537" s="89"/>
      <c r="M7537" s="89"/>
      <c r="Q7537" s="105"/>
    </row>
    <row r="7538" spans="3:17" x14ac:dyDescent="0.3">
      <c r="C7538" s="87"/>
      <c r="H7538" s="86" t="e">
        <f>IF(I7538="fora",0%,G7538/QUÓRUM!$C$6)</f>
        <v>#DIV/0!</v>
      </c>
      <c r="I7538" s="87"/>
      <c r="J7538" s="88"/>
      <c r="K7538" s="88"/>
      <c r="L7538" s="89"/>
      <c r="M7538" s="89"/>
      <c r="Q7538" s="105"/>
    </row>
    <row r="7539" spans="3:17" x14ac:dyDescent="0.3">
      <c r="C7539" s="87"/>
      <c r="H7539" s="86" t="e">
        <f>IF(I7539="fora",0%,G7539/QUÓRUM!$C$6)</f>
        <v>#DIV/0!</v>
      </c>
      <c r="I7539" s="87"/>
      <c r="J7539" s="88"/>
      <c r="K7539" s="88"/>
      <c r="L7539" s="89"/>
      <c r="M7539" s="89"/>
      <c r="Q7539" s="105"/>
    </row>
    <row r="7540" spans="3:17" x14ac:dyDescent="0.3">
      <c r="C7540" s="87"/>
      <c r="H7540" s="86" t="e">
        <f>IF(I7540="fora",0%,G7540/QUÓRUM!$C$6)</f>
        <v>#DIV/0!</v>
      </c>
      <c r="I7540" s="87"/>
      <c r="J7540" s="88"/>
      <c r="K7540" s="88"/>
      <c r="L7540" s="89"/>
      <c r="M7540" s="89"/>
      <c r="Q7540" s="105"/>
    </row>
    <row r="7541" spans="3:17" x14ac:dyDescent="0.3">
      <c r="C7541" s="87"/>
      <c r="H7541" s="86" t="e">
        <f>IF(I7541="fora",0%,G7541/QUÓRUM!$C$6)</f>
        <v>#DIV/0!</v>
      </c>
      <c r="I7541" s="87"/>
      <c r="J7541" s="88"/>
      <c r="K7541" s="88"/>
      <c r="L7541" s="89"/>
      <c r="M7541" s="89"/>
      <c r="Q7541" s="105"/>
    </row>
    <row r="7542" spans="3:17" x14ac:dyDescent="0.3">
      <c r="C7542" s="87"/>
      <c r="H7542" s="86" t="e">
        <f>IF(I7542="fora",0%,G7542/QUÓRUM!$C$6)</f>
        <v>#DIV/0!</v>
      </c>
      <c r="I7542" s="87"/>
      <c r="J7542" s="88"/>
      <c r="K7542" s="88"/>
      <c r="L7542" s="89"/>
      <c r="M7542" s="89"/>
      <c r="Q7542" s="105"/>
    </row>
    <row r="7543" spans="3:17" x14ac:dyDescent="0.3">
      <c r="C7543" s="87"/>
      <c r="H7543" s="86" t="e">
        <f>IF(I7543="fora",0%,G7543/QUÓRUM!$C$6)</f>
        <v>#DIV/0!</v>
      </c>
      <c r="I7543" s="87"/>
      <c r="J7543" s="88"/>
      <c r="K7543" s="88"/>
      <c r="L7543" s="89"/>
      <c r="M7543" s="89"/>
      <c r="Q7543" s="105"/>
    </row>
    <row r="7544" spans="3:17" x14ac:dyDescent="0.3">
      <c r="C7544" s="87"/>
      <c r="H7544" s="86" t="e">
        <f>IF(I7544="fora",0%,G7544/QUÓRUM!$C$6)</f>
        <v>#DIV/0!</v>
      </c>
      <c r="I7544" s="87"/>
      <c r="J7544" s="88"/>
      <c r="K7544" s="88"/>
      <c r="L7544" s="89"/>
      <c r="M7544" s="89"/>
      <c r="Q7544" s="105"/>
    </row>
    <row r="7545" spans="3:17" x14ac:dyDescent="0.3">
      <c r="C7545" s="87"/>
      <c r="H7545" s="86" t="e">
        <f>IF(I7545="fora",0%,G7545/QUÓRUM!$C$6)</f>
        <v>#DIV/0!</v>
      </c>
      <c r="I7545" s="87"/>
      <c r="J7545" s="88"/>
      <c r="K7545" s="88"/>
      <c r="L7545" s="89"/>
      <c r="M7545" s="89"/>
      <c r="Q7545" s="105"/>
    </row>
    <row r="7546" spans="3:17" x14ac:dyDescent="0.3">
      <c r="C7546" s="87"/>
      <c r="H7546" s="86" t="e">
        <f>IF(I7546="fora",0%,G7546/QUÓRUM!$C$6)</f>
        <v>#DIV/0!</v>
      </c>
      <c r="I7546" s="87"/>
      <c r="J7546" s="88"/>
      <c r="K7546" s="88"/>
      <c r="L7546" s="89"/>
      <c r="M7546" s="89"/>
      <c r="Q7546" s="105"/>
    </row>
    <row r="7547" spans="3:17" x14ac:dyDescent="0.3">
      <c r="C7547" s="87"/>
      <c r="H7547" s="86" t="e">
        <f>IF(I7547="fora",0%,G7547/QUÓRUM!$C$6)</f>
        <v>#DIV/0!</v>
      </c>
      <c r="I7547" s="87"/>
      <c r="J7547" s="88"/>
      <c r="K7547" s="88"/>
      <c r="L7547" s="89"/>
      <c r="M7547" s="89"/>
      <c r="Q7547" s="105"/>
    </row>
    <row r="7548" spans="3:17" x14ac:dyDescent="0.3">
      <c r="C7548" s="87"/>
      <c r="H7548" s="86" t="e">
        <f>IF(I7548="fora",0%,G7548/QUÓRUM!$C$6)</f>
        <v>#DIV/0!</v>
      </c>
      <c r="I7548" s="87"/>
      <c r="J7548" s="88"/>
      <c r="K7548" s="88"/>
      <c r="L7548" s="89"/>
      <c r="M7548" s="89"/>
      <c r="Q7548" s="105"/>
    </row>
    <row r="7549" spans="3:17" x14ac:dyDescent="0.3">
      <c r="C7549" s="87"/>
      <c r="H7549" s="86" t="e">
        <f>IF(I7549="fora",0%,G7549/QUÓRUM!$C$6)</f>
        <v>#DIV/0!</v>
      </c>
      <c r="I7549" s="87"/>
      <c r="J7549" s="88"/>
      <c r="K7549" s="88"/>
      <c r="L7549" s="89"/>
      <c r="M7549" s="89"/>
      <c r="Q7549" s="105"/>
    </row>
    <row r="7550" spans="3:17" x14ac:dyDescent="0.3">
      <c r="C7550" s="87"/>
      <c r="H7550" s="86" t="e">
        <f>IF(I7550="fora",0%,G7550/QUÓRUM!$C$6)</f>
        <v>#DIV/0!</v>
      </c>
      <c r="I7550" s="87"/>
      <c r="J7550" s="88"/>
      <c r="K7550" s="88"/>
      <c r="L7550" s="89"/>
      <c r="M7550" s="89"/>
      <c r="Q7550" s="105"/>
    </row>
    <row r="7551" spans="3:17" x14ac:dyDescent="0.3">
      <c r="C7551" s="87"/>
      <c r="H7551" s="86" t="e">
        <f>IF(I7551="fora",0%,G7551/QUÓRUM!$C$6)</f>
        <v>#DIV/0!</v>
      </c>
      <c r="I7551" s="87"/>
      <c r="J7551" s="88"/>
      <c r="K7551" s="88"/>
      <c r="L7551" s="89"/>
      <c r="M7551" s="89"/>
      <c r="Q7551" s="105"/>
    </row>
    <row r="7552" spans="3:17" x14ac:dyDescent="0.3">
      <c r="C7552" s="87"/>
      <c r="H7552" s="86" t="e">
        <f>IF(I7552="fora",0%,G7552/QUÓRUM!$C$6)</f>
        <v>#DIV/0!</v>
      </c>
      <c r="I7552" s="87"/>
      <c r="J7552" s="88"/>
      <c r="K7552" s="88"/>
      <c r="L7552" s="89"/>
      <c r="M7552" s="89"/>
      <c r="Q7552" s="105"/>
    </row>
    <row r="7553" spans="3:17" x14ac:dyDescent="0.3">
      <c r="C7553" s="87"/>
      <c r="H7553" s="86" t="e">
        <f>IF(I7553="fora",0%,G7553/QUÓRUM!$C$6)</f>
        <v>#DIV/0!</v>
      </c>
      <c r="I7553" s="87"/>
      <c r="J7553" s="88"/>
      <c r="K7553" s="88"/>
      <c r="L7553" s="89"/>
      <c r="M7553" s="89"/>
      <c r="Q7553" s="105"/>
    </row>
    <row r="7554" spans="3:17" x14ac:dyDescent="0.3">
      <c r="C7554" s="87"/>
      <c r="H7554" s="86" t="e">
        <f>IF(I7554="fora",0%,G7554/QUÓRUM!$C$6)</f>
        <v>#DIV/0!</v>
      </c>
      <c r="I7554" s="87"/>
      <c r="J7554" s="88"/>
      <c r="K7554" s="88"/>
      <c r="L7554" s="89"/>
      <c r="M7554" s="89"/>
      <c r="Q7554" s="105"/>
    </row>
    <row r="7555" spans="3:17" x14ac:dyDescent="0.3">
      <c r="C7555" s="87"/>
      <c r="H7555" s="86" t="e">
        <f>IF(I7555="fora",0%,G7555/QUÓRUM!$C$6)</f>
        <v>#DIV/0!</v>
      </c>
      <c r="I7555" s="87"/>
      <c r="J7555" s="88"/>
      <c r="K7555" s="88"/>
      <c r="L7555" s="89"/>
      <c r="M7555" s="89"/>
      <c r="Q7555" s="105"/>
    </row>
    <row r="7556" spans="3:17" x14ac:dyDescent="0.3">
      <c r="C7556" s="87"/>
      <c r="H7556" s="86" t="e">
        <f>IF(I7556="fora",0%,G7556/QUÓRUM!$C$6)</f>
        <v>#DIV/0!</v>
      </c>
      <c r="I7556" s="87"/>
      <c r="J7556" s="88"/>
      <c r="K7556" s="88"/>
      <c r="L7556" s="89"/>
      <c r="M7556" s="89"/>
      <c r="Q7556" s="105"/>
    </row>
    <row r="7557" spans="3:17" x14ac:dyDescent="0.3">
      <c r="C7557" s="87"/>
      <c r="H7557" s="86" t="e">
        <f>IF(I7557="fora",0%,G7557/QUÓRUM!$C$6)</f>
        <v>#DIV/0!</v>
      </c>
      <c r="I7557" s="87"/>
      <c r="J7557" s="88"/>
      <c r="K7557" s="88"/>
      <c r="L7557" s="89"/>
      <c r="M7557" s="89"/>
      <c r="Q7557" s="105"/>
    </row>
    <row r="7558" spans="3:17" x14ac:dyDescent="0.3">
      <c r="C7558" s="87"/>
      <c r="H7558" s="86" t="e">
        <f>IF(I7558="fora",0%,G7558/QUÓRUM!$C$6)</f>
        <v>#DIV/0!</v>
      </c>
      <c r="I7558" s="87"/>
      <c r="J7558" s="88"/>
      <c r="K7558" s="88"/>
      <c r="L7558" s="89"/>
      <c r="M7558" s="89"/>
      <c r="Q7558" s="105"/>
    </row>
    <row r="7559" spans="3:17" x14ac:dyDescent="0.3">
      <c r="C7559" s="87"/>
      <c r="H7559" s="86" t="e">
        <f>IF(I7559="fora",0%,G7559/QUÓRUM!$C$6)</f>
        <v>#DIV/0!</v>
      </c>
      <c r="I7559" s="87"/>
      <c r="J7559" s="88"/>
      <c r="K7559" s="88"/>
      <c r="L7559" s="89"/>
      <c r="M7559" s="89"/>
      <c r="Q7559" s="105"/>
    </row>
    <row r="7560" spans="3:17" x14ac:dyDescent="0.3">
      <c r="C7560" s="87"/>
      <c r="H7560" s="86" t="e">
        <f>IF(I7560="fora",0%,G7560/QUÓRUM!$C$6)</f>
        <v>#DIV/0!</v>
      </c>
      <c r="I7560" s="87"/>
      <c r="J7560" s="88"/>
      <c r="K7560" s="88"/>
      <c r="L7560" s="89"/>
      <c r="M7560" s="89"/>
      <c r="Q7560" s="105"/>
    </row>
    <row r="7561" spans="3:17" x14ac:dyDescent="0.3">
      <c r="C7561" s="87"/>
      <c r="H7561" s="86" t="e">
        <f>IF(I7561="fora",0%,G7561/QUÓRUM!$C$6)</f>
        <v>#DIV/0!</v>
      </c>
      <c r="I7561" s="87"/>
      <c r="J7561" s="88"/>
      <c r="K7561" s="88"/>
      <c r="L7561" s="89"/>
      <c r="M7561" s="89"/>
      <c r="Q7561" s="105"/>
    </row>
    <row r="7562" spans="3:17" x14ac:dyDescent="0.3">
      <c r="C7562" s="87"/>
      <c r="H7562" s="86" t="e">
        <f>IF(I7562="fora",0%,G7562/QUÓRUM!$C$6)</f>
        <v>#DIV/0!</v>
      </c>
      <c r="I7562" s="87"/>
      <c r="J7562" s="88"/>
      <c r="K7562" s="88"/>
      <c r="L7562" s="89"/>
      <c r="M7562" s="89"/>
      <c r="Q7562" s="105"/>
    </row>
    <row r="7563" spans="3:17" x14ac:dyDescent="0.3">
      <c r="C7563" s="87"/>
      <c r="H7563" s="86" t="e">
        <f>IF(I7563="fora",0%,G7563/QUÓRUM!$C$6)</f>
        <v>#DIV/0!</v>
      </c>
      <c r="I7563" s="87"/>
      <c r="J7563" s="88"/>
      <c r="K7563" s="88"/>
      <c r="L7563" s="89"/>
      <c r="M7563" s="89"/>
      <c r="Q7563" s="105"/>
    </row>
    <row r="7564" spans="3:17" x14ac:dyDescent="0.3">
      <c r="C7564" s="87"/>
      <c r="H7564" s="86" t="e">
        <f>IF(I7564="fora",0%,G7564/QUÓRUM!$C$6)</f>
        <v>#DIV/0!</v>
      </c>
      <c r="I7564" s="87"/>
      <c r="J7564" s="88"/>
      <c r="K7564" s="88"/>
      <c r="L7564" s="89"/>
      <c r="M7564" s="89"/>
      <c r="Q7564" s="105"/>
    </row>
    <row r="7565" spans="3:17" x14ac:dyDescent="0.3">
      <c r="C7565" s="87"/>
      <c r="H7565" s="86" t="e">
        <f>IF(I7565="fora",0%,G7565/QUÓRUM!$C$6)</f>
        <v>#DIV/0!</v>
      </c>
      <c r="I7565" s="87"/>
      <c r="J7565" s="88"/>
      <c r="K7565" s="88"/>
      <c r="L7565" s="89"/>
      <c r="M7565" s="89"/>
      <c r="Q7565" s="105"/>
    </row>
    <row r="7566" spans="3:17" x14ac:dyDescent="0.3">
      <c r="C7566" s="87"/>
      <c r="H7566" s="86" t="e">
        <f>IF(I7566="fora",0%,G7566/QUÓRUM!$C$6)</f>
        <v>#DIV/0!</v>
      </c>
      <c r="I7566" s="87"/>
      <c r="J7566" s="88"/>
      <c r="K7566" s="88"/>
      <c r="L7566" s="89"/>
      <c r="M7566" s="89"/>
      <c r="Q7566" s="105"/>
    </row>
    <row r="7567" spans="3:17" x14ac:dyDescent="0.3">
      <c r="C7567" s="87"/>
      <c r="H7567" s="86" t="e">
        <f>IF(I7567="fora",0%,G7567/QUÓRUM!$C$6)</f>
        <v>#DIV/0!</v>
      </c>
      <c r="I7567" s="87"/>
      <c r="J7567" s="88"/>
      <c r="K7567" s="88"/>
      <c r="L7567" s="89"/>
      <c r="M7567" s="89"/>
      <c r="Q7567" s="105"/>
    </row>
    <row r="7568" spans="3:17" x14ac:dyDescent="0.3">
      <c r="C7568" s="87"/>
      <c r="H7568" s="86" t="e">
        <f>IF(I7568="fora",0%,G7568/QUÓRUM!$C$6)</f>
        <v>#DIV/0!</v>
      </c>
      <c r="I7568" s="87"/>
      <c r="J7568" s="88"/>
      <c r="K7568" s="88"/>
      <c r="L7568" s="89"/>
      <c r="M7568" s="89"/>
      <c r="Q7568" s="105"/>
    </row>
    <row r="7569" spans="3:17" x14ac:dyDescent="0.3">
      <c r="C7569" s="87"/>
      <c r="H7569" s="86" t="e">
        <f>IF(I7569="fora",0%,G7569/QUÓRUM!$C$6)</f>
        <v>#DIV/0!</v>
      </c>
      <c r="I7569" s="87"/>
      <c r="J7569" s="88"/>
      <c r="K7569" s="88"/>
      <c r="L7569" s="89"/>
      <c r="M7569" s="89"/>
      <c r="Q7569" s="105"/>
    </row>
    <row r="7570" spans="3:17" x14ac:dyDescent="0.3">
      <c r="C7570" s="87"/>
      <c r="H7570" s="86" t="e">
        <f>IF(I7570="fora",0%,G7570/QUÓRUM!$C$6)</f>
        <v>#DIV/0!</v>
      </c>
      <c r="I7570" s="87"/>
      <c r="J7570" s="88"/>
      <c r="K7570" s="88"/>
      <c r="L7570" s="89"/>
      <c r="M7570" s="89"/>
      <c r="Q7570" s="105"/>
    </row>
    <row r="7571" spans="3:17" x14ac:dyDescent="0.3">
      <c r="C7571" s="87"/>
      <c r="H7571" s="86" t="e">
        <f>IF(I7571="fora",0%,G7571/QUÓRUM!$C$6)</f>
        <v>#DIV/0!</v>
      </c>
      <c r="I7571" s="87"/>
      <c r="J7571" s="88"/>
      <c r="K7571" s="88"/>
      <c r="L7571" s="89"/>
      <c r="M7571" s="89"/>
      <c r="Q7571" s="105"/>
    </row>
    <row r="7572" spans="3:17" x14ac:dyDescent="0.3">
      <c r="C7572" s="87"/>
      <c r="H7572" s="86" t="e">
        <f>IF(I7572="fora",0%,G7572/QUÓRUM!$C$6)</f>
        <v>#DIV/0!</v>
      </c>
      <c r="I7572" s="87"/>
      <c r="J7572" s="88"/>
      <c r="K7572" s="88"/>
      <c r="L7572" s="89"/>
      <c r="M7572" s="89"/>
      <c r="Q7572" s="105"/>
    </row>
    <row r="7573" spans="3:17" x14ac:dyDescent="0.3">
      <c r="C7573" s="87"/>
      <c r="H7573" s="86" t="e">
        <f>IF(I7573="fora",0%,G7573/QUÓRUM!$C$6)</f>
        <v>#DIV/0!</v>
      </c>
      <c r="I7573" s="87"/>
      <c r="J7573" s="88"/>
      <c r="K7573" s="88"/>
      <c r="L7573" s="89"/>
      <c r="M7573" s="89"/>
      <c r="Q7573" s="105"/>
    </row>
    <row r="7574" spans="3:17" x14ac:dyDescent="0.3">
      <c r="C7574" s="87"/>
      <c r="H7574" s="86" t="e">
        <f>IF(I7574="fora",0%,G7574/QUÓRUM!$C$6)</f>
        <v>#DIV/0!</v>
      </c>
      <c r="I7574" s="87"/>
      <c r="J7574" s="88"/>
      <c r="K7574" s="88"/>
      <c r="L7574" s="89"/>
      <c r="M7574" s="89"/>
      <c r="Q7574" s="105"/>
    </row>
    <row r="7575" spans="3:17" x14ac:dyDescent="0.3">
      <c r="C7575" s="87"/>
      <c r="H7575" s="86" t="e">
        <f>IF(I7575="fora",0%,G7575/QUÓRUM!$C$6)</f>
        <v>#DIV/0!</v>
      </c>
      <c r="I7575" s="87"/>
      <c r="J7575" s="88"/>
      <c r="K7575" s="88"/>
      <c r="L7575" s="89"/>
      <c r="M7575" s="89"/>
      <c r="Q7575" s="105"/>
    </row>
    <row r="7576" spans="3:17" x14ac:dyDescent="0.3">
      <c r="C7576" s="87"/>
      <c r="H7576" s="86" t="e">
        <f>IF(I7576="fora",0%,G7576/QUÓRUM!$C$6)</f>
        <v>#DIV/0!</v>
      </c>
      <c r="I7576" s="87"/>
      <c r="J7576" s="88"/>
      <c r="K7576" s="88"/>
      <c r="L7576" s="89"/>
      <c r="M7576" s="89"/>
      <c r="Q7576" s="105"/>
    </row>
    <row r="7577" spans="3:17" x14ac:dyDescent="0.3">
      <c r="C7577" s="87"/>
      <c r="H7577" s="86" t="e">
        <f>IF(I7577="fora",0%,G7577/QUÓRUM!$C$6)</f>
        <v>#DIV/0!</v>
      </c>
      <c r="I7577" s="87"/>
      <c r="J7577" s="88"/>
      <c r="K7577" s="88"/>
      <c r="L7577" s="89"/>
      <c r="M7577" s="89"/>
      <c r="Q7577" s="105"/>
    </row>
    <row r="7578" spans="3:17" x14ac:dyDescent="0.3">
      <c r="C7578" s="87"/>
      <c r="H7578" s="86" t="e">
        <f>IF(I7578="fora",0%,G7578/QUÓRUM!$C$6)</f>
        <v>#DIV/0!</v>
      </c>
      <c r="I7578" s="87"/>
      <c r="J7578" s="88"/>
      <c r="K7578" s="88"/>
      <c r="L7578" s="89"/>
      <c r="M7578" s="89"/>
      <c r="Q7578" s="105"/>
    </row>
    <row r="7579" spans="3:17" x14ac:dyDescent="0.3">
      <c r="C7579" s="87"/>
      <c r="H7579" s="86" t="e">
        <f>IF(I7579="fora",0%,G7579/QUÓRUM!$C$6)</f>
        <v>#DIV/0!</v>
      </c>
      <c r="I7579" s="87"/>
      <c r="J7579" s="88"/>
      <c r="K7579" s="88"/>
      <c r="L7579" s="89"/>
      <c r="M7579" s="89"/>
      <c r="Q7579" s="105"/>
    </row>
    <row r="7580" spans="3:17" x14ac:dyDescent="0.3">
      <c r="C7580" s="87"/>
      <c r="H7580" s="86" t="e">
        <f>IF(I7580="fora",0%,G7580/QUÓRUM!$C$6)</f>
        <v>#DIV/0!</v>
      </c>
      <c r="I7580" s="87"/>
      <c r="J7580" s="88"/>
      <c r="K7580" s="88"/>
      <c r="L7580" s="89"/>
      <c r="M7580" s="89"/>
      <c r="Q7580" s="105"/>
    </row>
    <row r="7581" spans="3:17" x14ac:dyDescent="0.3">
      <c r="C7581" s="87"/>
      <c r="H7581" s="86" t="e">
        <f>IF(I7581="fora",0%,G7581/QUÓRUM!$C$6)</f>
        <v>#DIV/0!</v>
      </c>
      <c r="I7581" s="87"/>
      <c r="J7581" s="88"/>
      <c r="K7581" s="88"/>
      <c r="L7581" s="89"/>
      <c r="M7581" s="89"/>
      <c r="Q7581" s="105"/>
    </row>
    <row r="7582" spans="3:17" x14ac:dyDescent="0.3">
      <c r="C7582" s="87"/>
      <c r="H7582" s="86" t="e">
        <f>IF(I7582="fora",0%,G7582/QUÓRUM!$C$6)</f>
        <v>#DIV/0!</v>
      </c>
      <c r="I7582" s="87"/>
      <c r="J7582" s="88"/>
      <c r="K7582" s="88"/>
      <c r="L7582" s="89"/>
      <c r="M7582" s="89"/>
      <c r="Q7582" s="105"/>
    </row>
    <row r="7583" spans="3:17" x14ac:dyDescent="0.3">
      <c r="C7583" s="87"/>
      <c r="H7583" s="86" t="e">
        <f>IF(I7583="fora",0%,G7583/QUÓRUM!$C$6)</f>
        <v>#DIV/0!</v>
      </c>
      <c r="I7583" s="87"/>
      <c r="J7583" s="88"/>
      <c r="K7583" s="88"/>
      <c r="L7583" s="89"/>
      <c r="M7583" s="89"/>
      <c r="Q7583" s="105"/>
    </row>
    <row r="7584" spans="3:17" x14ac:dyDescent="0.3">
      <c r="C7584" s="87"/>
      <c r="H7584" s="86" t="e">
        <f>IF(I7584="fora",0%,G7584/QUÓRUM!$C$6)</f>
        <v>#DIV/0!</v>
      </c>
      <c r="I7584" s="87"/>
      <c r="J7584" s="88"/>
      <c r="K7584" s="88"/>
      <c r="L7584" s="89"/>
      <c r="M7584" s="89"/>
      <c r="Q7584" s="105"/>
    </row>
    <row r="7585" spans="3:17" x14ac:dyDescent="0.3">
      <c r="C7585" s="87"/>
      <c r="H7585" s="86" t="e">
        <f>IF(I7585="fora",0%,G7585/QUÓRUM!$C$6)</f>
        <v>#DIV/0!</v>
      </c>
      <c r="I7585" s="87"/>
      <c r="J7585" s="88"/>
      <c r="K7585" s="88"/>
      <c r="L7585" s="89"/>
      <c r="M7585" s="89"/>
      <c r="Q7585" s="105"/>
    </row>
    <row r="7586" spans="3:17" x14ac:dyDescent="0.3">
      <c r="C7586" s="87"/>
      <c r="H7586" s="86" t="e">
        <f>IF(I7586="fora",0%,G7586/QUÓRUM!$C$6)</f>
        <v>#DIV/0!</v>
      </c>
      <c r="I7586" s="87"/>
      <c r="J7586" s="88"/>
      <c r="K7586" s="88"/>
      <c r="L7586" s="89"/>
      <c r="M7586" s="89"/>
      <c r="Q7586" s="105"/>
    </row>
    <row r="7587" spans="3:17" x14ac:dyDescent="0.3">
      <c r="C7587" s="87"/>
      <c r="H7587" s="86" t="e">
        <f>IF(I7587="fora",0%,G7587/QUÓRUM!$C$6)</f>
        <v>#DIV/0!</v>
      </c>
      <c r="I7587" s="87"/>
      <c r="J7587" s="88"/>
      <c r="K7587" s="88"/>
      <c r="L7587" s="89"/>
      <c r="M7587" s="89"/>
      <c r="Q7587" s="105"/>
    </row>
    <row r="7588" spans="3:17" x14ac:dyDescent="0.3">
      <c r="C7588" s="87"/>
      <c r="H7588" s="86" t="e">
        <f>IF(I7588="fora",0%,G7588/QUÓRUM!$C$6)</f>
        <v>#DIV/0!</v>
      </c>
      <c r="I7588" s="87"/>
      <c r="J7588" s="88"/>
      <c r="K7588" s="88"/>
      <c r="L7588" s="89"/>
      <c r="M7588" s="89"/>
      <c r="Q7588" s="105"/>
    </row>
    <row r="7589" spans="3:17" x14ac:dyDescent="0.3">
      <c r="C7589" s="87"/>
      <c r="H7589" s="86" t="e">
        <f>IF(I7589="fora",0%,G7589/QUÓRUM!$C$6)</f>
        <v>#DIV/0!</v>
      </c>
      <c r="I7589" s="87"/>
      <c r="J7589" s="88"/>
      <c r="K7589" s="88"/>
      <c r="L7589" s="89"/>
      <c r="M7589" s="89"/>
      <c r="Q7589" s="105"/>
    </row>
    <row r="7590" spans="3:17" x14ac:dyDescent="0.3">
      <c r="C7590" s="87"/>
      <c r="H7590" s="86" t="e">
        <f>IF(I7590="fora",0%,G7590/QUÓRUM!$C$6)</f>
        <v>#DIV/0!</v>
      </c>
      <c r="I7590" s="87"/>
      <c r="J7590" s="88"/>
      <c r="K7590" s="88"/>
      <c r="L7590" s="89"/>
      <c r="M7590" s="89"/>
      <c r="Q7590" s="105"/>
    </row>
    <row r="7591" spans="3:17" x14ac:dyDescent="0.3">
      <c r="C7591" s="87"/>
      <c r="H7591" s="86" t="e">
        <f>IF(I7591="fora",0%,G7591/QUÓRUM!$C$6)</f>
        <v>#DIV/0!</v>
      </c>
      <c r="I7591" s="87"/>
      <c r="J7591" s="88"/>
      <c r="K7591" s="88"/>
      <c r="L7591" s="89"/>
      <c r="M7591" s="89"/>
      <c r="Q7591" s="105"/>
    </row>
    <row r="7592" spans="3:17" x14ac:dyDescent="0.3">
      <c r="C7592" s="87"/>
      <c r="H7592" s="86" t="e">
        <f>IF(I7592="fora",0%,G7592/QUÓRUM!$C$6)</f>
        <v>#DIV/0!</v>
      </c>
      <c r="I7592" s="87"/>
      <c r="J7592" s="88"/>
      <c r="K7592" s="88"/>
      <c r="L7592" s="89"/>
      <c r="M7592" s="89"/>
      <c r="Q7592" s="105"/>
    </row>
    <row r="7593" spans="3:17" x14ac:dyDescent="0.3">
      <c r="C7593" s="87"/>
      <c r="H7593" s="86" t="e">
        <f>IF(I7593="fora",0%,G7593/QUÓRUM!$C$6)</f>
        <v>#DIV/0!</v>
      </c>
      <c r="I7593" s="87"/>
      <c r="J7593" s="88"/>
      <c r="K7593" s="88"/>
      <c r="L7593" s="89"/>
      <c r="M7593" s="89"/>
      <c r="Q7593" s="105"/>
    </row>
    <row r="7594" spans="3:17" x14ac:dyDescent="0.3">
      <c r="C7594" s="87"/>
      <c r="H7594" s="86" t="e">
        <f>IF(I7594="fora",0%,G7594/QUÓRUM!$C$6)</f>
        <v>#DIV/0!</v>
      </c>
      <c r="I7594" s="87"/>
      <c r="J7594" s="88"/>
      <c r="K7594" s="88"/>
      <c r="L7594" s="89"/>
      <c r="M7594" s="89"/>
      <c r="Q7594" s="105"/>
    </row>
    <row r="7595" spans="3:17" x14ac:dyDescent="0.3">
      <c r="C7595" s="87"/>
      <c r="H7595" s="86" t="e">
        <f>IF(I7595="fora",0%,G7595/QUÓRUM!$C$6)</f>
        <v>#DIV/0!</v>
      </c>
      <c r="I7595" s="87"/>
      <c r="J7595" s="88"/>
      <c r="K7595" s="88"/>
      <c r="L7595" s="89"/>
      <c r="M7595" s="89"/>
      <c r="Q7595" s="105"/>
    </row>
    <row r="7596" spans="3:17" x14ac:dyDescent="0.3">
      <c r="C7596" s="87"/>
      <c r="H7596" s="86" t="e">
        <f>IF(I7596="fora",0%,G7596/QUÓRUM!$C$6)</f>
        <v>#DIV/0!</v>
      </c>
      <c r="I7596" s="87"/>
      <c r="J7596" s="88"/>
      <c r="K7596" s="88"/>
      <c r="L7596" s="89"/>
      <c r="M7596" s="89"/>
      <c r="Q7596" s="105"/>
    </row>
    <row r="7597" spans="3:17" x14ac:dyDescent="0.3">
      <c r="C7597" s="87"/>
      <c r="H7597" s="86" t="e">
        <f>IF(I7597="fora",0%,G7597/QUÓRUM!$C$6)</f>
        <v>#DIV/0!</v>
      </c>
      <c r="I7597" s="87"/>
      <c r="J7597" s="88"/>
      <c r="K7597" s="88"/>
      <c r="L7597" s="89"/>
      <c r="M7597" s="89"/>
      <c r="Q7597" s="105"/>
    </row>
    <row r="7598" spans="3:17" x14ac:dyDescent="0.3">
      <c r="C7598" s="87"/>
      <c r="H7598" s="86" t="e">
        <f>IF(I7598="fora",0%,G7598/QUÓRUM!$C$6)</f>
        <v>#DIV/0!</v>
      </c>
      <c r="I7598" s="87"/>
      <c r="J7598" s="88"/>
      <c r="K7598" s="88"/>
      <c r="L7598" s="89"/>
      <c r="M7598" s="89"/>
      <c r="Q7598" s="105"/>
    </row>
    <row r="7599" spans="3:17" x14ac:dyDescent="0.3">
      <c r="C7599" s="87"/>
      <c r="H7599" s="86" t="e">
        <f>IF(I7599="fora",0%,G7599/QUÓRUM!$C$6)</f>
        <v>#DIV/0!</v>
      </c>
      <c r="I7599" s="87"/>
      <c r="J7599" s="88"/>
      <c r="K7599" s="88"/>
      <c r="L7599" s="89"/>
      <c r="M7599" s="89"/>
      <c r="Q7599" s="105"/>
    </row>
    <row r="7600" spans="3:17" x14ac:dyDescent="0.3">
      <c r="C7600" s="87"/>
      <c r="H7600" s="86" t="e">
        <f>IF(I7600="fora",0%,G7600/QUÓRUM!$C$6)</f>
        <v>#DIV/0!</v>
      </c>
      <c r="I7600" s="87"/>
      <c r="J7600" s="88"/>
      <c r="K7600" s="88"/>
      <c r="L7600" s="89"/>
      <c r="M7600" s="89"/>
      <c r="Q7600" s="105"/>
    </row>
    <row r="7601" spans="3:17" x14ac:dyDescent="0.3">
      <c r="C7601" s="87"/>
      <c r="H7601" s="86" t="e">
        <f>IF(I7601="fora",0%,G7601/QUÓRUM!$C$6)</f>
        <v>#DIV/0!</v>
      </c>
      <c r="I7601" s="87"/>
      <c r="J7601" s="88"/>
      <c r="K7601" s="88"/>
      <c r="L7601" s="89"/>
      <c r="M7601" s="89"/>
      <c r="Q7601" s="105"/>
    </row>
    <row r="7602" spans="3:17" x14ac:dyDescent="0.3">
      <c r="C7602" s="87"/>
      <c r="H7602" s="86" t="e">
        <f>IF(I7602="fora",0%,G7602/QUÓRUM!$C$6)</f>
        <v>#DIV/0!</v>
      </c>
      <c r="I7602" s="87"/>
      <c r="J7602" s="88"/>
      <c r="K7602" s="88"/>
      <c r="L7602" s="89"/>
      <c r="M7602" s="89"/>
      <c r="Q7602" s="105"/>
    </row>
    <row r="7603" spans="3:17" x14ac:dyDescent="0.3">
      <c r="C7603" s="87"/>
      <c r="H7603" s="86" t="e">
        <f>IF(I7603="fora",0%,G7603/QUÓRUM!$C$6)</f>
        <v>#DIV/0!</v>
      </c>
      <c r="I7603" s="87"/>
      <c r="J7603" s="88"/>
      <c r="K7603" s="88"/>
      <c r="L7603" s="89"/>
      <c r="M7603" s="89"/>
      <c r="Q7603" s="105"/>
    </row>
    <row r="7604" spans="3:17" x14ac:dyDescent="0.3">
      <c r="C7604" s="87"/>
      <c r="H7604" s="86" t="e">
        <f>IF(I7604="fora",0%,G7604/QUÓRUM!$C$6)</f>
        <v>#DIV/0!</v>
      </c>
      <c r="I7604" s="87"/>
      <c r="J7604" s="88"/>
      <c r="K7604" s="88"/>
      <c r="L7604" s="89"/>
      <c r="M7604" s="89"/>
      <c r="Q7604" s="105"/>
    </row>
    <row r="7605" spans="3:17" x14ac:dyDescent="0.3">
      <c r="C7605" s="87"/>
      <c r="H7605" s="86" t="e">
        <f>IF(I7605="fora",0%,G7605/QUÓRUM!$C$6)</f>
        <v>#DIV/0!</v>
      </c>
      <c r="I7605" s="87"/>
      <c r="J7605" s="88"/>
      <c r="K7605" s="88"/>
      <c r="L7605" s="89"/>
      <c r="M7605" s="89"/>
      <c r="Q7605" s="105"/>
    </row>
    <row r="7606" spans="3:17" x14ac:dyDescent="0.3">
      <c r="C7606" s="87"/>
      <c r="H7606" s="86" t="e">
        <f>IF(I7606="fora",0%,G7606/QUÓRUM!$C$6)</f>
        <v>#DIV/0!</v>
      </c>
      <c r="I7606" s="87"/>
      <c r="J7606" s="88"/>
      <c r="K7606" s="88"/>
      <c r="L7606" s="89"/>
      <c r="M7606" s="89"/>
      <c r="Q7606" s="105"/>
    </row>
    <row r="7607" spans="3:17" x14ac:dyDescent="0.3">
      <c r="C7607" s="87"/>
      <c r="H7607" s="86" t="e">
        <f>IF(I7607="fora",0%,G7607/QUÓRUM!$C$6)</f>
        <v>#DIV/0!</v>
      </c>
      <c r="I7607" s="87"/>
      <c r="J7607" s="88"/>
      <c r="K7607" s="88"/>
      <c r="L7607" s="89"/>
      <c r="M7607" s="89"/>
      <c r="Q7607" s="105"/>
    </row>
    <row r="7608" spans="3:17" x14ac:dyDescent="0.3">
      <c r="C7608" s="87"/>
      <c r="H7608" s="86" t="e">
        <f>IF(I7608="fora",0%,G7608/QUÓRUM!$C$6)</f>
        <v>#DIV/0!</v>
      </c>
      <c r="I7608" s="87"/>
      <c r="J7608" s="88"/>
      <c r="K7608" s="88"/>
      <c r="L7608" s="89"/>
      <c r="M7608" s="89"/>
      <c r="Q7608" s="105"/>
    </row>
    <row r="7609" spans="3:17" x14ac:dyDescent="0.3">
      <c r="C7609" s="87"/>
      <c r="H7609" s="86" t="e">
        <f>IF(I7609="fora",0%,G7609/QUÓRUM!$C$6)</f>
        <v>#DIV/0!</v>
      </c>
      <c r="I7609" s="87"/>
      <c r="J7609" s="88"/>
      <c r="K7609" s="88"/>
      <c r="L7609" s="89"/>
      <c r="M7609" s="89"/>
      <c r="Q7609" s="105"/>
    </row>
    <row r="7610" spans="3:17" x14ac:dyDescent="0.3">
      <c r="C7610" s="87"/>
      <c r="H7610" s="86" t="e">
        <f>IF(I7610="fora",0%,G7610/QUÓRUM!$C$6)</f>
        <v>#DIV/0!</v>
      </c>
      <c r="I7610" s="87"/>
      <c r="J7610" s="88"/>
      <c r="K7610" s="88"/>
      <c r="L7610" s="89"/>
      <c r="M7610" s="89"/>
      <c r="Q7610" s="105"/>
    </row>
    <row r="7611" spans="3:17" x14ac:dyDescent="0.3">
      <c r="C7611" s="87"/>
      <c r="H7611" s="86" t="e">
        <f>IF(I7611="fora",0%,G7611/QUÓRUM!$C$6)</f>
        <v>#DIV/0!</v>
      </c>
      <c r="I7611" s="87"/>
      <c r="J7611" s="88"/>
      <c r="K7611" s="88"/>
      <c r="L7611" s="89"/>
      <c r="M7611" s="89"/>
      <c r="Q7611" s="105"/>
    </row>
    <row r="7612" spans="3:17" x14ac:dyDescent="0.3">
      <c r="C7612" s="87"/>
      <c r="H7612" s="86" t="e">
        <f>IF(I7612="fora",0%,G7612/QUÓRUM!$C$6)</f>
        <v>#DIV/0!</v>
      </c>
      <c r="I7612" s="87"/>
      <c r="J7612" s="88"/>
      <c r="K7612" s="88"/>
      <c r="L7612" s="89"/>
      <c r="M7612" s="89"/>
      <c r="Q7612" s="105"/>
    </row>
    <row r="7613" spans="3:17" x14ac:dyDescent="0.3">
      <c r="C7613" s="87"/>
      <c r="H7613" s="86" t="e">
        <f>IF(I7613="fora",0%,G7613/QUÓRUM!$C$6)</f>
        <v>#DIV/0!</v>
      </c>
      <c r="I7613" s="87"/>
      <c r="J7613" s="88"/>
      <c r="K7613" s="88"/>
      <c r="L7613" s="89"/>
      <c r="M7613" s="89"/>
      <c r="Q7613" s="105"/>
    </row>
    <row r="7614" spans="3:17" x14ac:dyDescent="0.3">
      <c r="C7614" s="87"/>
      <c r="H7614" s="86" t="e">
        <f>IF(I7614="fora",0%,G7614/QUÓRUM!$C$6)</f>
        <v>#DIV/0!</v>
      </c>
      <c r="I7614" s="87"/>
      <c r="J7614" s="88"/>
      <c r="K7614" s="88"/>
      <c r="L7614" s="89"/>
      <c r="M7614" s="89"/>
      <c r="Q7614" s="105"/>
    </row>
    <row r="7615" spans="3:17" x14ac:dyDescent="0.3">
      <c r="C7615" s="87"/>
      <c r="H7615" s="86" t="e">
        <f>IF(I7615="fora",0%,G7615/QUÓRUM!$C$6)</f>
        <v>#DIV/0!</v>
      </c>
      <c r="I7615" s="87"/>
      <c r="J7615" s="88"/>
      <c r="K7615" s="88"/>
      <c r="L7615" s="89"/>
      <c r="M7615" s="89"/>
      <c r="Q7615" s="105"/>
    </row>
    <row r="7616" spans="3:17" x14ac:dyDescent="0.3">
      <c r="C7616" s="87"/>
      <c r="H7616" s="86" t="e">
        <f>IF(I7616="fora",0%,G7616/QUÓRUM!$C$6)</f>
        <v>#DIV/0!</v>
      </c>
      <c r="I7616" s="87"/>
      <c r="J7616" s="88"/>
      <c r="K7616" s="88"/>
      <c r="L7616" s="89"/>
      <c r="M7616" s="89"/>
      <c r="Q7616" s="105"/>
    </row>
    <row r="7617" spans="3:17" x14ac:dyDescent="0.3">
      <c r="C7617" s="87"/>
      <c r="H7617" s="86" t="e">
        <f>IF(I7617="fora",0%,G7617/QUÓRUM!$C$6)</f>
        <v>#DIV/0!</v>
      </c>
      <c r="I7617" s="87"/>
      <c r="J7617" s="88"/>
      <c r="K7617" s="88"/>
      <c r="L7617" s="89"/>
      <c r="M7617" s="89"/>
      <c r="Q7617" s="105"/>
    </row>
    <row r="7618" spans="3:17" x14ac:dyDescent="0.3">
      <c r="C7618" s="87"/>
      <c r="H7618" s="86" t="e">
        <f>IF(I7618="fora",0%,G7618/QUÓRUM!$C$6)</f>
        <v>#DIV/0!</v>
      </c>
      <c r="I7618" s="87"/>
      <c r="J7618" s="88"/>
      <c r="K7618" s="88"/>
      <c r="L7618" s="89"/>
      <c r="M7618" s="89"/>
      <c r="Q7618" s="105"/>
    </row>
    <row r="7619" spans="3:17" x14ac:dyDescent="0.3">
      <c r="C7619" s="87"/>
      <c r="H7619" s="86" t="e">
        <f>IF(I7619="fora",0%,G7619/QUÓRUM!$C$6)</f>
        <v>#DIV/0!</v>
      </c>
      <c r="I7619" s="87"/>
      <c r="J7619" s="88"/>
      <c r="K7619" s="88"/>
      <c r="L7619" s="89"/>
      <c r="M7619" s="89"/>
      <c r="Q7619" s="105"/>
    </row>
    <row r="7620" spans="3:17" x14ac:dyDescent="0.3">
      <c r="C7620" s="87"/>
      <c r="H7620" s="86" t="e">
        <f>IF(I7620="fora",0%,G7620/QUÓRUM!$C$6)</f>
        <v>#DIV/0!</v>
      </c>
      <c r="I7620" s="87"/>
      <c r="J7620" s="88"/>
      <c r="K7620" s="88"/>
      <c r="L7620" s="89"/>
      <c r="M7620" s="89"/>
      <c r="Q7620" s="105"/>
    </row>
    <row r="7621" spans="3:17" x14ac:dyDescent="0.3">
      <c r="C7621" s="87"/>
      <c r="H7621" s="86" t="e">
        <f>IF(I7621="fora",0%,G7621/QUÓRUM!$C$6)</f>
        <v>#DIV/0!</v>
      </c>
      <c r="I7621" s="87"/>
      <c r="J7621" s="88"/>
      <c r="K7621" s="88"/>
      <c r="L7621" s="89"/>
      <c r="M7621" s="89"/>
      <c r="Q7621" s="105"/>
    </row>
    <row r="7622" spans="3:17" x14ac:dyDescent="0.3">
      <c r="C7622" s="87"/>
      <c r="H7622" s="86" t="e">
        <f>IF(I7622="fora",0%,G7622/QUÓRUM!$C$6)</f>
        <v>#DIV/0!</v>
      </c>
      <c r="I7622" s="87"/>
      <c r="J7622" s="88"/>
      <c r="K7622" s="88"/>
      <c r="L7622" s="89"/>
      <c r="M7622" s="89"/>
      <c r="Q7622" s="105"/>
    </row>
    <row r="7623" spans="3:17" x14ac:dyDescent="0.3">
      <c r="C7623" s="87"/>
      <c r="H7623" s="86" t="e">
        <f>IF(I7623="fora",0%,G7623/QUÓRUM!$C$6)</f>
        <v>#DIV/0!</v>
      </c>
      <c r="I7623" s="87"/>
      <c r="J7623" s="88"/>
      <c r="K7623" s="88"/>
      <c r="L7623" s="89"/>
      <c r="M7623" s="89"/>
      <c r="Q7623" s="105"/>
    </row>
    <row r="7624" spans="3:17" x14ac:dyDescent="0.3">
      <c r="C7624" s="87"/>
      <c r="H7624" s="86" t="e">
        <f>IF(I7624="fora",0%,G7624/QUÓRUM!$C$6)</f>
        <v>#DIV/0!</v>
      </c>
      <c r="I7624" s="87"/>
      <c r="J7624" s="88"/>
      <c r="K7624" s="88"/>
      <c r="L7624" s="89"/>
      <c r="M7624" s="89"/>
      <c r="Q7624" s="105"/>
    </row>
    <row r="7625" spans="3:17" x14ac:dyDescent="0.3">
      <c r="C7625" s="87"/>
      <c r="H7625" s="86" t="e">
        <f>IF(I7625="fora",0%,G7625/QUÓRUM!$C$6)</f>
        <v>#DIV/0!</v>
      </c>
      <c r="I7625" s="87"/>
      <c r="J7625" s="88"/>
      <c r="K7625" s="88"/>
      <c r="L7625" s="89"/>
      <c r="M7625" s="89"/>
      <c r="Q7625" s="105"/>
    </row>
    <row r="7626" spans="3:17" x14ac:dyDescent="0.3">
      <c r="C7626" s="87"/>
      <c r="H7626" s="86" t="e">
        <f>IF(I7626="fora",0%,G7626/QUÓRUM!$C$6)</f>
        <v>#DIV/0!</v>
      </c>
      <c r="I7626" s="87"/>
      <c r="J7626" s="88"/>
      <c r="K7626" s="88"/>
      <c r="L7626" s="89"/>
      <c r="M7626" s="89"/>
      <c r="Q7626" s="105"/>
    </row>
    <row r="7627" spans="3:17" x14ac:dyDescent="0.3">
      <c r="C7627" s="87"/>
      <c r="H7627" s="86" t="e">
        <f>IF(I7627="fora",0%,G7627/QUÓRUM!$C$6)</f>
        <v>#DIV/0!</v>
      </c>
      <c r="I7627" s="87"/>
      <c r="J7627" s="88"/>
      <c r="K7627" s="88"/>
      <c r="L7627" s="89"/>
      <c r="M7627" s="89"/>
      <c r="Q7627" s="105"/>
    </row>
    <row r="7628" spans="3:17" x14ac:dyDescent="0.3">
      <c r="C7628" s="87"/>
      <c r="H7628" s="86" t="e">
        <f>IF(I7628="fora",0%,G7628/QUÓRUM!$C$6)</f>
        <v>#DIV/0!</v>
      </c>
      <c r="I7628" s="87"/>
      <c r="J7628" s="88"/>
      <c r="K7628" s="88"/>
      <c r="L7628" s="89"/>
      <c r="M7628" s="89"/>
      <c r="Q7628" s="105"/>
    </row>
    <row r="7629" spans="3:17" x14ac:dyDescent="0.3">
      <c r="C7629" s="87"/>
      <c r="H7629" s="86" t="e">
        <f>IF(I7629="fora",0%,G7629/QUÓRUM!$C$6)</f>
        <v>#DIV/0!</v>
      </c>
      <c r="I7629" s="87"/>
      <c r="J7629" s="88"/>
      <c r="K7629" s="88"/>
      <c r="L7629" s="89"/>
      <c r="M7629" s="89"/>
      <c r="Q7629" s="105"/>
    </row>
    <row r="7630" spans="3:17" x14ac:dyDescent="0.3">
      <c r="C7630" s="87"/>
      <c r="H7630" s="86" t="e">
        <f>IF(I7630="fora",0%,G7630/QUÓRUM!$C$6)</f>
        <v>#DIV/0!</v>
      </c>
      <c r="I7630" s="87"/>
      <c r="J7630" s="88"/>
      <c r="K7630" s="88"/>
      <c r="L7630" s="89"/>
      <c r="M7630" s="89"/>
      <c r="Q7630" s="105"/>
    </row>
    <row r="7631" spans="3:17" x14ac:dyDescent="0.3">
      <c r="C7631" s="87"/>
      <c r="H7631" s="86" t="e">
        <f>IF(I7631="fora",0%,G7631/QUÓRUM!$C$6)</f>
        <v>#DIV/0!</v>
      </c>
      <c r="I7631" s="87"/>
      <c r="J7631" s="88"/>
      <c r="K7631" s="88"/>
      <c r="L7631" s="89"/>
      <c r="M7631" s="89"/>
      <c r="Q7631" s="105"/>
    </row>
    <row r="7632" spans="3:17" x14ac:dyDescent="0.3">
      <c r="C7632" s="87"/>
      <c r="H7632" s="86" t="e">
        <f>IF(I7632="fora",0%,G7632/QUÓRUM!$C$6)</f>
        <v>#DIV/0!</v>
      </c>
      <c r="I7632" s="87"/>
      <c r="J7632" s="88"/>
      <c r="K7632" s="88"/>
      <c r="L7632" s="89"/>
      <c r="M7632" s="89"/>
      <c r="Q7632" s="105"/>
    </row>
    <row r="7633" spans="3:17" x14ac:dyDescent="0.3">
      <c r="C7633" s="87"/>
      <c r="H7633" s="86" t="e">
        <f>IF(I7633="fora",0%,G7633/QUÓRUM!$C$6)</f>
        <v>#DIV/0!</v>
      </c>
      <c r="I7633" s="87"/>
      <c r="J7633" s="88"/>
      <c r="K7633" s="88"/>
      <c r="L7633" s="89"/>
      <c r="M7633" s="89"/>
      <c r="Q7633" s="105"/>
    </row>
    <row r="7634" spans="3:17" x14ac:dyDescent="0.3">
      <c r="C7634" s="87"/>
      <c r="H7634" s="86" t="e">
        <f>IF(I7634="fora",0%,G7634/QUÓRUM!$C$6)</f>
        <v>#DIV/0!</v>
      </c>
      <c r="I7634" s="87"/>
      <c r="J7634" s="88"/>
      <c r="K7634" s="88"/>
      <c r="L7634" s="89"/>
      <c r="M7634" s="89"/>
      <c r="Q7634" s="105"/>
    </row>
    <row r="7635" spans="3:17" x14ac:dyDescent="0.3">
      <c r="C7635" s="87"/>
      <c r="H7635" s="86" t="e">
        <f>IF(I7635="fora",0%,G7635/QUÓRUM!$C$6)</f>
        <v>#DIV/0!</v>
      </c>
      <c r="I7635" s="87"/>
      <c r="J7635" s="88"/>
      <c r="K7635" s="88"/>
      <c r="L7635" s="89"/>
      <c r="M7635" s="89"/>
      <c r="Q7635" s="105"/>
    </row>
    <row r="7636" spans="3:17" x14ac:dyDescent="0.3">
      <c r="C7636" s="87"/>
      <c r="H7636" s="86" t="e">
        <f>IF(I7636="fora",0%,G7636/QUÓRUM!$C$6)</f>
        <v>#DIV/0!</v>
      </c>
      <c r="I7636" s="87"/>
      <c r="J7636" s="88"/>
      <c r="K7636" s="88"/>
      <c r="L7636" s="89"/>
      <c r="M7636" s="89"/>
      <c r="Q7636" s="105"/>
    </row>
    <row r="7637" spans="3:17" x14ac:dyDescent="0.3">
      <c r="C7637" s="87"/>
      <c r="H7637" s="86" t="e">
        <f>IF(I7637="fora",0%,G7637/QUÓRUM!$C$6)</f>
        <v>#DIV/0!</v>
      </c>
      <c r="I7637" s="87"/>
      <c r="J7637" s="88"/>
      <c r="K7637" s="88"/>
      <c r="L7637" s="89"/>
      <c r="M7637" s="89"/>
      <c r="Q7637" s="105"/>
    </row>
    <row r="7638" spans="3:17" x14ac:dyDescent="0.3">
      <c r="C7638" s="87"/>
      <c r="H7638" s="86" t="e">
        <f>IF(I7638="fora",0%,G7638/QUÓRUM!$C$6)</f>
        <v>#DIV/0!</v>
      </c>
      <c r="I7638" s="87"/>
      <c r="J7638" s="88"/>
      <c r="K7638" s="88"/>
      <c r="L7638" s="89"/>
      <c r="M7638" s="89"/>
      <c r="Q7638" s="105"/>
    </row>
    <row r="7639" spans="3:17" x14ac:dyDescent="0.3">
      <c r="C7639" s="87"/>
      <c r="H7639" s="86" t="e">
        <f>IF(I7639="fora",0%,G7639/QUÓRUM!$C$6)</f>
        <v>#DIV/0!</v>
      </c>
      <c r="I7639" s="87"/>
      <c r="J7639" s="88"/>
      <c r="K7639" s="88"/>
      <c r="L7639" s="89"/>
      <c r="M7639" s="89"/>
      <c r="Q7639" s="105"/>
    </row>
    <row r="7640" spans="3:17" x14ac:dyDescent="0.3">
      <c r="C7640" s="87"/>
      <c r="H7640" s="86" t="e">
        <f>IF(I7640="fora",0%,G7640/QUÓRUM!$C$6)</f>
        <v>#DIV/0!</v>
      </c>
      <c r="I7640" s="87"/>
      <c r="J7640" s="88"/>
      <c r="K7640" s="88"/>
      <c r="L7640" s="89"/>
      <c r="M7640" s="89"/>
      <c r="Q7640" s="105"/>
    </row>
    <row r="7641" spans="3:17" x14ac:dyDescent="0.3">
      <c r="C7641" s="87"/>
      <c r="H7641" s="86" t="e">
        <f>IF(I7641="fora",0%,G7641/QUÓRUM!$C$6)</f>
        <v>#DIV/0!</v>
      </c>
      <c r="I7641" s="87"/>
      <c r="J7641" s="88"/>
      <c r="K7641" s="88"/>
      <c r="L7641" s="89"/>
      <c r="M7641" s="89"/>
      <c r="Q7641" s="105"/>
    </row>
    <row r="7642" spans="3:17" x14ac:dyDescent="0.3">
      <c r="C7642" s="87"/>
      <c r="H7642" s="86" t="e">
        <f>IF(I7642="fora",0%,G7642/QUÓRUM!$C$6)</f>
        <v>#DIV/0!</v>
      </c>
      <c r="I7642" s="87"/>
      <c r="J7642" s="88"/>
      <c r="K7642" s="88"/>
      <c r="L7642" s="89"/>
      <c r="M7642" s="89"/>
      <c r="Q7642" s="105"/>
    </row>
    <row r="7643" spans="3:17" x14ac:dyDescent="0.3">
      <c r="C7643" s="87"/>
      <c r="H7643" s="86" t="e">
        <f>IF(I7643="fora",0%,G7643/QUÓRUM!$C$6)</f>
        <v>#DIV/0!</v>
      </c>
      <c r="I7643" s="87"/>
      <c r="J7643" s="88"/>
      <c r="K7643" s="88"/>
      <c r="L7643" s="89"/>
      <c r="M7643" s="89"/>
      <c r="Q7643" s="105"/>
    </row>
    <row r="7644" spans="3:17" x14ac:dyDescent="0.3">
      <c r="C7644" s="87"/>
      <c r="H7644" s="86" t="e">
        <f>IF(I7644="fora",0%,G7644/QUÓRUM!$C$6)</f>
        <v>#DIV/0!</v>
      </c>
      <c r="I7644" s="87"/>
      <c r="J7644" s="88"/>
      <c r="K7644" s="88"/>
      <c r="L7644" s="89"/>
      <c r="M7644" s="89"/>
      <c r="Q7644" s="105"/>
    </row>
    <row r="7645" spans="3:17" x14ac:dyDescent="0.3">
      <c r="C7645" s="87"/>
      <c r="H7645" s="86" t="e">
        <f>IF(I7645="fora",0%,G7645/QUÓRUM!$C$6)</f>
        <v>#DIV/0!</v>
      </c>
      <c r="I7645" s="87"/>
      <c r="J7645" s="88"/>
      <c r="K7645" s="88"/>
      <c r="L7645" s="89"/>
      <c r="M7645" s="89"/>
      <c r="Q7645" s="105"/>
    </row>
    <row r="7646" spans="3:17" x14ac:dyDescent="0.3">
      <c r="C7646" s="87"/>
      <c r="H7646" s="86" t="e">
        <f>IF(I7646="fora",0%,G7646/QUÓRUM!$C$6)</f>
        <v>#DIV/0!</v>
      </c>
      <c r="I7646" s="87"/>
      <c r="J7646" s="88"/>
      <c r="K7646" s="88"/>
      <c r="L7646" s="89"/>
      <c r="M7646" s="89"/>
      <c r="Q7646" s="105"/>
    </row>
    <row r="7647" spans="3:17" x14ac:dyDescent="0.3">
      <c r="C7647" s="87"/>
      <c r="H7647" s="86" t="e">
        <f>IF(I7647="fora",0%,G7647/QUÓRUM!$C$6)</f>
        <v>#DIV/0!</v>
      </c>
      <c r="I7647" s="87"/>
      <c r="J7647" s="88"/>
      <c r="K7647" s="88"/>
      <c r="L7647" s="89"/>
      <c r="M7647" s="89"/>
      <c r="Q7647" s="105"/>
    </row>
    <row r="7648" spans="3:17" x14ac:dyDescent="0.3">
      <c r="C7648" s="87"/>
      <c r="H7648" s="86" t="e">
        <f>IF(I7648="fora",0%,G7648/QUÓRUM!$C$6)</f>
        <v>#DIV/0!</v>
      </c>
      <c r="I7648" s="87"/>
      <c r="J7648" s="88"/>
      <c r="K7648" s="88"/>
      <c r="L7648" s="89"/>
      <c r="M7648" s="89"/>
      <c r="Q7648" s="105"/>
    </row>
    <row r="7649" spans="3:17" x14ac:dyDescent="0.3">
      <c r="C7649" s="87"/>
      <c r="H7649" s="86" t="e">
        <f>IF(I7649="fora",0%,G7649/QUÓRUM!$C$6)</f>
        <v>#DIV/0!</v>
      </c>
      <c r="I7649" s="87"/>
      <c r="J7649" s="88"/>
      <c r="K7649" s="88"/>
      <c r="L7649" s="89"/>
      <c r="M7649" s="89"/>
      <c r="Q7649" s="105"/>
    </row>
    <row r="7650" spans="3:17" x14ac:dyDescent="0.3">
      <c r="C7650" s="87"/>
      <c r="H7650" s="86" t="e">
        <f>IF(I7650="fora",0%,G7650/QUÓRUM!$C$6)</f>
        <v>#DIV/0!</v>
      </c>
      <c r="I7650" s="87"/>
      <c r="J7650" s="88"/>
      <c r="K7650" s="88"/>
      <c r="L7650" s="89"/>
      <c r="M7650" s="89"/>
      <c r="Q7650" s="105"/>
    </row>
    <row r="7651" spans="3:17" x14ac:dyDescent="0.3">
      <c r="C7651" s="87"/>
      <c r="H7651" s="86" t="e">
        <f>IF(I7651="fora",0%,G7651/QUÓRUM!$C$6)</f>
        <v>#DIV/0!</v>
      </c>
      <c r="I7651" s="87"/>
      <c r="J7651" s="88"/>
      <c r="K7651" s="88"/>
      <c r="L7651" s="89"/>
      <c r="M7651" s="89"/>
      <c r="Q7651" s="105"/>
    </row>
    <row r="7652" spans="3:17" x14ac:dyDescent="0.3">
      <c r="C7652" s="87"/>
      <c r="H7652" s="86" t="e">
        <f>IF(I7652="fora",0%,G7652/QUÓRUM!$C$6)</f>
        <v>#DIV/0!</v>
      </c>
      <c r="I7652" s="87"/>
      <c r="J7652" s="88"/>
      <c r="K7652" s="88"/>
      <c r="L7652" s="89"/>
      <c r="M7652" s="89"/>
      <c r="Q7652" s="105"/>
    </row>
    <row r="7653" spans="3:17" x14ac:dyDescent="0.3">
      <c r="C7653" s="87"/>
      <c r="H7653" s="86" t="e">
        <f>IF(I7653="fora",0%,G7653/QUÓRUM!$C$6)</f>
        <v>#DIV/0!</v>
      </c>
      <c r="I7653" s="87"/>
      <c r="J7653" s="88"/>
      <c r="K7653" s="88"/>
      <c r="L7653" s="89"/>
      <c r="M7653" s="89"/>
      <c r="Q7653" s="105"/>
    </row>
    <row r="7654" spans="3:17" x14ac:dyDescent="0.3">
      <c r="C7654" s="87"/>
      <c r="H7654" s="86" t="e">
        <f>IF(I7654="fora",0%,G7654/QUÓRUM!$C$6)</f>
        <v>#DIV/0!</v>
      </c>
      <c r="I7654" s="87"/>
      <c r="J7654" s="88"/>
      <c r="K7654" s="88"/>
      <c r="L7654" s="89"/>
      <c r="M7654" s="89"/>
      <c r="Q7654" s="105"/>
    </row>
    <row r="7655" spans="3:17" x14ac:dyDescent="0.3">
      <c r="C7655" s="87"/>
      <c r="H7655" s="86" t="e">
        <f>IF(I7655="fora",0%,G7655/QUÓRUM!$C$6)</f>
        <v>#DIV/0!</v>
      </c>
      <c r="I7655" s="87"/>
      <c r="J7655" s="88"/>
      <c r="K7655" s="88"/>
      <c r="L7655" s="89"/>
      <c r="M7655" s="89"/>
      <c r="Q7655" s="105"/>
    </row>
    <row r="7656" spans="3:17" x14ac:dyDescent="0.3">
      <c r="C7656" s="87"/>
      <c r="H7656" s="86" t="e">
        <f>IF(I7656="fora",0%,G7656/QUÓRUM!$C$6)</f>
        <v>#DIV/0!</v>
      </c>
      <c r="I7656" s="87"/>
      <c r="J7656" s="88"/>
      <c r="K7656" s="88"/>
      <c r="L7656" s="89"/>
      <c r="M7656" s="89"/>
      <c r="Q7656" s="105"/>
    </row>
    <row r="7657" spans="3:17" x14ac:dyDescent="0.3">
      <c r="C7657" s="87"/>
      <c r="H7657" s="86" t="e">
        <f>IF(I7657="fora",0%,G7657/QUÓRUM!$C$6)</f>
        <v>#DIV/0!</v>
      </c>
      <c r="I7657" s="87"/>
      <c r="J7657" s="88"/>
      <c r="K7657" s="88"/>
      <c r="L7657" s="89"/>
      <c r="M7657" s="89"/>
      <c r="Q7657" s="105"/>
    </row>
    <row r="7658" spans="3:17" x14ac:dyDescent="0.3">
      <c r="C7658" s="87"/>
      <c r="H7658" s="86" t="e">
        <f>IF(I7658="fora",0%,G7658/QUÓRUM!$C$6)</f>
        <v>#DIV/0!</v>
      </c>
      <c r="I7658" s="87"/>
      <c r="J7658" s="88"/>
      <c r="K7658" s="88"/>
      <c r="L7658" s="89"/>
      <c r="M7658" s="89"/>
      <c r="Q7658" s="105"/>
    </row>
    <row r="7659" spans="3:17" x14ac:dyDescent="0.3">
      <c r="C7659" s="87"/>
      <c r="H7659" s="86" t="e">
        <f>IF(I7659="fora",0%,G7659/QUÓRUM!$C$6)</f>
        <v>#DIV/0!</v>
      </c>
      <c r="I7659" s="87"/>
      <c r="J7659" s="88"/>
      <c r="K7659" s="88"/>
      <c r="L7659" s="89"/>
      <c r="M7659" s="89"/>
      <c r="Q7659" s="105"/>
    </row>
    <row r="7660" spans="3:17" x14ac:dyDescent="0.3">
      <c r="C7660" s="87"/>
      <c r="H7660" s="86" t="e">
        <f>IF(I7660="fora",0%,G7660/QUÓRUM!$C$6)</f>
        <v>#DIV/0!</v>
      </c>
      <c r="I7660" s="87"/>
      <c r="J7660" s="88"/>
      <c r="K7660" s="88"/>
      <c r="L7660" s="89"/>
      <c r="M7660" s="89"/>
      <c r="Q7660" s="105"/>
    </row>
    <row r="7661" spans="3:17" x14ac:dyDescent="0.3">
      <c r="C7661" s="87"/>
      <c r="H7661" s="86" t="e">
        <f>IF(I7661="fora",0%,G7661/QUÓRUM!$C$6)</f>
        <v>#DIV/0!</v>
      </c>
      <c r="I7661" s="87"/>
      <c r="J7661" s="88"/>
      <c r="K7661" s="88"/>
      <c r="L7661" s="89"/>
      <c r="M7661" s="89"/>
      <c r="Q7661" s="105"/>
    </row>
    <row r="7662" spans="3:17" x14ac:dyDescent="0.3">
      <c r="C7662" s="87"/>
      <c r="H7662" s="86" t="e">
        <f>IF(I7662="fora",0%,G7662/QUÓRUM!$C$6)</f>
        <v>#DIV/0!</v>
      </c>
      <c r="I7662" s="87"/>
      <c r="J7662" s="88"/>
      <c r="K7662" s="88"/>
      <c r="L7662" s="89"/>
      <c r="M7662" s="89"/>
      <c r="Q7662" s="105"/>
    </row>
    <row r="7663" spans="3:17" x14ac:dyDescent="0.3">
      <c r="C7663" s="87"/>
      <c r="H7663" s="86" t="e">
        <f>IF(I7663="fora",0%,G7663/QUÓRUM!$C$6)</f>
        <v>#DIV/0!</v>
      </c>
      <c r="I7663" s="87"/>
      <c r="J7663" s="88"/>
      <c r="K7663" s="88"/>
      <c r="L7663" s="89"/>
      <c r="M7663" s="89"/>
      <c r="Q7663" s="105"/>
    </row>
    <row r="7664" spans="3:17" x14ac:dyDescent="0.3">
      <c r="C7664" s="87"/>
      <c r="H7664" s="86" t="e">
        <f>IF(I7664="fora",0%,G7664/QUÓRUM!$C$6)</f>
        <v>#DIV/0!</v>
      </c>
      <c r="I7664" s="87"/>
      <c r="J7664" s="88"/>
      <c r="K7664" s="88"/>
      <c r="L7664" s="89"/>
      <c r="M7664" s="89"/>
      <c r="Q7664" s="105"/>
    </row>
    <row r="7665" spans="3:17" x14ac:dyDescent="0.3">
      <c r="C7665" s="87"/>
      <c r="H7665" s="86" t="e">
        <f>IF(I7665="fora",0%,G7665/QUÓRUM!$C$6)</f>
        <v>#DIV/0!</v>
      </c>
      <c r="I7665" s="87"/>
      <c r="J7665" s="88"/>
      <c r="K7665" s="88"/>
      <c r="L7665" s="89"/>
      <c r="M7665" s="89"/>
      <c r="Q7665" s="105"/>
    </row>
    <row r="7666" spans="3:17" x14ac:dyDescent="0.3">
      <c r="C7666" s="87"/>
      <c r="H7666" s="86" t="e">
        <f>IF(I7666="fora",0%,G7666/QUÓRUM!$C$6)</f>
        <v>#DIV/0!</v>
      </c>
      <c r="I7666" s="87"/>
      <c r="J7666" s="88"/>
      <c r="K7666" s="88"/>
      <c r="L7666" s="89"/>
      <c r="M7666" s="89"/>
      <c r="Q7666" s="105"/>
    </row>
    <row r="7667" spans="3:17" x14ac:dyDescent="0.3">
      <c r="C7667" s="87"/>
      <c r="H7667" s="86" t="e">
        <f>IF(I7667="fora",0%,G7667/QUÓRUM!$C$6)</f>
        <v>#DIV/0!</v>
      </c>
      <c r="I7667" s="87"/>
      <c r="J7667" s="88"/>
      <c r="K7667" s="88"/>
      <c r="L7667" s="89"/>
      <c r="M7667" s="89"/>
      <c r="Q7667" s="105"/>
    </row>
    <row r="7668" spans="3:17" x14ac:dyDescent="0.3">
      <c r="C7668" s="87"/>
      <c r="H7668" s="86" t="e">
        <f>IF(I7668="fora",0%,G7668/QUÓRUM!$C$6)</f>
        <v>#DIV/0!</v>
      </c>
      <c r="I7668" s="87"/>
      <c r="J7668" s="88"/>
      <c r="K7668" s="88"/>
      <c r="L7668" s="89"/>
      <c r="M7668" s="89"/>
      <c r="Q7668" s="105"/>
    </row>
    <row r="7669" spans="3:17" x14ac:dyDescent="0.3">
      <c r="C7669" s="87"/>
      <c r="H7669" s="86" t="e">
        <f>IF(I7669="fora",0%,G7669/QUÓRUM!$C$6)</f>
        <v>#DIV/0!</v>
      </c>
      <c r="I7669" s="87"/>
      <c r="J7669" s="88"/>
      <c r="K7669" s="88"/>
      <c r="L7669" s="89"/>
      <c r="M7669" s="89"/>
      <c r="Q7669" s="105"/>
    </row>
    <row r="7670" spans="3:17" x14ac:dyDescent="0.3">
      <c r="C7670" s="87"/>
      <c r="H7670" s="86" t="e">
        <f>IF(I7670="fora",0%,G7670/QUÓRUM!$C$6)</f>
        <v>#DIV/0!</v>
      </c>
      <c r="I7670" s="87"/>
      <c r="J7670" s="88"/>
      <c r="K7670" s="88"/>
      <c r="L7670" s="89"/>
      <c r="M7670" s="89"/>
      <c r="Q7670" s="105"/>
    </row>
    <row r="7671" spans="3:17" x14ac:dyDescent="0.3">
      <c r="C7671" s="87"/>
      <c r="H7671" s="86" t="e">
        <f>IF(I7671="fora",0%,G7671/QUÓRUM!$C$6)</f>
        <v>#DIV/0!</v>
      </c>
      <c r="I7671" s="87"/>
      <c r="J7671" s="88"/>
      <c r="K7671" s="88"/>
      <c r="L7671" s="89"/>
      <c r="M7671" s="89"/>
      <c r="Q7671" s="105"/>
    </row>
    <row r="7672" spans="3:17" x14ac:dyDescent="0.3">
      <c r="C7672" s="87"/>
      <c r="H7672" s="86" t="e">
        <f>IF(I7672="fora",0%,G7672/QUÓRUM!$C$6)</f>
        <v>#DIV/0!</v>
      </c>
      <c r="I7672" s="87"/>
      <c r="J7672" s="88"/>
      <c r="K7672" s="88"/>
      <c r="L7672" s="89"/>
      <c r="M7672" s="89"/>
      <c r="Q7672" s="105"/>
    </row>
    <row r="7673" spans="3:17" x14ac:dyDescent="0.3">
      <c r="C7673" s="87"/>
      <c r="H7673" s="86" t="e">
        <f>IF(I7673="fora",0%,G7673/QUÓRUM!$C$6)</f>
        <v>#DIV/0!</v>
      </c>
      <c r="I7673" s="87"/>
      <c r="J7673" s="88"/>
      <c r="K7673" s="88"/>
      <c r="L7673" s="89"/>
      <c r="M7673" s="89"/>
      <c r="Q7673" s="105"/>
    </row>
    <row r="7674" spans="3:17" x14ac:dyDescent="0.3">
      <c r="C7674" s="87"/>
      <c r="H7674" s="86" t="e">
        <f>IF(I7674="fora",0%,G7674/QUÓRUM!$C$6)</f>
        <v>#DIV/0!</v>
      </c>
      <c r="I7674" s="87"/>
      <c r="J7674" s="88"/>
      <c r="K7674" s="88"/>
      <c r="L7674" s="89"/>
      <c r="M7674" s="89"/>
      <c r="Q7674" s="105"/>
    </row>
    <row r="7675" spans="3:17" x14ac:dyDescent="0.3">
      <c r="C7675" s="87"/>
      <c r="H7675" s="86" t="e">
        <f>IF(I7675="fora",0%,G7675/QUÓRUM!$C$6)</f>
        <v>#DIV/0!</v>
      </c>
      <c r="I7675" s="87"/>
      <c r="J7675" s="88"/>
      <c r="K7675" s="88"/>
      <c r="L7675" s="89"/>
      <c r="M7675" s="89"/>
      <c r="Q7675" s="105"/>
    </row>
    <row r="7676" spans="3:17" x14ac:dyDescent="0.3">
      <c r="C7676" s="87"/>
      <c r="H7676" s="86" t="e">
        <f>IF(I7676="fora",0%,G7676/QUÓRUM!$C$6)</f>
        <v>#DIV/0!</v>
      </c>
      <c r="I7676" s="87"/>
      <c r="J7676" s="88"/>
      <c r="K7676" s="88"/>
      <c r="L7676" s="89"/>
      <c r="M7676" s="89"/>
      <c r="Q7676" s="105"/>
    </row>
    <row r="7677" spans="3:17" x14ac:dyDescent="0.3">
      <c r="C7677" s="87"/>
      <c r="H7677" s="86" t="e">
        <f>IF(I7677="fora",0%,G7677/QUÓRUM!$C$6)</f>
        <v>#DIV/0!</v>
      </c>
      <c r="I7677" s="87"/>
      <c r="J7677" s="88"/>
      <c r="K7677" s="88"/>
      <c r="L7677" s="89"/>
      <c r="M7677" s="89"/>
      <c r="Q7677" s="105"/>
    </row>
    <row r="7678" spans="3:17" x14ac:dyDescent="0.3">
      <c r="C7678" s="87"/>
      <c r="H7678" s="86" t="e">
        <f>IF(I7678="fora",0%,G7678/QUÓRUM!$C$6)</f>
        <v>#DIV/0!</v>
      </c>
      <c r="I7678" s="87"/>
      <c r="J7678" s="88"/>
      <c r="K7678" s="88"/>
      <c r="L7678" s="89"/>
      <c r="M7678" s="89"/>
      <c r="Q7678" s="105"/>
    </row>
    <row r="7679" spans="3:17" x14ac:dyDescent="0.3">
      <c r="C7679" s="87"/>
      <c r="H7679" s="86" t="e">
        <f>IF(I7679="fora",0%,G7679/QUÓRUM!$C$6)</f>
        <v>#DIV/0!</v>
      </c>
      <c r="I7679" s="87"/>
      <c r="J7679" s="88"/>
      <c r="K7679" s="88"/>
      <c r="L7679" s="89"/>
      <c r="M7679" s="89"/>
      <c r="Q7679" s="105"/>
    </row>
    <row r="7680" spans="3:17" x14ac:dyDescent="0.3">
      <c r="C7680" s="87"/>
      <c r="H7680" s="86" t="e">
        <f>IF(I7680="fora",0%,G7680/QUÓRUM!$C$6)</f>
        <v>#DIV/0!</v>
      </c>
      <c r="I7680" s="87"/>
      <c r="J7680" s="88"/>
      <c r="K7680" s="88"/>
      <c r="L7680" s="89"/>
      <c r="M7680" s="89"/>
      <c r="Q7680" s="105"/>
    </row>
    <row r="7681" spans="3:17" x14ac:dyDescent="0.3">
      <c r="C7681" s="87"/>
      <c r="H7681" s="86" t="e">
        <f>IF(I7681="fora",0%,G7681/QUÓRUM!$C$6)</f>
        <v>#DIV/0!</v>
      </c>
      <c r="I7681" s="87"/>
      <c r="J7681" s="88"/>
      <c r="K7681" s="88"/>
      <c r="L7681" s="89"/>
      <c r="M7681" s="89"/>
      <c r="Q7681" s="105"/>
    </row>
    <row r="7682" spans="3:17" x14ac:dyDescent="0.3">
      <c r="C7682" s="87"/>
      <c r="H7682" s="86" t="e">
        <f>IF(I7682="fora",0%,G7682/QUÓRUM!$C$6)</f>
        <v>#DIV/0!</v>
      </c>
      <c r="I7682" s="87"/>
      <c r="J7682" s="88"/>
      <c r="K7682" s="88"/>
      <c r="L7682" s="89"/>
      <c r="M7682" s="89"/>
      <c r="Q7682" s="105"/>
    </row>
    <row r="7683" spans="3:17" x14ac:dyDescent="0.3">
      <c r="C7683" s="87"/>
      <c r="H7683" s="86" t="e">
        <f>IF(I7683="fora",0%,G7683/QUÓRUM!$C$6)</f>
        <v>#DIV/0!</v>
      </c>
      <c r="I7683" s="87"/>
      <c r="J7683" s="88"/>
      <c r="K7683" s="88"/>
      <c r="L7683" s="89"/>
      <c r="M7683" s="89"/>
      <c r="Q7683" s="105"/>
    </row>
    <row r="7684" spans="3:17" x14ac:dyDescent="0.3">
      <c r="C7684" s="87"/>
      <c r="H7684" s="86" t="e">
        <f>IF(I7684="fora",0%,G7684/QUÓRUM!$C$6)</f>
        <v>#DIV/0!</v>
      </c>
      <c r="I7684" s="87"/>
      <c r="J7684" s="88"/>
      <c r="K7684" s="88"/>
      <c r="L7684" s="89"/>
      <c r="M7684" s="89"/>
      <c r="Q7684" s="105"/>
    </row>
    <row r="7685" spans="3:17" x14ac:dyDescent="0.3">
      <c r="C7685" s="87"/>
      <c r="H7685" s="86" t="e">
        <f>IF(I7685="fora",0%,G7685/QUÓRUM!$C$6)</f>
        <v>#DIV/0!</v>
      </c>
      <c r="I7685" s="87"/>
      <c r="J7685" s="88"/>
      <c r="K7685" s="88"/>
      <c r="L7685" s="89"/>
      <c r="M7685" s="89"/>
      <c r="Q7685" s="105"/>
    </row>
    <row r="7686" spans="3:17" x14ac:dyDescent="0.3">
      <c r="C7686" s="87"/>
      <c r="H7686" s="86" t="e">
        <f>IF(I7686="fora",0%,G7686/QUÓRUM!$C$6)</f>
        <v>#DIV/0!</v>
      </c>
      <c r="I7686" s="87"/>
      <c r="J7686" s="88"/>
      <c r="K7686" s="88"/>
      <c r="L7686" s="89"/>
      <c r="M7686" s="89"/>
      <c r="Q7686" s="105"/>
    </row>
    <row r="7687" spans="3:17" x14ac:dyDescent="0.3">
      <c r="C7687" s="87"/>
      <c r="H7687" s="86" t="e">
        <f>IF(I7687="fora",0%,G7687/QUÓRUM!$C$6)</f>
        <v>#DIV/0!</v>
      </c>
      <c r="I7687" s="87"/>
      <c r="J7687" s="88"/>
      <c r="K7687" s="88"/>
      <c r="L7687" s="89"/>
      <c r="M7687" s="89"/>
      <c r="Q7687" s="105"/>
    </row>
    <row r="7688" spans="3:17" x14ac:dyDescent="0.3">
      <c r="C7688" s="87"/>
      <c r="H7688" s="86" t="e">
        <f>IF(I7688="fora",0%,G7688/QUÓRUM!$C$6)</f>
        <v>#DIV/0!</v>
      </c>
      <c r="I7688" s="87"/>
      <c r="J7688" s="88"/>
      <c r="K7688" s="88"/>
      <c r="L7688" s="89"/>
      <c r="M7688" s="89"/>
      <c r="Q7688" s="105"/>
    </row>
    <row r="7689" spans="3:17" x14ac:dyDescent="0.3">
      <c r="C7689" s="87"/>
      <c r="H7689" s="86" t="e">
        <f>IF(I7689="fora",0%,G7689/QUÓRUM!$C$6)</f>
        <v>#DIV/0!</v>
      </c>
      <c r="I7689" s="87"/>
      <c r="J7689" s="88"/>
      <c r="K7689" s="88"/>
      <c r="L7689" s="89"/>
      <c r="M7689" s="89"/>
      <c r="Q7689" s="105"/>
    </row>
    <row r="7690" spans="3:17" x14ac:dyDescent="0.3">
      <c r="C7690" s="87"/>
      <c r="H7690" s="86" t="e">
        <f>IF(I7690="fora",0%,G7690/QUÓRUM!$C$6)</f>
        <v>#DIV/0!</v>
      </c>
      <c r="I7690" s="87"/>
      <c r="J7690" s="88"/>
      <c r="K7690" s="88"/>
      <c r="L7690" s="89"/>
      <c r="M7690" s="89"/>
      <c r="Q7690" s="105"/>
    </row>
    <row r="7691" spans="3:17" x14ac:dyDescent="0.3">
      <c r="C7691" s="87"/>
      <c r="H7691" s="86" t="e">
        <f>IF(I7691="fora",0%,G7691/QUÓRUM!$C$6)</f>
        <v>#DIV/0!</v>
      </c>
      <c r="I7691" s="87"/>
      <c r="J7691" s="88"/>
      <c r="K7691" s="88"/>
      <c r="L7691" s="89"/>
      <c r="M7691" s="89"/>
      <c r="Q7691" s="105"/>
    </row>
    <row r="7692" spans="3:17" x14ac:dyDescent="0.3">
      <c r="C7692" s="87"/>
      <c r="H7692" s="86" t="e">
        <f>IF(I7692="fora",0%,G7692/QUÓRUM!$C$6)</f>
        <v>#DIV/0!</v>
      </c>
      <c r="I7692" s="87"/>
      <c r="J7692" s="88"/>
      <c r="K7692" s="88"/>
      <c r="L7692" s="89"/>
      <c r="M7692" s="89"/>
      <c r="Q7692" s="105"/>
    </row>
    <row r="7693" spans="3:17" x14ac:dyDescent="0.3">
      <c r="C7693" s="87"/>
      <c r="H7693" s="86" t="e">
        <f>IF(I7693="fora",0%,G7693/QUÓRUM!$C$6)</f>
        <v>#DIV/0!</v>
      </c>
      <c r="I7693" s="87"/>
      <c r="J7693" s="88"/>
      <c r="K7693" s="88"/>
      <c r="L7693" s="89"/>
      <c r="M7693" s="89"/>
      <c r="Q7693" s="105"/>
    </row>
    <row r="7694" spans="3:17" x14ac:dyDescent="0.3">
      <c r="C7694" s="87"/>
      <c r="H7694" s="86" t="e">
        <f>IF(I7694="fora",0%,G7694/QUÓRUM!$C$6)</f>
        <v>#DIV/0!</v>
      </c>
      <c r="I7694" s="87"/>
      <c r="J7694" s="88"/>
      <c r="K7694" s="88"/>
      <c r="L7694" s="89"/>
      <c r="M7694" s="89"/>
      <c r="Q7694" s="105"/>
    </row>
    <row r="7695" spans="3:17" x14ac:dyDescent="0.3">
      <c r="C7695" s="87"/>
      <c r="H7695" s="86" t="e">
        <f>IF(I7695="fora",0%,G7695/QUÓRUM!$C$6)</f>
        <v>#DIV/0!</v>
      </c>
      <c r="I7695" s="87"/>
      <c r="J7695" s="88"/>
      <c r="K7695" s="88"/>
      <c r="L7695" s="89"/>
      <c r="M7695" s="89"/>
      <c r="Q7695" s="105"/>
    </row>
    <row r="7696" spans="3:17" x14ac:dyDescent="0.3">
      <c r="C7696" s="87"/>
      <c r="H7696" s="86" t="e">
        <f>IF(I7696="fora",0%,G7696/QUÓRUM!$C$6)</f>
        <v>#DIV/0!</v>
      </c>
      <c r="I7696" s="87"/>
      <c r="J7696" s="88"/>
      <c r="K7696" s="88"/>
      <c r="L7696" s="89"/>
      <c r="M7696" s="89"/>
      <c r="Q7696" s="105"/>
    </row>
    <row r="7697" spans="3:17" x14ac:dyDescent="0.3">
      <c r="C7697" s="87"/>
      <c r="H7697" s="86" t="e">
        <f>IF(I7697="fora",0%,G7697/QUÓRUM!$C$6)</f>
        <v>#DIV/0!</v>
      </c>
      <c r="I7697" s="87"/>
      <c r="J7697" s="88"/>
      <c r="K7697" s="88"/>
      <c r="L7697" s="89"/>
      <c r="M7697" s="89"/>
      <c r="Q7697" s="105"/>
    </row>
    <row r="7698" spans="3:17" x14ac:dyDescent="0.3">
      <c r="C7698" s="87"/>
      <c r="H7698" s="86" t="e">
        <f>IF(I7698="fora",0%,G7698/QUÓRUM!$C$6)</f>
        <v>#DIV/0!</v>
      </c>
      <c r="I7698" s="87"/>
      <c r="J7698" s="88"/>
      <c r="K7698" s="88"/>
      <c r="L7698" s="89"/>
      <c r="M7698" s="89"/>
      <c r="Q7698" s="105"/>
    </row>
    <row r="7699" spans="3:17" x14ac:dyDescent="0.3">
      <c r="C7699" s="87"/>
      <c r="H7699" s="86" t="e">
        <f>IF(I7699="fora",0%,G7699/QUÓRUM!$C$6)</f>
        <v>#DIV/0!</v>
      </c>
      <c r="I7699" s="87"/>
      <c r="J7699" s="88"/>
      <c r="K7699" s="88"/>
      <c r="L7699" s="89"/>
      <c r="M7699" s="89"/>
      <c r="Q7699" s="105"/>
    </row>
    <row r="7700" spans="3:17" x14ac:dyDescent="0.3">
      <c r="C7700" s="87"/>
      <c r="H7700" s="86" t="e">
        <f>IF(I7700="fora",0%,G7700/QUÓRUM!$C$6)</f>
        <v>#DIV/0!</v>
      </c>
      <c r="I7700" s="87"/>
      <c r="J7700" s="88"/>
      <c r="K7700" s="88"/>
      <c r="L7700" s="89"/>
      <c r="M7700" s="89"/>
      <c r="Q7700" s="105"/>
    </row>
    <row r="7701" spans="3:17" x14ac:dyDescent="0.3">
      <c r="C7701" s="87"/>
      <c r="H7701" s="86" t="e">
        <f>IF(I7701="fora",0%,G7701/QUÓRUM!$C$6)</f>
        <v>#DIV/0!</v>
      </c>
      <c r="I7701" s="87"/>
      <c r="J7701" s="88"/>
      <c r="K7701" s="88"/>
      <c r="L7701" s="89"/>
      <c r="M7701" s="89"/>
      <c r="Q7701" s="105"/>
    </row>
    <row r="7702" spans="3:17" x14ac:dyDescent="0.3">
      <c r="C7702" s="87"/>
      <c r="H7702" s="86" t="e">
        <f>IF(I7702="fora",0%,G7702/QUÓRUM!$C$6)</f>
        <v>#DIV/0!</v>
      </c>
      <c r="I7702" s="87"/>
      <c r="J7702" s="88"/>
      <c r="K7702" s="88"/>
      <c r="L7702" s="89"/>
      <c r="M7702" s="89"/>
      <c r="Q7702" s="105"/>
    </row>
    <row r="7703" spans="3:17" x14ac:dyDescent="0.3">
      <c r="C7703" s="87"/>
      <c r="H7703" s="86" t="e">
        <f>IF(I7703="fora",0%,G7703/QUÓRUM!$C$6)</f>
        <v>#DIV/0!</v>
      </c>
      <c r="I7703" s="87"/>
      <c r="J7703" s="88"/>
      <c r="K7703" s="88"/>
      <c r="L7703" s="89"/>
      <c r="M7703" s="89"/>
      <c r="Q7703" s="105"/>
    </row>
    <row r="7704" spans="3:17" x14ac:dyDescent="0.3">
      <c r="C7704" s="87"/>
      <c r="H7704" s="86" t="e">
        <f>IF(I7704="fora",0%,G7704/QUÓRUM!$C$6)</f>
        <v>#DIV/0!</v>
      </c>
      <c r="I7704" s="87"/>
      <c r="J7704" s="88"/>
      <c r="K7704" s="88"/>
      <c r="L7704" s="89"/>
      <c r="M7704" s="89"/>
      <c r="Q7704" s="105"/>
    </row>
    <row r="7705" spans="3:17" x14ac:dyDescent="0.3">
      <c r="C7705" s="87"/>
      <c r="H7705" s="86" t="e">
        <f>IF(I7705="fora",0%,G7705/QUÓRUM!$C$6)</f>
        <v>#DIV/0!</v>
      </c>
      <c r="I7705" s="87"/>
      <c r="J7705" s="88"/>
      <c r="K7705" s="88"/>
      <c r="L7705" s="89"/>
      <c r="M7705" s="89"/>
      <c r="Q7705" s="105"/>
    </row>
    <row r="7706" spans="3:17" x14ac:dyDescent="0.3">
      <c r="C7706" s="87"/>
      <c r="H7706" s="86" t="e">
        <f>IF(I7706="fora",0%,G7706/QUÓRUM!$C$6)</f>
        <v>#DIV/0!</v>
      </c>
      <c r="I7706" s="87"/>
      <c r="J7706" s="88"/>
      <c r="K7706" s="88"/>
      <c r="L7706" s="89"/>
      <c r="M7706" s="89"/>
      <c r="Q7706" s="105"/>
    </row>
    <row r="7707" spans="3:17" x14ac:dyDescent="0.3">
      <c r="C7707" s="87"/>
      <c r="H7707" s="86" t="e">
        <f>IF(I7707="fora",0%,G7707/QUÓRUM!$C$6)</f>
        <v>#DIV/0!</v>
      </c>
      <c r="I7707" s="87"/>
      <c r="J7707" s="88"/>
      <c r="K7707" s="88"/>
      <c r="L7707" s="89"/>
      <c r="M7707" s="89"/>
      <c r="Q7707" s="105"/>
    </row>
    <row r="7708" spans="3:17" x14ac:dyDescent="0.3">
      <c r="C7708" s="87"/>
      <c r="H7708" s="86" t="e">
        <f>IF(I7708="fora",0%,G7708/QUÓRUM!$C$6)</f>
        <v>#DIV/0!</v>
      </c>
      <c r="I7708" s="87"/>
      <c r="J7708" s="88"/>
      <c r="K7708" s="88"/>
      <c r="L7708" s="89"/>
      <c r="M7708" s="89"/>
      <c r="Q7708" s="105"/>
    </row>
    <row r="7709" spans="3:17" x14ac:dyDescent="0.3">
      <c r="C7709" s="87"/>
      <c r="H7709" s="86" t="e">
        <f>IF(I7709="fora",0%,G7709/QUÓRUM!$C$6)</f>
        <v>#DIV/0!</v>
      </c>
      <c r="I7709" s="87"/>
      <c r="J7709" s="88"/>
      <c r="K7709" s="88"/>
      <c r="L7709" s="89"/>
      <c r="M7709" s="89"/>
      <c r="Q7709" s="105"/>
    </row>
    <row r="7710" spans="3:17" x14ac:dyDescent="0.3">
      <c r="C7710" s="87"/>
      <c r="H7710" s="86" t="e">
        <f>IF(I7710="fora",0%,G7710/QUÓRUM!$C$6)</f>
        <v>#DIV/0!</v>
      </c>
      <c r="I7710" s="87"/>
      <c r="J7710" s="88"/>
      <c r="K7710" s="88"/>
      <c r="L7710" s="89"/>
      <c r="M7710" s="89"/>
      <c r="Q7710" s="105"/>
    </row>
    <row r="7711" spans="3:17" x14ac:dyDescent="0.3">
      <c r="C7711" s="87"/>
      <c r="H7711" s="86" t="e">
        <f>IF(I7711="fora",0%,G7711/QUÓRUM!$C$6)</f>
        <v>#DIV/0!</v>
      </c>
      <c r="I7711" s="87"/>
      <c r="J7711" s="88"/>
      <c r="K7711" s="88"/>
      <c r="L7711" s="89"/>
      <c r="M7711" s="89"/>
      <c r="Q7711" s="105"/>
    </row>
    <row r="7712" spans="3:17" x14ac:dyDescent="0.3">
      <c r="C7712" s="87"/>
      <c r="H7712" s="86" t="e">
        <f>IF(I7712="fora",0%,G7712/QUÓRUM!$C$6)</f>
        <v>#DIV/0!</v>
      </c>
      <c r="I7712" s="87"/>
      <c r="J7712" s="88"/>
      <c r="K7712" s="88"/>
      <c r="L7712" s="89"/>
      <c r="M7712" s="89"/>
      <c r="Q7712" s="105"/>
    </row>
    <row r="7713" spans="3:17" x14ac:dyDescent="0.3">
      <c r="C7713" s="87"/>
      <c r="H7713" s="86" t="e">
        <f>IF(I7713="fora",0%,G7713/QUÓRUM!$C$6)</f>
        <v>#DIV/0!</v>
      </c>
      <c r="I7713" s="87"/>
      <c r="J7713" s="88"/>
      <c r="K7713" s="88"/>
      <c r="L7713" s="89"/>
      <c r="M7713" s="89"/>
      <c r="Q7713" s="105"/>
    </row>
    <row r="7714" spans="3:17" x14ac:dyDescent="0.3">
      <c r="C7714" s="87"/>
      <c r="H7714" s="86" t="e">
        <f>IF(I7714="fora",0%,G7714/QUÓRUM!$C$6)</f>
        <v>#DIV/0!</v>
      </c>
      <c r="I7714" s="87"/>
      <c r="J7714" s="88"/>
      <c r="K7714" s="88"/>
      <c r="L7714" s="89"/>
      <c r="M7714" s="89"/>
      <c r="Q7714" s="105"/>
    </row>
    <row r="7715" spans="3:17" x14ac:dyDescent="0.3">
      <c r="C7715" s="87"/>
      <c r="H7715" s="86" t="e">
        <f>IF(I7715="fora",0%,G7715/QUÓRUM!$C$6)</f>
        <v>#DIV/0!</v>
      </c>
      <c r="I7715" s="87"/>
      <c r="J7715" s="88"/>
      <c r="K7715" s="88"/>
      <c r="L7715" s="89"/>
      <c r="M7715" s="89"/>
      <c r="Q7715" s="105"/>
    </row>
    <row r="7716" spans="3:17" x14ac:dyDescent="0.3">
      <c r="C7716" s="87"/>
      <c r="H7716" s="86" t="e">
        <f>IF(I7716="fora",0%,G7716/QUÓRUM!$C$6)</f>
        <v>#DIV/0!</v>
      </c>
      <c r="I7716" s="87"/>
      <c r="J7716" s="88"/>
      <c r="K7716" s="88"/>
      <c r="L7716" s="89"/>
      <c r="M7716" s="89"/>
      <c r="Q7716" s="105"/>
    </row>
    <row r="7717" spans="3:17" x14ac:dyDescent="0.3">
      <c r="C7717" s="87"/>
      <c r="H7717" s="86" t="e">
        <f>IF(I7717="fora",0%,G7717/QUÓRUM!$C$6)</f>
        <v>#DIV/0!</v>
      </c>
      <c r="I7717" s="87"/>
      <c r="J7717" s="88"/>
      <c r="K7717" s="88"/>
      <c r="L7717" s="89"/>
      <c r="M7717" s="89"/>
      <c r="Q7717" s="105"/>
    </row>
    <row r="7718" spans="3:17" x14ac:dyDescent="0.3">
      <c r="C7718" s="87"/>
      <c r="H7718" s="86" t="e">
        <f>IF(I7718="fora",0%,G7718/QUÓRUM!$C$6)</f>
        <v>#DIV/0!</v>
      </c>
      <c r="I7718" s="87"/>
      <c r="J7718" s="88"/>
      <c r="K7718" s="88"/>
      <c r="L7718" s="89"/>
      <c r="M7718" s="89"/>
      <c r="Q7718" s="105"/>
    </row>
    <row r="7719" spans="3:17" x14ac:dyDescent="0.3">
      <c r="C7719" s="87"/>
      <c r="H7719" s="86" t="e">
        <f>IF(I7719="fora",0%,G7719/QUÓRUM!$C$6)</f>
        <v>#DIV/0!</v>
      </c>
      <c r="I7719" s="87"/>
      <c r="J7719" s="88"/>
      <c r="K7719" s="88"/>
      <c r="L7719" s="89"/>
      <c r="M7719" s="89"/>
      <c r="Q7719" s="105"/>
    </row>
    <row r="7720" spans="3:17" x14ac:dyDescent="0.3">
      <c r="C7720" s="87"/>
      <c r="H7720" s="86" t="e">
        <f>IF(I7720="fora",0%,G7720/QUÓRUM!$C$6)</f>
        <v>#DIV/0!</v>
      </c>
      <c r="I7720" s="87"/>
      <c r="J7720" s="88"/>
      <c r="K7720" s="88"/>
      <c r="L7720" s="89"/>
      <c r="M7720" s="89"/>
      <c r="Q7720" s="105"/>
    </row>
    <row r="7721" spans="3:17" x14ac:dyDescent="0.3">
      <c r="C7721" s="87"/>
      <c r="H7721" s="86" t="e">
        <f>IF(I7721="fora",0%,G7721/QUÓRUM!$C$6)</f>
        <v>#DIV/0!</v>
      </c>
      <c r="I7721" s="87"/>
      <c r="J7721" s="88"/>
      <c r="K7721" s="88"/>
      <c r="L7721" s="89"/>
      <c r="M7721" s="89"/>
      <c r="Q7721" s="105"/>
    </row>
    <row r="7722" spans="3:17" x14ac:dyDescent="0.3">
      <c r="C7722" s="87"/>
      <c r="H7722" s="86" t="e">
        <f>IF(I7722="fora",0%,G7722/QUÓRUM!$C$6)</f>
        <v>#DIV/0!</v>
      </c>
      <c r="I7722" s="87"/>
      <c r="J7722" s="88"/>
      <c r="K7722" s="88"/>
      <c r="L7722" s="89"/>
      <c r="M7722" s="89"/>
      <c r="Q7722" s="105"/>
    </row>
    <row r="7723" spans="3:17" x14ac:dyDescent="0.3">
      <c r="C7723" s="87"/>
      <c r="H7723" s="86" t="e">
        <f>IF(I7723="fora",0%,G7723/QUÓRUM!$C$6)</f>
        <v>#DIV/0!</v>
      </c>
      <c r="I7723" s="87"/>
      <c r="J7723" s="88"/>
      <c r="K7723" s="88"/>
      <c r="L7723" s="89"/>
      <c r="M7723" s="89"/>
      <c r="Q7723" s="105"/>
    </row>
    <row r="7724" spans="3:17" x14ac:dyDescent="0.3">
      <c r="C7724" s="87"/>
      <c r="H7724" s="86" t="e">
        <f>IF(I7724="fora",0%,G7724/QUÓRUM!$C$6)</f>
        <v>#DIV/0!</v>
      </c>
      <c r="I7724" s="87"/>
      <c r="J7724" s="88"/>
      <c r="K7724" s="88"/>
      <c r="L7724" s="89"/>
      <c r="M7724" s="89"/>
      <c r="Q7724" s="105"/>
    </row>
    <row r="7725" spans="3:17" x14ac:dyDescent="0.3">
      <c r="C7725" s="87"/>
      <c r="H7725" s="86" t="e">
        <f>IF(I7725="fora",0%,G7725/QUÓRUM!$C$6)</f>
        <v>#DIV/0!</v>
      </c>
      <c r="I7725" s="87"/>
      <c r="J7725" s="88"/>
      <c r="K7725" s="88"/>
      <c r="L7725" s="89"/>
      <c r="M7725" s="89"/>
      <c r="Q7725" s="105"/>
    </row>
    <row r="7726" spans="3:17" x14ac:dyDescent="0.3">
      <c r="C7726" s="87"/>
      <c r="H7726" s="86" t="e">
        <f>IF(I7726="fora",0%,G7726/QUÓRUM!$C$6)</f>
        <v>#DIV/0!</v>
      </c>
      <c r="I7726" s="87"/>
      <c r="J7726" s="88"/>
      <c r="K7726" s="88"/>
      <c r="L7726" s="89"/>
      <c r="M7726" s="89"/>
      <c r="Q7726" s="105"/>
    </row>
    <row r="7727" spans="3:17" x14ac:dyDescent="0.3">
      <c r="C7727" s="87"/>
      <c r="H7727" s="86" t="e">
        <f>IF(I7727="fora",0%,G7727/QUÓRUM!$C$6)</f>
        <v>#DIV/0!</v>
      </c>
      <c r="I7727" s="87"/>
      <c r="J7727" s="88"/>
      <c r="K7727" s="88"/>
      <c r="L7727" s="89"/>
      <c r="M7727" s="89"/>
      <c r="Q7727" s="105"/>
    </row>
    <row r="7728" spans="3:17" x14ac:dyDescent="0.3">
      <c r="C7728" s="87"/>
      <c r="H7728" s="86" t="e">
        <f>IF(I7728="fora",0%,G7728/QUÓRUM!$C$6)</f>
        <v>#DIV/0!</v>
      </c>
      <c r="I7728" s="87"/>
      <c r="J7728" s="88"/>
      <c r="K7728" s="88"/>
      <c r="L7728" s="89"/>
      <c r="M7728" s="89"/>
      <c r="Q7728" s="105"/>
    </row>
    <row r="7729" spans="3:17" x14ac:dyDescent="0.3">
      <c r="C7729" s="87"/>
      <c r="H7729" s="86" t="e">
        <f>IF(I7729="fora",0%,G7729/QUÓRUM!$C$6)</f>
        <v>#DIV/0!</v>
      </c>
      <c r="I7729" s="87"/>
      <c r="J7729" s="88"/>
      <c r="K7729" s="88"/>
      <c r="L7729" s="89"/>
      <c r="M7729" s="89"/>
      <c r="Q7729" s="105"/>
    </row>
    <row r="7730" spans="3:17" x14ac:dyDescent="0.3">
      <c r="C7730" s="87"/>
      <c r="H7730" s="86" t="e">
        <f>IF(I7730="fora",0%,G7730/QUÓRUM!$C$6)</f>
        <v>#DIV/0!</v>
      </c>
      <c r="I7730" s="87"/>
      <c r="J7730" s="88"/>
      <c r="K7730" s="88"/>
      <c r="L7730" s="89"/>
      <c r="M7730" s="89"/>
      <c r="Q7730" s="105"/>
    </row>
    <row r="7731" spans="3:17" x14ac:dyDescent="0.3">
      <c r="C7731" s="87"/>
      <c r="H7731" s="86" t="e">
        <f>IF(I7731="fora",0%,G7731/QUÓRUM!$C$6)</f>
        <v>#DIV/0!</v>
      </c>
      <c r="I7731" s="87"/>
      <c r="J7731" s="88"/>
      <c r="K7731" s="88"/>
      <c r="L7731" s="89"/>
      <c r="M7731" s="89"/>
      <c r="Q7731" s="105"/>
    </row>
    <row r="7732" spans="3:17" x14ac:dyDescent="0.3">
      <c r="C7732" s="87"/>
      <c r="H7732" s="86" t="e">
        <f>IF(I7732="fora",0%,G7732/QUÓRUM!$C$6)</f>
        <v>#DIV/0!</v>
      </c>
      <c r="I7732" s="87"/>
      <c r="J7732" s="88"/>
      <c r="K7732" s="88"/>
      <c r="L7732" s="89"/>
      <c r="M7732" s="89"/>
      <c r="Q7732" s="105"/>
    </row>
    <row r="7733" spans="3:17" x14ac:dyDescent="0.3">
      <c r="C7733" s="87"/>
      <c r="H7733" s="86" t="e">
        <f>IF(I7733="fora",0%,G7733/QUÓRUM!$C$6)</f>
        <v>#DIV/0!</v>
      </c>
      <c r="I7733" s="87"/>
      <c r="J7733" s="88"/>
      <c r="K7733" s="88"/>
      <c r="L7733" s="89"/>
      <c r="M7733" s="89"/>
      <c r="Q7733" s="105"/>
    </row>
    <row r="7734" spans="3:17" x14ac:dyDescent="0.3">
      <c r="C7734" s="87"/>
      <c r="H7734" s="86" t="e">
        <f>IF(I7734="fora",0%,G7734/QUÓRUM!$C$6)</f>
        <v>#DIV/0!</v>
      </c>
      <c r="I7734" s="87"/>
      <c r="J7734" s="88"/>
      <c r="K7734" s="88"/>
      <c r="L7734" s="89"/>
      <c r="M7734" s="89"/>
      <c r="Q7734" s="105"/>
    </row>
    <row r="7735" spans="3:17" x14ac:dyDescent="0.3">
      <c r="C7735" s="87"/>
      <c r="H7735" s="86" t="e">
        <f>IF(I7735="fora",0%,G7735/QUÓRUM!$C$6)</f>
        <v>#DIV/0!</v>
      </c>
      <c r="I7735" s="87"/>
      <c r="J7735" s="88"/>
      <c r="K7735" s="88"/>
      <c r="L7735" s="89"/>
      <c r="M7735" s="89"/>
      <c r="Q7735" s="105"/>
    </row>
    <row r="7736" spans="3:17" x14ac:dyDescent="0.3">
      <c r="C7736" s="87"/>
      <c r="H7736" s="86" t="e">
        <f>IF(I7736="fora",0%,G7736/QUÓRUM!$C$6)</f>
        <v>#DIV/0!</v>
      </c>
      <c r="I7736" s="87"/>
      <c r="J7736" s="88"/>
      <c r="K7736" s="88"/>
      <c r="L7736" s="89"/>
      <c r="M7736" s="89"/>
      <c r="Q7736" s="105"/>
    </row>
    <row r="7737" spans="3:17" x14ac:dyDescent="0.3">
      <c r="C7737" s="87"/>
      <c r="H7737" s="86" t="e">
        <f>IF(I7737="fora",0%,G7737/QUÓRUM!$C$6)</f>
        <v>#DIV/0!</v>
      </c>
      <c r="I7737" s="87"/>
      <c r="J7737" s="88"/>
      <c r="K7737" s="88"/>
      <c r="L7737" s="89"/>
      <c r="M7737" s="89"/>
      <c r="Q7737" s="105"/>
    </row>
    <row r="7738" spans="3:17" x14ac:dyDescent="0.3">
      <c r="C7738" s="87"/>
      <c r="H7738" s="86" t="e">
        <f>IF(I7738="fora",0%,G7738/QUÓRUM!$C$6)</f>
        <v>#DIV/0!</v>
      </c>
      <c r="I7738" s="87"/>
      <c r="J7738" s="88"/>
      <c r="K7738" s="88"/>
      <c r="L7738" s="89"/>
      <c r="M7738" s="89"/>
      <c r="Q7738" s="105"/>
    </row>
    <row r="7739" spans="3:17" x14ac:dyDescent="0.3">
      <c r="C7739" s="87"/>
      <c r="H7739" s="86" t="e">
        <f>IF(I7739="fora",0%,G7739/QUÓRUM!$C$6)</f>
        <v>#DIV/0!</v>
      </c>
      <c r="I7739" s="87"/>
      <c r="J7739" s="88"/>
      <c r="K7739" s="88"/>
      <c r="L7739" s="89"/>
      <c r="M7739" s="89"/>
      <c r="Q7739" s="105"/>
    </row>
    <row r="7740" spans="3:17" x14ac:dyDescent="0.3">
      <c r="C7740" s="87"/>
      <c r="H7740" s="86" t="e">
        <f>IF(I7740="fora",0%,G7740/QUÓRUM!$C$6)</f>
        <v>#DIV/0!</v>
      </c>
      <c r="I7740" s="87"/>
      <c r="J7740" s="88"/>
      <c r="K7740" s="88"/>
      <c r="L7740" s="89"/>
      <c r="M7740" s="89"/>
      <c r="Q7740" s="105"/>
    </row>
    <row r="7741" spans="3:17" x14ac:dyDescent="0.3">
      <c r="C7741" s="87"/>
      <c r="H7741" s="86" t="e">
        <f>IF(I7741="fora",0%,G7741/QUÓRUM!$C$6)</f>
        <v>#DIV/0!</v>
      </c>
      <c r="I7741" s="87"/>
      <c r="J7741" s="88"/>
      <c r="K7741" s="88"/>
      <c r="L7741" s="89"/>
      <c r="M7741" s="89"/>
      <c r="Q7741" s="105"/>
    </row>
    <row r="7742" spans="3:17" x14ac:dyDescent="0.3">
      <c r="C7742" s="87"/>
      <c r="H7742" s="86" t="e">
        <f>IF(I7742="fora",0%,G7742/QUÓRUM!$C$6)</f>
        <v>#DIV/0!</v>
      </c>
      <c r="I7742" s="87"/>
      <c r="J7742" s="88"/>
      <c r="K7742" s="88"/>
      <c r="L7742" s="89"/>
      <c r="M7742" s="89"/>
      <c r="Q7742" s="105"/>
    </row>
    <row r="7743" spans="3:17" x14ac:dyDescent="0.3">
      <c r="C7743" s="87"/>
      <c r="H7743" s="86" t="e">
        <f>IF(I7743="fora",0%,G7743/QUÓRUM!$C$6)</f>
        <v>#DIV/0!</v>
      </c>
      <c r="I7743" s="87"/>
      <c r="J7743" s="88"/>
      <c r="K7743" s="88"/>
      <c r="L7743" s="89"/>
      <c r="M7743" s="89"/>
      <c r="Q7743" s="105"/>
    </row>
    <row r="7744" spans="3:17" x14ac:dyDescent="0.3">
      <c r="C7744" s="87"/>
      <c r="H7744" s="86" t="e">
        <f>IF(I7744="fora",0%,G7744/QUÓRUM!$C$6)</f>
        <v>#DIV/0!</v>
      </c>
      <c r="I7744" s="87"/>
      <c r="J7744" s="88"/>
      <c r="K7744" s="88"/>
      <c r="L7744" s="89"/>
      <c r="M7744" s="89"/>
      <c r="Q7744" s="105"/>
    </row>
    <row r="7745" spans="3:17" x14ac:dyDescent="0.3">
      <c r="C7745" s="87"/>
      <c r="H7745" s="86" t="e">
        <f>IF(I7745="fora",0%,G7745/QUÓRUM!$C$6)</f>
        <v>#DIV/0!</v>
      </c>
      <c r="I7745" s="87"/>
      <c r="J7745" s="88"/>
      <c r="K7745" s="88"/>
      <c r="L7745" s="89"/>
      <c r="M7745" s="89"/>
      <c r="Q7745" s="105"/>
    </row>
    <row r="7746" spans="3:17" x14ac:dyDescent="0.3">
      <c r="C7746" s="87"/>
      <c r="H7746" s="86" t="e">
        <f>IF(I7746="fora",0%,G7746/QUÓRUM!$C$6)</f>
        <v>#DIV/0!</v>
      </c>
      <c r="I7746" s="87"/>
      <c r="J7746" s="88"/>
      <c r="K7746" s="88"/>
      <c r="L7746" s="89"/>
      <c r="M7746" s="89"/>
      <c r="Q7746" s="105"/>
    </row>
    <row r="7747" spans="3:17" x14ac:dyDescent="0.3">
      <c r="C7747" s="87"/>
      <c r="H7747" s="86" t="e">
        <f>IF(I7747="fora",0%,G7747/QUÓRUM!$C$6)</f>
        <v>#DIV/0!</v>
      </c>
      <c r="I7747" s="87"/>
      <c r="J7747" s="88"/>
      <c r="K7747" s="88"/>
      <c r="L7747" s="89"/>
      <c r="M7747" s="89"/>
      <c r="Q7747" s="105"/>
    </row>
    <row r="7748" spans="3:17" x14ac:dyDescent="0.3">
      <c r="C7748" s="87"/>
      <c r="H7748" s="86" t="e">
        <f>IF(I7748="fora",0%,G7748/QUÓRUM!$C$6)</f>
        <v>#DIV/0!</v>
      </c>
      <c r="I7748" s="87"/>
      <c r="J7748" s="88"/>
      <c r="K7748" s="88"/>
      <c r="L7748" s="89"/>
      <c r="M7748" s="89"/>
      <c r="Q7748" s="105"/>
    </row>
    <row r="7749" spans="3:17" x14ac:dyDescent="0.3">
      <c r="C7749" s="87"/>
      <c r="H7749" s="86" t="e">
        <f>IF(I7749="fora",0%,G7749/QUÓRUM!$C$6)</f>
        <v>#DIV/0!</v>
      </c>
      <c r="I7749" s="87"/>
      <c r="J7749" s="88"/>
      <c r="K7749" s="88"/>
      <c r="L7749" s="89"/>
      <c r="M7749" s="89"/>
      <c r="Q7749" s="105"/>
    </row>
    <row r="7750" spans="3:17" x14ac:dyDescent="0.3">
      <c r="C7750" s="87"/>
      <c r="H7750" s="86" t="e">
        <f>IF(I7750="fora",0%,G7750/QUÓRUM!$C$6)</f>
        <v>#DIV/0!</v>
      </c>
      <c r="I7750" s="87"/>
      <c r="J7750" s="88"/>
      <c r="K7750" s="88"/>
      <c r="L7750" s="89"/>
      <c r="M7750" s="89"/>
      <c r="Q7750" s="105"/>
    </row>
    <row r="7751" spans="3:17" x14ac:dyDescent="0.3">
      <c r="C7751" s="87"/>
      <c r="H7751" s="86" t="e">
        <f>IF(I7751="fora",0%,G7751/QUÓRUM!$C$6)</f>
        <v>#DIV/0!</v>
      </c>
      <c r="I7751" s="87"/>
      <c r="J7751" s="88"/>
      <c r="K7751" s="88"/>
      <c r="L7751" s="89"/>
      <c r="M7751" s="89"/>
      <c r="Q7751" s="105"/>
    </row>
    <row r="7752" spans="3:17" x14ac:dyDescent="0.3">
      <c r="C7752" s="87"/>
      <c r="H7752" s="86" t="e">
        <f>IF(I7752="fora",0%,G7752/QUÓRUM!$C$6)</f>
        <v>#DIV/0!</v>
      </c>
      <c r="I7752" s="87"/>
      <c r="J7752" s="88"/>
      <c r="K7752" s="88"/>
      <c r="L7752" s="89"/>
      <c r="M7752" s="89"/>
      <c r="Q7752" s="105"/>
    </row>
    <row r="7753" spans="3:17" x14ac:dyDescent="0.3">
      <c r="C7753" s="87"/>
      <c r="H7753" s="86" t="e">
        <f>IF(I7753="fora",0%,G7753/QUÓRUM!$C$6)</f>
        <v>#DIV/0!</v>
      </c>
      <c r="I7753" s="87"/>
      <c r="J7753" s="88"/>
      <c r="K7753" s="88"/>
      <c r="L7753" s="89"/>
      <c r="M7753" s="89"/>
      <c r="Q7753" s="105"/>
    </row>
    <row r="7754" spans="3:17" x14ac:dyDescent="0.3">
      <c r="C7754" s="87"/>
      <c r="H7754" s="86" t="e">
        <f>IF(I7754="fora",0%,G7754/QUÓRUM!$C$6)</f>
        <v>#DIV/0!</v>
      </c>
      <c r="I7754" s="87"/>
      <c r="J7754" s="88"/>
      <c r="K7754" s="88"/>
      <c r="L7754" s="89"/>
      <c r="M7754" s="89"/>
      <c r="Q7754" s="105"/>
    </row>
    <row r="7755" spans="3:17" x14ac:dyDescent="0.3">
      <c r="C7755" s="87"/>
      <c r="H7755" s="86" t="e">
        <f>IF(I7755="fora",0%,G7755/QUÓRUM!$C$6)</f>
        <v>#DIV/0!</v>
      </c>
      <c r="I7755" s="87"/>
      <c r="J7755" s="88"/>
      <c r="K7755" s="88"/>
      <c r="L7755" s="89"/>
      <c r="M7755" s="89"/>
      <c r="Q7755" s="105"/>
    </row>
    <row r="7756" spans="3:17" x14ac:dyDescent="0.3">
      <c r="C7756" s="87"/>
      <c r="H7756" s="86" t="e">
        <f>IF(I7756="fora",0%,G7756/QUÓRUM!$C$6)</f>
        <v>#DIV/0!</v>
      </c>
      <c r="I7756" s="87"/>
      <c r="J7756" s="88"/>
      <c r="K7756" s="88"/>
      <c r="L7756" s="89"/>
      <c r="M7756" s="89"/>
      <c r="Q7756" s="105"/>
    </row>
    <row r="7757" spans="3:17" x14ac:dyDescent="0.3">
      <c r="C7757" s="87"/>
      <c r="H7757" s="86" t="e">
        <f>IF(I7757="fora",0%,G7757/QUÓRUM!$C$6)</f>
        <v>#DIV/0!</v>
      </c>
      <c r="I7757" s="87"/>
      <c r="J7757" s="88"/>
      <c r="K7757" s="88"/>
      <c r="L7757" s="89"/>
      <c r="M7757" s="89"/>
      <c r="Q7757" s="105"/>
    </row>
    <row r="7758" spans="3:17" x14ac:dyDescent="0.3">
      <c r="C7758" s="87"/>
      <c r="H7758" s="86" t="e">
        <f>IF(I7758="fora",0%,G7758/QUÓRUM!$C$6)</f>
        <v>#DIV/0!</v>
      </c>
      <c r="I7758" s="87"/>
      <c r="J7758" s="88"/>
      <c r="K7758" s="88"/>
      <c r="L7758" s="89"/>
      <c r="M7758" s="89"/>
      <c r="Q7758" s="105"/>
    </row>
    <row r="7759" spans="3:17" x14ac:dyDescent="0.3">
      <c r="C7759" s="87"/>
      <c r="H7759" s="86" t="e">
        <f>IF(I7759="fora",0%,G7759/QUÓRUM!$C$6)</f>
        <v>#DIV/0!</v>
      </c>
      <c r="I7759" s="87"/>
      <c r="J7759" s="88"/>
      <c r="K7759" s="88"/>
      <c r="L7759" s="89"/>
      <c r="M7759" s="89"/>
      <c r="Q7759" s="105"/>
    </row>
    <row r="7760" spans="3:17" x14ac:dyDescent="0.3">
      <c r="C7760" s="87"/>
      <c r="H7760" s="86" t="e">
        <f>IF(I7760="fora",0%,G7760/QUÓRUM!$C$6)</f>
        <v>#DIV/0!</v>
      </c>
      <c r="I7760" s="87"/>
      <c r="J7760" s="88"/>
      <c r="K7760" s="88"/>
      <c r="L7760" s="89"/>
      <c r="M7760" s="89"/>
      <c r="Q7760" s="105"/>
    </row>
    <row r="7761" spans="3:17" x14ac:dyDescent="0.3">
      <c r="C7761" s="87"/>
      <c r="H7761" s="86" t="e">
        <f>IF(I7761="fora",0%,G7761/QUÓRUM!$C$6)</f>
        <v>#DIV/0!</v>
      </c>
      <c r="I7761" s="87"/>
      <c r="J7761" s="88"/>
      <c r="K7761" s="88"/>
      <c r="L7761" s="89"/>
      <c r="M7761" s="89"/>
      <c r="Q7761" s="105"/>
    </row>
    <row r="7762" spans="3:17" x14ac:dyDescent="0.3">
      <c r="C7762" s="87"/>
      <c r="H7762" s="86" t="e">
        <f>IF(I7762="fora",0%,G7762/QUÓRUM!$C$6)</f>
        <v>#DIV/0!</v>
      </c>
      <c r="I7762" s="87"/>
      <c r="J7762" s="88"/>
      <c r="K7762" s="88"/>
      <c r="L7762" s="89"/>
      <c r="M7762" s="89"/>
      <c r="Q7762" s="105"/>
    </row>
    <row r="7763" spans="3:17" x14ac:dyDescent="0.3">
      <c r="C7763" s="87"/>
      <c r="H7763" s="86" t="e">
        <f>IF(I7763="fora",0%,G7763/QUÓRUM!$C$6)</f>
        <v>#DIV/0!</v>
      </c>
      <c r="I7763" s="87"/>
      <c r="J7763" s="88"/>
      <c r="K7763" s="88"/>
      <c r="L7763" s="89"/>
      <c r="M7763" s="89"/>
      <c r="Q7763" s="105"/>
    </row>
    <row r="7764" spans="3:17" x14ac:dyDescent="0.3">
      <c r="C7764" s="87"/>
      <c r="H7764" s="86" t="e">
        <f>IF(I7764="fora",0%,G7764/QUÓRUM!$C$6)</f>
        <v>#DIV/0!</v>
      </c>
      <c r="I7764" s="87"/>
      <c r="J7764" s="88"/>
      <c r="K7764" s="88"/>
      <c r="L7764" s="89"/>
      <c r="M7764" s="89"/>
      <c r="Q7764" s="105"/>
    </row>
    <row r="7765" spans="3:17" x14ac:dyDescent="0.3">
      <c r="C7765" s="87"/>
      <c r="H7765" s="86" t="e">
        <f>IF(I7765="fora",0%,G7765/QUÓRUM!$C$6)</f>
        <v>#DIV/0!</v>
      </c>
      <c r="I7765" s="87"/>
      <c r="J7765" s="88"/>
      <c r="K7765" s="88"/>
      <c r="L7765" s="89"/>
      <c r="M7765" s="89"/>
      <c r="Q7765" s="105"/>
    </row>
    <row r="7766" spans="3:17" x14ac:dyDescent="0.3">
      <c r="C7766" s="87"/>
      <c r="H7766" s="86" t="e">
        <f>IF(I7766="fora",0%,G7766/QUÓRUM!$C$6)</f>
        <v>#DIV/0!</v>
      </c>
      <c r="I7766" s="87"/>
      <c r="J7766" s="88"/>
      <c r="K7766" s="88"/>
      <c r="L7766" s="89"/>
      <c r="M7766" s="89"/>
      <c r="Q7766" s="105"/>
    </row>
    <row r="7767" spans="3:17" x14ac:dyDescent="0.3">
      <c r="C7767" s="87"/>
      <c r="H7767" s="86" t="e">
        <f>IF(I7767="fora",0%,G7767/QUÓRUM!$C$6)</f>
        <v>#DIV/0!</v>
      </c>
      <c r="I7767" s="87"/>
      <c r="J7767" s="88"/>
      <c r="K7767" s="88"/>
      <c r="L7767" s="89"/>
      <c r="M7767" s="89"/>
      <c r="Q7767" s="105"/>
    </row>
    <row r="7768" spans="3:17" x14ac:dyDescent="0.3">
      <c r="C7768" s="87"/>
      <c r="H7768" s="86" t="e">
        <f>IF(I7768="fora",0%,G7768/QUÓRUM!$C$6)</f>
        <v>#DIV/0!</v>
      </c>
      <c r="I7768" s="87"/>
      <c r="J7768" s="88"/>
      <c r="K7768" s="88"/>
      <c r="L7768" s="89"/>
      <c r="M7768" s="89"/>
      <c r="Q7768" s="105"/>
    </row>
    <row r="7769" spans="3:17" x14ac:dyDescent="0.3">
      <c r="C7769" s="87"/>
      <c r="H7769" s="86" t="e">
        <f>IF(I7769="fora",0%,G7769/QUÓRUM!$C$6)</f>
        <v>#DIV/0!</v>
      </c>
      <c r="I7769" s="87"/>
      <c r="J7769" s="88"/>
      <c r="K7769" s="88"/>
      <c r="L7769" s="89"/>
      <c r="M7769" s="89"/>
      <c r="Q7769" s="105"/>
    </row>
    <row r="7770" spans="3:17" x14ac:dyDescent="0.3">
      <c r="C7770" s="87"/>
      <c r="H7770" s="86" t="e">
        <f>IF(I7770="fora",0%,G7770/QUÓRUM!$C$6)</f>
        <v>#DIV/0!</v>
      </c>
      <c r="I7770" s="87"/>
      <c r="J7770" s="88"/>
      <c r="K7770" s="88"/>
      <c r="L7770" s="89"/>
      <c r="M7770" s="89"/>
      <c r="Q7770" s="105"/>
    </row>
    <row r="7771" spans="3:17" x14ac:dyDescent="0.3">
      <c r="C7771" s="87"/>
      <c r="H7771" s="86" t="e">
        <f>IF(I7771="fora",0%,G7771/QUÓRUM!$C$6)</f>
        <v>#DIV/0!</v>
      </c>
      <c r="I7771" s="87"/>
      <c r="J7771" s="88"/>
      <c r="K7771" s="88"/>
      <c r="L7771" s="89"/>
      <c r="M7771" s="89"/>
      <c r="Q7771" s="105"/>
    </row>
    <row r="7772" spans="3:17" x14ac:dyDescent="0.3">
      <c r="C7772" s="87"/>
      <c r="H7772" s="86" t="e">
        <f>IF(I7772="fora",0%,G7772/QUÓRUM!$C$6)</f>
        <v>#DIV/0!</v>
      </c>
      <c r="I7772" s="87"/>
      <c r="J7772" s="88"/>
      <c r="K7772" s="88"/>
      <c r="L7772" s="89"/>
      <c r="M7772" s="89"/>
      <c r="Q7772" s="105"/>
    </row>
    <row r="7773" spans="3:17" x14ac:dyDescent="0.3">
      <c r="C7773" s="87"/>
      <c r="H7773" s="86" t="e">
        <f>IF(I7773="fora",0%,G7773/QUÓRUM!$C$6)</f>
        <v>#DIV/0!</v>
      </c>
      <c r="I7773" s="87"/>
      <c r="J7773" s="88"/>
      <c r="K7773" s="88"/>
      <c r="L7773" s="89"/>
      <c r="M7773" s="89"/>
      <c r="Q7773" s="105"/>
    </row>
    <row r="7774" spans="3:17" x14ac:dyDescent="0.3">
      <c r="C7774" s="87"/>
      <c r="H7774" s="86" t="e">
        <f>IF(I7774="fora",0%,G7774/QUÓRUM!$C$6)</f>
        <v>#DIV/0!</v>
      </c>
      <c r="I7774" s="87"/>
      <c r="J7774" s="88"/>
      <c r="K7774" s="88"/>
      <c r="L7774" s="89"/>
      <c r="M7774" s="89"/>
      <c r="Q7774" s="105"/>
    </row>
    <row r="7775" spans="3:17" x14ac:dyDescent="0.3">
      <c r="C7775" s="87"/>
      <c r="H7775" s="86" t="e">
        <f>IF(I7775="fora",0%,G7775/QUÓRUM!$C$6)</f>
        <v>#DIV/0!</v>
      </c>
      <c r="I7775" s="87"/>
      <c r="J7775" s="88"/>
      <c r="K7775" s="88"/>
      <c r="L7775" s="89"/>
      <c r="M7775" s="89"/>
      <c r="Q7775" s="105"/>
    </row>
    <row r="7776" spans="3:17" x14ac:dyDescent="0.3">
      <c r="C7776" s="87"/>
      <c r="H7776" s="86" t="e">
        <f>IF(I7776="fora",0%,G7776/QUÓRUM!$C$6)</f>
        <v>#DIV/0!</v>
      </c>
      <c r="I7776" s="87"/>
      <c r="J7776" s="88"/>
      <c r="K7776" s="88"/>
      <c r="L7776" s="89"/>
      <c r="M7776" s="89"/>
      <c r="Q7776" s="105"/>
    </row>
    <row r="7777" spans="3:17" x14ac:dyDescent="0.3">
      <c r="C7777" s="87"/>
      <c r="H7777" s="86" t="e">
        <f>IF(I7777="fora",0%,G7777/QUÓRUM!$C$6)</f>
        <v>#DIV/0!</v>
      </c>
      <c r="I7777" s="87"/>
      <c r="J7777" s="88"/>
      <c r="K7777" s="88"/>
      <c r="L7777" s="89"/>
      <c r="M7777" s="89"/>
      <c r="Q7777" s="105"/>
    </row>
    <row r="7778" spans="3:17" x14ac:dyDescent="0.3">
      <c r="C7778" s="87"/>
      <c r="H7778" s="86" t="e">
        <f>IF(I7778="fora",0%,G7778/QUÓRUM!$C$6)</f>
        <v>#DIV/0!</v>
      </c>
      <c r="I7778" s="87"/>
      <c r="J7778" s="88"/>
      <c r="K7778" s="88"/>
      <c r="L7778" s="89"/>
      <c r="M7778" s="89"/>
      <c r="Q7778" s="105"/>
    </row>
    <row r="7779" spans="3:17" x14ac:dyDescent="0.3">
      <c r="C7779" s="87"/>
      <c r="H7779" s="86" t="e">
        <f>IF(I7779="fora",0%,G7779/QUÓRUM!$C$6)</f>
        <v>#DIV/0!</v>
      </c>
      <c r="I7779" s="87"/>
      <c r="J7779" s="88"/>
      <c r="K7779" s="88"/>
      <c r="L7779" s="89"/>
      <c r="M7779" s="89"/>
      <c r="Q7779" s="105"/>
    </row>
    <row r="7780" spans="3:17" x14ac:dyDescent="0.3">
      <c r="C7780" s="87"/>
      <c r="H7780" s="86" t="e">
        <f>IF(I7780="fora",0%,G7780/QUÓRUM!$C$6)</f>
        <v>#DIV/0!</v>
      </c>
      <c r="I7780" s="87"/>
      <c r="J7780" s="88"/>
      <c r="K7780" s="88"/>
      <c r="L7780" s="89"/>
      <c r="M7780" s="89"/>
      <c r="Q7780" s="105"/>
    </row>
    <row r="7781" spans="3:17" x14ac:dyDescent="0.3">
      <c r="C7781" s="87"/>
      <c r="H7781" s="86" t="e">
        <f>IF(I7781="fora",0%,G7781/QUÓRUM!$C$6)</f>
        <v>#DIV/0!</v>
      </c>
      <c r="I7781" s="87"/>
      <c r="J7781" s="88"/>
      <c r="K7781" s="88"/>
      <c r="L7781" s="89"/>
      <c r="M7781" s="89"/>
      <c r="Q7781" s="105"/>
    </row>
    <row r="7782" spans="3:17" x14ac:dyDescent="0.3">
      <c r="C7782" s="87"/>
      <c r="H7782" s="86" t="e">
        <f>IF(I7782="fora",0%,G7782/QUÓRUM!$C$6)</f>
        <v>#DIV/0!</v>
      </c>
      <c r="I7782" s="87"/>
      <c r="J7782" s="88"/>
      <c r="K7782" s="88"/>
      <c r="L7782" s="89"/>
      <c r="M7782" s="89"/>
      <c r="Q7782" s="105"/>
    </row>
    <row r="7783" spans="3:17" x14ac:dyDescent="0.3">
      <c r="C7783" s="87"/>
      <c r="H7783" s="86" t="e">
        <f>IF(I7783="fora",0%,G7783/QUÓRUM!$C$6)</f>
        <v>#DIV/0!</v>
      </c>
      <c r="I7783" s="87"/>
      <c r="J7783" s="88"/>
      <c r="K7783" s="88"/>
      <c r="L7783" s="89"/>
      <c r="M7783" s="89"/>
      <c r="Q7783" s="105"/>
    </row>
    <row r="7784" spans="3:17" x14ac:dyDescent="0.3">
      <c r="C7784" s="87"/>
      <c r="H7784" s="86" t="e">
        <f>IF(I7784="fora",0%,G7784/QUÓRUM!$C$6)</f>
        <v>#DIV/0!</v>
      </c>
      <c r="I7784" s="87"/>
      <c r="J7784" s="88"/>
      <c r="K7784" s="88"/>
      <c r="L7784" s="89"/>
      <c r="M7784" s="89"/>
      <c r="Q7784" s="105"/>
    </row>
    <row r="7785" spans="3:17" x14ac:dyDescent="0.3">
      <c r="C7785" s="87"/>
      <c r="H7785" s="86" t="e">
        <f>IF(I7785="fora",0%,G7785/QUÓRUM!$C$6)</f>
        <v>#DIV/0!</v>
      </c>
      <c r="I7785" s="87"/>
      <c r="J7785" s="88"/>
      <c r="K7785" s="88"/>
      <c r="L7785" s="89"/>
      <c r="M7785" s="89"/>
      <c r="Q7785" s="105"/>
    </row>
    <row r="7786" spans="3:17" x14ac:dyDescent="0.3">
      <c r="C7786" s="87"/>
      <c r="G7786" s="115"/>
      <c r="H7786" s="86" t="e">
        <f>IF(I7786="fora",0%,G7786/QUÓRUM!$C$6)</f>
        <v>#DIV/0!</v>
      </c>
      <c r="I7786" s="87"/>
      <c r="J7786" s="88"/>
      <c r="K7786" s="88"/>
      <c r="L7786" s="89"/>
      <c r="M7786" s="89"/>
      <c r="Q7786" s="105"/>
    </row>
    <row r="7787" spans="3:17" x14ac:dyDescent="0.3">
      <c r="C7787" s="87"/>
      <c r="H7787" s="86" t="e">
        <f>IF(I7787="fora",0%,G7787/QUÓRUM!$C$6)</f>
        <v>#DIV/0!</v>
      </c>
      <c r="I7787" s="87"/>
      <c r="J7787" s="88"/>
      <c r="K7787" s="88"/>
      <c r="L7787" s="89"/>
      <c r="M7787" s="89"/>
      <c r="Q7787" s="105"/>
    </row>
    <row r="7788" spans="3:17" x14ac:dyDescent="0.3">
      <c r="C7788" s="87"/>
      <c r="H7788" s="86" t="e">
        <f>IF(I7788="fora",0%,G7788/QUÓRUM!$C$6)</f>
        <v>#DIV/0!</v>
      </c>
      <c r="I7788" s="87"/>
      <c r="J7788" s="88"/>
      <c r="K7788" s="88"/>
      <c r="L7788" s="89"/>
      <c r="M7788" s="89"/>
      <c r="Q7788" s="105"/>
    </row>
    <row r="7789" spans="3:17" x14ac:dyDescent="0.3">
      <c r="C7789" s="87"/>
      <c r="H7789" s="86" t="e">
        <f>IF(I7789="fora",0%,G7789/QUÓRUM!$C$6)</f>
        <v>#DIV/0!</v>
      </c>
      <c r="I7789" s="87"/>
      <c r="J7789" s="88"/>
      <c r="K7789" s="88"/>
      <c r="L7789" s="89"/>
      <c r="M7789" s="89"/>
      <c r="Q7789" s="105"/>
    </row>
    <row r="7790" spans="3:17" x14ac:dyDescent="0.3">
      <c r="C7790" s="87"/>
      <c r="H7790" s="86" t="e">
        <f>IF(I7790="fora",0%,G7790/QUÓRUM!$C$6)</f>
        <v>#DIV/0!</v>
      </c>
      <c r="I7790" s="87"/>
      <c r="J7790" s="88"/>
      <c r="K7790" s="88"/>
      <c r="L7790" s="89"/>
      <c r="M7790" s="89"/>
      <c r="Q7790" s="105"/>
    </row>
    <row r="7791" spans="3:17" x14ac:dyDescent="0.3">
      <c r="C7791" s="87"/>
      <c r="H7791" s="86" t="e">
        <f>IF(I7791="fora",0%,G7791/QUÓRUM!$C$6)</f>
        <v>#DIV/0!</v>
      </c>
      <c r="I7791" s="87"/>
      <c r="J7791" s="88"/>
      <c r="K7791" s="88"/>
      <c r="L7791" s="89"/>
      <c r="M7791" s="89"/>
      <c r="Q7791" s="105"/>
    </row>
    <row r="7792" spans="3:17" x14ac:dyDescent="0.3">
      <c r="C7792" s="87"/>
      <c r="H7792" s="86" t="e">
        <f>IF(I7792="fora",0%,G7792/QUÓRUM!$C$6)</f>
        <v>#DIV/0!</v>
      </c>
      <c r="I7792" s="87"/>
      <c r="J7792" s="88"/>
      <c r="K7792" s="88"/>
      <c r="L7792" s="89"/>
      <c r="M7792" s="89"/>
      <c r="Q7792" s="105"/>
    </row>
    <row r="7793" spans="3:17" x14ac:dyDescent="0.3">
      <c r="C7793" s="87"/>
      <c r="H7793" s="86" t="e">
        <f>IF(I7793="fora",0%,G7793/QUÓRUM!$C$6)</f>
        <v>#DIV/0!</v>
      </c>
      <c r="I7793" s="87"/>
      <c r="J7793" s="88"/>
      <c r="K7793" s="88"/>
      <c r="L7793" s="89"/>
      <c r="M7793" s="89"/>
      <c r="Q7793" s="105"/>
    </row>
    <row r="7794" spans="3:17" x14ac:dyDescent="0.3">
      <c r="C7794" s="87"/>
      <c r="H7794" s="86" t="e">
        <f>IF(I7794="fora",0%,G7794/QUÓRUM!$C$6)</f>
        <v>#DIV/0!</v>
      </c>
      <c r="I7794" s="87"/>
      <c r="J7794" s="88"/>
      <c r="K7794" s="88"/>
      <c r="L7794" s="89"/>
      <c r="M7794" s="89"/>
      <c r="Q7794" s="105"/>
    </row>
    <row r="7795" spans="3:17" x14ac:dyDescent="0.3">
      <c r="C7795" s="87"/>
      <c r="H7795" s="86" t="e">
        <f>IF(I7795="fora",0%,G7795/QUÓRUM!$C$6)</f>
        <v>#DIV/0!</v>
      </c>
      <c r="I7795" s="87"/>
      <c r="J7795" s="88"/>
      <c r="K7795" s="88"/>
      <c r="L7795" s="89"/>
      <c r="M7795" s="89"/>
      <c r="Q7795" s="105"/>
    </row>
    <row r="7796" spans="3:17" x14ac:dyDescent="0.3">
      <c r="C7796" s="87"/>
      <c r="H7796" s="86" t="e">
        <f>IF(I7796="fora",0%,G7796/QUÓRUM!$C$6)</f>
        <v>#DIV/0!</v>
      </c>
      <c r="I7796" s="87"/>
      <c r="J7796" s="88"/>
      <c r="K7796" s="88"/>
      <c r="L7796" s="89"/>
      <c r="M7796" s="89"/>
      <c r="Q7796" s="105"/>
    </row>
    <row r="7797" spans="3:17" x14ac:dyDescent="0.3">
      <c r="C7797" s="87"/>
      <c r="G7797" s="115"/>
      <c r="H7797" s="86" t="e">
        <f>IF(I7797="fora",0%,G7797/QUÓRUM!$C$6)</f>
        <v>#DIV/0!</v>
      </c>
      <c r="I7797" s="87"/>
      <c r="J7797" s="88"/>
      <c r="K7797" s="88"/>
      <c r="L7797" s="89"/>
      <c r="M7797" s="89"/>
      <c r="Q7797" s="105"/>
    </row>
    <row r="7798" spans="3:17" x14ac:dyDescent="0.3">
      <c r="C7798" s="87"/>
      <c r="H7798" s="86" t="e">
        <f>IF(I7798="fora",0%,G7798/QUÓRUM!$C$6)</f>
        <v>#DIV/0!</v>
      </c>
      <c r="I7798" s="87"/>
      <c r="J7798" s="88"/>
      <c r="K7798" s="88"/>
      <c r="L7798" s="89"/>
      <c r="M7798" s="89"/>
      <c r="Q7798" s="105"/>
    </row>
    <row r="7799" spans="3:17" x14ac:dyDescent="0.3">
      <c r="C7799" s="87"/>
      <c r="H7799" s="86" t="e">
        <f>IF(I7799="fora",0%,G7799/QUÓRUM!$C$6)</f>
        <v>#DIV/0!</v>
      </c>
      <c r="I7799" s="87"/>
      <c r="J7799" s="88"/>
      <c r="K7799" s="88"/>
      <c r="L7799" s="89"/>
      <c r="M7799" s="89"/>
      <c r="Q7799" s="105"/>
    </row>
    <row r="7800" spans="3:17" x14ac:dyDescent="0.3">
      <c r="C7800" s="87"/>
      <c r="H7800" s="86" t="e">
        <f>IF(I7800="fora",0%,G7800/QUÓRUM!$C$6)</f>
        <v>#DIV/0!</v>
      </c>
      <c r="I7800" s="87"/>
      <c r="J7800" s="88"/>
      <c r="K7800" s="88"/>
      <c r="L7800" s="89"/>
      <c r="M7800" s="89"/>
      <c r="Q7800" s="105"/>
    </row>
    <row r="7801" spans="3:17" x14ac:dyDescent="0.3">
      <c r="C7801" s="87"/>
      <c r="H7801" s="86" t="e">
        <f>IF(I7801="fora",0%,G7801/QUÓRUM!$C$6)</f>
        <v>#DIV/0!</v>
      </c>
      <c r="I7801" s="87"/>
      <c r="J7801" s="88"/>
      <c r="K7801" s="88"/>
      <c r="L7801" s="89"/>
      <c r="M7801" s="89"/>
      <c r="Q7801" s="105"/>
    </row>
    <row r="7802" spans="3:17" x14ac:dyDescent="0.3">
      <c r="C7802" s="87"/>
      <c r="H7802" s="86" t="e">
        <f>IF(I7802="fora",0%,G7802/QUÓRUM!$C$6)</f>
        <v>#DIV/0!</v>
      </c>
      <c r="I7802" s="87"/>
      <c r="J7802" s="88"/>
      <c r="K7802" s="88"/>
      <c r="L7802" s="89"/>
      <c r="M7802" s="89"/>
      <c r="Q7802" s="105"/>
    </row>
    <row r="7803" spans="3:17" x14ac:dyDescent="0.3">
      <c r="C7803" s="87"/>
      <c r="H7803" s="86" t="e">
        <f>IF(I7803="fora",0%,G7803/QUÓRUM!$C$6)</f>
        <v>#DIV/0!</v>
      </c>
      <c r="I7803" s="87"/>
      <c r="J7803" s="88"/>
      <c r="K7803" s="88"/>
      <c r="L7803" s="89"/>
      <c r="M7803" s="89"/>
      <c r="Q7803" s="105"/>
    </row>
    <row r="7804" spans="3:17" x14ac:dyDescent="0.3">
      <c r="C7804" s="87"/>
      <c r="H7804" s="86" t="e">
        <f>IF(I7804="fora",0%,G7804/QUÓRUM!$C$6)</f>
        <v>#DIV/0!</v>
      </c>
      <c r="I7804" s="87"/>
      <c r="J7804" s="88"/>
      <c r="K7804" s="88"/>
      <c r="L7804" s="89"/>
      <c r="M7804" s="89"/>
      <c r="Q7804" s="105"/>
    </row>
    <row r="7805" spans="3:17" x14ac:dyDescent="0.3">
      <c r="C7805" s="87"/>
      <c r="H7805" s="86" t="e">
        <f>IF(I7805="fora",0%,G7805/QUÓRUM!$C$6)</f>
        <v>#DIV/0!</v>
      </c>
      <c r="I7805" s="87"/>
      <c r="J7805" s="88"/>
      <c r="K7805" s="88"/>
      <c r="L7805" s="89"/>
      <c r="M7805" s="89"/>
      <c r="Q7805" s="105"/>
    </row>
    <row r="7806" spans="3:17" x14ac:dyDescent="0.3">
      <c r="C7806" s="87"/>
      <c r="H7806" s="86" t="e">
        <f>IF(I7806="fora",0%,G7806/QUÓRUM!$C$6)</f>
        <v>#DIV/0!</v>
      </c>
      <c r="I7806" s="87"/>
      <c r="J7806" s="88"/>
      <c r="K7806" s="88"/>
      <c r="L7806" s="89"/>
      <c r="M7806" s="89"/>
      <c r="Q7806" s="105"/>
    </row>
    <row r="7807" spans="3:17" x14ac:dyDescent="0.3">
      <c r="C7807" s="87"/>
      <c r="H7807" s="86" t="e">
        <f>IF(I7807="fora",0%,G7807/QUÓRUM!$C$6)</f>
        <v>#DIV/0!</v>
      </c>
      <c r="I7807" s="87"/>
      <c r="J7807" s="88"/>
      <c r="K7807" s="88"/>
      <c r="L7807" s="89"/>
      <c r="M7807" s="89"/>
      <c r="Q7807" s="105"/>
    </row>
    <row r="7808" spans="3:17" x14ac:dyDescent="0.3">
      <c r="C7808" s="87"/>
      <c r="H7808" s="86" t="e">
        <f>IF(I7808="fora",0%,G7808/QUÓRUM!$C$6)</f>
        <v>#DIV/0!</v>
      </c>
      <c r="I7808" s="87"/>
      <c r="J7808" s="88"/>
      <c r="K7808" s="88"/>
      <c r="L7808" s="89"/>
      <c r="M7808" s="89"/>
      <c r="Q7808" s="105"/>
    </row>
    <row r="7809" spans="3:17" x14ac:dyDescent="0.3">
      <c r="C7809" s="87"/>
      <c r="H7809" s="86" t="e">
        <f>IF(I7809="fora",0%,G7809/QUÓRUM!$C$6)</f>
        <v>#DIV/0!</v>
      </c>
      <c r="I7809" s="87"/>
      <c r="J7809" s="88"/>
      <c r="K7809" s="88"/>
      <c r="L7809" s="89"/>
      <c r="M7809" s="89"/>
      <c r="Q7809" s="105"/>
    </row>
    <row r="7810" spans="3:17" x14ac:dyDescent="0.3">
      <c r="C7810" s="87"/>
      <c r="H7810" s="86" t="e">
        <f>IF(I7810="fora",0%,G7810/QUÓRUM!$C$6)</f>
        <v>#DIV/0!</v>
      </c>
      <c r="I7810" s="87"/>
      <c r="J7810" s="88"/>
      <c r="K7810" s="88"/>
      <c r="L7810" s="89"/>
      <c r="M7810" s="89"/>
      <c r="Q7810" s="105"/>
    </row>
    <row r="7811" spans="3:17" x14ac:dyDescent="0.3">
      <c r="C7811" s="87"/>
      <c r="H7811" s="86" t="e">
        <f>IF(I7811="fora",0%,G7811/QUÓRUM!$C$6)</f>
        <v>#DIV/0!</v>
      </c>
      <c r="I7811" s="87"/>
      <c r="J7811" s="88"/>
      <c r="K7811" s="88"/>
      <c r="L7811" s="89"/>
      <c r="M7811" s="89"/>
      <c r="Q7811" s="105"/>
    </row>
    <row r="7812" spans="3:17" x14ac:dyDescent="0.3">
      <c r="C7812" s="87"/>
      <c r="H7812" s="86" t="e">
        <f>IF(I7812="fora",0%,G7812/QUÓRUM!$C$6)</f>
        <v>#DIV/0!</v>
      </c>
      <c r="I7812" s="87"/>
      <c r="J7812" s="88"/>
      <c r="K7812" s="88"/>
      <c r="L7812" s="89"/>
      <c r="M7812" s="89"/>
      <c r="Q7812" s="105"/>
    </row>
    <row r="7813" spans="3:17" x14ac:dyDescent="0.3">
      <c r="C7813" s="87"/>
      <c r="H7813" s="86" t="e">
        <f>IF(I7813="fora",0%,G7813/QUÓRUM!$C$6)</f>
        <v>#DIV/0!</v>
      </c>
      <c r="I7813" s="87"/>
      <c r="J7813" s="88"/>
      <c r="K7813" s="88"/>
      <c r="L7813" s="89"/>
      <c r="M7813" s="89"/>
      <c r="Q7813" s="105"/>
    </row>
    <row r="7814" spans="3:17" x14ac:dyDescent="0.3">
      <c r="C7814" s="87"/>
      <c r="H7814" s="86" t="e">
        <f>IF(I7814="fora",0%,G7814/QUÓRUM!$C$6)</f>
        <v>#DIV/0!</v>
      </c>
      <c r="I7814" s="87"/>
      <c r="J7814" s="88"/>
      <c r="K7814" s="88"/>
      <c r="L7814" s="89"/>
      <c r="M7814" s="89"/>
      <c r="Q7814" s="105"/>
    </row>
    <row r="7815" spans="3:17" x14ac:dyDescent="0.3">
      <c r="C7815" s="87"/>
      <c r="H7815" s="86" t="e">
        <f>IF(I7815="fora",0%,G7815/QUÓRUM!$C$6)</f>
        <v>#DIV/0!</v>
      </c>
      <c r="I7815" s="87"/>
      <c r="J7815" s="88"/>
      <c r="K7815" s="88"/>
      <c r="L7815" s="89"/>
      <c r="M7815" s="89"/>
      <c r="Q7815" s="105"/>
    </row>
    <row r="7816" spans="3:17" x14ac:dyDescent="0.3">
      <c r="C7816" s="87"/>
      <c r="H7816" s="86" t="e">
        <f>IF(I7816="fora",0%,G7816/QUÓRUM!$C$6)</f>
        <v>#DIV/0!</v>
      </c>
      <c r="I7816" s="87"/>
      <c r="J7816" s="88"/>
      <c r="K7816" s="88"/>
      <c r="L7816" s="89"/>
      <c r="M7816" s="89"/>
      <c r="Q7816" s="105"/>
    </row>
    <row r="7817" spans="3:17" x14ac:dyDescent="0.3">
      <c r="C7817" s="87"/>
      <c r="H7817" s="86" t="e">
        <f>IF(I7817="fora",0%,G7817/QUÓRUM!$C$6)</f>
        <v>#DIV/0!</v>
      </c>
      <c r="I7817" s="87"/>
      <c r="J7817" s="88"/>
      <c r="K7817" s="88"/>
      <c r="L7817" s="89"/>
      <c r="M7817" s="89"/>
      <c r="Q7817" s="105"/>
    </row>
    <row r="7818" spans="3:17" x14ac:dyDescent="0.3">
      <c r="C7818" s="87"/>
      <c r="H7818" s="86" t="e">
        <f>IF(I7818="fora",0%,G7818/QUÓRUM!$C$6)</f>
        <v>#DIV/0!</v>
      </c>
      <c r="I7818" s="87"/>
      <c r="J7818" s="88"/>
      <c r="K7818" s="88"/>
      <c r="L7818" s="89"/>
      <c r="M7818" s="89"/>
      <c r="Q7818" s="105"/>
    </row>
    <row r="7819" spans="3:17" x14ac:dyDescent="0.3">
      <c r="C7819" s="87"/>
      <c r="H7819" s="86" t="e">
        <f>IF(I7819="fora",0%,G7819/QUÓRUM!$C$6)</f>
        <v>#DIV/0!</v>
      </c>
      <c r="I7819" s="87"/>
      <c r="J7819" s="88"/>
      <c r="K7819" s="88"/>
      <c r="L7819" s="89"/>
      <c r="M7819" s="89"/>
      <c r="Q7819" s="105"/>
    </row>
    <row r="7820" spans="3:17" x14ac:dyDescent="0.3">
      <c r="C7820" s="87"/>
      <c r="H7820" s="86" t="e">
        <f>IF(I7820="fora",0%,G7820/QUÓRUM!$C$6)</f>
        <v>#DIV/0!</v>
      </c>
      <c r="I7820" s="87"/>
      <c r="J7820" s="88"/>
      <c r="K7820" s="88"/>
      <c r="L7820" s="89"/>
      <c r="M7820" s="89"/>
      <c r="Q7820" s="105"/>
    </row>
    <row r="7821" spans="3:17" x14ac:dyDescent="0.3">
      <c r="C7821" s="87"/>
      <c r="H7821" s="86" t="e">
        <f>IF(I7821="fora",0%,G7821/QUÓRUM!$C$6)</f>
        <v>#DIV/0!</v>
      </c>
      <c r="I7821" s="87"/>
      <c r="J7821" s="88"/>
      <c r="K7821" s="88"/>
      <c r="L7821" s="89"/>
      <c r="M7821" s="89"/>
      <c r="Q7821" s="105"/>
    </row>
    <row r="7822" spans="3:17" x14ac:dyDescent="0.3">
      <c r="C7822" s="87"/>
      <c r="H7822" s="86" t="e">
        <f>IF(I7822="fora",0%,G7822/QUÓRUM!$C$6)</f>
        <v>#DIV/0!</v>
      </c>
      <c r="I7822" s="87"/>
      <c r="J7822" s="88"/>
      <c r="K7822" s="88"/>
      <c r="L7822" s="89"/>
      <c r="M7822" s="89"/>
      <c r="Q7822" s="105"/>
    </row>
    <row r="7823" spans="3:17" x14ac:dyDescent="0.3">
      <c r="C7823" s="87"/>
      <c r="H7823" s="86" t="e">
        <f>IF(I7823="fora",0%,G7823/QUÓRUM!$C$6)</f>
        <v>#DIV/0!</v>
      </c>
      <c r="I7823" s="87"/>
      <c r="J7823" s="88"/>
      <c r="K7823" s="88"/>
      <c r="L7823" s="89"/>
      <c r="M7823" s="89"/>
      <c r="Q7823" s="105"/>
    </row>
    <row r="7824" spans="3:17" x14ac:dyDescent="0.3">
      <c r="C7824" s="87"/>
      <c r="H7824" s="86" t="e">
        <f>IF(I7824="fora",0%,G7824/QUÓRUM!$C$6)</f>
        <v>#DIV/0!</v>
      </c>
      <c r="I7824" s="87"/>
      <c r="J7824" s="88"/>
      <c r="K7824" s="88"/>
      <c r="L7824" s="89"/>
      <c r="M7824" s="89"/>
      <c r="Q7824" s="105"/>
    </row>
    <row r="7825" spans="3:17" x14ac:dyDescent="0.3">
      <c r="C7825" s="87"/>
      <c r="H7825" s="86" t="e">
        <f>IF(I7825="fora",0%,G7825/QUÓRUM!$C$6)</f>
        <v>#DIV/0!</v>
      </c>
      <c r="I7825" s="87"/>
      <c r="J7825" s="88"/>
      <c r="K7825" s="88"/>
      <c r="L7825" s="89"/>
      <c r="M7825" s="89"/>
      <c r="Q7825" s="105"/>
    </row>
    <row r="7826" spans="3:17" x14ac:dyDescent="0.3">
      <c r="C7826" s="87"/>
      <c r="H7826" s="86" t="e">
        <f>IF(I7826="fora",0%,G7826/QUÓRUM!$C$6)</f>
        <v>#DIV/0!</v>
      </c>
      <c r="I7826" s="87"/>
      <c r="J7826" s="88"/>
      <c r="K7826" s="88"/>
      <c r="L7826" s="89"/>
      <c r="M7826" s="89"/>
      <c r="Q7826" s="105"/>
    </row>
    <row r="7827" spans="3:17" x14ac:dyDescent="0.3">
      <c r="C7827" s="87"/>
      <c r="H7827" s="86" t="e">
        <f>IF(I7827="fora",0%,G7827/QUÓRUM!$C$6)</f>
        <v>#DIV/0!</v>
      </c>
      <c r="I7827" s="87"/>
      <c r="J7827" s="88"/>
      <c r="K7827" s="88"/>
      <c r="L7827" s="89"/>
      <c r="M7827" s="89"/>
      <c r="Q7827" s="105"/>
    </row>
    <row r="7828" spans="3:17" x14ac:dyDescent="0.3">
      <c r="C7828" s="87"/>
      <c r="H7828" s="86" t="e">
        <f>IF(I7828="fora",0%,G7828/QUÓRUM!$C$6)</f>
        <v>#DIV/0!</v>
      </c>
      <c r="I7828" s="87"/>
      <c r="J7828" s="88"/>
      <c r="K7828" s="88"/>
      <c r="L7828" s="89"/>
      <c r="M7828" s="89"/>
      <c r="Q7828" s="105"/>
    </row>
    <row r="7829" spans="3:17" x14ac:dyDescent="0.3">
      <c r="C7829" s="87"/>
      <c r="H7829" s="86" t="e">
        <f>IF(I7829="fora",0%,G7829/QUÓRUM!$C$6)</f>
        <v>#DIV/0!</v>
      </c>
      <c r="I7829" s="87"/>
      <c r="J7829" s="88"/>
      <c r="K7829" s="88"/>
      <c r="L7829" s="89"/>
      <c r="M7829" s="89"/>
      <c r="Q7829" s="105"/>
    </row>
    <row r="7830" spans="3:17" x14ac:dyDescent="0.3">
      <c r="C7830" s="87"/>
      <c r="H7830" s="86" t="e">
        <f>IF(I7830="fora",0%,G7830/QUÓRUM!$C$6)</f>
        <v>#DIV/0!</v>
      </c>
      <c r="I7830" s="87"/>
      <c r="J7830" s="88"/>
      <c r="K7830" s="88"/>
      <c r="L7830" s="89"/>
      <c r="M7830" s="89"/>
      <c r="Q7830" s="105"/>
    </row>
    <row r="7831" spans="3:17" x14ac:dyDescent="0.3">
      <c r="C7831" s="87"/>
      <c r="H7831" s="86" t="e">
        <f>IF(I7831="fora",0%,G7831/QUÓRUM!$C$6)</f>
        <v>#DIV/0!</v>
      </c>
      <c r="I7831" s="87"/>
      <c r="J7831" s="88"/>
      <c r="K7831" s="88"/>
      <c r="L7831" s="89"/>
      <c r="M7831" s="89"/>
      <c r="Q7831" s="105"/>
    </row>
    <row r="7832" spans="3:17" x14ac:dyDescent="0.3">
      <c r="C7832" s="87"/>
      <c r="H7832" s="86" t="e">
        <f>IF(I7832="fora",0%,G7832/QUÓRUM!$C$6)</f>
        <v>#DIV/0!</v>
      </c>
      <c r="I7832" s="87"/>
      <c r="J7832" s="88"/>
      <c r="K7832" s="88"/>
      <c r="L7832" s="89"/>
      <c r="M7832" s="89"/>
      <c r="Q7832" s="105"/>
    </row>
    <row r="7833" spans="3:17" x14ac:dyDescent="0.3">
      <c r="C7833" s="87"/>
      <c r="H7833" s="86" t="e">
        <f>IF(I7833="fora",0%,G7833/QUÓRUM!$C$6)</f>
        <v>#DIV/0!</v>
      </c>
      <c r="I7833" s="87"/>
      <c r="J7833" s="88"/>
      <c r="K7833" s="88"/>
      <c r="L7833" s="89"/>
      <c r="M7833" s="89"/>
      <c r="Q7833" s="105"/>
    </row>
    <row r="7834" spans="3:17" x14ac:dyDescent="0.3">
      <c r="C7834" s="87"/>
      <c r="H7834" s="86" t="e">
        <f>IF(I7834="fora",0%,G7834/QUÓRUM!$C$6)</f>
        <v>#DIV/0!</v>
      </c>
      <c r="I7834" s="87"/>
      <c r="J7834" s="88"/>
      <c r="K7834" s="88"/>
      <c r="L7834" s="89"/>
      <c r="M7834" s="89"/>
      <c r="Q7834" s="105"/>
    </row>
    <row r="7835" spans="3:17" x14ac:dyDescent="0.3">
      <c r="C7835" s="87"/>
      <c r="H7835" s="86" t="e">
        <f>IF(I7835="fora",0%,G7835/QUÓRUM!$C$6)</f>
        <v>#DIV/0!</v>
      </c>
      <c r="I7835" s="87"/>
      <c r="J7835" s="88"/>
      <c r="K7835" s="88"/>
      <c r="L7835" s="89"/>
      <c r="M7835" s="89"/>
      <c r="Q7835" s="105"/>
    </row>
    <row r="7836" spans="3:17" x14ac:dyDescent="0.3">
      <c r="C7836" s="87"/>
      <c r="H7836" s="86" t="e">
        <f>IF(I7836="fora",0%,G7836/QUÓRUM!$C$6)</f>
        <v>#DIV/0!</v>
      </c>
      <c r="I7836" s="87"/>
      <c r="J7836" s="88"/>
      <c r="K7836" s="88"/>
      <c r="L7836" s="89"/>
      <c r="M7836" s="89"/>
      <c r="Q7836" s="105"/>
    </row>
    <row r="7837" spans="3:17" x14ac:dyDescent="0.3">
      <c r="C7837" s="87"/>
      <c r="H7837" s="86" t="e">
        <f>IF(I7837="fora",0%,G7837/QUÓRUM!$C$6)</f>
        <v>#DIV/0!</v>
      </c>
      <c r="I7837" s="87"/>
      <c r="J7837" s="88"/>
      <c r="K7837" s="88"/>
      <c r="L7837" s="89"/>
      <c r="M7837" s="89"/>
      <c r="Q7837" s="105"/>
    </row>
    <row r="7838" spans="3:17" x14ac:dyDescent="0.3">
      <c r="C7838" s="87"/>
      <c r="H7838" s="86" t="e">
        <f>IF(I7838="fora",0%,G7838/QUÓRUM!$C$6)</f>
        <v>#DIV/0!</v>
      </c>
      <c r="I7838" s="87"/>
      <c r="J7838" s="88"/>
      <c r="K7838" s="88"/>
      <c r="L7838" s="89"/>
      <c r="M7838" s="89"/>
      <c r="Q7838" s="105"/>
    </row>
    <row r="7839" spans="3:17" x14ac:dyDescent="0.3">
      <c r="C7839" s="87"/>
      <c r="H7839" s="86" t="e">
        <f>IF(I7839="fora",0%,G7839/QUÓRUM!$C$6)</f>
        <v>#DIV/0!</v>
      </c>
      <c r="I7839" s="87"/>
      <c r="J7839" s="88"/>
      <c r="K7839" s="88"/>
      <c r="L7839" s="89"/>
      <c r="M7839" s="89"/>
      <c r="Q7839" s="105"/>
    </row>
    <row r="7840" spans="3:17" x14ac:dyDescent="0.3">
      <c r="C7840" s="87"/>
      <c r="H7840" s="86" t="e">
        <f>IF(I7840="fora",0%,G7840/QUÓRUM!$C$6)</f>
        <v>#DIV/0!</v>
      </c>
      <c r="I7840" s="87"/>
      <c r="J7840" s="88"/>
      <c r="K7840" s="88"/>
      <c r="L7840" s="89"/>
      <c r="M7840" s="89"/>
      <c r="Q7840" s="105"/>
    </row>
    <row r="7841" spans="3:17" x14ac:dyDescent="0.3">
      <c r="C7841" s="87"/>
      <c r="H7841" s="86" t="e">
        <f>IF(I7841="fora",0%,G7841/QUÓRUM!$C$6)</f>
        <v>#DIV/0!</v>
      </c>
      <c r="I7841" s="87"/>
      <c r="J7841" s="88"/>
      <c r="K7841" s="88"/>
      <c r="L7841" s="89"/>
      <c r="M7841" s="89"/>
      <c r="Q7841" s="105"/>
    </row>
    <row r="7842" spans="3:17" x14ac:dyDescent="0.3">
      <c r="C7842" s="87"/>
      <c r="H7842" s="86" t="e">
        <f>IF(I7842="fora",0%,G7842/QUÓRUM!$C$6)</f>
        <v>#DIV/0!</v>
      </c>
      <c r="I7842" s="87"/>
      <c r="J7842" s="88"/>
      <c r="K7842" s="88"/>
      <c r="L7842" s="89"/>
      <c r="M7842" s="89"/>
      <c r="Q7842" s="105"/>
    </row>
    <row r="7843" spans="3:17" x14ac:dyDescent="0.3">
      <c r="C7843" s="87"/>
      <c r="H7843" s="86" t="e">
        <f>IF(I7843="fora",0%,G7843/QUÓRUM!$C$6)</f>
        <v>#DIV/0!</v>
      </c>
      <c r="I7843" s="87"/>
      <c r="J7843" s="88"/>
      <c r="K7843" s="88"/>
      <c r="L7843" s="89"/>
      <c r="M7843" s="89"/>
      <c r="Q7843" s="105"/>
    </row>
    <row r="7844" spans="3:17" x14ac:dyDescent="0.3">
      <c r="C7844" s="87"/>
      <c r="H7844" s="86" t="e">
        <f>IF(I7844="fora",0%,G7844/QUÓRUM!$C$6)</f>
        <v>#DIV/0!</v>
      </c>
      <c r="I7844" s="87"/>
      <c r="J7844" s="88"/>
      <c r="K7844" s="88"/>
      <c r="L7844" s="89"/>
      <c r="M7844" s="89"/>
      <c r="Q7844" s="105"/>
    </row>
    <row r="7845" spans="3:17" x14ac:dyDescent="0.3">
      <c r="C7845" s="87"/>
      <c r="H7845" s="86" t="e">
        <f>IF(I7845="fora",0%,G7845/QUÓRUM!$C$6)</f>
        <v>#DIV/0!</v>
      </c>
      <c r="I7845" s="87"/>
      <c r="J7845" s="88"/>
      <c r="K7845" s="88"/>
      <c r="L7845" s="89"/>
      <c r="M7845" s="89"/>
      <c r="Q7845" s="105"/>
    </row>
    <row r="7846" spans="3:17" x14ac:dyDescent="0.3">
      <c r="C7846" s="87"/>
      <c r="H7846" s="86" t="e">
        <f>IF(I7846="fora",0%,G7846/QUÓRUM!$C$6)</f>
        <v>#DIV/0!</v>
      </c>
      <c r="I7846" s="87"/>
      <c r="J7846" s="88"/>
      <c r="K7846" s="88"/>
      <c r="L7846" s="89"/>
      <c r="M7846" s="89"/>
      <c r="Q7846" s="105"/>
    </row>
    <row r="7847" spans="3:17" x14ac:dyDescent="0.3">
      <c r="C7847" s="87"/>
      <c r="H7847" s="86" t="e">
        <f>IF(I7847="fora",0%,G7847/QUÓRUM!$C$6)</f>
        <v>#DIV/0!</v>
      </c>
      <c r="I7847" s="87"/>
      <c r="J7847" s="88"/>
      <c r="K7847" s="88"/>
      <c r="L7847" s="89"/>
      <c r="M7847" s="89"/>
      <c r="Q7847" s="105"/>
    </row>
    <row r="7848" spans="3:17" x14ac:dyDescent="0.3">
      <c r="C7848" s="87"/>
      <c r="H7848" s="86" t="e">
        <f>IF(I7848="fora",0%,G7848/QUÓRUM!$C$6)</f>
        <v>#DIV/0!</v>
      </c>
      <c r="I7848" s="87"/>
      <c r="J7848" s="88"/>
      <c r="K7848" s="88"/>
      <c r="L7848" s="89"/>
      <c r="M7848" s="89"/>
      <c r="Q7848" s="105"/>
    </row>
    <row r="7849" spans="3:17" x14ac:dyDescent="0.3">
      <c r="C7849" s="87"/>
      <c r="H7849" s="86" t="e">
        <f>IF(I7849="fora",0%,G7849/QUÓRUM!$C$6)</f>
        <v>#DIV/0!</v>
      </c>
      <c r="I7849" s="87"/>
      <c r="J7849" s="88"/>
      <c r="K7849" s="88"/>
      <c r="L7849" s="89"/>
      <c r="M7849" s="89"/>
      <c r="Q7849" s="105"/>
    </row>
    <row r="7850" spans="3:17" x14ac:dyDescent="0.3">
      <c r="C7850" s="87"/>
      <c r="H7850" s="86" t="e">
        <f>IF(I7850="fora",0%,G7850/QUÓRUM!$C$6)</f>
        <v>#DIV/0!</v>
      </c>
      <c r="I7850" s="87"/>
      <c r="J7850" s="88"/>
      <c r="K7850" s="88"/>
      <c r="L7850" s="89"/>
      <c r="M7850" s="89"/>
      <c r="Q7850" s="105"/>
    </row>
    <row r="7851" spans="3:17" x14ac:dyDescent="0.3">
      <c r="C7851" s="87"/>
      <c r="H7851" s="86" t="e">
        <f>IF(I7851="fora",0%,G7851/QUÓRUM!$C$6)</f>
        <v>#DIV/0!</v>
      </c>
      <c r="I7851" s="87"/>
      <c r="J7851" s="88"/>
      <c r="K7851" s="88"/>
      <c r="L7851" s="89"/>
      <c r="M7851" s="89"/>
      <c r="Q7851" s="105"/>
    </row>
    <row r="7852" spans="3:17" x14ac:dyDescent="0.3">
      <c r="C7852" s="87"/>
      <c r="H7852" s="86" t="e">
        <f>IF(I7852="fora",0%,G7852/QUÓRUM!$C$6)</f>
        <v>#DIV/0!</v>
      </c>
      <c r="I7852" s="87"/>
      <c r="J7852" s="88"/>
      <c r="K7852" s="88"/>
      <c r="L7852" s="89"/>
      <c r="M7852" s="89"/>
      <c r="Q7852" s="105"/>
    </row>
    <row r="7853" spans="3:17" x14ac:dyDescent="0.3">
      <c r="C7853" s="87"/>
      <c r="H7853" s="86" t="e">
        <f>IF(I7853="fora",0%,G7853/QUÓRUM!$C$6)</f>
        <v>#DIV/0!</v>
      </c>
      <c r="I7853" s="87"/>
      <c r="J7853" s="88"/>
      <c r="K7853" s="88"/>
      <c r="L7853" s="89"/>
      <c r="M7853" s="89"/>
      <c r="Q7853" s="105"/>
    </row>
    <row r="7854" spans="3:17" x14ac:dyDescent="0.3">
      <c r="C7854" s="87"/>
      <c r="H7854" s="86" t="e">
        <f>IF(I7854="fora",0%,G7854/QUÓRUM!$C$6)</f>
        <v>#DIV/0!</v>
      </c>
      <c r="I7854" s="87"/>
      <c r="J7854" s="88"/>
      <c r="K7854" s="88"/>
      <c r="L7854" s="89"/>
      <c r="M7854" s="89"/>
      <c r="Q7854" s="105"/>
    </row>
    <row r="7855" spans="3:17" x14ac:dyDescent="0.3">
      <c r="C7855" s="87"/>
      <c r="H7855" s="86" t="e">
        <f>IF(I7855="fora",0%,G7855/QUÓRUM!$C$6)</f>
        <v>#DIV/0!</v>
      </c>
      <c r="I7855" s="87"/>
      <c r="J7855" s="88"/>
      <c r="K7855" s="88"/>
      <c r="L7855" s="89"/>
      <c r="M7855" s="89"/>
      <c r="Q7855" s="105"/>
    </row>
    <row r="7856" spans="3:17" x14ac:dyDescent="0.3">
      <c r="C7856" s="87"/>
      <c r="H7856" s="86" t="e">
        <f>IF(I7856="fora",0%,G7856/QUÓRUM!$C$6)</f>
        <v>#DIV/0!</v>
      </c>
      <c r="I7856" s="87"/>
      <c r="J7856" s="88"/>
      <c r="K7856" s="88"/>
      <c r="L7856" s="89"/>
      <c r="M7856" s="89"/>
      <c r="Q7856" s="105"/>
    </row>
    <row r="7857" spans="3:17" x14ac:dyDescent="0.3">
      <c r="C7857" s="87"/>
      <c r="H7857" s="86" t="e">
        <f>IF(I7857="fora",0%,G7857/QUÓRUM!$C$6)</f>
        <v>#DIV/0!</v>
      </c>
      <c r="I7857" s="87"/>
      <c r="J7857" s="88"/>
      <c r="K7857" s="88"/>
      <c r="L7857" s="89"/>
      <c r="M7857" s="89"/>
      <c r="Q7857" s="105"/>
    </row>
    <row r="7858" spans="3:17" x14ac:dyDescent="0.3">
      <c r="C7858" s="87"/>
      <c r="H7858" s="86" t="e">
        <f>IF(I7858="fora",0%,G7858/QUÓRUM!$C$6)</f>
        <v>#DIV/0!</v>
      </c>
      <c r="I7858" s="87"/>
      <c r="J7858" s="88"/>
      <c r="K7858" s="88"/>
      <c r="L7858" s="89"/>
      <c r="M7858" s="89"/>
      <c r="Q7858" s="105"/>
    </row>
    <row r="7859" spans="3:17" x14ac:dyDescent="0.3">
      <c r="C7859" s="87"/>
      <c r="H7859" s="86" t="e">
        <f>IF(I7859="fora",0%,G7859/QUÓRUM!$C$6)</f>
        <v>#DIV/0!</v>
      </c>
      <c r="I7859" s="87"/>
      <c r="J7859" s="88"/>
      <c r="K7859" s="88"/>
      <c r="L7859" s="89"/>
      <c r="M7859" s="89"/>
      <c r="Q7859" s="105"/>
    </row>
    <row r="7860" spans="3:17" x14ac:dyDescent="0.3">
      <c r="C7860" s="87"/>
      <c r="H7860" s="86" t="e">
        <f>IF(I7860="fora",0%,G7860/QUÓRUM!$C$6)</f>
        <v>#DIV/0!</v>
      </c>
      <c r="I7860" s="87"/>
      <c r="J7860" s="88"/>
      <c r="K7860" s="88"/>
      <c r="L7860" s="89"/>
      <c r="M7860" s="89"/>
      <c r="Q7860" s="105"/>
    </row>
    <row r="7861" spans="3:17" x14ac:dyDescent="0.3">
      <c r="C7861" s="87"/>
      <c r="H7861" s="86" t="e">
        <f>IF(I7861="fora",0%,G7861/QUÓRUM!$C$6)</f>
        <v>#DIV/0!</v>
      </c>
      <c r="I7861" s="87"/>
      <c r="J7861" s="88"/>
      <c r="K7861" s="88"/>
      <c r="L7861" s="89"/>
      <c r="M7861" s="89"/>
      <c r="Q7861" s="105"/>
    </row>
    <row r="7862" spans="3:17" x14ac:dyDescent="0.3">
      <c r="C7862" s="87"/>
      <c r="H7862" s="86" t="e">
        <f>IF(I7862="fora",0%,G7862/QUÓRUM!$C$6)</f>
        <v>#DIV/0!</v>
      </c>
      <c r="I7862" s="87"/>
      <c r="J7862" s="88"/>
      <c r="K7862" s="88"/>
      <c r="L7862" s="89"/>
      <c r="M7862" s="89"/>
      <c r="Q7862" s="105"/>
    </row>
    <row r="7863" spans="3:17" x14ac:dyDescent="0.3">
      <c r="C7863" s="87"/>
      <c r="H7863" s="86" t="e">
        <f>IF(I7863="fora",0%,G7863/QUÓRUM!$C$6)</f>
        <v>#DIV/0!</v>
      </c>
      <c r="I7863" s="87"/>
      <c r="J7863" s="88"/>
      <c r="K7863" s="88"/>
      <c r="L7863" s="89"/>
      <c r="M7863" s="89"/>
      <c r="Q7863" s="105"/>
    </row>
    <row r="7864" spans="3:17" x14ac:dyDescent="0.3">
      <c r="C7864" s="87"/>
      <c r="H7864" s="86" t="e">
        <f>IF(I7864="fora",0%,G7864/QUÓRUM!$C$6)</f>
        <v>#DIV/0!</v>
      </c>
      <c r="I7864" s="87"/>
      <c r="J7864" s="88"/>
      <c r="K7864" s="88"/>
      <c r="L7864" s="89"/>
      <c r="M7864" s="89"/>
      <c r="Q7864" s="105"/>
    </row>
    <row r="7865" spans="3:17" x14ac:dyDescent="0.3">
      <c r="C7865" s="87"/>
      <c r="H7865" s="86" t="e">
        <f>IF(I7865="fora",0%,G7865/QUÓRUM!$C$6)</f>
        <v>#DIV/0!</v>
      </c>
      <c r="I7865" s="87"/>
      <c r="J7865" s="88"/>
      <c r="K7865" s="88"/>
      <c r="L7865" s="89"/>
      <c r="M7865" s="89"/>
      <c r="Q7865" s="105"/>
    </row>
    <row r="7866" spans="3:17" x14ac:dyDescent="0.3">
      <c r="C7866" s="87"/>
      <c r="H7866" s="86" t="e">
        <f>IF(I7866="fora",0%,G7866/QUÓRUM!$C$6)</f>
        <v>#DIV/0!</v>
      </c>
      <c r="I7866" s="87"/>
      <c r="J7866" s="88"/>
      <c r="K7866" s="88"/>
      <c r="L7866" s="89"/>
      <c r="M7866" s="89"/>
      <c r="Q7866" s="105"/>
    </row>
    <row r="7867" spans="3:17" x14ac:dyDescent="0.3">
      <c r="C7867" s="87"/>
      <c r="H7867" s="86" t="e">
        <f>IF(I7867="fora",0%,G7867/QUÓRUM!$C$6)</f>
        <v>#DIV/0!</v>
      </c>
      <c r="I7867" s="87"/>
      <c r="J7867" s="88"/>
      <c r="K7867" s="88"/>
      <c r="L7867" s="89"/>
      <c r="M7867" s="89"/>
      <c r="Q7867" s="105"/>
    </row>
    <row r="7868" spans="3:17" x14ac:dyDescent="0.3">
      <c r="C7868" s="87"/>
      <c r="H7868" s="86" t="e">
        <f>IF(I7868="fora",0%,G7868/QUÓRUM!$C$6)</f>
        <v>#DIV/0!</v>
      </c>
      <c r="I7868" s="87"/>
      <c r="J7868" s="88"/>
      <c r="K7868" s="88"/>
      <c r="L7868" s="89"/>
      <c r="M7868" s="89"/>
      <c r="Q7868" s="105"/>
    </row>
    <row r="7869" spans="3:17" x14ac:dyDescent="0.3">
      <c r="C7869" s="87"/>
      <c r="H7869" s="86" t="e">
        <f>IF(I7869="fora",0%,G7869/QUÓRUM!$C$6)</f>
        <v>#DIV/0!</v>
      </c>
      <c r="I7869" s="87"/>
      <c r="J7869" s="88"/>
      <c r="K7869" s="88"/>
      <c r="L7869" s="89"/>
      <c r="M7869" s="89"/>
      <c r="Q7869" s="105"/>
    </row>
    <row r="7870" spans="3:17" x14ac:dyDescent="0.3">
      <c r="C7870" s="87"/>
      <c r="H7870" s="86" t="e">
        <f>IF(I7870="fora",0%,G7870/QUÓRUM!$C$6)</f>
        <v>#DIV/0!</v>
      </c>
      <c r="I7870" s="87"/>
      <c r="J7870" s="88"/>
      <c r="K7870" s="88"/>
      <c r="L7870" s="89"/>
      <c r="M7870" s="89"/>
      <c r="Q7870" s="105"/>
    </row>
    <row r="7871" spans="3:17" x14ac:dyDescent="0.3">
      <c r="C7871" s="87"/>
      <c r="H7871" s="86" t="e">
        <f>IF(I7871="fora",0%,G7871/QUÓRUM!$C$6)</f>
        <v>#DIV/0!</v>
      </c>
      <c r="I7871" s="87"/>
      <c r="J7871" s="88"/>
      <c r="K7871" s="88"/>
      <c r="L7871" s="89"/>
      <c r="M7871" s="89"/>
      <c r="Q7871" s="105"/>
    </row>
    <row r="7872" spans="3:17" x14ac:dyDescent="0.3">
      <c r="C7872" s="87"/>
      <c r="H7872" s="86" t="e">
        <f>IF(I7872="fora",0%,G7872/QUÓRUM!$C$6)</f>
        <v>#DIV/0!</v>
      </c>
      <c r="I7872" s="87"/>
      <c r="J7872" s="88"/>
      <c r="K7872" s="88"/>
      <c r="L7872" s="89"/>
      <c r="M7872" s="89"/>
      <c r="Q7872" s="105"/>
    </row>
    <row r="7873" spans="3:17" x14ac:dyDescent="0.3">
      <c r="C7873" s="87"/>
      <c r="H7873" s="86" t="e">
        <f>IF(I7873="fora",0%,G7873/QUÓRUM!$C$6)</f>
        <v>#DIV/0!</v>
      </c>
      <c r="I7873" s="87"/>
      <c r="J7873" s="88"/>
      <c r="K7873" s="88"/>
      <c r="L7873" s="89"/>
      <c r="M7873" s="89"/>
      <c r="Q7873" s="105"/>
    </row>
    <row r="7874" spans="3:17" x14ac:dyDescent="0.3">
      <c r="C7874" s="87"/>
      <c r="H7874" s="86" t="e">
        <f>IF(I7874="fora",0%,G7874/QUÓRUM!$C$6)</f>
        <v>#DIV/0!</v>
      </c>
      <c r="I7874" s="87"/>
      <c r="J7874" s="88"/>
      <c r="K7874" s="88"/>
      <c r="L7874" s="89"/>
      <c r="M7874" s="89"/>
      <c r="Q7874" s="105"/>
    </row>
    <row r="7875" spans="3:17" x14ac:dyDescent="0.3">
      <c r="C7875" s="87"/>
      <c r="H7875" s="86" t="e">
        <f>IF(I7875="fora",0%,G7875/QUÓRUM!$C$6)</f>
        <v>#DIV/0!</v>
      </c>
      <c r="I7875" s="87"/>
      <c r="J7875" s="88"/>
      <c r="K7875" s="88"/>
      <c r="L7875" s="89"/>
      <c r="M7875" s="89"/>
      <c r="Q7875" s="105"/>
    </row>
    <row r="7876" spans="3:17" x14ac:dyDescent="0.3">
      <c r="C7876" s="87"/>
      <c r="H7876" s="86" t="e">
        <f>IF(I7876="fora",0%,G7876/QUÓRUM!$C$6)</f>
        <v>#DIV/0!</v>
      </c>
      <c r="I7876" s="87"/>
      <c r="J7876" s="88"/>
      <c r="K7876" s="88"/>
      <c r="L7876" s="89"/>
      <c r="M7876" s="89"/>
      <c r="Q7876" s="105"/>
    </row>
    <row r="7877" spans="3:17" x14ac:dyDescent="0.3">
      <c r="C7877" s="87"/>
      <c r="H7877" s="86" t="e">
        <f>IF(I7877="fora",0%,G7877/QUÓRUM!$C$6)</f>
        <v>#DIV/0!</v>
      </c>
      <c r="I7877" s="87"/>
      <c r="J7877" s="88"/>
      <c r="K7877" s="88"/>
      <c r="L7877" s="89"/>
      <c r="M7877" s="89"/>
      <c r="Q7877" s="105"/>
    </row>
    <row r="7878" spans="3:17" x14ac:dyDescent="0.3">
      <c r="C7878" s="87"/>
      <c r="H7878" s="86" t="e">
        <f>IF(I7878="fora",0%,G7878/QUÓRUM!$C$6)</f>
        <v>#DIV/0!</v>
      </c>
      <c r="I7878" s="87"/>
      <c r="J7878" s="88"/>
      <c r="K7878" s="88"/>
      <c r="L7878" s="89"/>
      <c r="M7878" s="89"/>
      <c r="Q7878" s="105"/>
    </row>
    <row r="7879" spans="3:17" x14ac:dyDescent="0.3">
      <c r="C7879" s="87"/>
      <c r="H7879" s="86" t="e">
        <f>IF(I7879="fora",0%,G7879/QUÓRUM!$C$6)</f>
        <v>#DIV/0!</v>
      </c>
      <c r="I7879" s="87"/>
      <c r="J7879" s="88"/>
      <c r="K7879" s="88"/>
      <c r="L7879" s="89"/>
      <c r="M7879" s="89"/>
      <c r="Q7879" s="105"/>
    </row>
    <row r="7880" spans="3:17" x14ac:dyDescent="0.3">
      <c r="C7880" s="87"/>
      <c r="H7880" s="86" t="e">
        <f>IF(I7880="fora",0%,G7880/QUÓRUM!$C$6)</f>
        <v>#DIV/0!</v>
      </c>
      <c r="I7880" s="87"/>
      <c r="J7880" s="88"/>
      <c r="K7880" s="88"/>
      <c r="L7880" s="89"/>
      <c r="M7880" s="89"/>
      <c r="Q7880" s="105"/>
    </row>
    <row r="7881" spans="3:17" x14ac:dyDescent="0.3">
      <c r="C7881" s="87"/>
      <c r="H7881" s="86" t="e">
        <f>IF(I7881="fora",0%,G7881/QUÓRUM!$C$6)</f>
        <v>#DIV/0!</v>
      </c>
      <c r="I7881" s="87"/>
      <c r="J7881" s="88"/>
      <c r="K7881" s="88"/>
      <c r="L7881" s="89"/>
      <c r="M7881" s="89"/>
      <c r="Q7881" s="105"/>
    </row>
    <row r="7882" spans="3:17" x14ac:dyDescent="0.3">
      <c r="C7882" s="87"/>
      <c r="H7882" s="86" t="e">
        <f>IF(I7882="fora",0%,G7882/QUÓRUM!$C$6)</f>
        <v>#DIV/0!</v>
      </c>
      <c r="I7882" s="87"/>
      <c r="J7882" s="88"/>
      <c r="K7882" s="88"/>
      <c r="L7882" s="89"/>
      <c r="M7882" s="89"/>
      <c r="Q7882" s="105"/>
    </row>
    <row r="7883" spans="3:17" x14ac:dyDescent="0.3">
      <c r="C7883" s="87"/>
      <c r="H7883" s="86" t="e">
        <f>IF(I7883="fora",0%,G7883/QUÓRUM!$C$6)</f>
        <v>#DIV/0!</v>
      </c>
      <c r="I7883" s="87"/>
      <c r="J7883" s="88"/>
      <c r="K7883" s="88"/>
      <c r="L7883" s="89"/>
      <c r="M7883" s="89"/>
      <c r="Q7883" s="105"/>
    </row>
    <row r="7884" spans="3:17" x14ac:dyDescent="0.3">
      <c r="C7884" s="87"/>
      <c r="H7884" s="86" t="e">
        <f>IF(I7884="fora",0%,G7884/QUÓRUM!$C$6)</f>
        <v>#DIV/0!</v>
      </c>
      <c r="I7884" s="87"/>
      <c r="J7884" s="88"/>
      <c r="K7884" s="88"/>
      <c r="L7884" s="89"/>
      <c r="M7884" s="89"/>
      <c r="Q7884" s="105"/>
    </row>
    <row r="7885" spans="3:17" x14ac:dyDescent="0.3">
      <c r="C7885" s="87"/>
      <c r="H7885" s="86" t="e">
        <f>IF(I7885="fora",0%,G7885/QUÓRUM!$C$6)</f>
        <v>#DIV/0!</v>
      </c>
      <c r="I7885" s="87"/>
      <c r="J7885" s="88"/>
      <c r="K7885" s="88"/>
      <c r="L7885" s="89"/>
      <c r="M7885" s="89"/>
      <c r="Q7885" s="105"/>
    </row>
    <row r="7886" spans="3:17" x14ac:dyDescent="0.3">
      <c r="C7886" s="87"/>
      <c r="H7886" s="86" t="e">
        <f>IF(I7886="fora",0%,G7886/QUÓRUM!$C$6)</f>
        <v>#DIV/0!</v>
      </c>
      <c r="I7886" s="87"/>
      <c r="J7886" s="88"/>
      <c r="K7886" s="88"/>
      <c r="L7886" s="89"/>
      <c r="M7886" s="89"/>
      <c r="Q7886" s="105"/>
    </row>
    <row r="7887" spans="3:17" x14ac:dyDescent="0.3">
      <c r="C7887" s="87"/>
      <c r="H7887" s="86" t="e">
        <f>IF(I7887="fora",0%,G7887/QUÓRUM!$C$6)</f>
        <v>#DIV/0!</v>
      </c>
      <c r="I7887" s="87"/>
      <c r="J7887" s="88"/>
      <c r="K7887" s="88"/>
      <c r="L7887" s="89"/>
      <c r="M7887" s="89"/>
      <c r="Q7887" s="105"/>
    </row>
    <row r="7888" spans="3:17" x14ac:dyDescent="0.3">
      <c r="C7888" s="87"/>
      <c r="H7888" s="86" t="e">
        <f>IF(I7888="fora",0%,G7888/QUÓRUM!$C$6)</f>
        <v>#DIV/0!</v>
      </c>
      <c r="I7888" s="87"/>
      <c r="J7888" s="88"/>
      <c r="K7888" s="88"/>
      <c r="L7888" s="89"/>
      <c r="M7888" s="89"/>
      <c r="Q7888" s="105"/>
    </row>
    <row r="7889" spans="3:17" x14ac:dyDescent="0.3">
      <c r="C7889" s="87"/>
      <c r="G7889" s="115"/>
      <c r="H7889" s="86" t="e">
        <f>IF(I7889="fora",0%,G7889/QUÓRUM!$C$6)</f>
        <v>#DIV/0!</v>
      </c>
      <c r="I7889" s="87"/>
      <c r="J7889" s="88"/>
      <c r="K7889" s="88"/>
      <c r="L7889" s="89"/>
      <c r="M7889" s="89"/>
      <c r="Q7889" s="105"/>
    </row>
    <row r="7890" spans="3:17" x14ac:dyDescent="0.3">
      <c r="C7890" s="87"/>
      <c r="H7890" s="86" t="e">
        <f>IF(I7890="fora",0%,G7890/QUÓRUM!$C$6)</f>
        <v>#DIV/0!</v>
      </c>
      <c r="I7890" s="87"/>
      <c r="J7890" s="88"/>
      <c r="K7890" s="88"/>
      <c r="L7890" s="89"/>
      <c r="M7890" s="89"/>
      <c r="Q7890" s="105"/>
    </row>
    <row r="7891" spans="3:17" x14ac:dyDescent="0.3">
      <c r="C7891" s="87"/>
      <c r="H7891" s="86" t="e">
        <f>IF(I7891="fora",0%,G7891/QUÓRUM!$C$6)</f>
        <v>#DIV/0!</v>
      </c>
      <c r="I7891" s="87"/>
      <c r="J7891" s="88"/>
      <c r="K7891" s="88"/>
      <c r="L7891" s="89"/>
      <c r="M7891" s="89"/>
      <c r="Q7891" s="105"/>
    </row>
    <row r="7892" spans="3:17" x14ac:dyDescent="0.3">
      <c r="C7892" s="87"/>
      <c r="H7892" s="86" t="e">
        <f>IF(I7892="fora",0%,G7892/QUÓRUM!$C$6)</f>
        <v>#DIV/0!</v>
      </c>
      <c r="I7892" s="87"/>
      <c r="J7892" s="88"/>
      <c r="K7892" s="88"/>
      <c r="L7892" s="89"/>
      <c r="M7892" s="89"/>
      <c r="Q7892" s="105"/>
    </row>
    <row r="7893" spans="3:17" x14ac:dyDescent="0.3">
      <c r="C7893" s="87"/>
      <c r="H7893" s="86" t="e">
        <f>IF(I7893="fora",0%,G7893/QUÓRUM!$C$6)</f>
        <v>#DIV/0!</v>
      </c>
      <c r="I7893" s="87"/>
      <c r="J7893" s="88"/>
      <c r="K7893" s="88"/>
      <c r="L7893" s="89"/>
      <c r="M7893" s="89"/>
      <c r="Q7893" s="105"/>
    </row>
    <row r="7894" spans="3:17" x14ac:dyDescent="0.3">
      <c r="C7894" s="87"/>
      <c r="H7894" s="86" t="e">
        <f>IF(I7894="fora",0%,G7894/QUÓRUM!$C$6)</f>
        <v>#DIV/0!</v>
      </c>
      <c r="I7894" s="87"/>
      <c r="J7894" s="88"/>
      <c r="K7894" s="88"/>
      <c r="L7894" s="89"/>
      <c r="M7894" s="89"/>
      <c r="Q7894" s="105"/>
    </row>
    <row r="7895" spans="3:17" x14ac:dyDescent="0.3">
      <c r="C7895" s="87"/>
      <c r="H7895" s="86" t="e">
        <f>IF(I7895="fora",0%,G7895/QUÓRUM!$C$6)</f>
        <v>#DIV/0!</v>
      </c>
      <c r="I7895" s="87"/>
      <c r="J7895" s="88"/>
      <c r="K7895" s="88"/>
      <c r="L7895" s="89"/>
      <c r="M7895" s="89"/>
      <c r="Q7895" s="105"/>
    </row>
    <row r="7896" spans="3:17" x14ac:dyDescent="0.3">
      <c r="C7896" s="87"/>
      <c r="H7896" s="86" t="e">
        <f>IF(I7896="fora",0%,G7896/QUÓRUM!$C$6)</f>
        <v>#DIV/0!</v>
      </c>
      <c r="I7896" s="87"/>
      <c r="J7896" s="88"/>
      <c r="K7896" s="88"/>
      <c r="L7896" s="89"/>
      <c r="M7896" s="89"/>
      <c r="Q7896" s="105"/>
    </row>
    <row r="7897" spans="3:17" x14ac:dyDescent="0.3">
      <c r="C7897" s="87"/>
      <c r="H7897" s="86" t="e">
        <f>IF(I7897="fora",0%,G7897/QUÓRUM!$C$6)</f>
        <v>#DIV/0!</v>
      </c>
      <c r="I7897" s="87"/>
      <c r="J7897" s="88"/>
      <c r="K7897" s="88"/>
      <c r="L7897" s="89"/>
      <c r="M7897" s="89"/>
      <c r="Q7897" s="105"/>
    </row>
    <row r="7898" spans="3:17" x14ac:dyDescent="0.3">
      <c r="C7898" s="87"/>
      <c r="H7898" s="86" t="e">
        <f>IF(I7898="fora",0%,G7898/QUÓRUM!$C$6)</f>
        <v>#DIV/0!</v>
      </c>
      <c r="I7898" s="87"/>
      <c r="J7898" s="88"/>
      <c r="K7898" s="88"/>
      <c r="L7898" s="89"/>
      <c r="M7898" s="89"/>
      <c r="Q7898" s="105"/>
    </row>
    <row r="7899" spans="3:17" x14ac:dyDescent="0.3">
      <c r="C7899" s="87"/>
      <c r="H7899" s="86" t="e">
        <f>IF(I7899="fora",0%,G7899/QUÓRUM!$C$6)</f>
        <v>#DIV/0!</v>
      </c>
      <c r="I7899" s="87"/>
      <c r="J7899" s="88"/>
      <c r="K7899" s="88"/>
      <c r="L7899" s="89"/>
      <c r="M7899" s="89"/>
      <c r="Q7899" s="105"/>
    </row>
    <row r="7900" spans="3:17" x14ac:dyDescent="0.3">
      <c r="C7900" s="87"/>
      <c r="H7900" s="86" t="e">
        <f>IF(I7900="fora",0%,G7900/QUÓRUM!$C$6)</f>
        <v>#DIV/0!</v>
      </c>
      <c r="I7900" s="87"/>
      <c r="J7900" s="88"/>
      <c r="K7900" s="88"/>
      <c r="L7900" s="89"/>
      <c r="M7900" s="89"/>
      <c r="Q7900" s="105"/>
    </row>
    <row r="7901" spans="3:17" x14ac:dyDescent="0.3">
      <c r="C7901" s="87"/>
      <c r="H7901" s="86" t="e">
        <f>IF(I7901="fora",0%,G7901/QUÓRUM!$C$6)</f>
        <v>#DIV/0!</v>
      </c>
      <c r="I7901" s="87"/>
      <c r="J7901" s="88"/>
      <c r="K7901" s="88"/>
      <c r="L7901" s="89"/>
      <c r="M7901" s="89"/>
      <c r="Q7901" s="105"/>
    </row>
    <row r="7902" spans="3:17" x14ac:dyDescent="0.3">
      <c r="C7902" s="87"/>
      <c r="H7902" s="86" t="e">
        <f>IF(I7902="fora",0%,G7902/QUÓRUM!$C$6)</f>
        <v>#DIV/0!</v>
      </c>
      <c r="I7902" s="87"/>
      <c r="J7902" s="88"/>
      <c r="K7902" s="88"/>
      <c r="L7902" s="89"/>
      <c r="M7902" s="89"/>
      <c r="Q7902" s="105"/>
    </row>
    <row r="7903" spans="3:17" x14ac:dyDescent="0.3">
      <c r="C7903" s="87"/>
      <c r="H7903" s="86" t="e">
        <f>IF(I7903="fora",0%,G7903/QUÓRUM!$C$6)</f>
        <v>#DIV/0!</v>
      </c>
      <c r="I7903" s="87"/>
      <c r="J7903" s="88"/>
      <c r="K7903" s="88"/>
      <c r="L7903" s="89"/>
      <c r="M7903" s="89"/>
      <c r="Q7903" s="105"/>
    </row>
    <row r="7904" spans="3:17" x14ac:dyDescent="0.3">
      <c r="C7904" s="87"/>
      <c r="H7904" s="86" t="e">
        <f>IF(I7904="fora",0%,G7904/QUÓRUM!$C$6)</f>
        <v>#DIV/0!</v>
      </c>
      <c r="I7904" s="87"/>
      <c r="J7904" s="88"/>
      <c r="K7904" s="88"/>
      <c r="L7904" s="89"/>
      <c r="M7904" s="89"/>
      <c r="Q7904" s="105"/>
    </row>
    <row r="7905" spans="3:17" x14ac:dyDescent="0.3">
      <c r="C7905" s="87"/>
      <c r="H7905" s="86" t="e">
        <f>IF(I7905="fora",0%,G7905/QUÓRUM!$C$6)</f>
        <v>#DIV/0!</v>
      </c>
      <c r="I7905" s="87"/>
      <c r="J7905" s="88"/>
      <c r="K7905" s="88"/>
      <c r="L7905" s="89"/>
      <c r="M7905" s="89"/>
      <c r="Q7905" s="105"/>
    </row>
    <row r="7906" spans="3:17" x14ac:dyDescent="0.3">
      <c r="C7906" s="87"/>
      <c r="H7906" s="86" t="e">
        <f>IF(I7906="fora",0%,G7906/QUÓRUM!$C$6)</f>
        <v>#DIV/0!</v>
      </c>
      <c r="I7906" s="87"/>
      <c r="J7906" s="88"/>
      <c r="K7906" s="88"/>
      <c r="L7906" s="89"/>
      <c r="M7906" s="89"/>
      <c r="Q7906" s="105"/>
    </row>
    <row r="7907" spans="3:17" x14ac:dyDescent="0.3">
      <c r="C7907" s="87"/>
      <c r="H7907" s="86" t="e">
        <f>IF(I7907="fora",0%,G7907/QUÓRUM!$C$6)</f>
        <v>#DIV/0!</v>
      </c>
      <c r="I7907" s="87"/>
      <c r="J7907" s="88"/>
      <c r="K7907" s="88"/>
      <c r="L7907" s="89"/>
      <c r="M7907" s="89"/>
      <c r="Q7907" s="105"/>
    </row>
    <row r="7908" spans="3:17" x14ac:dyDescent="0.3">
      <c r="C7908" s="87"/>
      <c r="H7908" s="86" t="e">
        <f>IF(I7908="fora",0%,G7908/QUÓRUM!$C$6)</f>
        <v>#DIV/0!</v>
      </c>
      <c r="I7908" s="87"/>
      <c r="J7908" s="88"/>
      <c r="K7908" s="88"/>
      <c r="L7908" s="89"/>
      <c r="M7908" s="89"/>
      <c r="Q7908" s="105"/>
    </row>
    <row r="7909" spans="3:17" x14ac:dyDescent="0.3">
      <c r="C7909" s="87"/>
      <c r="H7909" s="86" t="e">
        <f>IF(I7909="fora",0%,G7909/QUÓRUM!$C$6)</f>
        <v>#DIV/0!</v>
      </c>
      <c r="I7909" s="87"/>
      <c r="J7909" s="88"/>
      <c r="K7909" s="88"/>
      <c r="L7909" s="89"/>
      <c r="M7909" s="89"/>
      <c r="Q7909" s="105"/>
    </row>
    <row r="7910" spans="3:17" x14ac:dyDescent="0.3">
      <c r="C7910" s="87"/>
      <c r="H7910" s="86" t="e">
        <f>IF(I7910="fora",0%,G7910/QUÓRUM!$C$6)</f>
        <v>#DIV/0!</v>
      </c>
      <c r="I7910" s="87"/>
      <c r="J7910" s="88"/>
      <c r="K7910" s="88"/>
      <c r="L7910" s="89"/>
      <c r="M7910" s="89"/>
      <c r="Q7910" s="105"/>
    </row>
    <row r="7911" spans="3:17" x14ac:dyDescent="0.3">
      <c r="C7911" s="87"/>
      <c r="H7911" s="86" t="e">
        <f>IF(I7911="fora",0%,G7911/QUÓRUM!$C$6)</f>
        <v>#DIV/0!</v>
      </c>
      <c r="I7911" s="87"/>
      <c r="J7911" s="88"/>
      <c r="K7911" s="88"/>
      <c r="L7911" s="89"/>
      <c r="M7911" s="89"/>
      <c r="Q7911" s="105"/>
    </row>
    <row r="7912" spans="3:17" x14ac:dyDescent="0.3">
      <c r="C7912" s="87"/>
      <c r="H7912" s="86" t="e">
        <f>IF(I7912="fora",0%,G7912/QUÓRUM!$C$6)</f>
        <v>#DIV/0!</v>
      </c>
      <c r="I7912" s="87"/>
      <c r="J7912" s="88"/>
      <c r="K7912" s="88"/>
      <c r="L7912" s="89"/>
      <c r="M7912" s="89"/>
      <c r="Q7912" s="105"/>
    </row>
    <row r="7913" spans="3:17" x14ac:dyDescent="0.3">
      <c r="C7913" s="87"/>
      <c r="H7913" s="86" t="e">
        <f>IF(I7913="fora",0%,G7913/QUÓRUM!$C$6)</f>
        <v>#DIV/0!</v>
      </c>
      <c r="I7913" s="87"/>
      <c r="J7913" s="88"/>
      <c r="K7913" s="88"/>
      <c r="L7913" s="89"/>
      <c r="M7913" s="89"/>
      <c r="Q7913" s="105"/>
    </row>
    <row r="7914" spans="3:17" x14ac:dyDescent="0.3">
      <c r="C7914" s="87"/>
      <c r="H7914" s="86" t="e">
        <f>IF(I7914="fora",0%,G7914/QUÓRUM!$C$6)</f>
        <v>#DIV/0!</v>
      </c>
      <c r="I7914" s="87"/>
      <c r="J7914" s="88"/>
      <c r="K7914" s="88"/>
      <c r="L7914" s="89"/>
      <c r="M7914" s="89"/>
      <c r="Q7914" s="105"/>
    </row>
    <row r="7915" spans="3:17" x14ac:dyDescent="0.3">
      <c r="C7915" s="87"/>
      <c r="H7915" s="86" t="e">
        <f>IF(I7915="fora",0%,G7915/QUÓRUM!$C$6)</f>
        <v>#DIV/0!</v>
      </c>
      <c r="I7915" s="87"/>
      <c r="J7915" s="88"/>
      <c r="K7915" s="88"/>
      <c r="L7915" s="89"/>
      <c r="M7915" s="89"/>
      <c r="Q7915" s="105"/>
    </row>
    <row r="7916" spans="3:17" x14ac:dyDescent="0.3">
      <c r="C7916" s="87"/>
      <c r="H7916" s="86" t="e">
        <f>IF(I7916="fora",0%,G7916/QUÓRUM!$C$6)</f>
        <v>#DIV/0!</v>
      </c>
      <c r="I7916" s="87"/>
      <c r="J7916" s="88"/>
      <c r="K7916" s="88"/>
      <c r="L7916" s="89"/>
      <c r="M7916" s="89"/>
      <c r="Q7916" s="105"/>
    </row>
    <row r="7917" spans="3:17" x14ac:dyDescent="0.3">
      <c r="C7917" s="87"/>
      <c r="H7917" s="86" t="e">
        <f>IF(I7917="fora",0%,G7917/QUÓRUM!$C$6)</f>
        <v>#DIV/0!</v>
      </c>
      <c r="I7917" s="87"/>
      <c r="J7917" s="88"/>
      <c r="K7917" s="88"/>
      <c r="L7917" s="89"/>
      <c r="M7917" s="89"/>
      <c r="Q7917" s="105"/>
    </row>
    <row r="7918" spans="3:17" x14ac:dyDescent="0.3">
      <c r="C7918" s="87"/>
      <c r="H7918" s="86" t="e">
        <f>IF(I7918="fora",0%,G7918/QUÓRUM!$C$6)</f>
        <v>#DIV/0!</v>
      </c>
      <c r="I7918" s="87"/>
      <c r="J7918" s="88"/>
      <c r="K7918" s="88"/>
      <c r="L7918" s="89"/>
      <c r="M7918" s="89"/>
      <c r="Q7918" s="105"/>
    </row>
    <row r="7919" spans="3:17" x14ac:dyDescent="0.3">
      <c r="C7919" s="87"/>
      <c r="H7919" s="86" t="e">
        <f>IF(I7919="fora",0%,G7919/QUÓRUM!$C$6)</f>
        <v>#DIV/0!</v>
      </c>
      <c r="I7919" s="87"/>
      <c r="J7919" s="88"/>
      <c r="K7919" s="88"/>
      <c r="L7919" s="89"/>
      <c r="M7919" s="89"/>
      <c r="Q7919" s="105"/>
    </row>
    <row r="7920" spans="3:17" x14ac:dyDescent="0.3">
      <c r="C7920" s="87"/>
      <c r="H7920" s="86" t="e">
        <f>IF(I7920="fora",0%,G7920/QUÓRUM!$C$6)</f>
        <v>#DIV/0!</v>
      </c>
      <c r="I7920" s="87"/>
      <c r="J7920" s="88"/>
      <c r="K7920" s="88"/>
      <c r="L7920" s="89"/>
      <c r="M7920" s="89"/>
      <c r="Q7920" s="105"/>
    </row>
    <row r="7921" spans="3:17" x14ac:dyDescent="0.3">
      <c r="C7921" s="87"/>
      <c r="H7921" s="86" t="e">
        <f>IF(I7921="fora",0%,G7921/QUÓRUM!$C$6)</f>
        <v>#DIV/0!</v>
      </c>
      <c r="I7921" s="87"/>
      <c r="J7921" s="88"/>
      <c r="K7921" s="88"/>
      <c r="L7921" s="89"/>
      <c r="M7921" s="89"/>
      <c r="Q7921" s="105"/>
    </row>
    <row r="7922" spans="3:17" x14ac:dyDescent="0.3">
      <c r="C7922" s="87"/>
      <c r="H7922" s="86" t="e">
        <f>IF(I7922="fora",0%,G7922/QUÓRUM!$C$6)</f>
        <v>#DIV/0!</v>
      </c>
      <c r="I7922" s="87"/>
      <c r="J7922" s="88"/>
      <c r="K7922" s="88"/>
      <c r="L7922" s="89"/>
      <c r="M7922" s="89"/>
      <c r="Q7922" s="105"/>
    </row>
    <row r="7923" spans="3:17" x14ac:dyDescent="0.3">
      <c r="C7923" s="87"/>
      <c r="H7923" s="86" t="e">
        <f>IF(I7923="fora",0%,G7923/QUÓRUM!$C$6)</f>
        <v>#DIV/0!</v>
      </c>
      <c r="I7923" s="87"/>
      <c r="J7923" s="88"/>
      <c r="K7923" s="88"/>
      <c r="L7923" s="89"/>
      <c r="M7923" s="89"/>
      <c r="Q7923" s="105"/>
    </row>
    <row r="7924" spans="3:17" x14ac:dyDescent="0.3">
      <c r="C7924" s="87"/>
      <c r="H7924" s="86" t="e">
        <f>IF(I7924="fora",0%,G7924/QUÓRUM!$C$6)</f>
        <v>#DIV/0!</v>
      </c>
      <c r="I7924" s="87"/>
      <c r="J7924" s="88"/>
      <c r="K7924" s="88"/>
      <c r="L7924" s="89"/>
      <c r="M7924" s="89"/>
      <c r="Q7924" s="105"/>
    </row>
    <row r="7925" spans="3:17" x14ac:dyDescent="0.3">
      <c r="C7925" s="87"/>
      <c r="H7925" s="86" t="e">
        <f>IF(I7925="fora",0%,G7925/QUÓRUM!$C$6)</f>
        <v>#DIV/0!</v>
      </c>
      <c r="I7925" s="87"/>
      <c r="J7925" s="88"/>
      <c r="K7925" s="88"/>
      <c r="L7925" s="89"/>
      <c r="M7925" s="89"/>
      <c r="Q7925" s="105"/>
    </row>
    <row r="7926" spans="3:17" x14ac:dyDescent="0.3">
      <c r="C7926" s="87"/>
      <c r="H7926" s="86" t="e">
        <f>IF(I7926="fora",0%,G7926/QUÓRUM!$C$6)</f>
        <v>#DIV/0!</v>
      </c>
      <c r="I7926" s="87"/>
      <c r="J7926" s="88"/>
      <c r="K7926" s="88"/>
      <c r="L7926" s="89"/>
      <c r="M7926" s="89"/>
      <c r="Q7926" s="105"/>
    </row>
    <row r="7927" spans="3:17" x14ac:dyDescent="0.3">
      <c r="C7927" s="87"/>
      <c r="H7927" s="86" t="e">
        <f>IF(I7927="fora",0%,G7927/QUÓRUM!$C$6)</f>
        <v>#DIV/0!</v>
      </c>
      <c r="I7927" s="87"/>
      <c r="J7927" s="88"/>
      <c r="K7927" s="88"/>
      <c r="L7927" s="89"/>
      <c r="M7927" s="89"/>
      <c r="Q7927" s="105"/>
    </row>
    <row r="7928" spans="3:17" x14ac:dyDescent="0.3">
      <c r="C7928" s="87"/>
      <c r="H7928" s="86" t="e">
        <f>IF(I7928="fora",0%,G7928/QUÓRUM!$C$6)</f>
        <v>#DIV/0!</v>
      </c>
      <c r="I7928" s="87"/>
      <c r="J7928" s="88"/>
      <c r="K7928" s="88"/>
      <c r="L7928" s="89"/>
      <c r="M7928" s="89"/>
      <c r="Q7928" s="105"/>
    </row>
    <row r="7929" spans="3:17" x14ac:dyDescent="0.3">
      <c r="C7929" s="87"/>
      <c r="H7929" s="86" t="e">
        <f>IF(I7929="fora",0%,G7929/QUÓRUM!$C$6)</f>
        <v>#DIV/0!</v>
      </c>
      <c r="I7929" s="87"/>
      <c r="J7929" s="88"/>
      <c r="K7929" s="88"/>
      <c r="L7929" s="89"/>
      <c r="M7929" s="89"/>
      <c r="Q7929" s="105"/>
    </row>
    <row r="7930" spans="3:17" x14ac:dyDescent="0.3">
      <c r="C7930" s="87"/>
      <c r="H7930" s="86" t="e">
        <f>IF(I7930="fora",0%,G7930/QUÓRUM!$C$6)</f>
        <v>#DIV/0!</v>
      </c>
      <c r="I7930" s="87"/>
      <c r="J7930" s="88"/>
      <c r="K7930" s="88"/>
      <c r="L7930" s="89"/>
      <c r="M7930" s="89"/>
      <c r="Q7930" s="105"/>
    </row>
    <row r="7931" spans="3:17" x14ac:dyDescent="0.3">
      <c r="C7931" s="87"/>
      <c r="H7931" s="86" t="e">
        <f>IF(I7931="fora",0%,G7931/QUÓRUM!$C$6)</f>
        <v>#DIV/0!</v>
      </c>
      <c r="I7931" s="87"/>
      <c r="J7931" s="88"/>
      <c r="K7931" s="88"/>
      <c r="L7931" s="89"/>
      <c r="M7931" s="89"/>
      <c r="Q7931" s="105"/>
    </row>
    <row r="7932" spans="3:17" x14ac:dyDescent="0.3">
      <c r="C7932" s="87"/>
      <c r="H7932" s="86" t="e">
        <f>IF(I7932="fora",0%,G7932/QUÓRUM!$C$6)</f>
        <v>#DIV/0!</v>
      </c>
      <c r="I7932" s="87"/>
      <c r="J7932" s="88"/>
      <c r="K7932" s="88"/>
      <c r="L7932" s="89"/>
      <c r="M7932" s="89"/>
      <c r="Q7932" s="105"/>
    </row>
    <row r="7933" spans="3:17" x14ac:dyDescent="0.3">
      <c r="C7933" s="87"/>
      <c r="H7933" s="86" t="e">
        <f>IF(I7933="fora",0%,G7933/QUÓRUM!$C$6)</f>
        <v>#DIV/0!</v>
      </c>
      <c r="I7933" s="87"/>
      <c r="J7933" s="88"/>
      <c r="K7933" s="88"/>
      <c r="L7933" s="89"/>
      <c r="M7933" s="89"/>
      <c r="Q7933" s="105"/>
    </row>
    <row r="7934" spans="3:17" x14ac:dyDescent="0.3">
      <c r="C7934" s="87"/>
      <c r="H7934" s="86" t="e">
        <f>IF(I7934="fora",0%,G7934/QUÓRUM!$C$6)</f>
        <v>#DIV/0!</v>
      </c>
      <c r="I7934" s="87"/>
      <c r="J7934" s="88"/>
      <c r="K7934" s="88"/>
      <c r="L7934" s="89"/>
      <c r="M7934" s="89"/>
      <c r="Q7934" s="105"/>
    </row>
    <row r="7935" spans="3:17" x14ac:dyDescent="0.3">
      <c r="C7935" s="87"/>
      <c r="H7935" s="86" t="e">
        <f>IF(I7935="fora",0%,G7935/QUÓRUM!$C$6)</f>
        <v>#DIV/0!</v>
      </c>
      <c r="I7935" s="87"/>
      <c r="J7935" s="88"/>
      <c r="K7935" s="88"/>
      <c r="L7935" s="89"/>
      <c r="M7935" s="89"/>
      <c r="Q7935" s="105"/>
    </row>
    <row r="7936" spans="3:17" x14ac:dyDescent="0.3">
      <c r="C7936" s="87"/>
      <c r="H7936" s="86" t="e">
        <f>IF(I7936="fora",0%,G7936/QUÓRUM!$C$6)</f>
        <v>#DIV/0!</v>
      </c>
      <c r="I7936" s="87"/>
      <c r="J7936" s="88"/>
      <c r="K7936" s="88"/>
      <c r="L7936" s="89"/>
      <c r="M7936" s="89"/>
      <c r="Q7936" s="105"/>
    </row>
    <row r="7937" spans="3:17" x14ac:dyDescent="0.3">
      <c r="C7937" s="87"/>
      <c r="H7937" s="86" t="e">
        <f>IF(I7937="fora",0%,G7937/QUÓRUM!$C$6)</f>
        <v>#DIV/0!</v>
      </c>
      <c r="I7937" s="87"/>
      <c r="J7937" s="88"/>
      <c r="K7937" s="88"/>
      <c r="L7937" s="89"/>
      <c r="M7937" s="89"/>
      <c r="Q7937" s="105"/>
    </row>
    <row r="7938" spans="3:17" x14ac:dyDescent="0.3">
      <c r="C7938" s="87"/>
      <c r="H7938" s="86" t="e">
        <f>IF(I7938="fora",0%,G7938/QUÓRUM!$C$6)</f>
        <v>#DIV/0!</v>
      </c>
      <c r="I7938" s="87"/>
      <c r="J7938" s="88"/>
      <c r="K7938" s="88"/>
      <c r="L7938" s="89"/>
      <c r="M7938" s="89"/>
      <c r="Q7938" s="105"/>
    </row>
    <row r="7939" spans="3:17" x14ac:dyDescent="0.3">
      <c r="C7939" s="87"/>
      <c r="H7939" s="86" t="e">
        <f>IF(I7939="fora",0%,G7939/QUÓRUM!$C$6)</f>
        <v>#DIV/0!</v>
      </c>
      <c r="I7939" s="87"/>
      <c r="J7939" s="88"/>
      <c r="K7939" s="88"/>
      <c r="L7939" s="89"/>
      <c r="M7939" s="89"/>
      <c r="Q7939" s="105"/>
    </row>
    <row r="7940" spans="3:17" x14ac:dyDescent="0.3">
      <c r="C7940" s="87"/>
      <c r="H7940" s="86" t="e">
        <f>IF(I7940="fora",0%,G7940/QUÓRUM!$C$6)</f>
        <v>#DIV/0!</v>
      </c>
      <c r="I7940" s="87"/>
      <c r="J7940" s="88"/>
      <c r="K7940" s="88"/>
      <c r="L7940" s="89"/>
      <c r="M7940" s="89"/>
      <c r="Q7940" s="105"/>
    </row>
    <row r="7941" spans="3:17" x14ac:dyDescent="0.3">
      <c r="C7941" s="87"/>
      <c r="H7941" s="86" t="e">
        <f>IF(I7941="fora",0%,G7941/QUÓRUM!$C$6)</f>
        <v>#DIV/0!</v>
      </c>
      <c r="I7941" s="87"/>
      <c r="J7941" s="88"/>
      <c r="K7941" s="88"/>
      <c r="L7941" s="89"/>
      <c r="M7941" s="89"/>
      <c r="Q7941" s="105"/>
    </row>
    <row r="7942" spans="3:17" x14ac:dyDescent="0.3">
      <c r="C7942" s="87"/>
      <c r="H7942" s="86" t="e">
        <f>IF(I7942="fora",0%,G7942/QUÓRUM!$C$6)</f>
        <v>#DIV/0!</v>
      </c>
      <c r="I7942" s="87"/>
      <c r="J7942" s="88"/>
      <c r="K7942" s="88"/>
      <c r="L7942" s="89"/>
      <c r="M7942" s="89"/>
      <c r="Q7942" s="105"/>
    </row>
    <row r="7943" spans="3:17" x14ac:dyDescent="0.3">
      <c r="C7943" s="87"/>
      <c r="H7943" s="86" t="e">
        <f>IF(I7943="fora",0%,G7943/QUÓRUM!$C$6)</f>
        <v>#DIV/0!</v>
      </c>
      <c r="I7943" s="87"/>
      <c r="J7943" s="88"/>
      <c r="K7943" s="88"/>
      <c r="L7943" s="89"/>
      <c r="M7943" s="89"/>
      <c r="Q7943" s="105"/>
    </row>
    <row r="7944" spans="3:17" x14ac:dyDescent="0.3">
      <c r="C7944" s="87"/>
      <c r="H7944" s="86" t="e">
        <f>IF(I7944="fora",0%,G7944/QUÓRUM!$C$6)</f>
        <v>#DIV/0!</v>
      </c>
      <c r="I7944" s="87"/>
      <c r="J7944" s="88"/>
      <c r="K7944" s="88"/>
      <c r="L7944" s="89"/>
      <c r="M7944" s="89"/>
      <c r="Q7944" s="105"/>
    </row>
    <row r="7945" spans="3:17" x14ac:dyDescent="0.3">
      <c r="C7945" s="87"/>
      <c r="H7945" s="86" t="e">
        <f>IF(I7945="fora",0%,G7945/QUÓRUM!$C$6)</f>
        <v>#DIV/0!</v>
      </c>
      <c r="I7945" s="87"/>
      <c r="J7945" s="88"/>
      <c r="K7945" s="88"/>
      <c r="L7945" s="89"/>
      <c r="M7945" s="89"/>
      <c r="Q7945" s="105"/>
    </row>
    <row r="7946" spans="3:17" x14ac:dyDescent="0.3">
      <c r="C7946" s="87"/>
      <c r="H7946" s="86" t="e">
        <f>IF(I7946="fora",0%,G7946/QUÓRUM!$C$6)</f>
        <v>#DIV/0!</v>
      </c>
      <c r="I7946" s="87"/>
      <c r="J7946" s="88"/>
      <c r="K7946" s="88"/>
      <c r="L7946" s="89"/>
      <c r="M7946" s="89"/>
      <c r="Q7946" s="105"/>
    </row>
    <row r="7947" spans="3:17" x14ac:dyDescent="0.3">
      <c r="C7947" s="87"/>
      <c r="H7947" s="86" t="e">
        <f>IF(I7947="fora",0%,G7947/QUÓRUM!$C$6)</f>
        <v>#DIV/0!</v>
      </c>
      <c r="I7947" s="87"/>
      <c r="J7947" s="88"/>
      <c r="K7947" s="88"/>
      <c r="L7947" s="89"/>
      <c r="M7947" s="89"/>
      <c r="Q7947" s="105"/>
    </row>
    <row r="7948" spans="3:17" x14ac:dyDescent="0.3">
      <c r="C7948" s="87"/>
      <c r="H7948" s="86" t="e">
        <f>IF(I7948="fora",0%,G7948/QUÓRUM!$C$6)</f>
        <v>#DIV/0!</v>
      </c>
      <c r="I7948" s="87"/>
      <c r="J7948" s="88"/>
      <c r="K7948" s="88"/>
      <c r="L7948" s="89"/>
      <c r="M7948" s="89"/>
      <c r="Q7948" s="105"/>
    </row>
    <row r="7949" spans="3:17" x14ac:dyDescent="0.3">
      <c r="C7949" s="87"/>
      <c r="H7949" s="86" t="e">
        <f>IF(I7949="fora",0%,G7949/QUÓRUM!$C$6)</f>
        <v>#DIV/0!</v>
      </c>
      <c r="I7949" s="87"/>
      <c r="J7949" s="88"/>
      <c r="K7949" s="88"/>
      <c r="L7949" s="89"/>
      <c r="M7949" s="89"/>
      <c r="Q7949" s="105"/>
    </row>
    <row r="7950" spans="3:17" x14ac:dyDescent="0.3">
      <c r="C7950" s="87"/>
      <c r="H7950" s="86" t="e">
        <f>IF(I7950="fora",0%,G7950/QUÓRUM!$C$6)</f>
        <v>#DIV/0!</v>
      </c>
      <c r="I7950" s="87"/>
      <c r="J7950" s="88"/>
      <c r="K7950" s="88"/>
      <c r="L7950" s="89"/>
      <c r="M7950" s="89"/>
      <c r="Q7950" s="105"/>
    </row>
    <row r="7951" spans="3:17" x14ac:dyDescent="0.3">
      <c r="C7951" s="87"/>
      <c r="H7951" s="86" t="e">
        <f>IF(I7951="fora",0%,G7951/QUÓRUM!$C$6)</f>
        <v>#DIV/0!</v>
      </c>
      <c r="I7951" s="87"/>
      <c r="J7951" s="88"/>
      <c r="K7951" s="88"/>
      <c r="L7951" s="89"/>
      <c r="M7951" s="89"/>
      <c r="Q7951" s="105"/>
    </row>
    <row r="7952" spans="3:17" x14ac:dyDescent="0.3">
      <c r="C7952" s="87"/>
      <c r="H7952" s="86" t="e">
        <f>IF(I7952="fora",0%,G7952/QUÓRUM!$C$6)</f>
        <v>#DIV/0!</v>
      </c>
      <c r="I7952" s="87"/>
      <c r="J7952" s="88"/>
      <c r="K7952" s="88"/>
      <c r="L7952" s="89"/>
      <c r="M7952" s="89"/>
      <c r="Q7952" s="105"/>
    </row>
    <row r="7953" spans="3:17" x14ac:dyDescent="0.3">
      <c r="C7953" s="87"/>
      <c r="H7953" s="86" t="e">
        <f>IF(I7953="fora",0%,G7953/QUÓRUM!$C$6)</f>
        <v>#DIV/0!</v>
      </c>
      <c r="I7953" s="87"/>
      <c r="J7953" s="88"/>
      <c r="K7953" s="88"/>
      <c r="L7953" s="89"/>
      <c r="M7953" s="89"/>
      <c r="Q7953" s="105"/>
    </row>
    <row r="7954" spans="3:17" x14ac:dyDescent="0.3">
      <c r="C7954" s="87"/>
      <c r="H7954" s="86" t="e">
        <f>IF(I7954="fora",0%,G7954/QUÓRUM!$C$6)</f>
        <v>#DIV/0!</v>
      </c>
      <c r="I7954" s="87"/>
      <c r="J7954" s="88"/>
      <c r="K7954" s="88"/>
      <c r="L7954" s="89"/>
      <c r="M7954" s="89"/>
      <c r="Q7954" s="105"/>
    </row>
    <row r="7955" spans="3:17" x14ac:dyDescent="0.3">
      <c r="C7955" s="87"/>
      <c r="H7955" s="86" t="e">
        <f>IF(I7955="fora",0%,G7955/QUÓRUM!$C$6)</f>
        <v>#DIV/0!</v>
      </c>
      <c r="I7955" s="87"/>
      <c r="J7955" s="88"/>
      <c r="K7955" s="88"/>
      <c r="L7955" s="89"/>
      <c r="M7955" s="89"/>
      <c r="Q7955" s="105"/>
    </row>
    <row r="7956" spans="3:17" x14ac:dyDescent="0.3">
      <c r="C7956" s="87"/>
      <c r="H7956" s="86" t="e">
        <f>IF(I7956="fora",0%,G7956/QUÓRUM!$C$6)</f>
        <v>#DIV/0!</v>
      </c>
      <c r="I7956" s="87"/>
      <c r="J7956" s="88"/>
      <c r="K7956" s="88"/>
      <c r="L7956" s="89"/>
      <c r="M7956" s="89"/>
      <c r="Q7956" s="105"/>
    </row>
    <row r="7957" spans="3:17" x14ac:dyDescent="0.3">
      <c r="C7957" s="87"/>
      <c r="H7957" s="86" t="e">
        <f>IF(I7957="fora",0%,G7957/QUÓRUM!$C$6)</f>
        <v>#DIV/0!</v>
      </c>
      <c r="I7957" s="87"/>
      <c r="J7957" s="88"/>
      <c r="K7957" s="88"/>
      <c r="L7957" s="89"/>
      <c r="M7957" s="89"/>
      <c r="Q7957" s="105"/>
    </row>
    <row r="7958" spans="3:17" x14ac:dyDescent="0.3">
      <c r="C7958" s="87"/>
      <c r="H7958" s="86" t="e">
        <f>IF(I7958="fora",0%,G7958/QUÓRUM!$C$6)</f>
        <v>#DIV/0!</v>
      </c>
      <c r="I7958" s="87"/>
      <c r="J7958" s="88"/>
      <c r="K7958" s="88"/>
      <c r="L7958" s="89"/>
      <c r="M7958" s="89"/>
      <c r="Q7958" s="105"/>
    </row>
    <row r="7959" spans="3:17" x14ac:dyDescent="0.3">
      <c r="C7959" s="87"/>
      <c r="H7959" s="86" t="e">
        <f>IF(I7959="fora",0%,G7959/QUÓRUM!$C$6)</f>
        <v>#DIV/0!</v>
      </c>
      <c r="I7959" s="87"/>
      <c r="J7959" s="88"/>
      <c r="K7959" s="88"/>
      <c r="L7959" s="89"/>
      <c r="M7959" s="89"/>
      <c r="Q7959" s="105"/>
    </row>
    <row r="7960" spans="3:17" x14ac:dyDescent="0.3">
      <c r="C7960" s="87"/>
      <c r="H7960" s="86" t="e">
        <f>IF(I7960="fora",0%,G7960/QUÓRUM!$C$6)</f>
        <v>#DIV/0!</v>
      </c>
      <c r="I7960" s="87"/>
      <c r="J7960" s="88"/>
      <c r="K7960" s="88"/>
      <c r="L7960" s="89"/>
      <c r="M7960" s="89"/>
      <c r="Q7960" s="105"/>
    </row>
    <row r="7961" spans="3:17" x14ac:dyDescent="0.3">
      <c r="C7961" s="87"/>
      <c r="H7961" s="86" t="e">
        <f>IF(I7961="fora",0%,G7961/QUÓRUM!$C$6)</f>
        <v>#DIV/0!</v>
      </c>
      <c r="I7961" s="87"/>
      <c r="J7961" s="88"/>
      <c r="K7961" s="88"/>
      <c r="L7961" s="89"/>
      <c r="M7961" s="89"/>
      <c r="Q7961" s="105"/>
    </row>
    <row r="7962" spans="3:17" x14ac:dyDescent="0.3">
      <c r="C7962" s="87"/>
      <c r="H7962" s="86" t="e">
        <f>IF(I7962="fora",0%,G7962/QUÓRUM!$C$6)</f>
        <v>#DIV/0!</v>
      </c>
      <c r="I7962" s="87"/>
      <c r="J7962" s="88"/>
      <c r="K7962" s="88"/>
      <c r="L7962" s="89"/>
      <c r="M7962" s="89"/>
      <c r="Q7962" s="105"/>
    </row>
    <row r="7963" spans="3:17" x14ac:dyDescent="0.3">
      <c r="C7963" s="87"/>
      <c r="H7963" s="86" t="e">
        <f>IF(I7963="fora",0%,G7963/QUÓRUM!$C$6)</f>
        <v>#DIV/0!</v>
      </c>
      <c r="I7963" s="87"/>
      <c r="J7963" s="88"/>
      <c r="K7963" s="88"/>
      <c r="L7963" s="89"/>
      <c r="M7963" s="89"/>
      <c r="Q7963" s="105"/>
    </row>
    <row r="7964" spans="3:17" x14ac:dyDescent="0.3">
      <c r="C7964" s="87"/>
      <c r="H7964" s="86" t="e">
        <f>IF(I7964="fora",0%,G7964/QUÓRUM!$C$6)</f>
        <v>#DIV/0!</v>
      </c>
      <c r="I7964" s="87"/>
      <c r="J7964" s="88"/>
      <c r="K7964" s="88"/>
      <c r="L7964" s="89"/>
      <c r="M7964" s="89"/>
      <c r="Q7964" s="105"/>
    </row>
    <row r="7965" spans="3:17" x14ac:dyDescent="0.3">
      <c r="C7965" s="87"/>
      <c r="H7965" s="86" t="e">
        <f>IF(I7965="fora",0%,G7965/QUÓRUM!$C$6)</f>
        <v>#DIV/0!</v>
      </c>
      <c r="I7965" s="87"/>
      <c r="J7965" s="88"/>
      <c r="K7965" s="88"/>
      <c r="L7965" s="89"/>
      <c r="M7965" s="89"/>
      <c r="Q7965" s="105"/>
    </row>
    <row r="7966" spans="3:17" x14ac:dyDescent="0.3">
      <c r="C7966" s="87"/>
      <c r="H7966" s="86" t="e">
        <f>IF(I7966="fora",0%,G7966/QUÓRUM!$C$6)</f>
        <v>#DIV/0!</v>
      </c>
      <c r="I7966" s="87"/>
      <c r="J7966" s="88"/>
      <c r="K7966" s="88"/>
      <c r="L7966" s="89"/>
      <c r="M7966" s="89"/>
      <c r="Q7966" s="105"/>
    </row>
    <row r="7967" spans="3:17" x14ac:dyDescent="0.3">
      <c r="C7967" s="87"/>
      <c r="H7967" s="86" t="e">
        <f>IF(I7967="fora",0%,G7967/QUÓRUM!$C$6)</f>
        <v>#DIV/0!</v>
      </c>
      <c r="I7967" s="87"/>
      <c r="J7967" s="88"/>
      <c r="K7967" s="88"/>
      <c r="L7967" s="89"/>
      <c r="M7967" s="89"/>
      <c r="Q7967" s="105"/>
    </row>
    <row r="7968" spans="3:17" x14ac:dyDescent="0.3">
      <c r="C7968" s="87"/>
      <c r="H7968" s="86" t="e">
        <f>IF(I7968="fora",0%,G7968/QUÓRUM!$C$6)</f>
        <v>#DIV/0!</v>
      </c>
      <c r="I7968" s="87"/>
      <c r="J7968" s="88"/>
      <c r="K7968" s="88"/>
      <c r="L7968" s="89"/>
      <c r="M7968" s="89"/>
      <c r="Q7968" s="105"/>
    </row>
    <row r="7969" spans="3:17" x14ac:dyDescent="0.3">
      <c r="C7969" s="87"/>
      <c r="H7969" s="86" t="e">
        <f>IF(I7969="fora",0%,G7969/QUÓRUM!$C$6)</f>
        <v>#DIV/0!</v>
      </c>
      <c r="I7969" s="87"/>
      <c r="J7969" s="88"/>
      <c r="K7969" s="88"/>
      <c r="L7969" s="89"/>
      <c r="M7969" s="89"/>
      <c r="Q7969" s="105"/>
    </row>
    <row r="7970" spans="3:17" x14ac:dyDescent="0.3">
      <c r="C7970" s="87"/>
      <c r="H7970" s="86" t="e">
        <f>IF(I7970="fora",0%,G7970/QUÓRUM!$C$6)</f>
        <v>#DIV/0!</v>
      </c>
      <c r="I7970" s="87"/>
      <c r="J7970" s="88"/>
      <c r="K7970" s="88"/>
      <c r="L7970" s="89"/>
      <c r="M7970" s="89"/>
      <c r="Q7970" s="105"/>
    </row>
    <row r="7971" spans="3:17" x14ac:dyDescent="0.3">
      <c r="C7971" s="87"/>
      <c r="H7971" s="86" t="e">
        <f>IF(I7971="fora",0%,G7971/QUÓRUM!$C$6)</f>
        <v>#DIV/0!</v>
      </c>
      <c r="I7971" s="87"/>
      <c r="J7971" s="88"/>
      <c r="K7971" s="88"/>
      <c r="L7971" s="89"/>
      <c r="M7971" s="89"/>
      <c r="Q7971" s="105"/>
    </row>
    <row r="7972" spans="3:17" x14ac:dyDescent="0.3">
      <c r="C7972" s="87"/>
      <c r="H7972" s="86" t="e">
        <f>IF(I7972="fora",0%,G7972/QUÓRUM!$C$6)</f>
        <v>#DIV/0!</v>
      </c>
      <c r="I7972" s="87"/>
      <c r="J7972" s="88"/>
      <c r="K7972" s="88"/>
      <c r="L7972" s="89"/>
      <c r="M7972" s="89"/>
      <c r="Q7972" s="105"/>
    </row>
    <row r="7973" spans="3:17" x14ac:dyDescent="0.3">
      <c r="C7973" s="87"/>
      <c r="H7973" s="86" t="e">
        <f>IF(I7973="fora",0%,G7973/QUÓRUM!$C$6)</f>
        <v>#DIV/0!</v>
      </c>
      <c r="I7973" s="87"/>
      <c r="J7973" s="88"/>
      <c r="K7973" s="88"/>
      <c r="L7973" s="89"/>
      <c r="M7973" s="89"/>
      <c r="Q7973" s="105"/>
    </row>
    <row r="7974" spans="3:17" x14ac:dyDescent="0.3">
      <c r="C7974" s="87"/>
      <c r="H7974" s="86" t="e">
        <f>IF(I7974="fora",0%,G7974/QUÓRUM!$C$6)</f>
        <v>#DIV/0!</v>
      </c>
      <c r="I7974" s="87"/>
      <c r="J7974" s="88"/>
      <c r="K7974" s="88"/>
      <c r="L7974" s="89"/>
      <c r="M7974" s="89"/>
      <c r="Q7974" s="105"/>
    </row>
    <row r="7975" spans="3:17" x14ac:dyDescent="0.3">
      <c r="C7975" s="87"/>
      <c r="H7975" s="86" t="e">
        <f>IF(I7975="fora",0%,G7975/QUÓRUM!$C$6)</f>
        <v>#DIV/0!</v>
      </c>
      <c r="I7975" s="87"/>
      <c r="J7975" s="88"/>
      <c r="K7975" s="88"/>
      <c r="L7975" s="89"/>
      <c r="M7975" s="89"/>
      <c r="Q7975" s="105"/>
    </row>
    <row r="7976" spans="3:17" x14ac:dyDescent="0.3">
      <c r="C7976" s="87"/>
      <c r="H7976" s="86" t="e">
        <f>IF(I7976="fora",0%,G7976/QUÓRUM!$C$6)</f>
        <v>#DIV/0!</v>
      </c>
      <c r="I7976" s="87"/>
      <c r="J7976" s="88"/>
      <c r="K7976" s="88"/>
      <c r="L7976" s="89"/>
      <c r="M7976" s="89"/>
      <c r="Q7976" s="105"/>
    </row>
    <row r="7977" spans="3:17" x14ac:dyDescent="0.3">
      <c r="C7977" s="87"/>
      <c r="H7977" s="86" t="e">
        <f>IF(I7977="fora",0%,G7977/QUÓRUM!$C$6)</f>
        <v>#DIV/0!</v>
      </c>
      <c r="I7977" s="87"/>
      <c r="J7977" s="88"/>
      <c r="K7977" s="88"/>
      <c r="L7977" s="89"/>
      <c r="M7977" s="89"/>
      <c r="Q7977" s="105"/>
    </row>
    <row r="7978" spans="3:17" x14ac:dyDescent="0.3">
      <c r="C7978" s="87"/>
      <c r="H7978" s="86" t="e">
        <f>IF(I7978="fora",0%,G7978/QUÓRUM!$C$6)</f>
        <v>#DIV/0!</v>
      </c>
      <c r="I7978" s="87"/>
      <c r="J7978" s="88"/>
      <c r="K7978" s="88"/>
      <c r="L7978" s="89"/>
      <c r="M7978" s="89"/>
      <c r="Q7978" s="105"/>
    </row>
    <row r="7979" spans="3:17" x14ac:dyDescent="0.3">
      <c r="C7979" s="87"/>
      <c r="H7979" s="86" t="e">
        <f>IF(I7979="fora",0%,G7979/QUÓRUM!$C$6)</f>
        <v>#DIV/0!</v>
      </c>
      <c r="I7979" s="87"/>
      <c r="J7979" s="88"/>
      <c r="K7979" s="88"/>
      <c r="L7979" s="89"/>
      <c r="M7979" s="89"/>
      <c r="Q7979" s="105"/>
    </row>
    <row r="7980" spans="3:17" x14ac:dyDescent="0.3">
      <c r="C7980" s="87"/>
      <c r="H7980" s="86" t="e">
        <f>IF(I7980="fora",0%,G7980/QUÓRUM!$C$6)</f>
        <v>#DIV/0!</v>
      </c>
      <c r="I7980" s="87"/>
      <c r="J7980" s="88"/>
      <c r="K7980" s="88"/>
      <c r="L7980" s="89"/>
      <c r="M7980" s="89"/>
      <c r="Q7980" s="105"/>
    </row>
    <row r="7981" spans="3:17" x14ac:dyDescent="0.3">
      <c r="C7981" s="87"/>
      <c r="H7981" s="86" t="e">
        <f>IF(I7981="fora",0%,G7981/QUÓRUM!$C$6)</f>
        <v>#DIV/0!</v>
      </c>
      <c r="I7981" s="87"/>
      <c r="J7981" s="88"/>
      <c r="K7981" s="88"/>
      <c r="L7981" s="89"/>
      <c r="M7981" s="89"/>
      <c r="Q7981" s="105"/>
    </row>
    <row r="7982" spans="3:17" x14ac:dyDescent="0.3">
      <c r="C7982" s="87"/>
      <c r="H7982" s="86" t="e">
        <f>IF(I7982="fora",0%,G7982/QUÓRUM!$C$6)</f>
        <v>#DIV/0!</v>
      </c>
      <c r="I7982" s="87"/>
      <c r="J7982" s="88"/>
      <c r="K7982" s="88"/>
      <c r="L7982" s="89"/>
      <c r="M7982" s="89"/>
      <c r="Q7982" s="105"/>
    </row>
    <row r="7983" spans="3:17" x14ac:dyDescent="0.3">
      <c r="C7983" s="87"/>
      <c r="H7983" s="86" t="e">
        <f>IF(I7983="fora",0%,G7983/QUÓRUM!$C$6)</f>
        <v>#DIV/0!</v>
      </c>
      <c r="I7983" s="87"/>
      <c r="J7983" s="88"/>
      <c r="K7983" s="88"/>
      <c r="L7983" s="89"/>
      <c r="M7983" s="89"/>
      <c r="Q7983" s="105"/>
    </row>
    <row r="7984" spans="3:17" x14ac:dyDescent="0.3">
      <c r="C7984" s="87"/>
      <c r="H7984" s="86" t="e">
        <f>IF(I7984="fora",0%,G7984/QUÓRUM!$C$6)</f>
        <v>#DIV/0!</v>
      </c>
      <c r="I7984" s="87"/>
      <c r="J7984" s="88"/>
      <c r="K7984" s="88"/>
      <c r="L7984" s="89"/>
      <c r="M7984" s="89"/>
      <c r="Q7984" s="105"/>
    </row>
    <row r="7985" spans="3:17" x14ac:dyDescent="0.3">
      <c r="C7985" s="87"/>
      <c r="H7985" s="86" t="e">
        <f>IF(I7985="fora",0%,G7985/QUÓRUM!$C$6)</f>
        <v>#DIV/0!</v>
      </c>
      <c r="I7985" s="87"/>
      <c r="J7985" s="88"/>
      <c r="K7985" s="88"/>
      <c r="L7985" s="89"/>
      <c r="M7985" s="89"/>
      <c r="Q7985" s="105"/>
    </row>
    <row r="7986" spans="3:17" x14ac:dyDescent="0.3">
      <c r="C7986" s="87"/>
      <c r="H7986" s="86" t="e">
        <f>IF(I7986="fora",0%,G7986/QUÓRUM!$C$6)</f>
        <v>#DIV/0!</v>
      </c>
      <c r="I7986" s="87"/>
      <c r="J7986" s="88"/>
      <c r="K7986" s="88"/>
      <c r="L7986" s="89"/>
      <c r="M7986" s="89"/>
      <c r="Q7986" s="105"/>
    </row>
    <row r="7987" spans="3:17" x14ac:dyDescent="0.3">
      <c r="C7987" s="87"/>
      <c r="H7987" s="86" t="e">
        <f>IF(I7987="fora",0%,G7987/QUÓRUM!$C$6)</f>
        <v>#DIV/0!</v>
      </c>
      <c r="I7987" s="87"/>
      <c r="J7987" s="88"/>
      <c r="K7987" s="88"/>
      <c r="L7987" s="89"/>
      <c r="M7987" s="89"/>
      <c r="Q7987" s="105"/>
    </row>
    <row r="7988" spans="3:17" x14ac:dyDescent="0.3">
      <c r="C7988" s="87"/>
      <c r="H7988" s="86" t="e">
        <f>IF(I7988="fora",0%,G7988/QUÓRUM!$C$6)</f>
        <v>#DIV/0!</v>
      </c>
      <c r="I7988" s="87"/>
      <c r="J7988" s="88"/>
      <c r="K7988" s="88"/>
      <c r="L7988" s="89"/>
      <c r="M7988" s="89"/>
      <c r="Q7988" s="105"/>
    </row>
    <row r="7989" spans="3:17" x14ac:dyDescent="0.3">
      <c r="C7989" s="87"/>
      <c r="H7989" s="86" t="e">
        <f>IF(I7989="fora",0%,G7989/QUÓRUM!$C$6)</f>
        <v>#DIV/0!</v>
      </c>
      <c r="I7989" s="87"/>
      <c r="J7989" s="88"/>
      <c r="K7989" s="88"/>
      <c r="L7989" s="89"/>
      <c r="M7989" s="89"/>
      <c r="Q7989" s="105"/>
    </row>
    <row r="7990" spans="3:17" x14ac:dyDescent="0.3">
      <c r="C7990" s="87"/>
      <c r="H7990" s="86" t="e">
        <f>IF(I7990="fora",0%,G7990/QUÓRUM!$C$6)</f>
        <v>#DIV/0!</v>
      </c>
      <c r="I7990" s="87"/>
      <c r="J7990" s="88"/>
      <c r="K7990" s="88"/>
      <c r="L7990" s="89"/>
      <c r="M7990" s="89"/>
      <c r="Q7990" s="105"/>
    </row>
    <row r="7991" spans="3:17" x14ac:dyDescent="0.3">
      <c r="C7991" s="87"/>
      <c r="H7991" s="86" t="e">
        <f>IF(I7991="fora",0%,G7991/QUÓRUM!$C$6)</f>
        <v>#DIV/0!</v>
      </c>
      <c r="I7991" s="87"/>
      <c r="J7991" s="88"/>
      <c r="K7991" s="88"/>
      <c r="L7991" s="89"/>
      <c r="M7991" s="89"/>
      <c r="Q7991" s="105"/>
    </row>
    <row r="7992" spans="3:17" x14ac:dyDescent="0.3">
      <c r="C7992" s="87"/>
      <c r="H7992" s="86" t="e">
        <f>IF(I7992="fora",0%,G7992/QUÓRUM!$C$6)</f>
        <v>#DIV/0!</v>
      </c>
      <c r="I7992" s="87"/>
      <c r="J7992" s="88"/>
      <c r="K7992" s="88"/>
      <c r="L7992" s="89"/>
      <c r="M7992" s="89"/>
      <c r="Q7992" s="105"/>
    </row>
    <row r="7993" spans="3:17" x14ac:dyDescent="0.3">
      <c r="C7993" s="87"/>
      <c r="H7993" s="86" t="e">
        <f>IF(I7993="fora",0%,G7993/QUÓRUM!$C$6)</f>
        <v>#DIV/0!</v>
      </c>
      <c r="I7993" s="87"/>
      <c r="J7993" s="88"/>
      <c r="K7993" s="88"/>
      <c r="L7993" s="89"/>
      <c r="M7993" s="89"/>
      <c r="Q7993" s="105"/>
    </row>
    <row r="7994" spans="3:17" x14ac:dyDescent="0.3">
      <c r="C7994" s="87"/>
      <c r="H7994" s="86" t="e">
        <f>IF(I7994="fora",0%,G7994/QUÓRUM!$C$6)</f>
        <v>#DIV/0!</v>
      </c>
      <c r="I7994" s="87"/>
      <c r="J7994" s="88"/>
      <c r="K7994" s="88"/>
      <c r="L7994" s="89"/>
      <c r="M7994" s="89"/>
      <c r="Q7994" s="105"/>
    </row>
    <row r="7995" spans="3:17" x14ac:dyDescent="0.3">
      <c r="C7995" s="87"/>
      <c r="H7995" s="86" t="e">
        <f>IF(I7995="fora",0%,G7995/QUÓRUM!$C$6)</f>
        <v>#DIV/0!</v>
      </c>
      <c r="I7995" s="87"/>
      <c r="J7995" s="88"/>
      <c r="K7995" s="88"/>
      <c r="L7995" s="89"/>
      <c r="M7995" s="89"/>
      <c r="Q7995" s="105"/>
    </row>
    <row r="7996" spans="3:17" x14ac:dyDescent="0.3">
      <c r="C7996" s="87"/>
      <c r="H7996" s="86" t="e">
        <f>IF(I7996="fora",0%,G7996/QUÓRUM!$C$6)</f>
        <v>#DIV/0!</v>
      </c>
      <c r="I7996" s="87"/>
      <c r="J7996" s="88"/>
      <c r="K7996" s="88"/>
      <c r="L7996" s="89"/>
      <c r="M7996" s="89"/>
      <c r="Q7996" s="105"/>
    </row>
    <row r="7997" spans="3:17" x14ac:dyDescent="0.3">
      <c r="C7997" s="87"/>
      <c r="H7997" s="86" t="e">
        <f>IF(I7997="fora",0%,G7997/QUÓRUM!$C$6)</f>
        <v>#DIV/0!</v>
      </c>
      <c r="I7997" s="87"/>
      <c r="J7997" s="88"/>
      <c r="K7997" s="88"/>
      <c r="L7997" s="89"/>
      <c r="M7997" s="89"/>
      <c r="Q7997" s="105"/>
    </row>
    <row r="7998" spans="3:17" x14ac:dyDescent="0.3">
      <c r="C7998" s="87"/>
      <c r="H7998" s="86" t="e">
        <f>IF(I7998="fora",0%,G7998/QUÓRUM!$C$6)</f>
        <v>#DIV/0!</v>
      </c>
      <c r="I7998" s="87"/>
      <c r="J7998" s="88"/>
      <c r="K7998" s="88"/>
      <c r="L7998" s="89"/>
      <c r="M7998" s="89"/>
      <c r="Q7998" s="105"/>
    </row>
    <row r="7999" spans="3:17" x14ac:dyDescent="0.3">
      <c r="C7999" s="87"/>
      <c r="H7999" s="86" t="e">
        <f>IF(I7999="fora",0%,G7999/QUÓRUM!$C$6)</f>
        <v>#DIV/0!</v>
      </c>
      <c r="I7999" s="87"/>
      <c r="J7999" s="88"/>
      <c r="K7999" s="88"/>
      <c r="L7999" s="89"/>
      <c r="M7999" s="89"/>
      <c r="Q7999" s="105"/>
    </row>
    <row r="8000" spans="3:17" x14ac:dyDescent="0.3">
      <c r="C8000" s="87"/>
      <c r="H8000" s="86" t="e">
        <f>IF(I8000="fora",0%,G8000/QUÓRUM!$C$6)</f>
        <v>#DIV/0!</v>
      </c>
      <c r="I8000" s="87"/>
      <c r="J8000" s="88"/>
      <c r="K8000" s="88"/>
      <c r="L8000" s="89"/>
      <c r="M8000" s="89"/>
      <c r="Q8000" s="105"/>
    </row>
    <row r="8001" spans="3:17" x14ac:dyDescent="0.3">
      <c r="C8001" s="87"/>
      <c r="H8001" s="86" t="e">
        <f>IF(I8001="fora",0%,G8001/QUÓRUM!$C$6)</f>
        <v>#DIV/0!</v>
      </c>
      <c r="I8001" s="87"/>
      <c r="J8001" s="88"/>
      <c r="K8001" s="88"/>
      <c r="L8001" s="89"/>
      <c r="M8001" s="89"/>
      <c r="Q8001" s="105"/>
    </row>
    <row r="8002" spans="3:17" x14ac:dyDescent="0.3">
      <c r="C8002" s="87"/>
      <c r="H8002" s="86" t="e">
        <f>IF(I8002="fora",0%,G8002/QUÓRUM!$C$6)</f>
        <v>#DIV/0!</v>
      </c>
      <c r="I8002" s="87"/>
      <c r="J8002" s="88"/>
      <c r="K8002" s="88"/>
      <c r="L8002" s="89"/>
      <c r="M8002" s="89"/>
      <c r="Q8002" s="105"/>
    </row>
    <row r="8003" spans="3:17" x14ac:dyDescent="0.3">
      <c r="C8003" s="87"/>
      <c r="H8003" s="86" t="e">
        <f>IF(I8003="fora",0%,G8003/QUÓRUM!$C$6)</f>
        <v>#DIV/0!</v>
      </c>
      <c r="I8003" s="87"/>
      <c r="J8003" s="88"/>
      <c r="K8003" s="88"/>
      <c r="L8003" s="89"/>
      <c r="M8003" s="89"/>
      <c r="Q8003" s="105"/>
    </row>
    <row r="8004" spans="3:17" x14ac:dyDescent="0.3">
      <c r="C8004" s="87"/>
      <c r="H8004" s="86" t="e">
        <f>IF(I8004="fora",0%,G8004/QUÓRUM!$C$6)</f>
        <v>#DIV/0!</v>
      </c>
      <c r="I8004" s="87"/>
      <c r="J8004" s="88"/>
      <c r="K8004" s="88"/>
      <c r="L8004" s="89"/>
      <c r="M8004" s="89"/>
      <c r="Q8004" s="105"/>
    </row>
    <row r="8005" spans="3:17" x14ac:dyDescent="0.3">
      <c r="C8005" s="87"/>
      <c r="H8005" s="86" t="e">
        <f>IF(I8005="fora",0%,G8005/QUÓRUM!$C$6)</f>
        <v>#DIV/0!</v>
      </c>
      <c r="I8005" s="87"/>
      <c r="J8005" s="88"/>
      <c r="K8005" s="88"/>
      <c r="L8005" s="89"/>
      <c r="M8005" s="89"/>
      <c r="Q8005" s="105"/>
    </row>
    <row r="8006" spans="3:17" x14ac:dyDescent="0.3">
      <c r="C8006" s="87"/>
      <c r="H8006" s="86" t="e">
        <f>IF(I8006="fora",0%,G8006/QUÓRUM!$C$6)</f>
        <v>#DIV/0!</v>
      </c>
      <c r="I8006" s="87"/>
      <c r="J8006" s="88"/>
      <c r="K8006" s="88"/>
      <c r="L8006" s="89"/>
      <c r="M8006" s="89"/>
      <c r="Q8006" s="105"/>
    </row>
    <row r="8007" spans="3:17" x14ac:dyDescent="0.3">
      <c r="C8007" s="87"/>
      <c r="H8007" s="86" t="e">
        <f>IF(I8007="fora",0%,G8007/QUÓRUM!$C$6)</f>
        <v>#DIV/0!</v>
      </c>
      <c r="I8007" s="87"/>
      <c r="J8007" s="88"/>
      <c r="K8007" s="88"/>
      <c r="L8007" s="89"/>
      <c r="M8007" s="89"/>
      <c r="Q8007" s="105"/>
    </row>
    <row r="8008" spans="3:17" x14ac:dyDescent="0.3">
      <c r="C8008" s="87"/>
      <c r="H8008" s="86" t="e">
        <f>IF(I8008="fora",0%,G8008/QUÓRUM!$C$6)</f>
        <v>#DIV/0!</v>
      </c>
      <c r="I8008" s="87"/>
      <c r="J8008" s="88"/>
      <c r="K8008" s="88"/>
      <c r="L8008" s="89"/>
      <c r="M8008" s="89"/>
      <c r="Q8008" s="105"/>
    </row>
    <row r="8009" spans="3:17" x14ac:dyDescent="0.3">
      <c r="C8009" s="87"/>
      <c r="H8009" s="86" t="e">
        <f>IF(I8009="fora",0%,G8009/QUÓRUM!$C$6)</f>
        <v>#DIV/0!</v>
      </c>
      <c r="I8009" s="87"/>
      <c r="J8009" s="88"/>
      <c r="K8009" s="88"/>
      <c r="L8009" s="89"/>
      <c r="M8009" s="89"/>
      <c r="Q8009" s="105"/>
    </row>
    <row r="8010" spans="3:17" x14ac:dyDescent="0.3">
      <c r="C8010" s="87"/>
      <c r="H8010" s="86" t="e">
        <f>IF(I8010="fora",0%,G8010/QUÓRUM!$C$6)</f>
        <v>#DIV/0!</v>
      </c>
      <c r="I8010" s="87"/>
      <c r="J8010" s="88"/>
      <c r="K8010" s="88"/>
      <c r="L8010" s="89"/>
      <c r="M8010" s="89"/>
      <c r="Q8010" s="105"/>
    </row>
    <row r="8011" spans="3:17" x14ac:dyDescent="0.3">
      <c r="C8011" s="87"/>
      <c r="H8011" s="86" t="e">
        <f>IF(I8011="fora",0%,G8011/QUÓRUM!$C$6)</f>
        <v>#DIV/0!</v>
      </c>
      <c r="I8011" s="87"/>
      <c r="J8011" s="88"/>
      <c r="K8011" s="88"/>
      <c r="L8011" s="89"/>
      <c r="M8011" s="89"/>
      <c r="Q8011" s="105"/>
    </row>
    <row r="8012" spans="3:17" x14ac:dyDescent="0.3">
      <c r="C8012" s="87"/>
      <c r="H8012" s="86" t="e">
        <f>IF(I8012="fora",0%,G8012/QUÓRUM!$C$6)</f>
        <v>#DIV/0!</v>
      </c>
      <c r="I8012" s="87"/>
      <c r="J8012" s="88"/>
      <c r="K8012" s="88"/>
      <c r="L8012" s="89"/>
      <c r="M8012" s="89"/>
      <c r="Q8012" s="105"/>
    </row>
    <row r="8013" spans="3:17" x14ac:dyDescent="0.3">
      <c r="C8013" s="87"/>
      <c r="H8013" s="86" t="e">
        <f>IF(I8013="fora",0%,G8013/QUÓRUM!$C$6)</f>
        <v>#DIV/0!</v>
      </c>
      <c r="I8013" s="87"/>
      <c r="J8013" s="88"/>
      <c r="K8013" s="88"/>
      <c r="L8013" s="89"/>
      <c r="M8013" s="89"/>
      <c r="Q8013" s="105"/>
    </row>
    <row r="8014" spans="3:17" x14ac:dyDescent="0.3">
      <c r="C8014" s="87"/>
      <c r="H8014" s="86" t="e">
        <f>IF(I8014="fora",0%,G8014/QUÓRUM!$C$6)</f>
        <v>#DIV/0!</v>
      </c>
      <c r="I8014" s="87"/>
      <c r="J8014" s="88"/>
      <c r="K8014" s="88"/>
      <c r="L8014" s="89"/>
      <c r="M8014" s="89"/>
      <c r="Q8014" s="105"/>
    </row>
    <row r="8015" spans="3:17" x14ac:dyDescent="0.3">
      <c r="C8015" s="87"/>
      <c r="H8015" s="86" t="e">
        <f>IF(I8015="fora",0%,G8015/QUÓRUM!$C$6)</f>
        <v>#DIV/0!</v>
      </c>
      <c r="I8015" s="87"/>
      <c r="J8015" s="88"/>
      <c r="K8015" s="88"/>
      <c r="L8015" s="89"/>
      <c r="M8015" s="89"/>
      <c r="Q8015" s="105"/>
    </row>
    <row r="8016" spans="3:17" x14ac:dyDescent="0.3">
      <c r="C8016" s="87"/>
      <c r="H8016" s="86" t="e">
        <f>IF(I8016="fora",0%,G8016/QUÓRUM!$C$6)</f>
        <v>#DIV/0!</v>
      </c>
      <c r="I8016" s="87"/>
      <c r="J8016" s="88"/>
      <c r="K8016" s="88"/>
      <c r="L8016" s="89"/>
      <c r="M8016" s="89"/>
      <c r="Q8016" s="105"/>
    </row>
    <row r="8017" spans="3:17" x14ac:dyDescent="0.3">
      <c r="C8017" s="87"/>
      <c r="H8017" s="86" t="e">
        <f>IF(I8017="fora",0%,G8017/QUÓRUM!$C$6)</f>
        <v>#DIV/0!</v>
      </c>
      <c r="I8017" s="87"/>
      <c r="J8017" s="88"/>
      <c r="K8017" s="88"/>
      <c r="L8017" s="89"/>
      <c r="M8017" s="89"/>
      <c r="Q8017" s="105"/>
    </row>
    <row r="8018" spans="3:17" x14ac:dyDescent="0.3">
      <c r="C8018" s="87"/>
      <c r="H8018" s="86" t="e">
        <f>IF(I8018="fora",0%,G8018/QUÓRUM!$C$6)</f>
        <v>#DIV/0!</v>
      </c>
      <c r="I8018" s="87"/>
      <c r="J8018" s="88"/>
      <c r="K8018" s="88"/>
      <c r="L8018" s="89"/>
      <c r="M8018" s="89"/>
      <c r="Q8018" s="105"/>
    </row>
    <row r="8019" spans="3:17" x14ac:dyDescent="0.3">
      <c r="C8019" s="87"/>
      <c r="H8019" s="86" t="e">
        <f>IF(I8019="fora",0%,G8019/QUÓRUM!$C$6)</f>
        <v>#DIV/0!</v>
      </c>
      <c r="I8019" s="87"/>
      <c r="J8019" s="88"/>
      <c r="K8019" s="88"/>
      <c r="L8019" s="89"/>
      <c r="M8019" s="89"/>
      <c r="Q8019" s="105"/>
    </row>
    <row r="8020" spans="3:17" x14ac:dyDescent="0.3">
      <c r="C8020" s="87"/>
      <c r="H8020" s="86" t="e">
        <f>IF(I8020="fora",0%,G8020/QUÓRUM!$C$6)</f>
        <v>#DIV/0!</v>
      </c>
      <c r="I8020" s="87"/>
      <c r="J8020" s="88"/>
      <c r="K8020" s="88"/>
      <c r="L8020" s="89"/>
      <c r="M8020" s="89"/>
      <c r="Q8020" s="105"/>
    </row>
    <row r="8021" spans="3:17" x14ac:dyDescent="0.3">
      <c r="C8021" s="87"/>
      <c r="H8021" s="86" t="e">
        <f>IF(I8021="fora",0%,G8021/QUÓRUM!$C$6)</f>
        <v>#DIV/0!</v>
      </c>
      <c r="I8021" s="87"/>
      <c r="J8021" s="88"/>
      <c r="K8021" s="88"/>
      <c r="L8021" s="89"/>
      <c r="M8021" s="89"/>
      <c r="Q8021" s="105"/>
    </row>
    <row r="8022" spans="3:17" x14ac:dyDescent="0.3">
      <c r="C8022" s="87"/>
      <c r="H8022" s="86" t="e">
        <f>IF(I8022="fora",0%,G8022/QUÓRUM!$C$6)</f>
        <v>#DIV/0!</v>
      </c>
      <c r="I8022" s="87"/>
      <c r="J8022" s="88"/>
      <c r="K8022" s="88"/>
      <c r="L8022" s="89"/>
      <c r="M8022" s="89"/>
      <c r="Q8022" s="105"/>
    </row>
    <row r="8023" spans="3:17" x14ac:dyDescent="0.3">
      <c r="C8023" s="87"/>
      <c r="H8023" s="86" t="e">
        <f>IF(I8023="fora",0%,G8023/QUÓRUM!$C$6)</f>
        <v>#DIV/0!</v>
      </c>
      <c r="I8023" s="87"/>
      <c r="J8023" s="88"/>
      <c r="K8023" s="88"/>
      <c r="L8023" s="89"/>
      <c r="M8023" s="89"/>
      <c r="Q8023" s="105"/>
    </row>
    <row r="8024" spans="3:17" x14ac:dyDescent="0.3">
      <c r="C8024" s="87"/>
      <c r="H8024" s="86" t="e">
        <f>IF(I8024="fora",0%,G8024/QUÓRUM!$C$6)</f>
        <v>#DIV/0!</v>
      </c>
      <c r="I8024" s="87"/>
      <c r="J8024" s="88"/>
      <c r="K8024" s="88"/>
      <c r="L8024" s="89"/>
      <c r="M8024" s="89"/>
      <c r="Q8024" s="105"/>
    </row>
    <row r="8025" spans="3:17" x14ac:dyDescent="0.3">
      <c r="C8025" s="87"/>
      <c r="H8025" s="86" t="e">
        <f>IF(I8025="fora",0%,G8025/QUÓRUM!$C$6)</f>
        <v>#DIV/0!</v>
      </c>
      <c r="I8025" s="87"/>
      <c r="J8025" s="88"/>
      <c r="K8025" s="88"/>
      <c r="L8025" s="89"/>
      <c r="M8025" s="89"/>
      <c r="Q8025" s="105"/>
    </row>
    <row r="8026" spans="3:17" x14ac:dyDescent="0.3">
      <c r="C8026" s="87"/>
      <c r="G8026" s="115"/>
      <c r="H8026" s="86" t="e">
        <f>IF(I8026="fora",0%,G8026/QUÓRUM!$C$6)</f>
        <v>#DIV/0!</v>
      </c>
      <c r="I8026" s="87"/>
      <c r="J8026" s="88"/>
      <c r="K8026" s="88"/>
      <c r="L8026" s="89"/>
      <c r="M8026" s="89"/>
      <c r="Q8026" s="105"/>
    </row>
    <row r="8027" spans="3:17" x14ac:dyDescent="0.3">
      <c r="C8027" s="87"/>
      <c r="H8027" s="86" t="e">
        <f>IF(I8027="fora",0%,G8027/QUÓRUM!$C$6)</f>
        <v>#DIV/0!</v>
      </c>
      <c r="I8027" s="87"/>
      <c r="J8027" s="88"/>
      <c r="K8027" s="88"/>
      <c r="L8027" s="89"/>
      <c r="M8027" s="89"/>
      <c r="Q8027" s="105"/>
    </row>
    <row r="8028" spans="3:17" x14ac:dyDescent="0.3">
      <c r="C8028" s="87"/>
      <c r="H8028" s="86" t="e">
        <f>IF(I8028="fora",0%,G8028/QUÓRUM!$C$6)</f>
        <v>#DIV/0!</v>
      </c>
      <c r="I8028" s="87"/>
      <c r="J8028" s="88"/>
      <c r="K8028" s="88"/>
      <c r="L8028" s="89"/>
      <c r="M8028" s="89"/>
      <c r="Q8028" s="105"/>
    </row>
    <row r="8029" spans="3:17" x14ac:dyDescent="0.3">
      <c r="C8029" s="87"/>
      <c r="H8029" s="86" t="e">
        <f>IF(I8029="fora",0%,G8029/QUÓRUM!$C$6)</f>
        <v>#DIV/0!</v>
      </c>
      <c r="I8029" s="87"/>
      <c r="J8029" s="88"/>
      <c r="K8029" s="88"/>
      <c r="L8029" s="89"/>
      <c r="M8029" s="89"/>
      <c r="Q8029" s="105"/>
    </row>
    <row r="8030" spans="3:17" x14ac:dyDescent="0.3">
      <c r="C8030" s="87"/>
      <c r="H8030" s="86" t="e">
        <f>IF(I8030="fora",0%,G8030/QUÓRUM!$C$6)</f>
        <v>#DIV/0!</v>
      </c>
      <c r="I8030" s="87"/>
      <c r="J8030" s="88"/>
      <c r="K8030" s="88"/>
      <c r="L8030" s="89"/>
      <c r="M8030" s="89"/>
      <c r="Q8030" s="105"/>
    </row>
    <row r="8031" spans="3:17" x14ac:dyDescent="0.3">
      <c r="C8031" s="87"/>
      <c r="H8031" s="86" t="e">
        <f>IF(I8031="fora",0%,G8031/QUÓRUM!$C$6)</f>
        <v>#DIV/0!</v>
      </c>
      <c r="I8031" s="87"/>
      <c r="J8031" s="88"/>
      <c r="K8031" s="88"/>
      <c r="L8031" s="89"/>
      <c r="M8031" s="89"/>
      <c r="Q8031" s="105"/>
    </row>
    <row r="8032" spans="3:17" x14ac:dyDescent="0.3">
      <c r="C8032" s="87"/>
      <c r="H8032" s="86" t="e">
        <f>IF(I8032="fora",0%,G8032/QUÓRUM!$C$6)</f>
        <v>#DIV/0!</v>
      </c>
      <c r="I8032" s="87"/>
      <c r="J8032" s="88"/>
      <c r="K8032" s="88"/>
      <c r="L8032" s="89"/>
      <c r="M8032" s="89"/>
      <c r="Q8032" s="105"/>
    </row>
    <row r="8033" spans="3:17" x14ac:dyDescent="0.3">
      <c r="C8033" s="87"/>
      <c r="H8033" s="86" t="e">
        <f>IF(I8033="fora",0%,G8033/QUÓRUM!$C$6)</f>
        <v>#DIV/0!</v>
      </c>
      <c r="I8033" s="87"/>
      <c r="J8033" s="88"/>
      <c r="K8033" s="88"/>
      <c r="L8033" s="89"/>
      <c r="M8033" s="89"/>
      <c r="Q8033" s="105"/>
    </row>
    <row r="8034" spans="3:17" x14ac:dyDescent="0.3">
      <c r="C8034" s="87"/>
      <c r="H8034" s="86" t="e">
        <f>IF(I8034="fora",0%,G8034/QUÓRUM!$C$6)</f>
        <v>#DIV/0!</v>
      </c>
      <c r="I8034" s="87"/>
      <c r="J8034" s="88"/>
      <c r="K8034" s="88"/>
      <c r="L8034" s="89"/>
      <c r="M8034" s="89"/>
      <c r="Q8034" s="105"/>
    </row>
    <row r="8035" spans="3:17" x14ac:dyDescent="0.3">
      <c r="C8035" s="87"/>
      <c r="H8035" s="86" t="e">
        <f>IF(I8035="fora",0%,G8035/QUÓRUM!$C$6)</f>
        <v>#DIV/0!</v>
      </c>
      <c r="I8035" s="87"/>
      <c r="J8035" s="88"/>
      <c r="K8035" s="88"/>
      <c r="L8035" s="89"/>
      <c r="M8035" s="89"/>
      <c r="Q8035" s="105"/>
    </row>
    <row r="8036" spans="3:17" x14ac:dyDescent="0.3">
      <c r="C8036" s="87"/>
      <c r="H8036" s="86" t="e">
        <f>IF(I8036="fora",0%,G8036/QUÓRUM!$C$6)</f>
        <v>#DIV/0!</v>
      </c>
      <c r="I8036" s="87"/>
      <c r="J8036" s="88"/>
      <c r="K8036" s="88"/>
      <c r="L8036" s="89"/>
      <c r="M8036" s="89"/>
      <c r="Q8036" s="105"/>
    </row>
    <row r="8037" spans="3:17" x14ac:dyDescent="0.3">
      <c r="C8037" s="87"/>
      <c r="H8037" s="86" t="e">
        <f>IF(I8037="fora",0%,G8037/QUÓRUM!$C$6)</f>
        <v>#DIV/0!</v>
      </c>
      <c r="I8037" s="87"/>
      <c r="J8037" s="88"/>
      <c r="K8037" s="88"/>
      <c r="L8037" s="89"/>
      <c r="M8037" s="89"/>
      <c r="Q8037" s="105"/>
    </row>
    <row r="8038" spans="3:17" x14ac:dyDescent="0.3">
      <c r="C8038" s="87"/>
      <c r="H8038" s="86" t="e">
        <f>IF(I8038="fora",0%,G8038/QUÓRUM!$C$6)</f>
        <v>#DIV/0!</v>
      </c>
      <c r="I8038" s="87"/>
      <c r="J8038" s="88"/>
      <c r="K8038" s="88"/>
      <c r="L8038" s="89"/>
      <c r="M8038" s="89"/>
      <c r="Q8038" s="105"/>
    </row>
    <row r="8039" spans="3:17" x14ac:dyDescent="0.3">
      <c r="C8039" s="87"/>
      <c r="H8039" s="86" t="e">
        <f>IF(I8039="fora",0%,G8039/QUÓRUM!$C$6)</f>
        <v>#DIV/0!</v>
      </c>
      <c r="I8039" s="87"/>
      <c r="J8039" s="88"/>
      <c r="K8039" s="88"/>
      <c r="L8039" s="89"/>
      <c r="M8039" s="89"/>
      <c r="Q8039" s="105"/>
    </row>
    <row r="8040" spans="3:17" x14ac:dyDescent="0.3">
      <c r="C8040" s="87"/>
      <c r="H8040" s="86" t="e">
        <f>IF(I8040="fora",0%,G8040/QUÓRUM!$C$6)</f>
        <v>#DIV/0!</v>
      </c>
      <c r="I8040" s="87"/>
      <c r="J8040" s="88"/>
      <c r="K8040" s="88"/>
      <c r="L8040" s="89"/>
      <c r="M8040" s="89"/>
      <c r="Q8040" s="105"/>
    </row>
    <row r="8041" spans="3:17" x14ac:dyDescent="0.3">
      <c r="C8041" s="87"/>
      <c r="H8041" s="86" t="e">
        <f>IF(I8041="fora",0%,G8041/QUÓRUM!$C$6)</f>
        <v>#DIV/0!</v>
      </c>
      <c r="I8041" s="87"/>
      <c r="J8041" s="88"/>
      <c r="K8041" s="88"/>
      <c r="L8041" s="89"/>
      <c r="M8041" s="89"/>
      <c r="Q8041" s="105"/>
    </row>
    <row r="8042" spans="3:17" x14ac:dyDescent="0.3">
      <c r="C8042" s="87"/>
      <c r="H8042" s="86" t="e">
        <f>IF(I8042="fora",0%,G8042/QUÓRUM!$C$6)</f>
        <v>#DIV/0!</v>
      </c>
      <c r="I8042" s="87"/>
      <c r="J8042" s="88"/>
      <c r="K8042" s="88"/>
      <c r="L8042" s="89"/>
      <c r="M8042" s="89"/>
      <c r="Q8042" s="105"/>
    </row>
    <row r="8043" spans="3:17" x14ac:dyDescent="0.3">
      <c r="C8043" s="87"/>
      <c r="H8043" s="86" t="e">
        <f>IF(I8043="fora",0%,G8043/QUÓRUM!$C$6)</f>
        <v>#DIV/0!</v>
      </c>
      <c r="I8043" s="87"/>
      <c r="J8043" s="88"/>
      <c r="K8043" s="88"/>
      <c r="L8043" s="89"/>
      <c r="M8043" s="89"/>
      <c r="Q8043" s="105"/>
    </row>
    <row r="8044" spans="3:17" x14ac:dyDescent="0.3">
      <c r="C8044" s="87"/>
      <c r="H8044" s="86" t="e">
        <f>IF(I8044="fora",0%,G8044/QUÓRUM!$C$6)</f>
        <v>#DIV/0!</v>
      </c>
      <c r="I8044" s="87"/>
      <c r="J8044" s="88"/>
      <c r="K8044" s="88"/>
      <c r="L8044" s="89"/>
      <c r="M8044" s="89"/>
      <c r="Q8044" s="105"/>
    </row>
    <row r="8045" spans="3:17" x14ac:dyDescent="0.3">
      <c r="C8045" s="87"/>
      <c r="H8045" s="86" t="e">
        <f>IF(I8045="fora",0%,G8045/QUÓRUM!$C$6)</f>
        <v>#DIV/0!</v>
      </c>
      <c r="I8045" s="87"/>
      <c r="J8045" s="88"/>
      <c r="K8045" s="88"/>
      <c r="L8045" s="89"/>
      <c r="M8045" s="89"/>
      <c r="Q8045" s="105"/>
    </row>
    <row r="8046" spans="3:17" x14ac:dyDescent="0.3">
      <c r="C8046" s="87"/>
      <c r="H8046" s="86" t="e">
        <f>IF(I8046="fora",0%,G8046/QUÓRUM!$C$6)</f>
        <v>#DIV/0!</v>
      </c>
      <c r="I8046" s="87"/>
      <c r="J8046" s="88"/>
      <c r="K8046" s="88"/>
      <c r="L8046" s="89"/>
      <c r="M8046" s="89"/>
      <c r="Q8046" s="105"/>
    </row>
    <row r="8047" spans="3:17" x14ac:dyDescent="0.3">
      <c r="C8047" s="87"/>
      <c r="H8047" s="86" t="e">
        <f>IF(I8047="fora",0%,G8047/QUÓRUM!$C$6)</f>
        <v>#DIV/0!</v>
      </c>
      <c r="I8047" s="87"/>
      <c r="J8047" s="88"/>
      <c r="K8047" s="88"/>
      <c r="L8047" s="89"/>
      <c r="M8047" s="89"/>
      <c r="Q8047" s="105"/>
    </row>
    <row r="8048" spans="3:17" x14ac:dyDescent="0.3">
      <c r="C8048" s="87"/>
      <c r="H8048" s="86" t="e">
        <f>IF(I8048="fora",0%,G8048/QUÓRUM!$C$6)</f>
        <v>#DIV/0!</v>
      </c>
      <c r="I8048" s="87"/>
      <c r="J8048" s="88"/>
      <c r="K8048" s="88"/>
      <c r="L8048" s="89"/>
      <c r="M8048" s="89"/>
      <c r="Q8048" s="105"/>
    </row>
    <row r="8049" spans="3:17" x14ac:dyDescent="0.3">
      <c r="C8049" s="87"/>
      <c r="H8049" s="86" t="e">
        <f>IF(I8049="fora",0%,G8049/QUÓRUM!$C$6)</f>
        <v>#DIV/0!</v>
      </c>
      <c r="I8049" s="87"/>
      <c r="J8049" s="88"/>
      <c r="K8049" s="88"/>
      <c r="L8049" s="89"/>
      <c r="M8049" s="89"/>
      <c r="Q8049" s="105"/>
    </row>
    <row r="8050" spans="3:17" x14ac:dyDescent="0.3">
      <c r="C8050" s="87"/>
      <c r="H8050" s="86" t="e">
        <f>IF(I8050="fora",0%,G8050/QUÓRUM!$C$6)</f>
        <v>#DIV/0!</v>
      </c>
      <c r="I8050" s="87"/>
      <c r="J8050" s="88"/>
      <c r="K8050" s="88"/>
      <c r="L8050" s="89"/>
      <c r="M8050" s="89"/>
      <c r="Q8050" s="105"/>
    </row>
    <row r="8051" spans="3:17" x14ac:dyDescent="0.3">
      <c r="C8051" s="87"/>
      <c r="H8051" s="86" t="e">
        <f>IF(I8051="fora",0%,G8051/QUÓRUM!$C$6)</f>
        <v>#DIV/0!</v>
      </c>
      <c r="I8051" s="87"/>
      <c r="J8051" s="88"/>
      <c r="K8051" s="88"/>
      <c r="L8051" s="89"/>
      <c r="M8051" s="89"/>
      <c r="Q8051" s="105"/>
    </row>
    <row r="8052" spans="3:17" x14ac:dyDescent="0.3">
      <c r="C8052" s="87"/>
      <c r="H8052" s="86" t="e">
        <f>IF(I8052="fora",0%,G8052/QUÓRUM!$C$6)</f>
        <v>#DIV/0!</v>
      </c>
      <c r="I8052" s="87"/>
      <c r="J8052" s="88"/>
      <c r="K8052" s="88"/>
      <c r="L8052" s="89"/>
      <c r="M8052" s="89"/>
      <c r="Q8052" s="105"/>
    </row>
    <row r="8053" spans="3:17" x14ac:dyDescent="0.3">
      <c r="C8053" s="87"/>
      <c r="H8053" s="86" t="e">
        <f>IF(I8053="fora",0%,G8053/QUÓRUM!$C$6)</f>
        <v>#DIV/0!</v>
      </c>
      <c r="I8053" s="87"/>
      <c r="J8053" s="88"/>
      <c r="K8053" s="88"/>
      <c r="L8053" s="89"/>
      <c r="M8053" s="89"/>
      <c r="Q8053" s="105"/>
    </row>
    <row r="8054" spans="3:17" x14ac:dyDescent="0.3">
      <c r="C8054" s="87"/>
      <c r="H8054" s="86" t="e">
        <f>IF(I8054="fora",0%,G8054/QUÓRUM!$C$6)</f>
        <v>#DIV/0!</v>
      </c>
      <c r="I8054" s="87"/>
      <c r="J8054" s="88"/>
      <c r="K8054" s="88"/>
      <c r="L8054" s="89"/>
      <c r="M8054" s="89"/>
      <c r="Q8054" s="105"/>
    </row>
    <row r="8055" spans="3:17" x14ac:dyDescent="0.3">
      <c r="C8055" s="87"/>
      <c r="H8055" s="86" t="e">
        <f>IF(I8055="fora",0%,G8055/QUÓRUM!$C$6)</f>
        <v>#DIV/0!</v>
      </c>
      <c r="I8055" s="87"/>
      <c r="J8055" s="88"/>
      <c r="K8055" s="88"/>
      <c r="L8055" s="89"/>
      <c r="M8055" s="89"/>
      <c r="Q8055" s="105"/>
    </row>
    <row r="8056" spans="3:17" x14ac:dyDescent="0.3">
      <c r="C8056" s="87"/>
      <c r="H8056" s="86" t="e">
        <f>IF(I8056="fora",0%,G8056/QUÓRUM!$C$6)</f>
        <v>#DIV/0!</v>
      </c>
      <c r="I8056" s="87"/>
      <c r="J8056" s="88"/>
      <c r="K8056" s="88"/>
      <c r="L8056" s="89"/>
      <c r="M8056" s="89"/>
      <c r="Q8056" s="105"/>
    </row>
    <row r="8057" spans="3:17" x14ac:dyDescent="0.3">
      <c r="C8057" s="87"/>
      <c r="H8057" s="86" t="e">
        <f>IF(I8057="fora",0%,G8057/QUÓRUM!$C$6)</f>
        <v>#DIV/0!</v>
      </c>
      <c r="I8057" s="87"/>
      <c r="J8057" s="88"/>
      <c r="K8057" s="88"/>
      <c r="L8057" s="89"/>
      <c r="M8057" s="89"/>
      <c r="Q8057" s="105"/>
    </row>
    <row r="8058" spans="3:17" x14ac:dyDescent="0.3">
      <c r="C8058" s="87"/>
      <c r="H8058" s="86" t="e">
        <f>IF(I8058="fora",0%,G8058/QUÓRUM!$C$6)</f>
        <v>#DIV/0!</v>
      </c>
      <c r="I8058" s="87"/>
      <c r="J8058" s="88"/>
      <c r="K8058" s="88"/>
      <c r="L8058" s="89"/>
      <c r="M8058" s="89"/>
      <c r="Q8058" s="105"/>
    </row>
    <row r="8059" spans="3:17" x14ac:dyDescent="0.3">
      <c r="C8059" s="87"/>
      <c r="H8059" s="86" t="e">
        <f>IF(I8059="fora",0%,G8059/QUÓRUM!$C$6)</f>
        <v>#DIV/0!</v>
      </c>
      <c r="I8059" s="87"/>
      <c r="J8059" s="88"/>
      <c r="K8059" s="88"/>
      <c r="L8059" s="89"/>
      <c r="M8059" s="89"/>
      <c r="Q8059" s="105"/>
    </row>
    <row r="8060" spans="3:17" x14ac:dyDescent="0.3">
      <c r="C8060" s="87"/>
      <c r="H8060" s="86" t="e">
        <f>IF(I8060="fora",0%,G8060/QUÓRUM!$C$6)</f>
        <v>#DIV/0!</v>
      </c>
      <c r="I8060" s="87"/>
      <c r="J8060" s="88"/>
      <c r="K8060" s="88"/>
      <c r="L8060" s="89"/>
      <c r="M8060" s="89"/>
      <c r="Q8060" s="105"/>
    </row>
    <row r="8061" spans="3:17" x14ac:dyDescent="0.3">
      <c r="C8061" s="87"/>
      <c r="H8061" s="86" t="e">
        <f>IF(I8061="fora",0%,G8061/QUÓRUM!$C$6)</f>
        <v>#DIV/0!</v>
      </c>
      <c r="I8061" s="87"/>
      <c r="J8061" s="88"/>
      <c r="K8061" s="88"/>
      <c r="L8061" s="89"/>
      <c r="M8061" s="89"/>
      <c r="Q8061" s="105"/>
    </row>
    <row r="8062" spans="3:17" x14ac:dyDescent="0.3">
      <c r="C8062" s="87"/>
      <c r="H8062" s="86" t="e">
        <f>IF(I8062="fora",0%,G8062/QUÓRUM!$C$6)</f>
        <v>#DIV/0!</v>
      </c>
      <c r="I8062" s="87"/>
      <c r="J8062" s="88"/>
      <c r="K8062" s="88"/>
      <c r="L8062" s="89"/>
      <c r="M8062" s="89"/>
      <c r="Q8062" s="105"/>
    </row>
    <row r="8063" spans="3:17" x14ac:dyDescent="0.3">
      <c r="C8063" s="87"/>
      <c r="H8063" s="86" t="e">
        <f>IF(I8063="fora",0%,G8063/QUÓRUM!$C$6)</f>
        <v>#DIV/0!</v>
      </c>
      <c r="I8063" s="87"/>
      <c r="J8063" s="88"/>
      <c r="K8063" s="88"/>
      <c r="L8063" s="89"/>
      <c r="M8063" s="89"/>
      <c r="Q8063" s="105"/>
    </row>
    <row r="8064" spans="3:17" x14ac:dyDescent="0.3">
      <c r="C8064" s="87"/>
      <c r="H8064" s="86" t="e">
        <f>IF(I8064="fora",0%,G8064/QUÓRUM!$C$6)</f>
        <v>#DIV/0!</v>
      </c>
      <c r="I8064" s="87"/>
      <c r="J8064" s="88"/>
      <c r="K8064" s="88"/>
      <c r="L8064" s="89"/>
      <c r="M8064" s="89"/>
      <c r="Q8064" s="105"/>
    </row>
    <row r="8065" spans="3:17" x14ac:dyDescent="0.3">
      <c r="C8065" s="87"/>
      <c r="H8065" s="86" t="e">
        <f>IF(I8065="fora",0%,G8065/QUÓRUM!$C$6)</f>
        <v>#DIV/0!</v>
      </c>
      <c r="I8065" s="87"/>
      <c r="J8065" s="88"/>
      <c r="K8065" s="88"/>
      <c r="L8065" s="89"/>
      <c r="M8065" s="89"/>
      <c r="Q8065" s="105"/>
    </row>
    <row r="8066" spans="3:17" x14ac:dyDescent="0.3">
      <c r="C8066" s="87"/>
      <c r="H8066" s="86" t="e">
        <f>IF(I8066="fora",0%,G8066/QUÓRUM!$C$6)</f>
        <v>#DIV/0!</v>
      </c>
      <c r="I8066" s="87"/>
      <c r="J8066" s="88"/>
      <c r="K8066" s="88"/>
      <c r="L8066" s="89"/>
      <c r="M8066" s="89"/>
      <c r="Q8066" s="105"/>
    </row>
    <row r="8067" spans="3:17" x14ac:dyDescent="0.3">
      <c r="C8067" s="87"/>
      <c r="H8067" s="86" t="e">
        <f>IF(I8067="fora",0%,G8067/QUÓRUM!$C$6)</f>
        <v>#DIV/0!</v>
      </c>
      <c r="I8067" s="87"/>
      <c r="J8067" s="88"/>
      <c r="K8067" s="88"/>
      <c r="L8067" s="89"/>
      <c r="M8067" s="89"/>
      <c r="Q8067" s="105"/>
    </row>
    <row r="8068" spans="3:17" x14ac:dyDescent="0.3">
      <c r="C8068" s="87"/>
      <c r="H8068" s="86" t="e">
        <f>IF(I8068="fora",0%,G8068/QUÓRUM!$C$6)</f>
        <v>#DIV/0!</v>
      </c>
      <c r="I8068" s="87"/>
      <c r="J8068" s="88"/>
      <c r="K8068" s="88"/>
      <c r="L8068" s="89"/>
      <c r="M8068" s="89"/>
      <c r="Q8068" s="105"/>
    </row>
    <row r="8069" spans="3:17" x14ac:dyDescent="0.3">
      <c r="C8069" s="87"/>
      <c r="H8069" s="86" t="e">
        <f>IF(I8069="fora",0%,G8069/QUÓRUM!$C$6)</f>
        <v>#DIV/0!</v>
      </c>
      <c r="I8069" s="87"/>
      <c r="J8069" s="88"/>
      <c r="K8069" s="88"/>
      <c r="L8069" s="89"/>
      <c r="M8069" s="89"/>
      <c r="Q8069" s="105"/>
    </row>
    <row r="8070" spans="3:17" x14ac:dyDescent="0.3">
      <c r="C8070" s="87"/>
      <c r="H8070" s="86" t="e">
        <f>IF(I8070="fora",0%,G8070/QUÓRUM!$C$6)</f>
        <v>#DIV/0!</v>
      </c>
      <c r="I8070" s="87"/>
      <c r="J8070" s="88"/>
      <c r="K8070" s="88"/>
      <c r="L8070" s="89"/>
      <c r="M8070" s="89"/>
      <c r="Q8070" s="105"/>
    </row>
    <row r="8071" spans="3:17" x14ac:dyDescent="0.3">
      <c r="C8071" s="87"/>
      <c r="H8071" s="86" t="e">
        <f>IF(I8071="fora",0%,G8071/QUÓRUM!$C$6)</f>
        <v>#DIV/0!</v>
      </c>
      <c r="I8071" s="87"/>
      <c r="J8071" s="88"/>
      <c r="K8071" s="88"/>
      <c r="L8071" s="89"/>
      <c r="M8071" s="89"/>
      <c r="Q8071" s="105"/>
    </row>
    <row r="8072" spans="3:17" x14ac:dyDescent="0.3">
      <c r="C8072" s="87"/>
      <c r="H8072" s="86" t="e">
        <f>IF(I8072="fora",0%,G8072/QUÓRUM!$C$6)</f>
        <v>#DIV/0!</v>
      </c>
      <c r="I8072" s="87"/>
      <c r="J8072" s="88"/>
      <c r="K8072" s="88"/>
      <c r="L8072" s="89"/>
      <c r="M8072" s="89"/>
      <c r="Q8072" s="105"/>
    </row>
    <row r="8073" spans="3:17" x14ac:dyDescent="0.3">
      <c r="C8073" s="87"/>
      <c r="H8073" s="86" t="e">
        <f>IF(I8073="fora",0%,G8073/QUÓRUM!$C$6)</f>
        <v>#DIV/0!</v>
      </c>
      <c r="I8073" s="87"/>
      <c r="J8073" s="88"/>
      <c r="K8073" s="88"/>
      <c r="L8073" s="89"/>
      <c r="M8073" s="89"/>
      <c r="Q8073" s="105"/>
    </row>
    <row r="8074" spans="3:17" x14ac:dyDescent="0.3">
      <c r="C8074" s="87"/>
      <c r="H8074" s="86" t="e">
        <f>IF(I8074="fora",0%,G8074/QUÓRUM!$C$6)</f>
        <v>#DIV/0!</v>
      </c>
      <c r="I8074" s="87"/>
      <c r="J8074" s="88"/>
      <c r="K8074" s="88"/>
      <c r="L8074" s="89"/>
      <c r="M8074" s="89"/>
      <c r="Q8074" s="105"/>
    </row>
    <row r="8075" spans="3:17" x14ac:dyDescent="0.3">
      <c r="C8075" s="87"/>
      <c r="H8075" s="86" t="e">
        <f>IF(I8075="fora",0%,G8075/QUÓRUM!$C$6)</f>
        <v>#DIV/0!</v>
      </c>
      <c r="I8075" s="87"/>
      <c r="J8075" s="88"/>
      <c r="K8075" s="88"/>
      <c r="L8075" s="89"/>
      <c r="M8075" s="89"/>
      <c r="Q8075" s="105"/>
    </row>
    <row r="8076" spans="3:17" x14ac:dyDescent="0.3">
      <c r="C8076" s="87"/>
      <c r="H8076" s="86" t="e">
        <f>IF(I8076="fora",0%,G8076/QUÓRUM!$C$6)</f>
        <v>#DIV/0!</v>
      </c>
      <c r="I8076" s="87"/>
      <c r="J8076" s="88"/>
      <c r="K8076" s="88"/>
      <c r="L8076" s="89"/>
      <c r="M8076" s="89"/>
      <c r="Q8076" s="105"/>
    </row>
    <row r="8077" spans="3:17" x14ac:dyDescent="0.3">
      <c r="C8077" s="87"/>
      <c r="H8077" s="86" t="e">
        <f>IF(I8077="fora",0%,G8077/QUÓRUM!$C$6)</f>
        <v>#DIV/0!</v>
      </c>
      <c r="I8077" s="87"/>
      <c r="J8077" s="88"/>
      <c r="K8077" s="88"/>
      <c r="L8077" s="89"/>
      <c r="M8077" s="89"/>
      <c r="Q8077" s="105"/>
    </row>
    <row r="8078" spans="3:17" x14ac:dyDescent="0.3">
      <c r="C8078" s="87"/>
      <c r="H8078" s="86" t="e">
        <f>IF(I8078="fora",0%,G8078/QUÓRUM!$C$6)</f>
        <v>#DIV/0!</v>
      </c>
      <c r="I8078" s="87"/>
      <c r="J8078" s="88"/>
      <c r="K8078" s="88"/>
      <c r="L8078" s="89"/>
      <c r="M8078" s="89"/>
      <c r="Q8078" s="105"/>
    </row>
    <row r="8079" spans="3:17" x14ac:dyDescent="0.3">
      <c r="C8079" s="87"/>
      <c r="H8079" s="86" t="e">
        <f>IF(I8079="fora",0%,G8079/QUÓRUM!$C$6)</f>
        <v>#DIV/0!</v>
      </c>
      <c r="I8079" s="87"/>
      <c r="J8079" s="88"/>
      <c r="K8079" s="88"/>
      <c r="L8079" s="89"/>
      <c r="M8079" s="89"/>
      <c r="Q8079" s="105"/>
    </row>
    <row r="8080" spans="3:17" x14ac:dyDescent="0.3">
      <c r="C8080" s="87"/>
      <c r="H8080" s="86" t="e">
        <f>IF(I8080="fora",0%,G8080/QUÓRUM!$C$6)</f>
        <v>#DIV/0!</v>
      </c>
      <c r="I8080" s="87"/>
      <c r="J8080" s="88"/>
      <c r="K8080" s="88"/>
      <c r="L8080" s="89"/>
      <c r="M8080" s="89"/>
      <c r="Q8080" s="105"/>
    </row>
    <row r="8081" spans="3:17" x14ac:dyDescent="0.3">
      <c r="C8081" s="87"/>
      <c r="H8081" s="86" t="e">
        <f>IF(I8081="fora",0%,G8081/QUÓRUM!$C$6)</f>
        <v>#DIV/0!</v>
      </c>
      <c r="I8081" s="87"/>
      <c r="J8081" s="88"/>
      <c r="K8081" s="88"/>
      <c r="L8081" s="89"/>
      <c r="M8081" s="89"/>
      <c r="Q8081" s="105"/>
    </row>
    <row r="8082" spans="3:17" x14ac:dyDescent="0.3">
      <c r="C8082" s="87"/>
      <c r="H8082" s="86" t="e">
        <f>IF(I8082="fora",0%,G8082/QUÓRUM!$C$6)</f>
        <v>#DIV/0!</v>
      </c>
      <c r="I8082" s="87"/>
      <c r="J8082" s="88"/>
      <c r="K8082" s="88"/>
      <c r="L8082" s="89"/>
      <c r="M8082" s="89"/>
      <c r="Q8082" s="105"/>
    </row>
    <row r="8083" spans="3:17" x14ac:dyDescent="0.3">
      <c r="C8083" s="87"/>
      <c r="H8083" s="86" t="e">
        <f>IF(I8083="fora",0%,G8083/QUÓRUM!$C$6)</f>
        <v>#DIV/0!</v>
      </c>
      <c r="I8083" s="87"/>
      <c r="J8083" s="88"/>
      <c r="K8083" s="88"/>
      <c r="L8083" s="89"/>
      <c r="M8083" s="89"/>
      <c r="Q8083" s="105"/>
    </row>
    <row r="8084" spans="3:17" x14ac:dyDescent="0.3">
      <c r="C8084" s="87"/>
      <c r="H8084" s="86" t="e">
        <f>IF(I8084="fora",0%,G8084/QUÓRUM!$C$6)</f>
        <v>#DIV/0!</v>
      </c>
      <c r="I8084" s="87"/>
      <c r="J8084" s="88"/>
      <c r="K8084" s="88"/>
      <c r="L8084" s="89"/>
      <c r="M8084" s="89"/>
      <c r="Q8084" s="105"/>
    </row>
    <row r="8085" spans="3:17" x14ac:dyDescent="0.3">
      <c r="C8085" s="87"/>
      <c r="H8085" s="86" t="e">
        <f>IF(I8085="fora",0%,G8085/QUÓRUM!$C$6)</f>
        <v>#DIV/0!</v>
      </c>
      <c r="I8085" s="87"/>
      <c r="J8085" s="88"/>
      <c r="K8085" s="88"/>
      <c r="L8085" s="89"/>
      <c r="M8085" s="89"/>
      <c r="Q8085" s="105"/>
    </row>
    <row r="8086" spans="3:17" x14ac:dyDescent="0.3">
      <c r="C8086" s="87"/>
      <c r="H8086" s="86" t="e">
        <f>IF(I8086="fora",0%,G8086/QUÓRUM!$C$6)</f>
        <v>#DIV/0!</v>
      </c>
      <c r="I8086" s="87"/>
      <c r="J8086" s="88"/>
      <c r="K8086" s="88"/>
      <c r="L8086" s="89"/>
      <c r="M8086" s="89"/>
      <c r="Q8086" s="105"/>
    </row>
    <row r="8087" spans="3:17" x14ac:dyDescent="0.3">
      <c r="C8087" s="87"/>
      <c r="H8087" s="86" t="e">
        <f>IF(I8087="fora",0%,G8087/QUÓRUM!$C$6)</f>
        <v>#DIV/0!</v>
      </c>
      <c r="I8087" s="87"/>
      <c r="J8087" s="88"/>
      <c r="K8087" s="88"/>
      <c r="L8087" s="89"/>
      <c r="M8087" s="89"/>
      <c r="Q8087" s="105"/>
    </row>
    <row r="8088" spans="3:17" x14ac:dyDescent="0.3">
      <c r="C8088" s="87"/>
      <c r="H8088" s="86" t="e">
        <f>IF(I8088="fora",0%,G8088/QUÓRUM!$C$6)</f>
        <v>#DIV/0!</v>
      </c>
      <c r="I8088" s="87"/>
      <c r="J8088" s="88"/>
      <c r="K8088" s="88"/>
      <c r="L8088" s="89"/>
      <c r="M8088" s="89"/>
      <c r="Q8088" s="105"/>
    </row>
    <row r="8089" spans="3:17" x14ac:dyDescent="0.3">
      <c r="C8089" s="87"/>
      <c r="H8089" s="86" t="e">
        <f>IF(I8089="fora",0%,G8089/QUÓRUM!$C$6)</f>
        <v>#DIV/0!</v>
      </c>
      <c r="I8089" s="87"/>
      <c r="J8089" s="88"/>
      <c r="K8089" s="88"/>
      <c r="L8089" s="89"/>
      <c r="M8089" s="89"/>
      <c r="Q8089" s="105"/>
    </row>
    <row r="8090" spans="3:17" x14ac:dyDescent="0.3">
      <c r="C8090" s="87"/>
      <c r="H8090" s="86" t="e">
        <f>IF(I8090="fora",0%,G8090/QUÓRUM!$C$6)</f>
        <v>#DIV/0!</v>
      </c>
      <c r="I8090" s="87"/>
      <c r="J8090" s="88"/>
      <c r="K8090" s="88"/>
      <c r="L8090" s="89"/>
      <c r="M8090" s="89"/>
      <c r="Q8090" s="105"/>
    </row>
    <row r="8091" spans="3:17" x14ac:dyDescent="0.3">
      <c r="C8091" s="87"/>
      <c r="H8091" s="86" t="e">
        <f>IF(I8091="fora",0%,G8091/QUÓRUM!$C$6)</f>
        <v>#DIV/0!</v>
      </c>
      <c r="I8091" s="87"/>
      <c r="J8091" s="88"/>
      <c r="K8091" s="88"/>
      <c r="L8091" s="89"/>
      <c r="M8091" s="89"/>
      <c r="Q8091" s="105"/>
    </row>
    <row r="8092" spans="3:17" x14ac:dyDescent="0.3">
      <c r="C8092" s="87"/>
      <c r="H8092" s="86" t="e">
        <f>IF(I8092="fora",0%,G8092/QUÓRUM!$C$6)</f>
        <v>#DIV/0!</v>
      </c>
      <c r="I8092" s="87"/>
      <c r="J8092" s="88"/>
      <c r="K8092" s="88"/>
      <c r="L8092" s="89"/>
      <c r="M8092" s="89"/>
      <c r="Q8092" s="105"/>
    </row>
    <row r="8093" spans="3:17" x14ac:dyDescent="0.3">
      <c r="C8093" s="87"/>
      <c r="H8093" s="86" t="e">
        <f>IF(I8093="fora",0%,G8093/QUÓRUM!$C$6)</f>
        <v>#DIV/0!</v>
      </c>
      <c r="I8093" s="87"/>
      <c r="J8093" s="88"/>
      <c r="K8093" s="88"/>
      <c r="L8093" s="89"/>
      <c r="M8093" s="89"/>
      <c r="Q8093" s="105"/>
    </row>
    <row r="8094" spans="3:17" x14ac:dyDescent="0.3">
      <c r="C8094" s="87"/>
      <c r="H8094" s="86" t="e">
        <f>IF(I8094="fora",0%,G8094/QUÓRUM!$C$6)</f>
        <v>#DIV/0!</v>
      </c>
      <c r="I8094" s="87"/>
      <c r="J8094" s="88"/>
      <c r="K8094" s="88"/>
      <c r="L8094" s="89"/>
      <c r="M8094" s="89"/>
      <c r="Q8094" s="105"/>
    </row>
    <row r="8095" spans="3:17" x14ac:dyDescent="0.3">
      <c r="C8095" s="87"/>
      <c r="H8095" s="86" t="e">
        <f>IF(I8095="fora",0%,G8095/QUÓRUM!$C$6)</f>
        <v>#DIV/0!</v>
      </c>
      <c r="I8095" s="87"/>
      <c r="J8095" s="88"/>
      <c r="K8095" s="88"/>
      <c r="L8095" s="89"/>
      <c r="M8095" s="89"/>
      <c r="Q8095" s="105"/>
    </row>
    <row r="8096" spans="3:17" x14ac:dyDescent="0.3">
      <c r="C8096" s="87"/>
      <c r="H8096" s="86" t="e">
        <f>IF(I8096="fora",0%,G8096/QUÓRUM!$C$6)</f>
        <v>#DIV/0!</v>
      </c>
      <c r="I8096" s="87"/>
      <c r="J8096" s="88"/>
      <c r="K8096" s="88"/>
      <c r="L8096" s="89"/>
      <c r="M8096" s="89"/>
      <c r="Q8096" s="105"/>
    </row>
    <row r="8097" spans="3:17" x14ac:dyDescent="0.3">
      <c r="C8097" s="87"/>
      <c r="H8097" s="86" t="e">
        <f>IF(I8097="fora",0%,G8097/QUÓRUM!$C$6)</f>
        <v>#DIV/0!</v>
      </c>
      <c r="I8097" s="87"/>
      <c r="J8097" s="88"/>
      <c r="K8097" s="88"/>
      <c r="L8097" s="89"/>
      <c r="M8097" s="89"/>
      <c r="Q8097" s="105"/>
    </row>
    <row r="8098" spans="3:17" x14ac:dyDescent="0.3">
      <c r="C8098" s="87"/>
      <c r="H8098" s="86" t="e">
        <f>IF(I8098="fora",0%,G8098/QUÓRUM!$C$6)</f>
        <v>#DIV/0!</v>
      </c>
      <c r="I8098" s="87"/>
      <c r="J8098" s="88"/>
      <c r="K8098" s="88"/>
      <c r="L8098" s="89"/>
      <c r="M8098" s="89"/>
      <c r="Q8098" s="105"/>
    </row>
    <row r="8099" spans="3:17" x14ac:dyDescent="0.3">
      <c r="C8099" s="87"/>
      <c r="H8099" s="86" t="e">
        <f>IF(I8099="fora",0%,G8099/QUÓRUM!$C$6)</f>
        <v>#DIV/0!</v>
      </c>
      <c r="I8099" s="87"/>
      <c r="J8099" s="88"/>
      <c r="K8099" s="88"/>
      <c r="L8099" s="89"/>
      <c r="M8099" s="89"/>
      <c r="Q8099" s="105"/>
    </row>
    <row r="8100" spans="3:17" x14ac:dyDescent="0.3">
      <c r="C8100" s="87"/>
      <c r="H8100" s="86" t="e">
        <f>IF(I8100="fora",0%,G8100/QUÓRUM!$C$6)</f>
        <v>#DIV/0!</v>
      </c>
      <c r="I8100" s="87"/>
      <c r="J8100" s="88"/>
      <c r="K8100" s="88"/>
      <c r="L8100" s="89"/>
      <c r="M8100" s="89"/>
      <c r="Q8100" s="105"/>
    </row>
    <row r="8101" spans="3:17" x14ac:dyDescent="0.3">
      <c r="C8101" s="87"/>
      <c r="H8101" s="86" t="e">
        <f>IF(I8101="fora",0%,G8101/QUÓRUM!$C$6)</f>
        <v>#DIV/0!</v>
      </c>
      <c r="I8101" s="87"/>
      <c r="J8101" s="88"/>
      <c r="K8101" s="88"/>
      <c r="L8101" s="89"/>
      <c r="M8101" s="89"/>
      <c r="Q8101" s="105"/>
    </row>
    <row r="8102" spans="3:17" x14ac:dyDescent="0.3">
      <c r="C8102" s="87"/>
      <c r="H8102" s="86" t="e">
        <f>IF(I8102="fora",0%,G8102/QUÓRUM!$C$6)</f>
        <v>#DIV/0!</v>
      </c>
      <c r="I8102" s="87"/>
      <c r="J8102" s="88"/>
      <c r="K8102" s="88"/>
      <c r="L8102" s="89"/>
      <c r="M8102" s="89"/>
      <c r="Q8102" s="105"/>
    </row>
    <row r="8103" spans="3:17" x14ac:dyDescent="0.3">
      <c r="C8103" s="87"/>
      <c r="H8103" s="86" t="e">
        <f>IF(I8103="fora",0%,G8103/QUÓRUM!$C$6)</f>
        <v>#DIV/0!</v>
      </c>
      <c r="I8103" s="87"/>
      <c r="J8103" s="88"/>
      <c r="K8103" s="88"/>
      <c r="L8103" s="89"/>
      <c r="M8103" s="89"/>
      <c r="Q8103" s="105"/>
    </row>
    <row r="8104" spans="3:17" x14ac:dyDescent="0.3">
      <c r="C8104" s="87"/>
      <c r="H8104" s="86" t="e">
        <f>IF(I8104="fora",0%,G8104/QUÓRUM!$C$6)</f>
        <v>#DIV/0!</v>
      </c>
      <c r="I8104" s="87"/>
      <c r="J8104" s="88"/>
      <c r="K8104" s="88"/>
      <c r="L8104" s="89"/>
      <c r="M8104" s="89"/>
      <c r="Q8104" s="105"/>
    </row>
    <row r="8105" spans="3:17" x14ac:dyDescent="0.3">
      <c r="C8105" s="87"/>
      <c r="H8105" s="86" t="e">
        <f>IF(I8105="fora",0%,G8105/QUÓRUM!$C$6)</f>
        <v>#DIV/0!</v>
      </c>
      <c r="I8105" s="87"/>
      <c r="J8105" s="88"/>
      <c r="K8105" s="88"/>
      <c r="L8105" s="89"/>
      <c r="M8105" s="89"/>
      <c r="Q8105" s="105"/>
    </row>
    <row r="8106" spans="3:17" x14ac:dyDescent="0.3">
      <c r="C8106" s="87"/>
      <c r="H8106" s="86" t="e">
        <f>IF(I8106="fora",0%,G8106/QUÓRUM!$C$6)</f>
        <v>#DIV/0!</v>
      </c>
      <c r="I8106" s="87"/>
      <c r="J8106" s="88"/>
      <c r="K8106" s="88"/>
      <c r="L8106" s="89"/>
      <c r="M8106" s="89"/>
      <c r="Q8106" s="105"/>
    </row>
    <row r="8107" spans="3:17" x14ac:dyDescent="0.3">
      <c r="C8107" s="87"/>
      <c r="H8107" s="86" t="e">
        <f>IF(I8107="fora",0%,G8107/QUÓRUM!$C$6)</f>
        <v>#DIV/0!</v>
      </c>
      <c r="I8107" s="87"/>
      <c r="J8107" s="88"/>
      <c r="K8107" s="88"/>
      <c r="L8107" s="89"/>
      <c r="M8107" s="89"/>
      <c r="Q8107" s="105"/>
    </row>
    <row r="8108" spans="3:17" x14ac:dyDescent="0.3">
      <c r="C8108" s="87"/>
      <c r="H8108" s="86" t="e">
        <f>IF(I8108="fora",0%,G8108/QUÓRUM!$C$6)</f>
        <v>#DIV/0!</v>
      </c>
      <c r="I8108" s="87"/>
      <c r="J8108" s="88"/>
      <c r="K8108" s="88"/>
      <c r="L8108" s="89"/>
      <c r="M8108" s="89"/>
      <c r="Q8108" s="105"/>
    </row>
    <row r="8109" spans="3:17" x14ac:dyDescent="0.3">
      <c r="C8109" s="87"/>
      <c r="H8109" s="86" t="e">
        <f>IF(I8109="fora",0%,G8109/QUÓRUM!$C$6)</f>
        <v>#DIV/0!</v>
      </c>
      <c r="I8109" s="87"/>
      <c r="J8109" s="88"/>
      <c r="K8109" s="88"/>
      <c r="L8109" s="89"/>
      <c r="M8109" s="89"/>
      <c r="Q8109" s="105"/>
    </row>
    <row r="8110" spans="3:17" x14ac:dyDescent="0.3">
      <c r="C8110" s="87"/>
      <c r="H8110" s="86" t="e">
        <f>IF(I8110="fora",0%,G8110/QUÓRUM!$C$6)</f>
        <v>#DIV/0!</v>
      </c>
      <c r="I8110" s="87"/>
      <c r="J8110" s="88"/>
      <c r="K8110" s="88"/>
      <c r="L8110" s="89"/>
      <c r="M8110" s="89"/>
      <c r="Q8110" s="105"/>
    </row>
    <row r="8111" spans="3:17" x14ac:dyDescent="0.3">
      <c r="C8111" s="87"/>
      <c r="H8111" s="86" t="e">
        <f>IF(I8111="fora",0%,G8111/QUÓRUM!$C$6)</f>
        <v>#DIV/0!</v>
      </c>
      <c r="I8111" s="87"/>
      <c r="J8111" s="88"/>
      <c r="K8111" s="88"/>
      <c r="L8111" s="89"/>
      <c r="M8111" s="89"/>
      <c r="Q8111" s="105"/>
    </row>
    <row r="8112" spans="3:17" x14ac:dyDescent="0.3">
      <c r="C8112" s="87"/>
      <c r="H8112" s="86" t="e">
        <f>IF(I8112="fora",0%,G8112/QUÓRUM!$C$6)</f>
        <v>#DIV/0!</v>
      </c>
      <c r="I8112" s="87"/>
      <c r="J8112" s="88"/>
      <c r="K8112" s="88"/>
      <c r="L8112" s="89"/>
      <c r="M8112" s="89"/>
      <c r="Q8112" s="105"/>
    </row>
    <row r="8113" spans="3:17" x14ac:dyDescent="0.3">
      <c r="C8113" s="87"/>
      <c r="H8113" s="86" t="e">
        <f>IF(I8113="fora",0%,G8113/QUÓRUM!$C$6)</f>
        <v>#DIV/0!</v>
      </c>
      <c r="I8113" s="87"/>
      <c r="J8113" s="88"/>
      <c r="K8113" s="88"/>
      <c r="L8113" s="89"/>
      <c r="M8113" s="89"/>
      <c r="Q8113" s="105"/>
    </row>
    <row r="8114" spans="3:17" x14ac:dyDescent="0.3">
      <c r="C8114" s="87"/>
      <c r="H8114" s="86" t="e">
        <f>IF(I8114="fora",0%,G8114/QUÓRUM!$C$6)</f>
        <v>#DIV/0!</v>
      </c>
      <c r="I8114" s="87"/>
      <c r="J8114" s="88"/>
      <c r="K8114" s="88"/>
      <c r="L8114" s="89"/>
      <c r="M8114" s="89"/>
      <c r="Q8114" s="105"/>
    </row>
    <row r="8115" spans="3:17" x14ac:dyDescent="0.3">
      <c r="C8115" s="87"/>
      <c r="H8115" s="86" t="e">
        <f>IF(I8115="fora",0%,G8115/QUÓRUM!$C$6)</f>
        <v>#DIV/0!</v>
      </c>
      <c r="I8115" s="87"/>
      <c r="J8115" s="88"/>
      <c r="K8115" s="88"/>
      <c r="L8115" s="89"/>
      <c r="M8115" s="89"/>
      <c r="Q8115" s="105"/>
    </row>
    <row r="8116" spans="3:17" x14ac:dyDescent="0.3">
      <c r="C8116" s="87"/>
      <c r="H8116" s="86" t="e">
        <f>IF(I8116="fora",0%,G8116/QUÓRUM!$C$6)</f>
        <v>#DIV/0!</v>
      </c>
      <c r="I8116" s="87"/>
      <c r="J8116" s="88"/>
      <c r="K8116" s="88"/>
      <c r="L8116" s="89"/>
      <c r="M8116" s="89"/>
      <c r="Q8116" s="105"/>
    </row>
    <row r="8117" spans="3:17" x14ac:dyDescent="0.3">
      <c r="C8117" s="87"/>
      <c r="H8117" s="86" t="e">
        <f>IF(I8117="fora",0%,G8117/QUÓRUM!$C$6)</f>
        <v>#DIV/0!</v>
      </c>
      <c r="I8117" s="87"/>
      <c r="J8117" s="88"/>
      <c r="K8117" s="88"/>
      <c r="L8117" s="89"/>
      <c r="M8117" s="89"/>
      <c r="Q8117" s="105"/>
    </row>
    <row r="8118" spans="3:17" x14ac:dyDescent="0.3">
      <c r="C8118" s="87"/>
      <c r="H8118" s="86" t="e">
        <f>IF(I8118="fora",0%,G8118/QUÓRUM!$C$6)</f>
        <v>#DIV/0!</v>
      </c>
      <c r="I8118" s="87"/>
      <c r="J8118" s="88"/>
      <c r="K8118" s="88"/>
      <c r="L8118" s="89"/>
      <c r="M8118" s="89"/>
      <c r="Q8118" s="105"/>
    </row>
    <row r="8119" spans="3:17" x14ac:dyDescent="0.3">
      <c r="C8119" s="87"/>
      <c r="H8119" s="86" t="e">
        <f>IF(I8119="fora",0%,G8119/QUÓRUM!$C$6)</f>
        <v>#DIV/0!</v>
      </c>
      <c r="I8119" s="87"/>
      <c r="J8119" s="88"/>
      <c r="K8119" s="88"/>
      <c r="L8119" s="89"/>
      <c r="M8119" s="89"/>
      <c r="Q8119" s="105"/>
    </row>
    <row r="8120" spans="3:17" x14ac:dyDescent="0.3">
      <c r="C8120" s="87"/>
      <c r="H8120" s="86" t="e">
        <f>IF(I8120="fora",0%,G8120/QUÓRUM!$C$6)</f>
        <v>#DIV/0!</v>
      </c>
      <c r="I8120" s="87"/>
      <c r="J8120" s="88"/>
      <c r="K8120" s="88"/>
      <c r="L8120" s="89"/>
      <c r="M8120" s="89"/>
      <c r="Q8120" s="105"/>
    </row>
    <row r="8121" spans="3:17" x14ac:dyDescent="0.3">
      <c r="C8121" s="87"/>
      <c r="H8121" s="86" t="e">
        <f>IF(I8121="fora",0%,G8121/QUÓRUM!$C$6)</f>
        <v>#DIV/0!</v>
      </c>
      <c r="I8121" s="87"/>
      <c r="J8121" s="88"/>
      <c r="K8121" s="88"/>
      <c r="L8121" s="89"/>
      <c r="M8121" s="89"/>
      <c r="Q8121" s="105"/>
    </row>
    <row r="8122" spans="3:17" x14ac:dyDescent="0.3">
      <c r="C8122" s="87"/>
      <c r="H8122" s="86" t="e">
        <f>IF(I8122="fora",0%,G8122/QUÓRUM!$C$6)</f>
        <v>#DIV/0!</v>
      </c>
      <c r="I8122" s="87"/>
      <c r="J8122" s="88"/>
      <c r="K8122" s="88"/>
      <c r="L8122" s="89"/>
      <c r="M8122" s="89"/>
      <c r="Q8122" s="105"/>
    </row>
    <row r="8123" spans="3:17" x14ac:dyDescent="0.3">
      <c r="C8123" s="87"/>
      <c r="H8123" s="86" t="e">
        <f>IF(I8123="fora",0%,G8123/QUÓRUM!$C$6)</f>
        <v>#DIV/0!</v>
      </c>
      <c r="I8123" s="87"/>
      <c r="J8123" s="88"/>
      <c r="K8123" s="88"/>
      <c r="L8123" s="89"/>
      <c r="M8123" s="89"/>
      <c r="Q8123" s="105"/>
    </row>
    <row r="8124" spans="3:17" x14ac:dyDescent="0.3">
      <c r="C8124" s="87"/>
      <c r="H8124" s="86" t="e">
        <f>IF(I8124="fora",0%,G8124/QUÓRUM!$C$6)</f>
        <v>#DIV/0!</v>
      </c>
      <c r="I8124" s="87"/>
      <c r="J8124" s="88"/>
      <c r="K8124" s="88"/>
      <c r="L8124" s="89"/>
      <c r="M8124" s="89"/>
      <c r="Q8124" s="105"/>
    </row>
    <row r="8125" spans="3:17" x14ac:dyDescent="0.3">
      <c r="C8125" s="87"/>
      <c r="H8125" s="86" t="e">
        <f>IF(I8125="fora",0%,G8125/QUÓRUM!$C$6)</f>
        <v>#DIV/0!</v>
      </c>
      <c r="I8125" s="87"/>
      <c r="J8125" s="88"/>
      <c r="K8125" s="88"/>
      <c r="L8125" s="89"/>
      <c r="M8125" s="89"/>
      <c r="Q8125" s="105"/>
    </row>
    <row r="8126" spans="3:17" x14ac:dyDescent="0.3">
      <c r="C8126" s="87"/>
      <c r="H8126" s="86" t="e">
        <f>IF(I8126="fora",0%,G8126/QUÓRUM!$C$6)</f>
        <v>#DIV/0!</v>
      </c>
      <c r="I8126" s="87"/>
      <c r="J8126" s="88"/>
      <c r="K8126" s="88"/>
      <c r="L8126" s="89"/>
      <c r="M8126" s="89"/>
      <c r="Q8126" s="105"/>
    </row>
    <row r="8127" spans="3:17" x14ac:dyDescent="0.3">
      <c r="C8127" s="87"/>
      <c r="H8127" s="86" t="e">
        <f>IF(I8127="fora",0%,G8127/QUÓRUM!$C$6)</f>
        <v>#DIV/0!</v>
      </c>
      <c r="I8127" s="87"/>
      <c r="J8127" s="88"/>
      <c r="K8127" s="88"/>
      <c r="L8127" s="89"/>
      <c r="M8127" s="89"/>
      <c r="Q8127" s="105"/>
    </row>
    <row r="8128" spans="3:17" x14ac:dyDescent="0.3">
      <c r="C8128" s="87"/>
      <c r="H8128" s="86" t="e">
        <f>IF(I8128="fora",0%,G8128/QUÓRUM!$C$6)</f>
        <v>#DIV/0!</v>
      </c>
      <c r="I8128" s="87"/>
      <c r="J8128" s="88"/>
      <c r="K8128" s="88"/>
      <c r="L8128" s="89"/>
      <c r="M8128" s="89"/>
      <c r="Q8128" s="105"/>
    </row>
    <row r="8129" spans="3:17" x14ac:dyDescent="0.3">
      <c r="C8129" s="87"/>
      <c r="H8129" s="86" t="e">
        <f>IF(I8129="fora",0%,G8129/QUÓRUM!$C$6)</f>
        <v>#DIV/0!</v>
      </c>
      <c r="I8129" s="87"/>
      <c r="J8129" s="88"/>
      <c r="K8129" s="88"/>
      <c r="L8129" s="89"/>
      <c r="M8129" s="89"/>
      <c r="Q8129" s="105"/>
    </row>
    <row r="8130" spans="3:17" x14ac:dyDescent="0.3">
      <c r="C8130" s="87"/>
      <c r="H8130" s="86" t="e">
        <f>IF(I8130="fora",0%,G8130/QUÓRUM!$C$6)</f>
        <v>#DIV/0!</v>
      </c>
      <c r="I8130" s="87"/>
      <c r="J8130" s="88"/>
      <c r="K8130" s="88"/>
      <c r="L8130" s="89"/>
      <c r="M8130" s="89"/>
      <c r="Q8130" s="105"/>
    </row>
    <row r="8131" spans="3:17" x14ac:dyDescent="0.3">
      <c r="C8131" s="87"/>
      <c r="H8131" s="86" t="e">
        <f>IF(I8131="fora",0%,G8131/QUÓRUM!$C$6)</f>
        <v>#DIV/0!</v>
      </c>
      <c r="I8131" s="87"/>
      <c r="J8131" s="88"/>
      <c r="K8131" s="88"/>
      <c r="L8131" s="89"/>
      <c r="M8131" s="89"/>
      <c r="Q8131" s="105"/>
    </row>
    <row r="8132" spans="3:17" x14ac:dyDescent="0.3">
      <c r="C8132" s="87"/>
      <c r="H8132" s="86" t="e">
        <f>IF(I8132="fora",0%,G8132/QUÓRUM!$C$6)</f>
        <v>#DIV/0!</v>
      </c>
      <c r="I8132" s="87"/>
      <c r="J8132" s="88"/>
      <c r="K8132" s="88"/>
      <c r="L8132" s="89"/>
      <c r="M8132" s="89"/>
      <c r="Q8132" s="105"/>
    </row>
    <row r="8133" spans="3:17" x14ac:dyDescent="0.3">
      <c r="C8133" s="87"/>
      <c r="H8133" s="86" t="e">
        <f>IF(I8133="fora",0%,G8133/QUÓRUM!$C$6)</f>
        <v>#DIV/0!</v>
      </c>
      <c r="I8133" s="87"/>
      <c r="J8133" s="88"/>
      <c r="K8133" s="88"/>
      <c r="L8133" s="89"/>
      <c r="M8133" s="89"/>
      <c r="Q8133" s="105"/>
    </row>
    <row r="8134" spans="3:17" x14ac:dyDescent="0.3">
      <c r="C8134" s="87"/>
      <c r="H8134" s="86" t="e">
        <f>IF(I8134="fora",0%,G8134/QUÓRUM!$C$6)</f>
        <v>#DIV/0!</v>
      </c>
      <c r="I8134" s="87"/>
      <c r="J8134" s="88"/>
      <c r="K8134" s="88"/>
      <c r="L8134" s="89"/>
      <c r="M8134" s="89"/>
      <c r="Q8134" s="105"/>
    </row>
    <row r="8135" spans="3:17" x14ac:dyDescent="0.3">
      <c r="C8135" s="87"/>
      <c r="H8135" s="86" t="e">
        <f>IF(I8135="fora",0%,G8135/QUÓRUM!$C$6)</f>
        <v>#DIV/0!</v>
      </c>
      <c r="I8135" s="87"/>
      <c r="J8135" s="88"/>
      <c r="K8135" s="88"/>
      <c r="L8135" s="89"/>
      <c r="M8135" s="89"/>
      <c r="Q8135" s="105"/>
    </row>
    <row r="8136" spans="3:17" x14ac:dyDescent="0.3">
      <c r="C8136" s="87"/>
      <c r="H8136" s="86" t="e">
        <f>IF(I8136="fora",0%,G8136/QUÓRUM!$C$6)</f>
        <v>#DIV/0!</v>
      </c>
      <c r="I8136" s="87"/>
      <c r="J8136" s="88"/>
      <c r="K8136" s="88"/>
      <c r="L8136" s="89"/>
      <c r="M8136" s="89"/>
      <c r="Q8136" s="105"/>
    </row>
    <row r="8137" spans="3:17" x14ac:dyDescent="0.3">
      <c r="C8137" s="87"/>
      <c r="H8137" s="86" t="e">
        <f>IF(I8137="fora",0%,G8137/QUÓRUM!$C$6)</f>
        <v>#DIV/0!</v>
      </c>
      <c r="I8137" s="87"/>
      <c r="J8137" s="88"/>
      <c r="K8137" s="88"/>
      <c r="L8137" s="89"/>
      <c r="M8137" s="89"/>
      <c r="Q8137" s="105"/>
    </row>
    <row r="8138" spans="3:17" x14ac:dyDescent="0.3">
      <c r="C8138" s="87"/>
      <c r="H8138" s="86" t="e">
        <f>IF(I8138="fora",0%,G8138/QUÓRUM!$C$6)</f>
        <v>#DIV/0!</v>
      </c>
      <c r="I8138" s="87"/>
      <c r="J8138" s="88"/>
      <c r="K8138" s="88"/>
      <c r="L8138" s="89"/>
      <c r="M8138" s="89"/>
      <c r="Q8138" s="105"/>
    </row>
    <row r="8139" spans="3:17" x14ac:dyDescent="0.3">
      <c r="C8139" s="87"/>
      <c r="H8139" s="86" t="e">
        <f>IF(I8139="fora",0%,G8139/QUÓRUM!$C$6)</f>
        <v>#DIV/0!</v>
      </c>
      <c r="I8139" s="87"/>
      <c r="J8139" s="88"/>
      <c r="K8139" s="88"/>
      <c r="L8139" s="89"/>
      <c r="M8139" s="89"/>
      <c r="Q8139" s="105"/>
    </row>
    <row r="8140" spans="3:17" x14ac:dyDescent="0.3">
      <c r="C8140" s="87"/>
      <c r="H8140" s="86" t="e">
        <f>IF(I8140="fora",0%,G8140/QUÓRUM!$C$6)</f>
        <v>#DIV/0!</v>
      </c>
      <c r="I8140" s="87"/>
      <c r="J8140" s="88"/>
      <c r="K8140" s="88"/>
      <c r="L8140" s="89"/>
      <c r="M8140" s="89"/>
      <c r="Q8140" s="105"/>
    </row>
    <row r="8141" spans="3:17" x14ac:dyDescent="0.3">
      <c r="C8141" s="87"/>
      <c r="H8141" s="86" t="e">
        <f>IF(I8141="fora",0%,G8141/QUÓRUM!$C$6)</f>
        <v>#DIV/0!</v>
      </c>
      <c r="I8141" s="87"/>
      <c r="J8141" s="88"/>
      <c r="K8141" s="88"/>
      <c r="L8141" s="89"/>
      <c r="M8141" s="89"/>
      <c r="Q8141" s="105"/>
    </row>
    <row r="8142" spans="3:17" x14ac:dyDescent="0.3">
      <c r="C8142" s="87"/>
      <c r="H8142" s="86" t="e">
        <f>IF(I8142="fora",0%,G8142/QUÓRUM!$C$6)</f>
        <v>#DIV/0!</v>
      </c>
      <c r="I8142" s="87"/>
      <c r="J8142" s="88"/>
      <c r="K8142" s="88"/>
      <c r="L8142" s="89"/>
      <c r="M8142" s="89"/>
      <c r="Q8142" s="105"/>
    </row>
    <row r="8143" spans="3:17" x14ac:dyDescent="0.3">
      <c r="C8143" s="87"/>
      <c r="H8143" s="86" t="e">
        <f>IF(I8143="fora",0%,G8143/QUÓRUM!$C$6)</f>
        <v>#DIV/0!</v>
      </c>
      <c r="I8143" s="87"/>
      <c r="J8143" s="88"/>
      <c r="K8143" s="88"/>
      <c r="L8143" s="89"/>
      <c r="M8143" s="89"/>
      <c r="Q8143" s="105"/>
    </row>
    <row r="8144" spans="3:17" x14ac:dyDescent="0.3">
      <c r="C8144" s="87"/>
      <c r="H8144" s="86" t="e">
        <f>IF(I8144="fora",0%,G8144/QUÓRUM!$C$6)</f>
        <v>#DIV/0!</v>
      </c>
      <c r="I8144" s="87"/>
      <c r="J8144" s="88"/>
      <c r="K8144" s="88"/>
      <c r="L8144" s="89"/>
      <c r="M8144" s="89"/>
      <c r="Q8144" s="105"/>
    </row>
    <row r="8145" spans="3:17" x14ac:dyDescent="0.3">
      <c r="C8145" s="87"/>
      <c r="H8145" s="86" t="e">
        <f>IF(I8145="fora",0%,G8145/QUÓRUM!$C$6)</f>
        <v>#DIV/0!</v>
      </c>
      <c r="I8145" s="87"/>
      <c r="J8145" s="88"/>
      <c r="K8145" s="88"/>
      <c r="L8145" s="89"/>
      <c r="M8145" s="89"/>
      <c r="Q8145" s="105"/>
    </row>
    <row r="8146" spans="3:17" x14ac:dyDescent="0.3">
      <c r="C8146" s="87"/>
      <c r="H8146" s="86" t="e">
        <f>IF(I8146="fora",0%,G8146/QUÓRUM!$C$6)</f>
        <v>#DIV/0!</v>
      </c>
      <c r="I8146" s="87"/>
      <c r="J8146" s="88"/>
      <c r="K8146" s="88"/>
      <c r="L8146" s="89"/>
      <c r="M8146" s="89"/>
      <c r="Q8146" s="105"/>
    </row>
    <row r="8147" spans="3:17" x14ac:dyDescent="0.3">
      <c r="C8147" s="87"/>
      <c r="H8147" s="86" t="e">
        <f>IF(I8147="fora",0%,G8147/QUÓRUM!$C$6)</f>
        <v>#DIV/0!</v>
      </c>
      <c r="I8147" s="87"/>
      <c r="J8147" s="88"/>
      <c r="K8147" s="88"/>
      <c r="L8147" s="89"/>
      <c r="M8147" s="89"/>
      <c r="Q8147" s="105"/>
    </row>
    <row r="8148" spans="3:17" x14ac:dyDescent="0.3">
      <c r="C8148" s="87"/>
      <c r="H8148" s="86" t="e">
        <f>IF(I8148="fora",0%,G8148/QUÓRUM!$C$6)</f>
        <v>#DIV/0!</v>
      </c>
      <c r="I8148" s="87"/>
      <c r="J8148" s="88"/>
      <c r="K8148" s="88"/>
      <c r="L8148" s="89"/>
      <c r="M8148" s="89"/>
      <c r="Q8148" s="105"/>
    </row>
    <row r="8149" spans="3:17" x14ac:dyDescent="0.3">
      <c r="C8149" s="87"/>
      <c r="H8149" s="86" t="e">
        <f>IF(I8149="fora",0%,G8149/QUÓRUM!$C$6)</f>
        <v>#DIV/0!</v>
      </c>
      <c r="I8149" s="87"/>
      <c r="J8149" s="88"/>
      <c r="K8149" s="88"/>
      <c r="L8149" s="89"/>
      <c r="M8149" s="89"/>
      <c r="Q8149" s="105"/>
    </row>
    <row r="8150" spans="3:17" x14ac:dyDescent="0.3">
      <c r="C8150" s="87"/>
      <c r="H8150" s="86" t="e">
        <f>IF(I8150="fora",0%,G8150/QUÓRUM!$C$6)</f>
        <v>#DIV/0!</v>
      </c>
      <c r="I8150" s="87"/>
      <c r="J8150" s="88"/>
      <c r="K8150" s="88"/>
      <c r="L8150" s="89"/>
      <c r="M8150" s="89"/>
      <c r="Q8150" s="105"/>
    </row>
    <row r="8151" spans="3:17" x14ac:dyDescent="0.3">
      <c r="C8151" s="87"/>
      <c r="H8151" s="86" t="e">
        <f>IF(I8151="fora",0%,G8151/QUÓRUM!$C$6)</f>
        <v>#DIV/0!</v>
      </c>
      <c r="I8151" s="87"/>
      <c r="J8151" s="88"/>
      <c r="K8151" s="88"/>
      <c r="L8151" s="89"/>
      <c r="M8151" s="89"/>
      <c r="Q8151" s="105"/>
    </row>
    <row r="8152" spans="3:17" x14ac:dyDescent="0.3">
      <c r="C8152" s="87"/>
      <c r="H8152" s="86" t="e">
        <f>IF(I8152="fora",0%,G8152/QUÓRUM!$C$6)</f>
        <v>#DIV/0!</v>
      </c>
      <c r="I8152" s="87"/>
      <c r="J8152" s="88"/>
      <c r="K8152" s="88"/>
      <c r="L8152" s="89"/>
      <c r="M8152" s="89"/>
      <c r="Q8152" s="105"/>
    </row>
    <row r="8153" spans="3:17" x14ac:dyDescent="0.3">
      <c r="C8153" s="87"/>
      <c r="H8153" s="86" t="e">
        <f>IF(I8153="fora",0%,G8153/QUÓRUM!$C$6)</f>
        <v>#DIV/0!</v>
      </c>
      <c r="I8153" s="87"/>
      <c r="J8153" s="88"/>
      <c r="K8153" s="88"/>
      <c r="L8153" s="89"/>
      <c r="M8153" s="89"/>
      <c r="Q8153" s="105"/>
    </row>
    <row r="8154" spans="3:17" x14ac:dyDescent="0.3">
      <c r="C8154" s="87"/>
      <c r="H8154" s="86" t="e">
        <f>IF(I8154="fora",0%,G8154/QUÓRUM!$C$6)</f>
        <v>#DIV/0!</v>
      </c>
      <c r="I8154" s="87"/>
      <c r="J8154" s="88"/>
      <c r="K8154" s="88"/>
      <c r="L8154" s="89"/>
      <c r="M8154" s="89"/>
      <c r="Q8154" s="105"/>
    </row>
    <row r="8155" spans="3:17" x14ac:dyDescent="0.3">
      <c r="C8155" s="87"/>
      <c r="H8155" s="86" t="e">
        <f>IF(I8155="fora",0%,G8155/QUÓRUM!$C$6)</f>
        <v>#DIV/0!</v>
      </c>
      <c r="I8155" s="87"/>
      <c r="J8155" s="88"/>
      <c r="K8155" s="88"/>
      <c r="L8155" s="89"/>
      <c r="M8155" s="89"/>
      <c r="Q8155" s="105"/>
    </row>
    <row r="8156" spans="3:17" x14ac:dyDescent="0.3">
      <c r="C8156" s="87"/>
      <c r="H8156" s="86" t="e">
        <f>IF(I8156="fora",0%,G8156/QUÓRUM!$C$6)</f>
        <v>#DIV/0!</v>
      </c>
      <c r="I8156" s="87"/>
      <c r="J8156" s="88"/>
      <c r="K8156" s="88"/>
      <c r="L8156" s="89"/>
      <c r="M8156" s="89"/>
      <c r="Q8156" s="105"/>
    </row>
    <row r="8157" spans="3:17" x14ac:dyDescent="0.3">
      <c r="C8157" s="87"/>
      <c r="H8157" s="86" t="e">
        <f>IF(I8157="fora",0%,G8157/QUÓRUM!$C$6)</f>
        <v>#DIV/0!</v>
      </c>
      <c r="I8157" s="87"/>
      <c r="J8157" s="88"/>
      <c r="K8157" s="88"/>
      <c r="L8157" s="89"/>
      <c r="M8157" s="89"/>
      <c r="Q8157" s="105"/>
    </row>
    <row r="8158" spans="3:17" x14ac:dyDescent="0.3">
      <c r="C8158" s="87"/>
      <c r="H8158" s="86" t="e">
        <f>IF(I8158="fora",0%,G8158/QUÓRUM!$C$6)</f>
        <v>#DIV/0!</v>
      </c>
      <c r="I8158" s="87"/>
      <c r="J8158" s="88"/>
      <c r="K8158" s="88"/>
      <c r="L8158" s="89"/>
      <c r="M8158" s="89"/>
      <c r="Q8158" s="105"/>
    </row>
    <row r="8159" spans="3:17" x14ac:dyDescent="0.3">
      <c r="C8159" s="87"/>
      <c r="H8159" s="86" t="e">
        <f>IF(I8159="fora",0%,G8159/QUÓRUM!$C$6)</f>
        <v>#DIV/0!</v>
      </c>
      <c r="I8159" s="87"/>
      <c r="J8159" s="88"/>
      <c r="K8159" s="88"/>
      <c r="L8159" s="89"/>
      <c r="M8159" s="89"/>
      <c r="Q8159" s="105"/>
    </row>
    <row r="8160" spans="3:17" x14ac:dyDescent="0.3">
      <c r="C8160" s="87"/>
      <c r="H8160" s="86" t="e">
        <f>IF(I8160="fora",0%,G8160/QUÓRUM!$C$6)</f>
        <v>#DIV/0!</v>
      </c>
      <c r="I8160" s="87"/>
      <c r="J8160" s="88"/>
      <c r="K8160" s="88"/>
      <c r="L8160" s="89"/>
      <c r="M8160" s="89"/>
      <c r="Q8160" s="105"/>
    </row>
    <row r="8161" spans="3:17" x14ac:dyDescent="0.3">
      <c r="C8161" s="87"/>
      <c r="H8161" s="86" t="e">
        <f>IF(I8161="fora",0%,G8161/QUÓRUM!$C$6)</f>
        <v>#DIV/0!</v>
      </c>
      <c r="I8161" s="87"/>
      <c r="J8161" s="88"/>
      <c r="K8161" s="88"/>
      <c r="L8161" s="89"/>
      <c r="M8161" s="89"/>
      <c r="Q8161" s="105"/>
    </row>
    <row r="8162" spans="3:17" x14ac:dyDescent="0.3">
      <c r="C8162" s="87"/>
      <c r="H8162" s="86" t="e">
        <f>IF(I8162="fora",0%,G8162/QUÓRUM!$C$6)</f>
        <v>#DIV/0!</v>
      </c>
      <c r="I8162" s="87"/>
      <c r="J8162" s="88"/>
      <c r="K8162" s="88"/>
      <c r="L8162" s="89"/>
      <c r="M8162" s="89"/>
      <c r="Q8162" s="105"/>
    </row>
    <row r="8163" spans="3:17" x14ac:dyDescent="0.3">
      <c r="C8163" s="87"/>
      <c r="H8163" s="86" t="e">
        <f>IF(I8163="fora",0%,G8163/QUÓRUM!$C$6)</f>
        <v>#DIV/0!</v>
      </c>
      <c r="I8163" s="87"/>
      <c r="J8163" s="88"/>
      <c r="K8163" s="88"/>
      <c r="L8163" s="89"/>
      <c r="M8163" s="89"/>
      <c r="Q8163" s="105"/>
    </row>
    <row r="8164" spans="3:17" x14ac:dyDescent="0.3">
      <c r="C8164" s="87"/>
      <c r="H8164" s="86" t="e">
        <f>IF(I8164="fora",0%,G8164/QUÓRUM!$C$6)</f>
        <v>#DIV/0!</v>
      </c>
      <c r="I8164" s="87"/>
      <c r="J8164" s="88"/>
      <c r="K8164" s="88"/>
      <c r="L8164" s="89"/>
      <c r="M8164" s="89"/>
      <c r="Q8164" s="105"/>
    </row>
    <row r="8165" spans="3:17" x14ac:dyDescent="0.3">
      <c r="C8165" s="87"/>
      <c r="H8165" s="86" t="e">
        <f>IF(I8165="fora",0%,G8165/QUÓRUM!$C$6)</f>
        <v>#DIV/0!</v>
      </c>
      <c r="I8165" s="87"/>
      <c r="J8165" s="88"/>
      <c r="K8165" s="88"/>
      <c r="L8165" s="89"/>
      <c r="M8165" s="89"/>
      <c r="Q8165" s="105"/>
    </row>
    <row r="8166" spans="3:17" x14ac:dyDescent="0.3">
      <c r="C8166" s="87"/>
      <c r="H8166" s="86" t="e">
        <f>IF(I8166="fora",0%,G8166/QUÓRUM!$C$6)</f>
        <v>#DIV/0!</v>
      </c>
      <c r="I8166" s="87"/>
      <c r="J8166" s="88"/>
      <c r="K8166" s="88"/>
      <c r="L8166" s="89"/>
      <c r="M8166" s="89"/>
      <c r="Q8166" s="105"/>
    </row>
    <row r="8167" spans="3:17" x14ac:dyDescent="0.3">
      <c r="C8167" s="87"/>
      <c r="H8167" s="86" t="e">
        <f>IF(I8167="fora",0%,G8167/QUÓRUM!$C$6)</f>
        <v>#DIV/0!</v>
      </c>
      <c r="I8167" s="87"/>
      <c r="J8167" s="88"/>
      <c r="K8167" s="88"/>
      <c r="L8167" s="89"/>
      <c r="M8167" s="89"/>
      <c r="Q8167" s="105"/>
    </row>
    <row r="8168" spans="3:17" x14ac:dyDescent="0.3">
      <c r="C8168" s="87"/>
      <c r="H8168" s="86" t="e">
        <f>IF(I8168="fora",0%,G8168/QUÓRUM!$C$6)</f>
        <v>#DIV/0!</v>
      </c>
      <c r="I8168" s="87"/>
      <c r="J8168" s="88"/>
      <c r="K8168" s="88"/>
      <c r="L8168" s="89"/>
      <c r="M8168" s="89"/>
      <c r="Q8168" s="105"/>
    </row>
    <row r="8169" spans="3:17" x14ac:dyDescent="0.3">
      <c r="C8169" s="87"/>
      <c r="H8169" s="86" t="e">
        <f>IF(I8169="fora",0%,G8169/QUÓRUM!$C$6)</f>
        <v>#DIV/0!</v>
      </c>
      <c r="I8169" s="87"/>
      <c r="J8169" s="88"/>
      <c r="K8169" s="88"/>
      <c r="L8169" s="89"/>
      <c r="M8169" s="89"/>
      <c r="Q8169" s="105"/>
    </row>
    <row r="8170" spans="3:17" x14ac:dyDescent="0.3">
      <c r="C8170" s="87"/>
      <c r="H8170" s="86" t="e">
        <f>IF(I8170="fora",0%,G8170/QUÓRUM!$C$6)</f>
        <v>#DIV/0!</v>
      </c>
      <c r="I8170" s="87"/>
      <c r="J8170" s="88"/>
      <c r="K8170" s="88"/>
      <c r="L8170" s="89"/>
      <c r="M8170" s="89"/>
      <c r="Q8170" s="105"/>
    </row>
    <row r="8171" spans="3:17" x14ac:dyDescent="0.3">
      <c r="C8171" s="87"/>
      <c r="H8171" s="86" t="e">
        <f>IF(I8171="fora",0%,G8171/QUÓRUM!$C$6)</f>
        <v>#DIV/0!</v>
      </c>
      <c r="I8171" s="87"/>
      <c r="J8171" s="88"/>
      <c r="K8171" s="88"/>
      <c r="L8171" s="89"/>
      <c r="M8171" s="89"/>
      <c r="Q8171" s="105"/>
    </row>
    <row r="8172" spans="3:17" x14ac:dyDescent="0.3">
      <c r="C8172" s="87"/>
      <c r="H8172" s="86" t="e">
        <f>IF(I8172="fora",0%,G8172/QUÓRUM!$C$6)</f>
        <v>#DIV/0!</v>
      </c>
      <c r="I8172" s="87"/>
      <c r="J8172" s="88"/>
      <c r="K8172" s="88"/>
      <c r="L8172" s="89"/>
      <c r="M8172" s="89"/>
      <c r="Q8172" s="105"/>
    </row>
    <row r="8173" spans="3:17" x14ac:dyDescent="0.3">
      <c r="C8173" s="87"/>
      <c r="H8173" s="86" t="e">
        <f>IF(I8173="fora",0%,G8173/QUÓRUM!$C$6)</f>
        <v>#DIV/0!</v>
      </c>
      <c r="I8173" s="87"/>
      <c r="J8173" s="88"/>
      <c r="K8173" s="88"/>
      <c r="L8173" s="89"/>
      <c r="M8173" s="89"/>
      <c r="Q8173" s="105"/>
    </row>
    <row r="8174" spans="3:17" x14ac:dyDescent="0.3">
      <c r="C8174" s="87"/>
      <c r="H8174" s="86" t="e">
        <f>IF(I8174="fora",0%,G8174/QUÓRUM!$C$6)</f>
        <v>#DIV/0!</v>
      </c>
      <c r="I8174" s="87"/>
      <c r="J8174" s="88"/>
      <c r="K8174" s="88"/>
      <c r="L8174" s="89"/>
      <c r="M8174" s="89"/>
      <c r="Q8174" s="105"/>
    </row>
    <row r="8175" spans="3:17" x14ac:dyDescent="0.3">
      <c r="C8175" s="87"/>
      <c r="H8175" s="86" t="e">
        <f>IF(I8175="fora",0%,G8175/QUÓRUM!$C$6)</f>
        <v>#DIV/0!</v>
      </c>
      <c r="I8175" s="87"/>
      <c r="J8175" s="88"/>
      <c r="K8175" s="88"/>
      <c r="L8175" s="89"/>
      <c r="M8175" s="89"/>
      <c r="Q8175" s="105"/>
    </row>
    <row r="8176" spans="3:17" x14ac:dyDescent="0.3">
      <c r="C8176" s="87"/>
      <c r="H8176" s="86" t="e">
        <f>IF(I8176="fora",0%,G8176/QUÓRUM!$C$6)</f>
        <v>#DIV/0!</v>
      </c>
      <c r="I8176" s="87"/>
      <c r="J8176" s="88"/>
      <c r="K8176" s="88"/>
      <c r="L8176" s="89"/>
      <c r="M8176" s="89"/>
      <c r="Q8176" s="105"/>
    </row>
    <row r="8177" spans="3:17" x14ac:dyDescent="0.3">
      <c r="C8177" s="87"/>
      <c r="H8177" s="86" t="e">
        <f>IF(I8177="fora",0%,G8177/QUÓRUM!$C$6)</f>
        <v>#DIV/0!</v>
      </c>
      <c r="I8177" s="87"/>
      <c r="J8177" s="88"/>
      <c r="K8177" s="88"/>
      <c r="L8177" s="89"/>
      <c r="M8177" s="89"/>
      <c r="Q8177" s="105"/>
    </row>
    <row r="8178" spans="3:17" x14ac:dyDescent="0.3">
      <c r="C8178" s="87"/>
      <c r="H8178" s="86" t="e">
        <f>IF(I8178="fora",0%,G8178/QUÓRUM!$C$6)</f>
        <v>#DIV/0!</v>
      </c>
      <c r="I8178" s="87"/>
      <c r="J8178" s="88"/>
      <c r="K8178" s="88"/>
      <c r="L8178" s="89"/>
      <c r="M8178" s="89"/>
      <c r="Q8178" s="105"/>
    </row>
    <row r="8179" spans="3:17" x14ac:dyDescent="0.3">
      <c r="C8179" s="87"/>
      <c r="H8179" s="86" t="e">
        <f>IF(I8179="fora",0%,G8179/QUÓRUM!$C$6)</f>
        <v>#DIV/0!</v>
      </c>
      <c r="I8179" s="87"/>
      <c r="J8179" s="88"/>
      <c r="K8179" s="88"/>
      <c r="L8179" s="89"/>
      <c r="M8179" s="89"/>
      <c r="Q8179" s="105"/>
    </row>
    <row r="8180" spans="3:17" x14ac:dyDescent="0.3">
      <c r="C8180" s="87"/>
      <c r="H8180" s="86" t="e">
        <f>IF(I8180="fora",0%,G8180/QUÓRUM!$C$6)</f>
        <v>#DIV/0!</v>
      </c>
      <c r="I8180" s="87"/>
      <c r="J8180" s="88"/>
      <c r="K8180" s="88"/>
      <c r="L8180" s="89"/>
      <c r="M8180" s="89"/>
      <c r="Q8180" s="105"/>
    </row>
    <row r="8181" spans="3:17" x14ac:dyDescent="0.3">
      <c r="C8181" s="87"/>
      <c r="H8181" s="86" t="e">
        <f>IF(I8181="fora",0%,G8181/QUÓRUM!$C$6)</f>
        <v>#DIV/0!</v>
      </c>
      <c r="I8181" s="87"/>
      <c r="J8181" s="88"/>
      <c r="K8181" s="88"/>
      <c r="L8181" s="89"/>
      <c r="M8181" s="89"/>
      <c r="Q8181" s="105"/>
    </row>
    <row r="8182" spans="3:17" x14ac:dyDescent="0.3">
      <c r="C8182" s="87"/>
      <c r="H8182" s="86" t="e">
        <f>IF(I8182="fora",0%,G8182/QUÓRUM!$C$6)</f>
        <v>#DIV/0!</v>
      </c>
      <c r="I8182" s="87"/>
      <c r="J8182" s="88"/>
      <c r="K8182" s="88"/>
      <c r="L8182" s="89"/>
      <c r="M8182" s="89"/>
      <c r="Q8182" s="105"/>
    </row>
    <row r="8183" spans="3:17" x14ac:dyDescent="0.3">
      <c r="C8183" s="87"/>
      <c r="H8183" s="86" t="e">
        <f>IF(I8183="fora",0%,G8183/QUÓRUM!$C$6)</f>
        <v>#DIV/0!</v>
      </c>
      <c r="I8183" s="87"/>
      <c r="J8183" s="88"/>
      <c r="K8183" s="88"/>
      <c r="L8183" s="89"/>
      <c r="M8183" s="89"/>
      <c r="Q8183" s="105"/>
    </row>
    <row r="8184" spans="3:17" x14ac:dyDescent="0.3">
      <c r="C8184" s="87"/>
      <c r="H8184" s="86" t="e">
        <f>IF(I8184="fora",0%,G8184/QUÓRUM!$C$6)</f>
        <v>#DIV/0!</v>
      </c>
      <c r="I8184" s="87"/>
      <c r="J8184" s="88"/>
      <c r="K8184" s="88"/>
      <c r="L8184" s="89"/>
      <c r="M8184" s="89"/>
      <c r="Q8184" s="105"/>
    </row>
    <row r="8185" spans="3:17" x14ac:dyDescent="0.3">
      <c r="C8185" s="87"/>
      <c r="H8185" s="86" t="e">
        <f>IF(I8185="fora",0%,G8185/QUÓRUM!$C$6)</f>
        <v>#DIV/0!</v>
      </c>
      <c r="I8185" s="87"/>
      <c r="J8185" s="88"/>
      <c r="K8185" s="88"/>
      <c r="L8185" s="89"/>
      <c r="M8185" s="89"/>
      <c r="Q8185" s="105"/>
    </row>
    <row r="8186" spans="3:17" x14ac:dyDescent="0.3">
      <c r="C8186" s="87"/>
      <c r="H8186" s="86" t="e">
        <f>IF(I8186="fora",0%,G8186/QUÓRUM!$C$6)</f>
        <v>#DIV/0!</v>
      </c>
      <c r="I8186" s="87"/>
      <c r="J8186" s="88"/>
      <c r="K8186" s="88"/>
      <c r="L8186" s="89"/>
      <c r="M8186" s="89"/>
      <c r="Q8186" s="105"/>
    </row>
    <row r="8187" spans="3:17" x14ac:dyDescent="0.3">
      <c r="C8187" s="87"/>
      <c r="H8187" s="86" t="e">
        <f>IF(I8187="fora",0%,G8187/QUÓRUM!$C$6)</f>
        <v>#DIV/0!</v>
      </c>
      <c r="I8187" s="87"/>
      <c r="J8187" s="88"/>
      <c r="K8187" s="88"/>
      <c r="L8187" s="89"/>
      <c r="M8187" s="89"/>
      <c r="Q8187" s="105"/>
    </row>
    <row r="8188" spans="3:17" x14ac:dyDescent="0.3">
      <c r="C8188" s="87"/>
      <c r="H8188" s="86" t="e">
        <f>IF(I8188="fora",0%,G8188/QUÓRUM!$C$6)</f>
        <v>#DIV/0!</v>
      </c>
      <c r="I8188" s="87"/>
      <c r="J8188" s="88"/>
      <c r="K8188" s="88"/>
      <c r="L8188" s="89"/>
      <c r="M8188" s="89"/>
      <c r="Q8188" s="105"/>
    </row>
    <row r="8189" spans="3:17" x14ac:dyDescent="0.3">
      <c r="C8189" s="87"/>
      <c r="H8189" s="86" t="e">
        <f>IF(I8189="fora",0%,G8189/QUÓRUM!$C$6)</f>
        <v>#DIV/0!</v>
      </c>
      <c r="I8189" s="87"/>
      <c r="J8189" s="88"/>
      <c r="K8189" s="88"/>
      <c r="L8189" s="89"/>
      <c r="M8189" s="89"/>
      <c r="Q8189" s="105"/>
    </row>
    <row r="8190" spans="3:17" x14ac:dyDescent="0.3">
      <c r="C8190" s="87"/>
      <c r="H8190" s="86" t="e">
        <f>IF(I8190="fora",0%,G8190/QUÓRUM!$C$6)</f>
        <v>#DIV/0!</v>
      </c>
      <c r="I8190" s="87"/>
      <c r="J8190" s="88"/>
      <c r="K8190" s="88"/>
      <c r="L8190" s="89"/>
      <c r="M8190" s="89"/>
      <c r="Q8190" s="105"/>
    </row>
    <row r="8191" spans="3:17" x14ac:dyDescent="0.3">
      <c r="C8191" s="87"/>
      <c r="H8191" s="86" t="e">
        <f>IF(I8191="fora",0%,G8191/QUÓRUM!$C$6)</f>
        <v>#DIV/0!</v>
      </c>
      <c r="I8191" s="87"/>
      <c r="J8191" s="88"/>
      <c r="K8191" s="88"/>
      <c r="L8191" s="89"/>
      <c r="M8191" s="89"/>
      <c r="Q8191" s="105"/>
    </row>
    <row r="8192" spans="3:17" x14ac:dyDescent="0.3">
      <c r="C8192" s="87"/>
      <c r="H8192" s="86" t="e">
        <f>IF(I8192="fora",0%,G8192/QUÓRUM!$C$6)</f>
        <v>#DIV/0!</v>
      </c>
      <c r="I8192" s="87"/>
      <c r="J8192" s="88"/>
      <c r="K8192" s="88"/>
      <c r="L8192" s="89"/>
      <c r="M8192" s="89"/>
      <c r="Q8192" s="105"/>
    </row>
    <row r="8193" spans="3:17" x14ac:dyDescent="0.3">
      <c r="C8193" s="87"/>
      <c r="H8193" s="86" t="e">
        <f>IF(I8193="fora",0%,G8193/QUÓRUM!$C$6)</f>
        <v>#DIV/0!</v>
      </c>
      <c r="I8193" s="87"/>
      <c r="J8193" s="88"/>
      <c r="K8193" s="88"/>
      <c r="L8193" s="89"/>
      <c r="M8193" s="89"/>
      <c r="Q8193" s="105"/>
    </row>
    <row r="8194" spans="3:17" x14ac:dyDescent="0.3">
      <c r="C8194" s="87"/>
      <c r="H8194" s="86" t="e">
        <f>IF(I8194="fora",0%,G8194/QUÓRUM!$C$6)</f>
        <v>#DIV/0!</v>
      </c>
      <c r="I8194" s="87"/>
      <c r="J8194" s="88"/>
      <c r="K8194" s="88"/>
      <c r="L8194" s="89"/>
      <c r="M8194" s="89"/>
      <c r="Q8194" s="105"/>
    </row>
    <row r="8195" spans="3:17" x14ac:dyDescent="0.3">
      <c r="C8195" s="87"/>
      <c r="H8195" s="86" t="e">
        <f>IF(I8195="fora",0%,G8195/QUÓRUM!$C$6)</f>
        <v>#DIV/0!</v>
      </c>
      <c r="I8195" s="87"/>
      <c r="J8195" s="88"/>
      <c r="K8195" s="88"/>
      <c r="L8195" s="89"/>
      <c r="M8195" s="89"/>
      <c r="Q8195" s="105"/>
    </row>
    <row r="8196" spans="3:17" x14ac:dyDescent="0.3">
      <c r="C8196" s="87"/>
      <c r="H8196" s="86" t="e">
        <f>IF(I8196="fora",0%,G8196/QUÓRUM!$C$6)</f>
        <v>#DIV/0!</v>
      </c>
      <c r="I8196" s="87"/>
      <c r="J8196" s="88"/>
      <c r="K8196" s="88"/>
      <c r="L8196" s="89"/>
      <c r="M8196" s="89"/>
      <c r="Q8196" s="105"/>
    </row>
    <row r="8197" spans="3:17" x14ac:dyDescent="0.3">
      <c r="C8197" s="87"/>
      <c r="H8197" s="86" t="e">
        <f>IF(I8197="fora",0%,G8197/QUÓRUM!$C$6)</f>
        <v>#DIV/0!</v>
      </c>
      <c r="I8197" s="87"/>
      <c r="J8197" s="88"/>
      <c r="K8197" s="88"/>
      <c r="L8197" s="89"/>
      <c r="M8197" s="89"/>
      <c r="Q8197" s="105"/>
    </row>
    <row r="8198" spans="3:17" x14ac:dyDescent="0.3">
      <c r="C8198" s="87"/>
      <c r="H8198" s="86" t="e">
        <f>IF(I8198="fora",0%,G8198/QUÓRUM!$C$6)</f>
        <v>#DIV/0!</v>
      </c>
      <c r="I8198" s="87"/>
      <c r="J8198" s="88"/>
      <c r="K8198" s="88"/>
      <c r="L8198" s="89"/>
      <c r="M8198" s="89"/>
      <c r="Q8198" s="105"/>
    </row>
    <row r="8199" spans="3:17" x14ac:dyDescent="0.3">
      <c r="C8199" s="87"/>
      <c r="H8199" s="86" t="e">
        <f>IF(I8199="fora",0%,G8199/QUÓRUM!$C$6)</f>
        <v>#DIV/0!</v>
      </c>
      <c r="I8199" s="87"/>
      <c r="J8199" s="88"/>
      <c r="K8199" s="88"/>
      <c r="L8199" s="89"/>
      <c r="M8199" s="89"/>
      <c r="Q8199" s="105"/>
    </row>
    <row r="8200" spans="3:17" x14ac:dyDescent="0.3">
      <c r="C8200" s="87"/>
      <c r="H8200" s="86" t="e">
        <f>IF(I8200="fora",0%,G8200/QUÓRUM!$C$6)</f>
        <v>#DIV/0!</v>
      </c>
      <c r="I8200" s="87"/>
      <c r="J8200" s="88"/>
      <c r="K8200" s="88"/>
      <c r="L8200" s="89"/>
      <c r="M8200" s="89"/>
      <c r="Q8200" s="105"/>
    </row>
    <row r="8201" spans="3:17" x14ac:dyDescent="0.3">
      <c r="C8201" s="87"/>
      <c r="H8201" s="86" t="e">
        <f>IF(I8201="fora",0%,G8201/QUÓRUM!$C$6)</f>
        <v>#DIV/0!</v>
      </c>
      <c r="I8201" s="87"/>
      <c r="J8201" s="88"/>
      <c r="K8201" s="88"/>
      <c r="L8201" s="89"/>
      <c r="M8201" s="89"/>
      <c r="Q8201" s="105"/>
    </row>
    <row r="8202" spans="3:17" x14ac:dyDescent="0.3">
      <c r="C8202" s="87"/>
      <c r="H8202" s="86" t="e">
        <f>IF(I8202="fora",0%,G8202/QUÓRUM!$C$6)</f>
        <v>#DIV/0!</v>
      </c>
      <c r="I8202" s="87"/>
      <c r="J8202" s="88"/>
      <c r="K8202" s="88"/>
      <c r="L8202" s="89"/>
      <c r="M8202" s="89"/>
      <c r="Q8202" s="105"/>
    </row>
    <row r="8203" spans="3:17" x14ac:dyDescent="0.3">
      <c r="C8203" s="87"/>
      <c r="H8203" s="86" t="e">
        <f>IF(I8203="fora",0%,G8203/QUÓRUM!$C$6)</f>
        <v>#DIV/0!</v>
      </c>
      <c r="I8203" s="87"/>
      <c r="J8203" s="88"/>
      <c r="K8203" s="88"/>
      <c r="L8203" s="89"/>
      <c r="M8203" s="89"/>
      <c r="Q8203" s="105"/>
    </row>
    <row r="8204" spans="3:17" x14ac:dyDescent="0.3">
      <c r="C8204" s="87"/>
      <c r="H8204" s="86" t="e">
        <f>IF(I8204="fora",0%,G8204/QUÓRUM!$C$6)</f>
        <v>#DIV/0!</v>
      </c>
      <c r="I8204" s="87"/>
      <c r="J8204" s="88"/>
      <c r="K8204" s="88"/>
      <c r="L8204" s="89"/>
      <c r="M8204" s="89"/>
      <c r="Q8204" s="105"/>
    </row>
    <row r="8205" spans="3:17" x14ac:dyDescent="0.3">
      <c r="C8205" s="87"/>
      <c r="H8205" s="86" t="e">
        <f>IF(I8205="fora",0%,G8205/QUÓRUM!$C$6)</f>
        <v>#DIV/0!</v>
      </c>
      <c r="I8205" s="87"/>
      <c r="J8205" s="88"/>
      <c r="K8205" s="88"/>
      <c r="L8205" s="89"/>
      <c r="M8205" s="89"/>
      <c r="Q8205" s="105"/>
    </row>
    <row r="8206" spans="3:17" x14ac:dyDescent="0.3">
      <c r="C8206" s="87"/>
      <c r="H8206" s="86" t="e">
        <f>IF(I8206="fora",0%,G8206/QUÓRUM!$C$6)</f>
        <v>#DIV/0!</v>
      </c>
      <c r="I8206" s="87"/>
      <c r="J8206" s="88"/>
      <c r="K8206" s="88"/>
      <c r="L8206" s="89"/>
      <c r="M8206" s="89"/>
      <c r="Q8206" s="105"/>
    </row>
    <row r="8207" spans="3:17" x14ac:dyDescent="0.3">
      <c r="C8207" s="87"/>
      <c r="H8207" s="86" t="e">
        <f>IF(I8207="fora",0%,G8207/QUÓRUM!$C$6)</f>
        <v>#DIV/0!</v>
      </c>
      <c r="I8207" s="87"/>
      <c r="J8207" s="88"/>
      <c r="K8207" s="88"/>
      <c r="L8207" s="89"/>
      <c r="M8207" s="89"/>
      <c r="Q8207" s="105"/>
    </row>
    <row r="8208" spans="3:17" x14ac:dyDescent="0.3">
      <c r="C8208" s="87"/>
      <c r="H8208" s="86" t="e">
        <f>IF(I8208="fora",0%,G8208/QUÓRUM!$C$6)</f>
        <v>#DIV/0!</v>
      </c>
      <c r="I8208" s="87"/>
      <c r="J8208" s="88"/>
      <c r="K8208" s="88"/>
      <c r="L8208" s="89"/>
      <c r="M8208" s="89"/>
      <c r="Q8208" s="105"/>
    </row>
    <row r="8209" spans="3:17" x14ac:dyDescent="0.3">
      <c r="C8209" s="87"/>
      <c r="H8209" s="86" t="e">
        <f>IF(I8209="fora",0%,G8209/QUÓRUM!$C$6)</f>
        <v>#DIV/0!</v>
      </c>
      <c r="I8209" s="87"/>
      <c r="J8209" s="88"/>
      <c r="K8209" s="88"/>
      <c r="L8209" s="89"/>
      <c r="M8209" s="89"/>
      <c r="Q8209" s="105"/>
    </row>
    <row r="8210" spans="3:17" x14ac:dyDescent="0.3">
      <c r="C8210" s="87"/>
      <c r="H8210" s="86" t="e">
        <f>IF(I8210="fora",0%,G8210/QUÓRUM!$C$6)</f>
        <v>#DIV/0!</v>
      </c>
      <c r="I8210" s="87"/>
      <c r="J8210" s="88"/>
      <c r="K8210" s="88"/>
      <c r="L8210" s="89"/>
      <c r="M8210" s="89"/>
      <c r="Q8210" s="105"/>
    </row>
    <row r="8211" spans="3:17" x14ac:dyDescent="0.3">
      <c r="C8211" s="87"/>
      <c r="H8211" s="86" t="e">
        <f>IF(I8211="fora",0%,G8211/QUÓRUM!$C$6)</f>
        <v>#DIV/0!</v>
      </c>
      <c r="I8211" s="87"/>
      <c r="J8211" s="88"/>
      <c r="K8211" s="88"/>
      <c r="L8211" s="89"/>
      <c r="M8211" s="89"/>
      <c r="Q8211" s="105"/>
    </row>
    <row r="8212" spans="3:17" x14ac:dyDescent="0.3">
      <c r="C8212" s="87"/>
      <c r="H8212" s="86" t="e">
        <f>IF(I8212="fora",0%,G8212/QUÓRUM!$C$6)</f>
        <v>#DIV/0!</v>
      </c>
      <c r="I8212" s="87"/>
      <c r="J8212" s="88"/>
      <c r="K8212" s="88"/>
      <c r="L8212" s="89"/>
      <c r="M8212" s="89"/>
      <c r="Q8212" s="105"/>
    </row>
    <row r="8213" spans="3:17" x14ac:dyDescent="0.3">
      <c r="C8213" s="87"/>
      <c r="H8213" s="86" t="e">
        <f>IF(I8213="fora",0%,G8213/QUÓRUM!$C$6)</f>
        <v>#DIV/0!</v>
      </c>
      <c r="I8213" s="87"/>
      <c r="J8213" s="88"/>
      <c r="K8213" s="88"/>
      <c r="L8213" s="89"/>
      <c r="M8213" s="89"/>
      <c r="Q8213" s="105"/>
    </row>
    <row r="8214" spans="3:17" x14ac:dyDescent="0.3">
      <c r="C8214" s="87"/>
      <c r="H8214" s="86" t="e">
        <f>IF(I8214="fora",0%,G8214/QUÓRUM!$C$6)</f>
        <v>#DIV/0!</v>
      </c>
      <c r="I8214" s="87"/>
      <c r="J8214" s="88"/>
      <c r="K8214" s="88"/>
      <c r="L8214" s="89"/>
      <c r="M8214" s="89"/>
      <c r="Q8214" s="105"/>
    </row>
    <row r="8215" spans="3:17" x14ac:dyDescent="0.3">
      <c r="C8215" s="87"/>
      <c r="H8215" s="86" t="e">
        <f>IF(I8215="fora",0%,G8215/QUÓRUM!$C$6)</f>
        <v>#DIV/0!</v>
      </c>
      <c r="I8215" s="87"/>
      <c r="J8215" s="88"/>
      <c r="K8215" s="88"/>
      <c r="L8215" s="89"/>
      <c r="M8215" s="89"/>
      <c r="Q8215" s="105"/>
    </row>
    <row r="8216" spans="3:17" x14ac:dyDescent="0.3">
      <c r="C8216" s="87"/>
      <c r="H8216" s="86" t="e">
        <f>IF(I8216="fora",0%,G8216/QUÓRUM!$C$6)</f>
        <v>#DIV/0!</v>
      </c>
      <c r="I8216" s="87"/>
      <c r="J8216" s="88"/>
      <c r="K8216" s="88"/>
      <c r="L8216" s="89"/>
      <c r="M8216" s="89"/>
      <c r="Q8216" s="105"/>
    </row>
    <row r="8217" spans="3:17" x14ac:dyDescent="0.3">
      <c r="C8217" s="87"/>
      <c r="H8217" s="86" t="e">
        <f>IF(I8217="fora",0%,G8217/QUÓRUM!$C$6)</f>
        <v>#DIV/0!</v>
      </c>
      <c r="I8217" s="87"/>
      <c r="J8217" s="88"/>
      <c r="K8217" s="88"/>
      <c r="L8217" s="89"/>
      <c r="M8217" s="89"/>
      <c r="Q8217" s="105"/>
    </row>
    <row r="8218" spans="3:17" x14ac:dyDescent="0.3">
      <c r="C8218" s="87"/>
      <c r="H8218" s="86" t="e">
        <f>IF(I8218="fora",0%,G8218/QUÓRUM!$C$6)</f>
        <v>#DIV/0!</v>
      </c>
      <c r="I8218" s="87"/>
      <c r="J8218" s="88"/>
      <c r="K8218" s="88"/>
      <c r="L8218" s="89"/>
      <c r="M8218" s="89"/>
      <c r="Q8218" s="105"/>
    </row>
    <row r="8219" spans="3:17" x14ac:dyDescent="0.3">
      <c r="C8219" s="87"/>
      <c r="H8219" s="86" t="e">
        <f>IF(I8219="fora",0%,G8219/QUÓRUM!$C$6)</f>
        <v>#DIV/0!</v>
      </c>
      <c r="I8219" s="87"/>
      <c r="J8219" s="88"/>
      <c r="K8219" s="88"/>
      <c r="L8219" s="89"/>
      <c r="M8219" s="89"/>
      <c r="Q8219" s="105"/>
    </row>
    <row r="8220" spans="3:17" x14ac:dyDescent="0.3">
      <c r="C8220" s="87"/>
      <c r="H8220" s="86" t="e">
        <f>IF(I8220="fora",0%,G8220/QUÓRUM!$C$6)</f>
        <v>#DIV/0!</v>
      </c>
      <c r="I8220" s="87"/>
      <c r="J8220" s="88"/>
      <c r="K8220" s="88"/>
      <c r="L8220" s="89"/>
      <c r="M8220" s="89"/>
      <c r="Q8220" s="105"/>
    </row>
    <row r="8221" spans="3:17" x14ac:dyDescent="0.3">
      <c r="C8221" s="87"/>
      <c r="H8221" s="86" t="e">
        <f>IF(I8221="fora",0%,G8221/QUÓRUM!$C$6)</f>
        <v>#DIV/0!</v>
      </c>
      <c r="I8221" s="87"/>
      <c r="J8221" s="88"/>
      <c r="K8221" s="88"/>
      <c r="L8221" s="89"/>
      <c r="M8221" s="89"/>
      <c r="Q8221" s="105"/>
    </row>
    <row r="8222" spans="3:17" x14ac:dyDescent="0.3">
      <c r="C8222" s="87"/>
      <c r="H8222" s="86" t="e">
        <f>IF(I8222="fora",0%,G8222/QUÓRUM!$C$6)</f>
        <v>#DIV/0!</v>
      </c>
      <c r="I8222" s="87"/>
      <c r="J8222" s="88"/>
      <c r="K8222" s="88"/>
      <c r="L8222" s="89"/>
      <c r="M8222" s="89"/>
      <c r="Q8222" s="105"/>
    </row>
    <row r="8223" spans="3:17" x14ac:dyDescent="0.3">
      <c r="C8223" s="87"/>
      <c r="H8223" s="86" t="e">
        <f>IF(I8223="fora",0%,G8223/QUÓRUM!$C$6)</f>
        <v>#DIV/0!</v>
      </c>
      <c r="I8223" s="87"/>
      <c r="J8223" s="88"/>
      <c r="K8223" s="88"/>
      <c r="L8223" s="89"/>
      <c r="M8223" s="89"/>
      <c r="Q8223" s="105"/>
    </row>
    <row r="8224" spans="3:17" x14ac:dyDescent="0.3">
      <c r="C8224" s="87"/>
      <c r="H8224" s="86" t="e">
        <f>IF(I8224="fora",0%,G8224/QUÓRUM!$C$6)</f>
        <v>#DIV/0!</v>
      </c>
      <c r="I8224" s="87"/>
      <c r="J8224" s="88"/>
      <c r="K8224" s="88"/>
      <c r="L8224" s="89"/>
      <c r="M8224" s="89"/>
      <c r="Q8224" s="105"/>
    </row>
    <row r="8225" spans="3:17" x14ac:dyDescent="0.3">
      <c r="C8225" s="87"/>
      <c r="H8225" s="86" t="e">
        <f>IF(I8225="fora",0%,G8225/QUÓRUM!$C$6)</f>
        <v>#DIV/0!</v>
      </c>
      <c r="I8225" s="87"/>
      <c r="J8225" s="88"/>
      <c r="K8225" s="88"/>
      <c r="L8225" s="89"/>
      <c r="M8225" s="89"/>
      <c r="Q8225" s="105"/>
    </row>
    <row r="8226" spans="3:17" x14ac:dyDescent="0.3">
      <c r="C8226" s="87"/>
      <c r="H8226" s="86" t="e">
        <f>IF(I8226="fora",0%,G8226/QUÓRUM!$C$6)</f>
        <v>#DIV/0!</v>
      </c>
      <c r="I8226" s="87"/>
      <c r="J8226" s="88"/>
      <c r="K8226" s="88"/>
      <c r="L8226" s="89"/>
      <c r="M8226" s="89"/>
      <c r="Q8226" s="105"/>
    </row>
    <row r="8227" spans="3:17" x14ac:dyDescent="0.3">
      <c r="C8227" s="87"/>
      <c r="H8227" s="86" t="e">
        <f>IF(I8227="fora",0%,G8227/QUÓRUM!$C$6)</f>
        <v>#DIV/0!</v>
      </c>
      <c r="I8227" s="87"/>
      <c r="J8227" s="88"/>
      <c r="K8227" s="88"/>
      <c r="L8227" s="89"/>
      <c r="M8227" s="89"/>
      <c r="Q8227" s="105"/>
    </row>
    <row r="8228" spans="3:17" x14ac:dyDescent="0.3">
      <c r="C8228" s="87"/>
      <c r="H8228" s="86" t="e">
        <f>IF(I8228="fora",0%,G8228/QUÓRUM!$C$6)</f>
        <v>#DIV/0!</v>
      </c>
      <c r="I8228" s="87"/>
      <c r="J8228" s="88"/>
      <c r="K8228" s="88"/>
      <c r="L8228" s="89"/>
      <c r="M8228" s="89"/>
      <c r="Q8228" s="105"/>
    </row>
    <row r="8229" spans="3:17" x14ac:dyDescent="0.3">
      <c r="C8229" s="87"/>
      <c r="H8229" s="86" t="e">
        <f>IF(I8229="fora",0%,G8229/QUÓRUM!$C$6)</f>
        <v>#DIV/0!</v>
      </c>
      <c r="I8229" s="87"/>
      <c r="J8229" s="88"/>
      <c r="K8229" s="88"/>
      <c r="L8229" s="89"/>
      <c r="M8229" s="89"/>
      <c r="Q8229" s="105"/>
    </row>
    <row r="8230" spans="3:17" x14ac:dyDescent="0.3">
      <c r="C8230" s="87"/>
      <c r="H8230" s="86" t="e">
        <f>IF(I8230="fora",0%,G8230/QUÓRUM!$C$6)</f>
        <v>#DIV/0!</v>
      </c>
      <c r="I8230" s="87"/>
      <c r="J8230" s="88"/>
      <c r="K8230" s="88"/>
      <c r="L8230" s="89"/>
      <c r="M8230" s="89"/>
      <c r="Q8230" s="105"/>
    </row>
    <row r="8231" spans="3:17" x14ac:dyDescent="0.3">
      <c r="C8231" s="87"/>
      <c r="H8231" s="86" t="e">
        <f>IF(I8231="fora",0%,G8231/QUÓRUM!$C$6)</f>
        <v>#DIV/0!</v>
      </c>
      <c r="I8231" s="87"/>
      <c r="J8231" s="88"/>
      <c r="K8231" s="88"/>
      <c r="L8231" s="89"/>
      <c r="M8231" s="89"/>
      <c r="Q8231" s="105"/>
    </row>
    <row r="8232" spans="3:17" x14ac:dyDescent="0.3">
      <c r="C8232" s="87"/>
      <c r="H8232" s="86" t="e">
        <f>IF(I8232="fora",0%,G8232/QUÓRUM!$C$6)</f>
        <v>#DIV/0!</v>
      </c>
      <c r="I8232" s="87"/>
      <c r="J8232" s="88"/>
      <c r="K8232" s="88"/>
      <c r="L8232" s="89"/>
      <c r="M8232" s="89"/>
      <c r="Q8232" s="105"/>
    </row>
    <row r="8233" spans="3:17" x14ac:dyDescent="0.3">
      <c r="C8233" s="87"/>
      <c r="H8233" s="86" t="e">
        <f>IF(I8233="fora",0%,G8233/QUÓRUM!$C$6)</f>
        <v>#DIV/0!</v>
      </c>
      <c r="I8233" s="87"/>
      <c r="J8233" s="88"/>
      <c r="K8233" s="88"/>
      <c r="L8233" s="89"/>
      <c r="M8233" s="89"/>
      <c r="Q8233" s="105"/>
    </row>
    <row r="8234" spans="3:17" x14ac:dyDescent="0.3">
      <c r="C8234" s="87"/>
      <c r="H8234" s="86" t="e">
        <f>IF(I8234="fora",0%,G8234/QUÓRUM!$C$6)</f>
        <v>#DIV/0!</v>
      </c>
      <c r="I8234" s="87"/>
      <c r="J8234" s="88"/>
      <c r="K8234" s="88"/>
      <c r="L8234" s="89"/>
      <c r="M8234" s="89"/>
      <c r="Q8234" s="105"/>
    </row>
    <row r="8235" spans="3:17" x14ac:dyDescent="0.3">
      <c r="C8235" s="87"/>
      <c r="H8235" s="86" t="e">
        <f>IF(I8235="fora",0%,G8235/QUÓRUM!$C$6)</f>
        <v>#DIV/0!</v>
      </c>
      <c r="I8235" s="87"/>
      <c r="J8235" s="88"/>
      <c r="K8235" s="88"/>
      <c r="L8235" s="89"/>
      <c r="M8235" s="89"/>
      <c r="Q8235" s="105"/>
    </row>
    <row r="8236" spans="3:17" x14ac:dyDescent="0.3">
      <c r="C8236" s="87"/>
      <c r="H8236" s="86" t="e">
        <f>IF(I8236="fora",0%,G8236/QUÓRUM!$C$6)</f>
        <v>#DIV/0!</v>
      </c>
      <c r="I8236" s="87"/>
      <c r="J8236" s="88"/>
      <c r="K8236" s="88"/>
      <c r="L8236" s="89"/>
      <c r="M8236" s="89"/>
      <c r="Q8236" s="105"/>
    </row>
    <row r="8237" spans="3:17" x14ac:dyDescent="0.3">
      <c r="C8237" s="87"/>
      <c r="H8237" s="86" t="e">
        <f>IF(I8237="fora",0%,G8237/QUÓRUM!$C$6)</f>
        <v>#DIV/0!</v>
      </c>
      <c r="I8237" s="87"/>
      <c r="J8237" s="88"/>
      <c r="K8237" s="88"/>
      <c r="L8237" s="89"/>
      <c r="M8237" s="89"/>
      <c r="Q8237" s="105"/>
    </row>
    <row r="8238" spans="3:17" x14ac:dyDescent="0.3">
      <c r="C8238" s="87"/>
      <c r="H8238" s="86" t="e">
        <f>IF(I8238="fora",0%,G8238/QUÓRUM!$C$6)</f>
        <v>#DIV/0!</v>
      </c>
      <c r="I8238" s="87"/>
      <c r="J8238" s="88"/>
      <c r="K8238" s="88"/>
      <c r="L8238" s="89"/>
      <c r="M8238" s="89"/>
      <c r="Q8238" s="105"/>
    </row>
    <row r="8239" spans="3:17" x14ac:dyDescent="0.3">
      <c r="C8239" s="87"/>
      <c r="H8239" s="86" t="e">
        <f>IF(I8239="fora",0%,G8239/QUÓRUM!$C$6)</f>
        <v>#DIV/0!</v>
      </c>
      <c r="I8239" s="87"/>
      <c r="J8239" s="88"/>
      <c r="K8239" s="88"/>
      <c r="L8239" s="89"/>
      <c r="M8239" s="89"/>
      <c r="Q8239" s="105"/>
    </row>
    <row r="8240" spans="3:17" x14ac:dyDescent="0.3">
      <c r="C8240" s="87"/>
      <c r="H8240" s="86" t="e">
        <f>IF(I8240="fora",0%,G8240/QUÓRUM!$C$6)</f>
        <v>#DIV/0!</v>
      </c>
      <c r="I8240" s="87"/>
      <c r="J8240" s="88"/>
      <c r="K8240" s="88"/>
      <c r="L8240" s="89"/>
      <c r="M8240" s="89"/>
      <c r="Q8240" s="105"/>
    </row>
    <row r="8241" spans="3:17" x14ac:dyDescent="0.3">
      <c r="C8241" s="87"/>
      <c r="H8241" s="86" t="e">
        <f>IF(I8241="fora",0%,G8241/QUÓRUM!$C$6)</f>
        <v>#DIV/0!</v>
      </c>
      <c r="I8241" s="87"/>
      <c r="J8241" s="88"/>
      <c r="K8241" s="88"/>
      <c r="L8241" s="89"/>
      <c r="M8241" s="89"/>
      <c r="Q8241" s="105"/>
    </row>
    <row r="8242" spans="3:17" x14ac:dyDescent="0.3">
      <c r="C8242" s="87"/>
      <c r="H8242" s="86" t="e">
        <f>IF(I8242="fora",0%,G8242/QUÓRUM!$C$6)</f>
        <v>#DIV/0!</v>
      </c>
      <c r="I8242" s="87"/>
      <c r="J8242" s="88"/>
      <c r="K8242" s="88"/>
      <c r="L8242" s="89"/>
      <c r="M8242" s="89"/>
      <c r="Q8242" s="105"/>
    </row>
    <row r="8243" spans="3:17" x14ac:dyDescent="0.3">
      <c r="C8243" s="87"/>
      <c r="H8243" s="86" t="e">
        <f>IF(I8243="fora",0%,G8243/QUÓRUM!$C$6)</f>
        <v>#DIV/0!</v>
      </c>
      <c r="I8243" s="87"/>
      <c r="J8243" s="88"/>
      <c r="K8243" s="88"/>
      <c r="L8243" s="89"/>
      <c r="M8243" s="89"/>
      <c r="Q8243" s="105"/>
    </row>
    <row r="8244" spans="3:17" x14ac:dyDescent="0.3">
      <c r="C8244" s="87"/>
      <c r="H8244" s="86" t="e">
        <f>IF(I8244="fora",0%,G8244/QUÓRUM!$C$6)</f>
        <v>#DIV/0!</v>
      </c>
      <c r="I8244" s="87"/>
      <c r="J8244" s="88"/>
      <c r="K8244" s="88"/>
      <c r="L8244" s="89"/>
      <c r="M8244" s="89"/>
      <c r="Q8244" s="105"/>
    </row>
    <row r="8245" spans="3:17" x14ac:dyDescent="0.3">
      <c r="C8245" s="87"/>
      <c r="H8245" s="86" t="e">
        <f>IF(I8245="fora",0%,G8245/QUÓRUM!$C$6)</f>
        <v>#DIV/0!</v>
      </c>
      <c r="I8245" s="87"/>
      <c r="J8245" s="88"/>
      <c r="K8245" s="88"/>
      <c r="L8245" s="89"/>
      <c r="M8245" s="89"/>
      <c r="Q8245" s="105"/>
    </row>
    <row r="8246" spans="3:17" x14ac:dyDescent="0.3">
      <c r="C8246" s="87"/>
      <c r="H8246" s="86" t="e">
        <f>IF(I8246="fora",0%,G8246/QUÓRUM!$C$6)</f>
        <v>#DIV/0!</v>
      </c>
      <c r="I8246" s="87"/>
      <c r="J8246" s="88"/>
      <c r="K8246" s="88"/>
      <c r="L8246" s="89"/>
      <c r="M8246" s="89"/>
      <c r="Q8246" s="105"/>
    </row>
    <row r="8247" spans="3:17" x14ac:dyDescent="0.3">
      <c r="C8247" s="87"/>
      <c r="H8247" s="86" t="e">
        <f>IF(I8247="fora",0%,G8247/QUÓRUM!$C$6)</f>
        <v>#DIV/0!</v>
      </c>
      <c r="I8247" s="87"/>
      <c r="J8247" s="88"/>
      <c r="K8247" s="88"/>
      <c r="L8247" s="89"/>
      <c r="M8247" s="89"/>
      <c r="Q8247" s="105"/>
    </row>
    <row r="8248" spans="3:17" x14ac:dyDescent="0.3">
      <c r="C8248" s="87"/>
      <c r="H8248" s="86" t="e">
        <f>IF(I8248="fora",0%,G8248/QUÓRUM!$C$6)</f>
        <v>#DIV/0!</v>
      </c>
      <c r="I8248" s="87"/>
      <c r="J8248" s="88"/>
      <c r="K8248" s="88"/>
      <c r="L8248" s="89"/>
      <c r="M8248" s="89"/>
      <c r="Q8248" s="105"/>
    </row>
    <row r="8249" spans="3:17" x14ac:dyDescent="0.3">
      <c r="C8249" s="87"/>
      <c r="H8249" s="86" t="e">
        <f>IF(I8249="fora",0%,G8249/QUÓRUM!$C$6)</f>
        <v>#DIV/0!</v>
      </c>
      <c r="I8249" s="87"/>
      <c r="J8249" s="88"/>
      <c r="K8249" s="88"/>
      <c r="L8249" s="89"/>
      <c r="M8249" s="89"/>
      <c r="Q8249" s="105"/>
    </row>
    <row r="8250" spans="3:17" x14ac:dyDescent="0.3">
      <c r="C8250" s="87"/>
      <c r="H8250" s="86" t="e">
        <f>IF(I8250="fora",0%,G8250/QUÓRUM!$C$6)</f>
        <v>#DIV/0!</v>
      </c>
      <c r="I8250" s="87"/>
      <c r="J8250" s="88"/>
      <c r="K8250" s="88"/>
      <c r="L8250" s="89"/>
      <c r="M8250" s="89"/>
      <c r="Q8250" s="105"/>
    </row>
    <row r="8251" spans="3:17" x14ac:dyDescent="0.3">
      <c r="C8251" s="87"/>
      <c r="H8251" s="86" t="e">
        <f>IF(I8251="fora",0%,G8251/QUÓRUM!$C$6)</f>
        <v>#DIV/0!</v>
      </c>
      <c r="I8251" s="87"/>
      <c r="J8251" s="88"/>
      <c r="K8251" s="88"/>
      <c r="L8251" s="89"/>
      <c r="M8251" s="89"/>
      <c r="Q8251" s="105"/>
    </row>
    <row r="8252" spans="3:17" x14ac:dyDescent="0.3">
      <c r="C8252" s="87"/>
      <c r="H8252" s="86" t="e">
        <f>IF(I8252="fora",0%,G8252/QUÓRUM!$C$6)</f>
        <v>#DIV/0!</v>
      </c>
      <c r="I8252" s="87"/>
      <c r="J8252" s="88"/>
      <c r="K8252" s="88"/>
      <c r="L8252" s="89"/>
      <c r="M8252" s="89"/>
      <c r="Q8252" s="105"/>
    </row>
    <row r="8253" spans="3:17" x14ac:dyDescent="0.3">
      <c r="C8253" s="87"/>
      <c r="H8253" s="86" t="e">
        <f>IF(I8253="fora",0%,G8253/QUÓRUM!$C$6)</f>
        <v>#DIV/0!</v>
      </c>
      <c r="I8253" s="87"/>
      <c r="J8253" s="88"/>
      <c r="K8253" s="88"/>
      <c r="L8253" s="89"/>
      <c r="M8253" s="89"/>
      <c r="Q8253" s="105"/>
    </row>
    <row r="8254" spans="3:17" x14ac:dyDescent="0.3">
      <c r="C8254" s="87"/>
      <c r="H8254" s="86" t="e">
        <f>IF(I8254="fora",0%,G8254/QUÓRUM!$C$6)</f>
        <v>#DIV/0!</v>
      </c>
      <c r="I8254" s="87"/>
      <c r="J8254" s="88"/>
      <c r="K8254" s="88"/>
      <c r="L8254" s="89"/>
      <c r="M8254" s="89"/>
      <c r="Q8254" s="105"/>
    </row>
    <row r="8255" spans="3:17" x14ac:dyDescent="0.3">
      <c r="C8255" s="87"/>
      <c r="H8255" s="86" t="e">
        <f>IF(I8255="fora",0%,G8255/QUÓRUM!$C$6)</f>
        <v>#DIV/0!</v>
      </c>
      <c r="I8255" s="87"/>
      <c r="J8255" s="88"/>
      <c r="K8255" s="88"/>
      <c r="L8255" s="89"/>
      <c r="M8255" s="89"/>
      <c r="Q8255" s="105"/>
    </row>
    <row r="8256" spans="3:17" x14ac:dyDescent="0.3">
      <c r="C8256" s="87"/>
      <c r="H8256" s="86" t="e">
        <f>IF(I8256="fora",0%,G8256/QUÓRUM!$C$6)</f>
        <v>#DIV/0!</v>
      </c>
      <c r="I8256" s="87"/>
      <c r="J8256" s="88"/>
      <c r="K8256" s="88"/>
      <c r="L8256" s="89"/>
      <c r="M8256" s="89"/>
      <c r="Q8256" s="105"/>
    </row>
    <row r="8257" spans="3:17" x14ac:dyDescent="0.3">
      <c r="C8257" s="87"/>
      <c r="H8257" s="86" t="e">
        <f>IF(I8257="fora",0%,G8257/QUÓRUM!$C$6)</f>
        <v>#DIV/0!</v>
      </c>
      <c r="I8257" s="87"/>
      <c r="J8257" s="88"/>
      <c r="K8257" s="88"/>
      <c r="L8257" s="89"/>
      <c r="M8257" s="89"/>
      <c r="Q8257" s="105"/>
    </row>
    <row r="8258" spans="3:17" x14ac:dyDescent="0.3">
      <c r="C8258" s="87"/>
      <c r="H8258" s="86" t="e">
        <f>IF(I8258="fora",0%,G8258/QUÓRUM!$C$6)</f>
        <v>#DIV/0!</v>
      </c>
      <c r="I8258" s="87"/>
      <c r="J8258" s="88"/>
      <c r="K8258" s="88"/>
      <c r="L8258" s="89"/>
      <c r="M8258" s="89"/>
      <c r="Q8258" s="105"/>
    </row>
    <row r="8259" spans="3:17" x14ac:dyDescent="0.3">
      <c r="C8259" s="87"/>
      <c r="H8259" s="86" t="e">
        <f>IF(I8259="fora",0%,G8259/QUÓRUM!$C$6)</f>
        <v>#DIV/0!</v>
      </c>
      <c r="I8259" s="87"/>
      <c r="J8259" s="88"/>
      <c r="K8259" s="88"/>
      <c r="L8259" s="89"/>
      <c r="M8259" s="89"/>
      <c r="Q8259" s="105"/>
    </row>
    <row r="8260" spans="3:17" x14ac:dyDescent="0.3">
      <c r="C8260" s="87"/>
      <c r="H8260" s="86" t="e">
        <f>IF(I8260="fora",0%,G8260/QUÓRUM!$C$6)</f>
        <v>#DIV/0!</v>
      </c>
      <c r="I8260" s="87"/>
      <c r="J8260" s="88"/>
      <c r="K8260" s="88"/>
      <c r="L8260" s="89"/>
      <c r="M8260" s="89"/>
      <c r="Q8260" s="105"/>
    </row>
    <row r="8261" spans="3:17" x14ac:dyDescent="0.3">
      <c r="C8261" s="87"/>
      <c r="H8261" s="86" t="e">
        <f>IF(I8261="fora",0%,G8261/QUÓRUM!$C$6)</f>
        <v>#DIV/0!</v>
      </c>
      <c r="I8261" s="87"/>
      <c r="J8261" s="88"/>
      <c r="K8261" s="88"/>
      <c r="L8261" s="89"/>
      <c r="M8261" s="89"/>
      <c r="Q8261" s="105"/>
    </row>
    <row r="8262" spans="3:17" x14ac:dyDescent="0.3">
      <c r="C8262" s="87"/>
      <c r="H8262" s="86" t="e">
        <f>IF(I8262="fora",0%,G8262/QUÓRUM!$C$6)</f>
        <v>#DIV/0!</v>
      </c>
      <c r="I8262" s="87"/>
      <c r="J8262" s="88"/>
      <c r="K8262" s="88"/>
      <c r="L8262" s="89"/>
      <c r="M8262" s="89"/>
      <c r="Q8262" s="105"/>
    </row>
    <row r="8263" spans="3:17" x14ac:dyDescent="0.3">
      <c r="C8263" s="87"/>
      <c r="H8263" s="86" t="e">
        <f>IF(I8263="fora",0%,G8263/QUÓRUM!$C$6)</f>
        <v>#DIV/0!</v>
      </c>
      <c r="I8263" s="87"/>
      <c r="J8263" s="88"/>
      <c r="K8263" s="88"/>
      <c r="L8263" s="89"/>
      <c r="M8263" s="89"/>
      <c r="Q8263" s="105"/>
    </row>
    <row r="8264" spans="3:17" x14ac:dyDescent="0.3">
      <c r="C8264" s="87"/>
      <c r="H8264" s="86" t="e">
        <f>IF(I8264="fora",0%,G8264/QUÓRUM!$C$6)</f>
        <v>#DIV/0!</v>
      </c>
      <c r="I8264" s="87"/>
      <c r="J8264" s="88"/>
      <c r="K8264" s="88"/>
      <c r="L8264" s="89"/>
      <c r="M8264" s="89"/>
      <c r="Q8264" s="105"/>
    </row>
    <row r="8265" spans="3:17" x14ac:dyDescent="0.3">
      <c r="C8265" s="87"/>
      <c r="H8265" s="86" t="e">
        <f>IF(I8265="fora",0%,G8265/QUÓRUM!$C$6)</f>
        <v>#DIV/0!</v>
      </c>
      <c r="I8265" s="87"/>
      <c r="J8265" s="88"/>
      <c r="K8265" s="88"/>
      <c r="L8265" s="89"/>
      <c r="M8265" s="89"/>
      <c r="Q8265" s="105"/>
    </row>
    <row r="8266" spans="3:17" x14ac:dyDescent="0.3">
      <c r="C8266" s="87"/>
      <c r="H8266" s="86" t="e">
        <f>IF(I8266="fora",0%,G8266/QUÓRUM!$C$6)</f>
        <v>#DIV/0!</v>
      </c>
      <c r="I8266" s="87"/>
      <c r="J8266" s="88"/>
      <c r="K8266" s="88"/>
      <c r="L8266" s="89"/>
      <c r="M8266" s="89"/>
      <c r="Q8266" s="105"/>
    </row>
    <row r="8267" spans="3:17" x14ac:dyDescent="0.3">
      <c r="C8267" s="87"/>
      <c r="H8267" s="86" t="e">
        <f>IF(I8267="fora",0%,G8267/QUÓRUM!$C$6)</f>
        <v>#DIV/0!</v>
      </c>
      <c r="I8267" s="87"/>
      <c r="J8267" s="88"/>
      <c r="K8267" s="88"/>
      <c r="L8267" s="89"/>
      <c r="M8267" s="89"/>
      <c r="Q8267" s="105"/>
    </row>
    <row r="8268" spans="3:17" x14ac:dyDescent="0.3">
      <c r="C8268" s="87"/>
      <c r="H8268" s="86" t="e">
        <f>IF(I8268="fora",0%,G8268/QUÓRUM!$C$6)</f>
        <v>#DIV/0!</v>
      </c>
      <c r="I8268" s="87"/>
      <c r="J8268" s="88"/>
      <c r="K8268" s="88"/>
      <c r="L8268" s="89"/>
      <c r="M8268" s="89"/>
      <c r="Q8268" s="105"/>
    </row>
    <row r="8269" spans="3:17" x14ac:dyDescent="0.3">
      <c r="C8269" s="87"/>
      <c r="H8269" s="86" t="e">
        <f>IF(I8269="fora",0%,G8269/QUÓRUM!$C$6)</f>
        <v>#DIV/0!</v>
      </c>
      <c r="I8269" s="87"/>
      <c r="J8269" s="88"/>
      <c r="K8269" s="88"/>
      <c r="L8269" s="89"/>
      <c r="M8269" s="89"/>
      <c r="Q8269" s="105"/>
    </row>
    <row r="8270" spans="3:17" x14ac:dyDescent="0.3">
      <c r="C8270" s="87"/>
      <c r="H8270" s="86" t="e">
        <f>IF(I8270="fora",0%,G8270/QUÓRUM!$C$6)</f>
        <v>#DIV/0!</v>
      </c>
      <c r="I8270" s="87"/>
      <c r="J8270" s="88"/>
      <c r="K8270" s="88"/>
      <c r="L8270" s="89"/>
      <c r="M8270" s="89"/>
      <c r="Q8270" s="105"/>
    </row>
    <row r="8271" spans="3:17" x14ac:dyDescent="0.3">
      <c r="C8271" s="87"/>
      <c r="H8271" s="86" t="e">
        <f>IF(I8271="fora",0%,G8271/QUÓRUM!$C$6)</f>
        <v>#DIV/0!</v>
      </c>
      <c r="I8271" s="87"/>
      <c r="J8271" s="88"/>
      <c r="K8271" s="88"/>
      <c r="L8271" s="89"/>
      <c r="M8271" s="89"/>
      <c r="Q8271" s="105"/>
    </row>
    <row r="8272" spans="3:17" x14ac:dyDescent="0.3">
      <c r="C8272" s="87"/>
      <c r="H8272" s="86" t="e">
        <f>IF(I8272="fora",0%,G8272/QUÓRUM!$C$6)</f>
        <v>#DIV/0!</v>
      </c>
      <c r="I8272" s="87"/>
      <c r="J8272" s="88"/>
      <c r="K8272" s="88"/>
      <c r="L8272" s="89"/>
      <c r="M8272" s="89"/>
      <c r="Q8272" s="105"/>
    </row>
    <row r="8273" spans="3:17" x14ac:dyDescent="0.3">
      <c r="C8273" s="87"/>
      <c r="H8273" s="86" t="e">
        <f>IF(I8273="fora",0%,G8273/QUÓRUM!$C$6)</f>
        <v>#DIV/0!</v>
      </c>
      <c r="I8273" s="87"/>
      <c r="J8273" s="88"/>
      <c r="K8273" s="88"/>
      <c r="L8273" s="89"/>
      <c r="M8273" s="89"/>
      <c r="Q8273" s="105"/>
    </row>
    <row r="8274" spans="3:17" x14ac:dyDescent="0.3">
      <c r="C8274" s="87"/>
      <c r="H8274" s="86" t="e">
        <f>IF(I8274="fora",0%,G8274/QUÓRUM!$C$6)</f>
        <v>#DIV/0!</v>
      </c>
      <c r="I8274" s="87"/>
      <c r="J8274" s="88"/>
      <c r="K8274" s="88"/>
      <c r="L8274" s="89"/>
      <c r="M8274" s="89"/>
      <c r="Q8274" s="105"/>
    </row>
    <row r="8275" spans="3:17" x14ac:dyDescent="0.3">
      <c r="C8275" s="87"/>
      <c r="H8275" s="86" t="e">
        <f>IF(I8275="fora",0%,G8275/QUÓRUM!$C$6)</f>
        <v>#DIV/0!</v>
      </c>
      <c r="I8275" s="87"/>
      <c r="J8275" s="88"/>
      <c r="K8275" s="88"/>
      <c r="L8275" s="89"/>
      <c r="M8275" s="89"/>
      <c r="Q8275" s="105"/>
    </row>
    <row r="8276" spans="3:17" x14ac:dyDescent="0.3">
      <c r="C8276" s="87"/>
      <c r="H8276" s="86" t="e">
        <f>IF(I8276="fora",0%,G8276/QUÓRUM!$C$6)</f>
        <v>#DIV/0!</v>
      </c>
      <c r="I8276" s="87"/>
      <c r="J8276" s="88"/>
      <c r="K8276" s="88"/>
      <c r="L8276" s="89"/>
      <c r="M8276" s="89"/>
    </row>
    <row r="8277" spans="3:17" x14ac:dyDescent="0.3">
      <c r="C8277" s="87"/>
      <c r="H8277" s="86" t="e">
        <f>IF(I8277="fora",0%,G8277/QUÓRUM!$C$6)</f>
        <v>#DIV/0!</v>
      </c>
      <c r="I8277" s="87"/>
      <c r="J8277" s="88"/>
      <c r="K8277" s="88"/>
      <c r="L8277" s="89"/>
      <c r="M8277" s="89"/>
    </row>
    <row r="8278" spans="3:17" x14ac:dyDescent="0.3">
      <c r="C8278" s="87"/>
      <c r="H8278" s="86" t="e">
        <f>IF(I8278="fora",0%,G8278/QUÓRUM!$C$6)</f>
        <v>#DIV/0!</v>
      </c>
      <c r="I8278" s="87"/>
      <c r="J8278" s="88"/>
      <c r="K8278" s="88"/>
      <c r="L8278" s="89"/>
      <c r="M8278" s="89"/>
    </row>
    <row r="8279" spans="3:17" x14ac:dyDescent="0.3">
      <c r="C8279" s="87"/>
      <c r="H8279" s="86" t="e">
        <f>IF(I8279="fora",0%,G8279/QUÓRUM!$C$6)</f>
        <v>#DIV/0!</v>
      </c>
      <c r="I8279" s="87"/>
      <c r="J8279" s="88"/>
      <c r="K8279" s="88"/>
      <c r="L8279" s="89"/>
      <c r="M8279" s="89"/>
    </row>
    <row r="8280" spans="3:17" x14ac:dyDescent="0.3">
      <c r="C8280" s="87"/>
      <c r="H8280" s="86" t="e">
        <f>IF(I8280="fora",0%,G8280/QUÓRUM!$C$6)</f>
        <v>#DIV/0!</v>
      </c>
      <c r="I8280" s="87"/>
      <c r="J8280" s="88"/>
      <c r="K8280" s="88"/>
      <c r="L8280" s="89"/>
      <c r="M8280" s="89"/>
    </row>
    <row r="8281" spans="3:17" x14ac:dyDescent="0.3">
      <c r="C8281" s="87"/>
      <c r="H8281" s="86" t="e">
        <f>IF(I8281="fora",0%,G8281/QUÓRUM!$C$6)</f>
        <v>#DIV/0!</v>
      </c>
      <c r="I8281" s="87"/>
      <c r="J8281" s="88"/>
      <c r="K8281" s="88"/>
      <c r="L8281" s="89"/>
      <c r="M8281" s="89"/>
    </row>
    <row r="8282" spans="3:17" x14ac:dyDescent="0.3">
      <c r="C8282" s="87"/>
      <c r="H8282" s="86" t="e">
        <f>IF(I8282="fora",0%,G8282/QUÓRUM!$C$6)</f>
        <v>#DIV/0!</v>
      </c>
      <c r="I8282" s="87"/>
      <c r="J8282" s="88"/>
      <c r="K8282" s="88"/>
      <c r="L8282" s="89"/>
      <c r="M8282" s="89"/>
    </row>
    <row r="8283" spans="3:17" x14ac:dyDescent="0.3">
      <c r="C8283" s="87"/>
      <c r="H8283" s="86" t="e">
        <f>IF(I8283="fora",0%,G8283/QUÓRUM!$C$6)</f>
        <v>#DIV/0!</v>
      </c>
      <c r="I8283" s="87"/>
      <c r="J8283" s="88"/>
      <c r="K8283" s="88"/>
      <c r="L8283" s="89"/>
      <c r="M8283" s="89"/>
    </row>
    <row r="8284" spans="3:17" x14ac:dyDescent="0.3">
      <c r="C8284" s="87"/>
      <c r="H8284" s="86" t="e">
        <f>IF(I8284="fora",0%,G8284/QUÓRUM!$C$6)</f>
        <v>#DIV/0!</v>
      </c>
      <c r="I8284" s="87"/>
      <c r="J8284" s="88"/>
      <c r="K8284" s="88"/>
      <c r="L8284" s="89"/>
      <c r="M8284" s="89"/>
    </row>
    <row r="8285" spans="3:17" x14ac:dyDescent="0.3">
      <c r="C8285" s="87"/>
      <c r="H8285" s="86" t="e">
        <f>IF(I8285="fora",0%,G8285/QUÓRUM!$C$6)</f>
        <v>#DIV/0!</v>
      </c>
      <c r="I8285" s="87"/>
      <c r="J8285" s="88"/>
      <c r="K8285" s="88"/>
      <c r="L8285" s="89"/>
      <c r="M8285" s="89"/>
    </row>
    <row r="8286" spans="3:17" x14ac:dyDescent="0.3">
      <c r="C8286" s="87"/>
      <c r="H8286" s="86" t="e">
        <f>IF(I8286="fora",0%,G8286/QUÓRUM!$C$6)</f>
        <v>#DIV/0!</v>
      </c>
      <c r="I8286" s="87"/>
      <c r="J8286" s="88"/>
      <c r="K8286" s="88"/>
      <c r="L8286" s="89"/>
      <c r="M8286" s="89"/>
    </row>
    <row r="8287" spans="3:17" x14ac:dyDescent="0.3">
      <c r="C8287" s="87"/>
      <c r="H8287" s="86" t="e">
        <f>IF(I8287="fora",0%,G8287/QUÓRUM!$C$6)</f>
        <v>#DIV/0!</v>
      </c>
      <c r="I8287" s="87"/>
      <c r="J8287" s="88"/>
      <c r="K8287" s="88"/>
      <c r="L8287" s="89"/>
      <c r="M8287" s="89"/>
    </row>
    <row r="8288" spans="3:17" x14ac:dyDescent="0.3">
      <c r="C8288" s="87"/>
      <c r="H8288" s="86" t="e">
        <f>IF(I8288="fora",0%,G8288/QUÓRUM!$C$6)</f>
        <v>#DIV/0!</v>
      </c>
      <c r="I8288" s="87"/>
      <c r="J8288" s="88"/>
      <c r="K8288" s="88"/>
      <c r="L8288" s="89"/>
      <c r="M8288" s="89"/>
    </row>
    <row r="8289" spans="3:13" x14ac:dyDescent="0.3">
      <c r="C8289" s="87"/>
      <c r="H8289" s="86" t="e">
        <f>IF(I8289="fora",0%,G8289/QUÓRUM!$C$6)</f>
        <v>#DIV/0!</v>
      </c>
      <c r="I8289" s="87"/>
      <c r="J8289" s="88"/>
      <c r="K8289" s="88"/>
      <c r="L8289" s="89"/>
      <c r="M8289" s="89"/>
    </row>
    <row r="8290" spans="3:13" x14ac:dyDescent="0.3">
      <c r="C8290" s="87"/>
      <c r="H8290" s="86" t="e">
        <f>IF(I8290="fora",0%,G8290/QUÓRUM!$C$6)</f>
        <v>#DIV/0!</v>
      </c>
      <c r="I8290" s="87"/>
      <c r="J8290" s="88"/>
      <c r="K8290" s="88"/>
      <c r="L8290" s="89"/>
      <c r="M8290" s="89"/>
    </row>
    <row r="8291" spans="3:13" x14ac:dyDescent="0.3">
      <c r="C8291" s="87"/>
      <c r="H8291" s="86" t="e">
        <f>IF(I8291="fora",0%,G8291/QUÓRUM!$C$6)</f>
        <v>#DIV/0!</v>
      </c>
      <c r="I8291" s="87"/>
      <c r="J8291" s="88"/>
      <c r="K8291" s="88"/>
      <c r="L8291" s="89"/>
      <c r="M8291" s="89"/>
    </row>
    <row r="8292" spans="3:13" x14ac:dyDescent="0.3">
      <c r="C8292" s="87"/>
      <c r="H8292" s="86" t="e">
        <f>IF(I8292="fora",0%,G8292/QUÓRUM!$C$6)</f>
        <v>#DIV/0!</v>
      </c>
      <c r="I8292" s="87"/>
      <c r="J8292" s="88"/>
      <c r="K8292" s="88"/>
      <c r="L8292" s="89"/>
      <c r="M8292" s="89"/>
    </row>
    <row r="8293" spans="3:13" x14ac:dyDescent="0.3">
      <c r="C8293" s="87"/>
      <c r="H8293" s="86" t="e">
        <f>IF(I8293="fora",0%,G8293/QUÓRUM!$C$6)</f>
        <v>#DIV/0!</v>
      </c>
      <c r="I8293" s="87"/>
      <c r="J8293" s="88"/>
      <c r="K8293" s="88"/>
      <c r="L8293" s="89"/>
      <c r="M8293" s="89"/>
    </row>
    <row r="8294" spans="3:13" x14ac:dyDescent="0.3">
      <c r="C8294" s="87"/>
      <c r="H8294" s="86" t="e">
        <f>IF(I8294="fora",0%,G8294/QUÓRUM!$C$6)</f>
        <v>#DIV/0!</v>
      </c>
      <c r="I8294" s="87"/>
      <c r="J8294" s="88"/>
      <c r="K8294" s="88"/>
      <c r="L8294" s="89"/>
      <c r="M8294" s="89"/>
    </row>
    <row r="8295" spans="3:13" x14ac:dyDescent="0.3">
      <c r="C8295" s="87"/>
      <c r="H8295" s="86" t="e">
        <f>IF(I8295="fora",0%,G8295/QUÓRUM!$C$6)</f>
        <v>#DIV/0!</v>
      </c>
      <c r="I8295" s="87"/>
      <c r="J8295" s="88"/>
      <c r="K8295" s="88"/>
      <c r="L8295" s="89"/>
      <c r="M8295" s="89"/>
    </row>
    <row r="8296" spans="3:13" x14ac:dyDescent="0.3">
      <c r="C8296" s="87"/>
      <c r="H8296" s="86" t="e">
        <f>IF(I8296="fora",0%,G8296/QUÓRUM!$C$6)</f>
        <v>#DIV/0!</v>
      </c>
      <c r="I8296" s="87"/>
      <c r="J8296" s="88"/>
      <c r="K8296" s="88"/>
      <c r="L8296" s="89"/>
      <c r="M8296" s="89"/>
    </row>
    <row r="8297" spans="3:13" x14ac:dyDescent="0.3">
      <c r="C8297" s="87"/>
      <c r="H8297" s="86" t="e">
        <f>IF(I8297="fora",0%,G8297/QUÓRUM!$C$6)</f>
        <v>#DIV/0!</v>
      </c>
      <c r="I8297" s="87"/>
      <c r="J8297" s="88"/>
      <c r="K8297" s="88"/>
      <c r="L8297" s="89"/>
      <c r="M8297" s="89"/>
    </row>
    <row r="8298" spans="3:13" x14ac:dyDescent="0.3">
      <c r="C8298" s="87"/>
      <c r="H8298" s="86" t="e">
        <f>IF(I8298="fora",0%,G8298/QUÓRUM!$C$6)</f>
        <v>#DIV/0!</v>
      </c>
      <c r="I8298" s="87"/>
      <c r="J8298" s="88"/>
      <c r="K8298" s="88"/>
      <c r="L8298" s="89"/>
      <c r="M8298" s="89"/>
    </row>
    <row r="8299" spans="3:13" x14ac:dyDescent="0.3">
      <c r="C8299" s="87"/>
      <c r="H8299" s="86" t="e">
        <f>IF(I8299="fora",0%,G8299/QUÓRUM!$C$6)</f>
        <v>#DIV/0!</v>
      </c>
      <c r="I8299" s="87"/>
      <c r="J8299" s="88"/>
      <c r="K8299" s="88"/>
      <c r="L8299" s="89"/>
      <c r="M8299" s="89"/>
    </row>
    <row r="8300" spans="3:13" x14ac:dyDescent="0.3">
      <c r="C8300" s="87"/>
      <c r="H8300" s="86" t="e">
        <f>IF(I8300="fora",0%,G8300/QUÓRUM!$C$6)</f>
        <v>#DIV/0!</v>
      </c>
      <c r="I8300" s="87"/>
      <c r="J8300" s="88"/>
      <c r="K8300" s="88"/>
      <c r="L8300" s="89"/>
      <c r="M8300" s="89"/>
    </row>
    <row r="8301" spans="3:13" x14ac:dyDescent="0.3">
      <c r="C8301" s="87"/>
      <c r="H8301" s="86" t="e">
        <f>IF(I8301="fora",0%,G8301/QUÓRUM!$C$6)</f>
        <v>#DIV/0!</v>
      </c>
      <c r="I8301" s="87"/>
      <c r="J8301" s="88"/>
      <c r="K8301" s="88"/>
      <c r="L8301" s="89"/>
      <c r="M8301" s="89"/>
    </row>
    <row r="8302" spans="3:13" x14ac:dyDescent="0.3">
      <c r="C8302" s="87"/>
      <c r="H8302" s="86" t="e">
        <f>IF(I8302="fora",0%,G8302/QUÓRUM!$C$6)</f>
        <v>#DIV/0!</v>
      </c>
      <c r="I8302" s="87"/>
      <c r="J8302" s="88"/>
      <c r="K8302" s="88"/>
      <c r="L8302" s="89"/>
      <c r="M8302" s="89"/>
    </row>
    <row r="8303" spans="3:13" x14ac:dyDescent="0.3">
      <c r="C8303" s="87"/>
      <c r="H8303" s="86" t="e">
        <f>IF(I8303="fora",0%,G8303/QUÓRUM!$C$6)</f>
        <v>#DIV/0!</v>
      </c>
      <c r="I8303" s="87"/>
      <c r="J8303" s="88"/>
      <c r="K8303" s="88"/>
      <c r="L8303" s="89"/>
      <c r="M8303" s="89"/>
    </row>
    <row r="8304" spans="3:13" x14ac:dyDescent="0.3">
      <c r="C8304" s="87"/>
      <c r="H8304" s="86" t="e">
        <f>IF(I8304="fora",0%,G8304/QUÓRUM!$C$6)</f>
        <v>#DIV/0!</v>
      </c>
      <c r="I8304" s="87"/>
      <c r="J8304" s="88"/>
      <c r="K8304" s="88"/>
      <c r="L8304" s="89"/>
      <c r="M8304" s="89"/>
    </row>
    <row r="8305" spans="3:13" x14ac:dyDescent="0.3">
      <c r="C8305" s="87"/>
      <c r="H8305" s="86" t="e">
        <f>IF(I8305="fora",0%,G8305/QUÓRUM!$C$6)</f>
        <v>#DIV/0!</v>
      </c>
      <c r="I8305" s="87"/>
      <c r="J8305" s="88"/>
      <c r="K8305" s="88"/>
      <c r="L8305" s="89"/>
      <c r="M8305" s="89"/>
    </row>
    <row r="8306" spans="3:13" x14ac:dyDescent="0.3">
      <c r="C8306" s="87"/>
      <c r="H8306" s="86" t="e">
        <f>IF(I8306="fora",0%,G8306/QUÓRUM!$C$6)</f>
        <v>#DIV/0!</v>
      </c>
      <c r="I8306" s="87"/>
      <c r="J8306" s="88"/>
      <c r="K8306" s="88"/>
      <c r="L8306" s="89"/>
      <c r="M8306" s="89"/>
    </row>
    <row r="8307" spans="3:13" x14ac:dyDescent="0.3">
      <c r="C8307" s="87"/>
      <c r="H8307" s="86" t="e">
        <f>IF(I8307="fora",0%,G8307/QUÓRUM!$C$6)</f>
        <v>#DIV/0!</v>
      </c>
      <c r="I8307" s="87"/>
      <c r="J8307" s="88"/>
      <c r="K8307" s="88"/>
      <c r="L8307" s="89"/>
      <c r="M8307" s="89"/>
    </row>
    <row r="8308" spans="3:13" x14ac:dyDescent="0.3">
      <c r="C8308" s="87"/>
      <c r="H8308" s="86" t="e">
        <f>IF(I8308="fora",0%,G8308/QUÓRUM!$C$6)</f>
        <v>#DIV/0!</v>
      </c>
      <c r="I8308" s="87"/>
      <c r="J8308" s="88"/>
      <c r="K8308" s="88"/>
      <c r="L8308" s="89"/>
      <c r="M8308" s="89"/>
    </row>
    <row r="8309" spans="3:13" x14ac:dyDescent="0.3">
      <c r="C8309" s="87"/>
      <c r="H8309" s="86" t="e">
        <f>IF(I8309="fora",0%,G8309/QUÓRUM!$C$6)</f>
        <v>#DIV/0!</v>
      </c>
      <c r="I8309" s="87"/>
      <c r="J8309" s="88"/>
      <c r="K8309" s="88"/>
      <c r="L8309" s="89"/>
      <c r="M8309" s="89"/>
    </row>
    <row r="8310" spans="3:13" x14ac:dyDescent="0.3">
      <c r="C8310" s="87"/>
      <c r="H8310" s="86" t="e">
        <f>IF(I8310="fora",0%,G8310/QUÓRUM!$C$6)</f>
        <v>#DIV/0!</v>
      </c>
      <c r="I8310" s="87"/>
      <c r="J8310" s="88"/>
      <c r="K8310" s="88"/>
      <c r="L8310" s="89"/>
      <c r="M8310" s="89"/>
    </row>
    <row r="8311" spans="3:13" x14ac:dyDescent="0.3">
      <c r="C8311" s="87"/>
      <c r="H8311" s="86" t="e">
        <f>IF(I8311="fora",0%,G8311/QUÓRUM!$C$6)</f>
        <v>#DIV/0!</v>
      </c>
      <c r="I8311" s="87"/>
      <c r="J8311" s="88"/>
      <c r="K8311" s="88"/>
      <c r="L8311" s="89"/>
      <c r="M8311" s="89"/>
    </row>
    <row r="8312" spans="3:13" x14ac:dyDescent="0.3">
      <c r="C8312" s="87"/>
      <c r="H8312" s="86" t="e">
        <f>IF(I8312="fora",0%,G8312/QUÓRUM!$C$6)</f>
        <v>#DIV/0!</v>
      </c>
      <c r="I8312" s="87"/>
      <c r="J8312" s="88"/>
      <c r="K8312" s="88"/>
      <c r="L8312" s="89"/>
      <c r="M8312" s="89"/>
    </row>
    <row r="8313" spans="3:13" x14ac:dyDescent="0.3">
      <c r="C8313" s="87"/>
      <c r="H8313" s="86" t="e">
        <f>IF(I8313="fora",0%,G8313/QUÓRUM!$C$6)</f>
        <v>#DIV/0!</v>
      </c>
      <c r="I8313" s="87"/>
      <c r="J8313" s="88"/>
      <c r="K8313" s="88"/>
      <c r="L8313" s="89"/>
      <c r="M8313" s="89"/>
    </row>
    <row r="8314" spans="3:13" x14ac:dyDescent="0.3">
      <c r="C8314" s="87"/>
      <c r="H8314" s="86" t="e">
        <f>IF(I8314="fora",0%,G8314/QUÓRUM!$C$6)</f>
        <v>#DIV/0!</v>
      </c>
      <c r="I8314" s="87"/>
      <c r="J8314" s="88"/>
      <c r="K8314" s="88"/>
      <c r="L8314" s="89"/>
      <c r="M8314" s="89"/>
    </row>
    <row r="8315" spans="3:13" x14ac:dyDescent="0.3">
      <c r="C8315" s="87"/>
      <c r="H8315" s="86" t="e">
        <f>IF(I8315="fora",0%,G8315/QUÓRUM!$C$6)</f>
        <v>#DIV/0!</v>
      </c>
      <c r="I8315" s="87"/>
      <c r="J8315" s="88"/>
      <c r="K8315" s="88"/>
      <c r="L8315" s="89"/>
      <c r="M8315" s="89"/>
    </row>
    <row r="8316" spans="3:13" x14ac:dyDescent="0.3">
      <c r="C8316" s="87"/>
      <c r="H8316" s="86" t="e">
        <f>IF(I8316="fora",0%,G8316/QUÓRUM!$C$6)</f>
        <v>#DIV/0!</v>
      </c>
      <c r="I8316" s="87"/>
      <c r="J8316" s="88"/>
      <c r="K8316" s="88"/>
      <c r="L8316" s="89"/>
      <c r="M8316" s="89"/>
    </row>
    <row r="8317" spans="3:13" x14ac:dyDescent="0.3">
      <c r="C8317" s="87"/>
      <c r="H8317" s="86" t="e">
        <f>IF(I8317="fora",0%,G8317/QUÓRUM!$C$6)</f>
        <v>#DIV/0!</v>
      </c>
      <c r="I8317" s="87"/>
      <c r="J8317" s="88"/>
      <c r="K8317" s="88"/>
      <c r="L8317" s="89"/>
      <c r="M8317" s="89"/>
    </row>
    <row r="8318" spans="3:13" x14ac:dyDescent="0.3">
      <c r="C8318" s="87"/>
      <c r="H8318" s="86" t="e">
        <f>IF(I8318="fora",0%,G8318/QUÓRUM!$C$6)</f>
        <v>#DIV/0!</v>
      </c>
      <c r="I8318" s="87"/>
      <c r="J8318" s="88"/>
      <c r="K8318" s="88"/>
      <c r="L8318" s="89"/>
      <c r="M8318" s="89"/>
    </row>
    <row r="8319" spans="3:13" x14ac:dyDescent="0.3">
      <c r="C8319" s="87"/>
      <c r="H8319" s="86" t="e">
        <f>IF(I8319="fora",0%,G8319/QUÓRUM!$C$6)</f>
        <v>#DIV/0!</v>
      </c>
      <c r="I8319" s="87"/>
      <c r="J8319" s="88"/>
      <c r="K8319" s="88"/>
      <c r="L8319" s="89"/>
      <c r="M8319" s="89"/>
    </row>
    <row r="8320" spans="3:13" x14ac:dyDescent="0.3">
      <c r="C8320" s="87"/>
      <c r="H8320" s="86" t="e">
        <f>IF(I8320="fora",0%,G8320/QUÓRUM!$C$6)</f>
        <v>#DIV/0!</v>
      </c>
      <c r="I8320" s="87"/>
      <c r="J8320" s="88"/>
      <c r="K8320" s="88"/>
      <c r="L8320" s="89"/>
      <c r="M8320" s="89"/>
    </row>
    <row r="8321" spans="3:13" x14ac:dyDescent="0.3">
      <c r="C8321" s="87"/>
      <c r="H8321" s="86" t="e">
        <f>IF(I8321="fora",0%,G8321/QUÓRUM!$C$6)</f>
        <v>#DIV/0!</v>
      </c>
      <c r="I8321" s="87"/>
      <c r="J8321" s="88"/>
      <c r="K8321" s="88"/>
      <c r="L8321" s="89"/>
      <c r="M8321" s="89"/>
    </row>
    <row r="8322" spans="3:13" x14ac:dyDescent="0.3">
      <c r="C8322" s="87"/>
      <c r="H8322" s="86" t="e">
        <f>IF(I8322="fora",0%,G8322/QUÓRUM!$C$6)</f>
        <v>#DIV/0!</v>
      </c>
      <c r="I8322" s="87"/>
      <c r="J8322" s="88"/>
      <c r="K8322" s="88"/>
      <c r="L8322" s="89"/>
      <c r="M8322" s="89"/>
    </row>
    <row r="8323" spans="3:13" x14ac:dyDescent="0.3">
      <c r="C8323" s="87"/>
      <c r="H8323" s="86" t="e">
        <f>IF(I8323="fora",0%,G8323/QUÓRUM!$C$6)</f>
        <v>#DIV/0!</v>
      </c>
      <c r="I8323" s="87"/>
      <c r="J8323" s="88"/>
      <c r="K8323" s="88"/>
      <c r="L8323" s="89"/>
      <c r="M8323" s="89"/>
    </row>
    <row r="8324" spans="3:13" x14ac:dyDescent="0.3">
      <c r="C8324" s="87"/>
      <c r="H8324" s="86" t="e">
        <f>IF(I8324="fora",0%,G8324/QUÓRUM!$C$6)</f>
        <v>#DIV/0!</v>
      </c>
      <c r="I8324" s="87"/>
      <c r="J8324" s="88"/>
      <c r="K8324" s="88"/>
      <c r="L8324" s="89"/>
      <c r="M8324" s="89"/>
    </row>
    <row r="8325" spans="3:13" x14ac:dyDescent="0.3">
      <c r="C8325" s="87"/>
      <c r="H8325" s="86" t="e">
        <f>IF(I8325="fora",0%,G8325/QUÓRUM!$C$6)</f>
        <v>#DIV/0!</v>
      </c>
      <c r="I8325" s="87"/>
      <c r="J8325" s="88"/>
      <c r="K8325" s="88"/>
      <c r="L8325" s="89"/>
      <c r="M8325" s="89"/>
    </row>
    <row r="8326" spans="3:13" x14ac:dyDescent="0.3">
      <c r="C8326" s="87"/>
      <c r="H8326" s="86" t="e">
        <f>IF(I8326="fora",0%,G8326/QUÓRUM!$C$6)</f>
        <v>#DIV/0!</v>
      </c>
      <c r="I8326" s="87"/>
      <c r="J8326" s="88"/>
      <c r="K8326" s="88"/>
      <c r="L8326" s="89"/>
      <c r="M8326" s="89"/>
    </row>
    <row r="8327" spans="3:13" x14ac:dyDescent="0.3">
      <c r="C8327" s="87"/>
      <c r="H8327" s="86" t="e">
        <f>IF(I8327="fora",0%,G8327/QUÓRUM!$C$6)</f>
        <v>#DIV/0!</v>
      </c>
      <c r="I8327" s="87"/>
      <c r="J8327" s="88"/>
      <c r="K8327" s="88"/>
      <c r="L8327" s="89"/>
      <c r="M8327" s="89"/>
    </row>
    <row r="8328" spans="3:13" x14ac:dyDescent="0.3">
      <c r="C8328" s="87"/>
      <c r="H8328" s="86" t="e">
        <f>IF(I8328="fora",0%,G8328/QUÓRUM!$C$6)</f>
        <v>#DIV/0!</v>
      </c>
      <c r="I8328" s="87"/>
      <c r="J8328" s="88"/>
      <c r="K8328" s="88"/>
      <c r="L8328" s="89"/>
      <c r="M8328" s="89"/>
    </row>
    <row r="8329" spans="3:13" x14ac:dyDescent="0.3">
      <c r="C8329" s="87"/>
      <c r="H8329" s="86" t="e">
        <f>IF(I8329="fora",0%,G8329/QUÓRUM!$C$6)</f>
        <v>#DIV/0!</v>
      </c>
      <c r="I8329" s="87"/>
      <c r="J8329" s="88"/>
      <c r="K8329" s="88"/>
      <c r="L8329" s="89"/>
      <c r="M8329" s="89"/>
    </row>
    <row r="8330" spans="3:13" x14ac:dyDescent="0.3">
      <c r="C8330" s="87"/>
      <c r="H8330" s="86" t="e">
        <f>IF(I8330="fora",0%,G8330/QUÓRUM!$C$6)</f>
        <v>#DIV/0!</v>
      </c>
      <c r="I8330" s="87"/>
      <c r="J8330" s="88"/>
      <c r="K8330" s="88"/>
      <c r="L8330" s="89"/>
      <c r="M8330" s="89"/>
    </row>
    <row r="8331" spans="3:13" x14ac:dyDescent="0.3">
      <c r="C8331" s="87"/>
      <c r="H8331" s="86" t="e">
        <f>IF(I8331="fora",0%,G8331/QUÓRUM!$C$6)</f>
        <v>#DIV/0!</v>
      </c>
      <c r="I8331" s="87"/>
      <c r="J8331" s="88"/>
      <c r="K8331" s="88"/>
      <c r="L8331" s="89"/>
      <c r="M8331" s="89"/>
    </row>
    <row r="8332" spans="3:13" x14ac:dyDescent="0.3">
      <c r="C8332" s="87"/>
      <c r="H8332" s="86" t="e">
        <f>IF(I8332="fora",0%,G8332/QUÓRUM!$C$6)</f>
        <v>#DIV/0!</v>
      </c>
      <c r="I8332" s="87"/>
      <c r="J8332" s="88"/>
      <c r="K8332" s="88"/>
      <c r="L8332" s="89"/>
      <c r="M8332" s="89"/>
    </row>
    <row r="8333" spans="3:13" x14ac:dyDescent="0.3">
      <c r="C8333" s="87"/>
      <c r="H8333" s="86" t="e">
        <f>IF(I8333="fora",0%,G8333/QUÓRUM!$C$6)</f>
        <v>#DIV/0!</v>
      </c>
      <c r="I8333" s="87"/>
      <c r="J8333" s="88"/>
      <c r="K8333" s="88"/>
      <c r="L8333" s="89"/>
      <c r="M8333" s="89"/>
    </row>
    <row r="8334" spans="3:13" x14ac:dyDescent="0.3">
      <c r="C8334" s="87"/>
      <c r="H8334" s="86" t="e">
        <f>IF(I8334="fora",0%,G8334/QUÓRUM!$C$6)</f>
        <v>#DIV/0!</v>
      </c>
      <c r="I8334" s="87"/>
      <c r="J8334" s="88"/>
      <c r="K8334" s="88"/>
      <c r="L8334" s="89"/>
      <c r="M8334" s="89"/>
    </row>
    <row r="8335" spans="3:13" x14ac:dyDescent="0.3">
      <c r="C8335" s="87"/>
      <c r="H8335" s="86" t="e">
        <f>IF(I8335="fora",0%,G8335/QUÓRUM!$C$6)</f>
        <v>#DIV/0!</v>
      </c>
      <c r="I8335" s="87"/>
      <c r="J8335" s="88"/>
      <c r="K8335" s="88"/>
      <c r="L8335" s="89"/>
      <c r="M8335" s="89"/>
    </row>
    <row r="8336" spans="3:13" x14ac:dyDescent="0.3">
      <c r="C8336" s="87"/>
      <c r="H8336" s="86" t="e">
        <f>IF(I8336="fora",0%,G8336/QUÓRUM!$C$6)</f>
        <v>#DIV/0!</v>
      </c>
      <c r="I8336" s="87"/>
      <c r="J8336" s="88"/>
      <c r="K8336" s="88"/>
      <c r="L8336" s="89"/>
      <c r="M8336" s="89"/>
    </row>
    <row r="8337" spans="3:13" x14ac:dyDescent="0.3">
      <c r="C8337" s="87"/>
      <c r="H8337" s="86" t="e">
        <f>IF(I8337="fora",0%,G8337/QUÓRUM!$C$6)</f>
        <v>#DIV/0!</v>
      </c>
      <c r="I8337" s="87"/>
      <c r="J8337" s="88"/>
      <c r="K8337" s="88"/>
      <c r="L8337" s="89"/>
      <c r="M8337" s="89"/>
    </row>
    <row r="8338" spans="3:13" x14ac:dyDescent="0.3">
      <c r="C8338" s="87"/>
      <c r="H8338" s="86" t="e">
        <f>IF(I8338="fora",0%,G8338/QUÓRUM!$C$6)</f>
        <v>#DIV/0!</v>
      </c>
      <c r="I8338" s="87"/>
      <c r="J8338" s="88"/>
      <c r="K8338" s="88"/>
      <c r="L8338" s="89"/>
      <c r="M8338" s="89"/>
    </row>
    <row r="8339" spans="3:13" x14ac:dyDescent="0.3">
      <c r="C8339" s="87"/>
      <c r="H8339" s="86" t="e">
        <f>IF(I8339="fora",0%,G8339/QUÓRUM!$C$6)</f>
        <v>#DIV/0!</v>
      </c>
      <c r="I8339" s="87"/>
      <c r="J8339" s="88"/>
      <c r="K8339" s="88"/>
      <c r="L8339" s="89"/>
      <c r="M8339" s="89"/>
    </row>
    <row r="8340" spans="3:13" x14ac:dyDescent="0.3">
      <c r="C8340" s="87"/>
      <c r="H8340" s="86" t="e">
        <f>IF(I8340="fora",0%,G8340/QUÓRUM!$C$6)</f>
        <v>#DIV/0!</v>
      </c>
      <c r="I8340" s="87"/>
      <c r="J8340" s="88"/>
      <c r="K8340" s="88"/>
      <c r="L8340" s="89"/>
      <c r="M8340" s="89"/>
    </row>
    <row r="8341" spans="3:13" x14ac:dyDescent="0.3">
      <c r="C8341" s="87"/>
      <c r="H8341" s="86" t="e">
        <f>IF(I8341="fora",0%,G8341/QUÓRUM!$C$6)</f>
        <v>#DIV/0!</v>
      </c>
      <c r="I8341" s="87"/>
      <c r="J8341" s="88"/>
      <c r="K8341" s="88"/>
      <c r="L8341" s="89"/>
      <c r="M8341" s="89"/>
    </row>
    <row r="8342" spans="3:13" x14ac:dyDescent="0.3">
      <c r="C8342" s="87"/>
      <c r="H8342" s="86" t="e">
        <f>IF(I8342="fora",0%,G8342/QUÓRUM!$C$6)</f>
        <v>#DIV/0!</v>
      </c>
      <c r="I8342" s="87"/>
      <c r="J8342" s="88"/>
      <c r="K8342" s="88"/>
      <c r="L8342" s="89"/>
      <c r="M8342" s="89"/>
    </row>
    <row r="8343" spans="3:13" x14ac:dyDescent="0.3">
      <c r="C8343" s="87"/>
      <c r="H8343" s="86" t="e">
        <f>IF(I8343="fora",0%,G8343/QUÓRUM!$C$6)</f>
        <v>#DIV/0!</v>
      </c>
      <c r="I8343" s="87"/>
      <c r="J8343" s="88"/>
      <c r="K8343" s="88"/>
      <c r="L8343" s="89"/>
      <c r="M8343" s="89"/>
    </row>
    <row r="8344" spans="3:13" x14ac:dyDescent="0.3">
      <c r="C8344" s="87"/>
      <c r="H8344" s="86" t="e">
        <f>IF(I8344="fora",0%,G8344/QUÓRUM!$C$6)</f>
        <v>#DIV/0!</v>
      </c>
      <c r="I8344" s="87"/>
      <c r="J8344" s="88"/>
      <c r="K8344" s="88"/>
      <c r="L8344" s="89"/>
      <c r="M8344" s="89"/>
    </row>
    <row r="8345" spans="3:13" x14ac:dyDescent="0.3">
      <c r="C8345" s="87"/>
      <c r="H8345" s="86" t="e">
        <f>IF(I8345="fora",0%,G8345/QUÓRUM!$C$6)</f>
        <v>#DIV/0!</v>
      </c>
      <c r="I8345" s="87"/>
      <c r="J8345" s="88"/>
      <c r="K8345" s="88"/>
      <c r="L8345" s="89"/>
      <c r="M8345" s="89"/>
    </row>
    <row r="8346" spans="3:13" x14ac:dyDescent="0.3">
      <c r="C8346" s="87"/>
      <c r="H8346" s="86" t="e">
        <f>IF(I8346="fora",0%,G8346/QUÓRUM!$C$6)</f>
        <v>#DIV/0!</v>
      </c>
      <c r="I8346" s="87"/>
      <c r="J8346" s="88"/>
      <c r="K8346" s="88"/>
      <c r="L8346" s="89"/>
      <c r="M8346" s="89"/>
    </row>
    <row r="8347" spans="3:13" x14ac:dyDescent="0.3">
      <c r="C8347" s="87"/>
      <c r="H8347" s="86" t="e">
        <f>IF(I8347="fora",0%,G8347/QUÓRUM!$C$6)</f>
        <v>#DIV/0!</v>
      </c>
      <c r="I8347" s="87"/>
      <c r="J8347" s="88"/>
      <c r="K8347" s="88"/>
      <c r="L8347" s="89"/>
      <c r="M8347" s="89"/>
    </row>
    <row r="8348" spans="3:13" x14ac:dyDescent="0.3">
      <c r="C8348" s="87"/>
      <c r="H8348" s="86" t="e">
        <f>IF(I8348="fora",0%,G8348/QUÓRUM!$C$6)</f>
        <v>#DIV/0!</v>
      </c>
      <c r="I8348" s="87"/>
      <c r="J8348" s="88"/>
      <c r="K8348" s="88"/>
      <c r="L8348" s="89"/>
      <c r="M8348" s="89"/>
    </row>
    <row r="8349" spans="3:13" x14ac:dyDescent="0.3">
      <c r="C8349" s="87"/>
      <c r="H8349" s="86" t="e">
        <f>IF(I8349="fora",0%,G8349/QUÓRUM!$C$6)</f>
        <v>#DIV/0!</v>
      </c>
      <c r="I8349" s="87"/>
      <c r="J8349" s="88"/>
      <c r="K8349" s="88"/>
      <c r="L8349" s="89"/>
      <c r="M8349" s="89"/>
    </row>
    <row r="8350" spans="3:13" x14ac:dyDescent="0.3">
      <c r="C8350" s="87"/>
      <c r="H8350" s="86" t="e">
        <f>IF(I8350="fora",0%,G8350/QUÓRUM!$C$6)</f>
        <v>#DIV/0!</v>
      </c>
      <c r="I8350" s="87"/>
      <c r="J8350" s="88"/>
      <c r="K8350" s="88"/>
      <c r="L8350" s="89"/>
      <c r="M8350" s="89"/>
    </row>
    <row r="8351" spans="3:13" x14ac:dyDescent="0.3">
      <c r="C8351" s="87"/>
      <c r="H8351" s="86" t="e">
        <f>IF(I8351="fora",0%,G8351/QUÓRUM!$C$6)</f>
        <v>#DIV/0!</v>
      </c>
      <c r="I8351" s="87"/>
      <c r="J8351" s="88"/>
      <c r="K8351" s="88"/>
      <c r="L8351" s="89"/>
      <c r="M8351" s="89"/>
    </row>
    <row r="8352" spans="3:13" x14ac:dyDescent="0.3">
      <c r="C8352" s="87"/>
      <c r="H8352" s="86" t="e">
        <f>IF(I8352="fora",0%,G8352/QUÓRUM!$C$6)</f>
        <v>#DIV/0!</v>
      </c>
      <c r="I8352" s="87"/>
      <c r="J8352" s="88"/>
      <c r="K8352" s="88"/>
      <c r="L8352" s="89"/>
      <c r="M8352" s="89"/>
    </row>
    <row r="8353" spans="3:13" x14ac:dyDescent="0.3">
      <c r="C8353" s="87"/>
      <c r="H8353" s="86" t="e">
        <f>IF(I8353="fora",0%,G8353/QUÓRUM!$C$6)</f>
        <v>#DIV/0!</v>
      </c>
      <c r="I8353" s="87"/>
      <c r="J8353" s="88"/>
      <c r="K8353" s="88"/>
      <c r="L8353" s="89"/>
      <c r="M8353" s="89"/>
    </row>
    <row r="8354" spans="3:13" x14ac:dyDescent="0.3">
      <c r="C8354" s="87"/>
      <c r="H8354" s="86" t="e">
        <f>IF(I8354="fora",0%,G8354/QUÓRUM!$C$6)</f>
        <v>#DIV/0!</v>
      </c>
      <c r="I8354" s="87"/>
      <c r="J8354" s="88"/>
      <c r="K8354" s="88"/>
      <c r="L8354" s="89"/>
      <c r="M8354" s="89"/>
    </row>
    <row r="8355" spans="3:13" x14ac:dyDescent="0.3">
      <c r="C8355" s="87"/>
      <c r="H8355" s="86" t="e">
        <f>IF(I8355="fora",0%,G8355/QUÓRUM!$C$6)</f>
        <v>#DIV/0!</v>
      </c>
      <c r="I8355" s="87"/>
      <c r="J8355" s="88"/>
      <c r="K8355" s="88"/>
      <c r="L8355" s="89"/>
      <c r="M8355" s="89"/>
    </row>
    <row r="8356" spans="3:13" x14ac:dyDescent="0.3">
      <c r="C8356" s="87"/>
      <c r="H8356" s="86" t="e">
        <f>IF(I8356="fora",0%,G8356/QUÓRUM!$C$6)</f>
        <v>#DIV/0!</v>
      </c>
      <c r="I8356" s="87"/>
      <c r="J8356" s="88"/>
      <c r="K8356" s="88"/>
      <c r="L8356" s="89"/>
      <c r="M8356" s="89"/>
    </row>
    <row r="8357" spans="3:13" x14ac:dyDescent="0.3">
      <c r="C8357" s="87"/>
      <c r="H8357" s="86" t="e">
        <f>IF(I8357="fora",0%,G8357/QUÓRUM!$C$6)</f>
        <v>#DIV/0!</v>
      </c>
      <c r="I8357" s="87"/>
      <c r="J8357" s="88"/>
      <c r="K8357" s="88"/>
      <c r="L8357" s="89"/>
      <c r="M8357" s="89"/>
    </row>
    <row r="8358" spans="3:13" x14ac:dyDescent="0.3">
      <c r="C8358" s="87"/>
      <c r="H8358" s="86" t="e">
        <f>IF(I8358="fora",0%,G8358/QUÓRUM!$C$6)</f>
        <v>#DIV/0!</v>
      </c>
      <c r="I8358" s="87"/>
      <c r="J8358" s="88"/>
      <c r="K8358" s="88"/>
      <c r="L8358" s="89"/>
      <c r="M8358" s="89"/>
    </row>
    <row r="8359" spans="3:13" x14ac:dyDescent="0.3">
      <c r="C8359" s="87"/>
      <c r="H8359" s="86" t="e">
        <f>IF(I8359="fora",0%,G8359/QUÓRUM!$C$6)</f>
        <v>#DIV/0!</v>
      </c>
      <c r="I8359" s="87"/>
      <c r="J8359" s="88"/>
      <c r="K8359" s="88"/>
      <c r="L8359" s="89"/>
      <c r="M8359" s="89"/>
    </row>
    <row r="8360" spans="3:13" x14ac:dyDescent="0.3">
      <c r="C8360" s="87"/>
      <c r="H8360" s="86" t="e">
        <f>IF(I8360="fora",0%,G8360/QUÓRUM!$C$6)</f>
        <v>#DIV/0!</v>
      </c>
      <c r="I8360" s="87"/>
      <c r="J8360" s="88"/>
      <c r="K8360" s="88"/>
      <c r="L8360" s="89"/>
      <c r="M8360" s="89"/>
    </row>
    <row r="8361" spans="3:13" x14ac:dyDescent="0.3">
      <c r="C8361" s="87"/>
      <c r="H8361" s="86" t="e">
        <f>IF(I8361="fora",0%,G8361/QUÓRUM!$C$6)</f>
        <v>#DIV/0!</v>
      </c>
      <c r="I8361" s="87"/>
      <c r="J8361" s="88"/>
      <c r="K8361" s="88"/>
      <c r="L8361" s="89"/>
      <c r="M8361" s="89"/>
    </row>
    <row r="8362" spans="3:13" x14ac:dyDescent="0.3">
      <c r="C8362" s="87"/>
      <c r="H8362" s="86" t="e">
        <f>IF(I8362="fora",0%,G8362/QUÓRUM!$C$6)</f>
        <v>#DIV/0!</v>
      </c>
      <c r="I8362" s="87"/>
      <c r="J8362" s="88"/>
      <c r="K8362" s="88"/>
      <c r="L8362" s="89"/>
      <c r="M8362" s="89"/>
    </row>
    <row r="8363" spans="3:13" x14ac:dyDescent="0.3">
      <c r="C8363" s="87"/>
      <c r="H8363" s="86" t="e">
        <f>IF(I8363="fora",0%,G8363/QUÓRUM!$C$6)</f>
        <v>#DIV/0!</v>
      </c>
      <c r="I8363" s="87"/>
      <c r="J8363" s="88"/>
      <c r="K8363" s="88"/>
      <c r="L8363" s="89"/>
      <c r="M8363" s="89"/>
    </row>
    <row r="8364" spans="3:13" x14ac:dyDescent="0.3">
      <c r="C8364" s="87"/>
      <c r="H8364" s="86" t="e">
        <f>IF(I8364="fora",0%,G8364/QUÓRUM!$C$6)</f>
        <v>#DIV/0!</v>
      </c>
      <c r="I8364" s="87"/>
      <c r="J8364" s="88"/>
      <c r="K8364" s="88"/>
      <c r="L8364" s="89"/>
      <c r="M8364" s="89"/>
    </row>
    <row r="8365" spans="3:13" x14ac:dyDescent="0.3">
      <c r="C8365" s="87"/>
      <c r="H8365" s="86" t="e">
        <f>IF(I8365="fora",0%,G8365/QUÓRUM!$C$6)</f>
        <v>#DIV/0!</v>
      </c>
      <c r="I8365" s="87"/>
      <c r="J8365" s="88"/>
      <c r="K8365" s="88"/>
      <c r="L8365" s="89"/>
      <c r="M8365" s="89"/>
    </row>
    <row r="8366" spans="3:13" x14ac:dyDescent="0.3">
      <c r="C8366" s="87"/>
      <c r="H8366" s="86" t="e">
        <f>IF(I8366="fora",0%,G8366/QUÓRUM!$C$6)</f>
        <v>#DIV/0!</v>
      </c>
      <c r="I8366" s="87"/>
      <c r="J8366" s="88"/>
      <c r="K8366" s="88"/>
      <c r="L8366" s="89"/>
      <c r="M8366" s="89"/>
    </row>
    <row r="8367" spans="3:13" x14ac:dyDescent="0.3">
      <c r="C8367" s="87"/>
      <c r="H8367" s="86" t="e">
        <f>IF(I8367="fora",0%,G8367/QUÓRUM!$C$6)</f>
        <v>#DIV/0!</v>
      </c>
      <c r="I8367" s="87"/>
      <c r="J8367" s="88"/>
      <c r="K8367" s="88"/>
      <c r="L8367" s="89"/>
      <c r="M8367" s="89"/>
    </row>
    <row r="8368" spans="3:13" x14ac:dyDescent="0.3">
      <c r="C8368" s="87"/>
      <c r="H8368" s="86" t="e">
        <f>IF(I8368="fora",0%,G8368/QUÓRUM!$C$6)</f>
        <v>#DIV/0!</v>
      </c>
      <c r="I8368" s="87"/>
      <c r="J8368" s="88"/>
      <c r="K8368" s="88"/>
      <c r="L8368" s="89"/>
      <c r="M8368" s="89"/>
    </row>
    <row r="8369" spans="3:13" x14ac:dyDescent="0.3">
      <c r="C8369" s="87"/>
      <c r="H8369" s="86" t="e">
        <f>IF(I8369="fora",0%,G8369/QUÓRUM!$C$6)</f>
        <v>#DIV/0!</v>
      </c>
      <c r="I8369" s="87"/>
      <c r="J8369" s="88"/>
      <c r="K8369" s="88"/>
      <c r="L8369" s="89"/>
      <c r="M8369" s="89"/>
    </row>
    <row r="8370" spans="3:13" x14ac:dyDescent="0.3">
      <c r="C8370" s="87"/>
      <c r="H8370" s="86" t="e">
        <f>IF(I8370="fora",0%,G8370/QUÓRUM!$C$6)</f>
        <v>#DIV/0!</v>
      </c>
      <c r="I8370" s="87"/>
      <c r="J8370" s="88"/>
      <c r="K8370" s="88"/>
      <c r="L8370" s="89"/>
      <c r="M8370" s="89"/>
    </row>
    <row r="8371" spans="3:13" x14ac:dyDescent="0.3">
      <c r="C8371" s="87"/>
      <c r="H8371" s="86" t="e">
        <f>IF(I8371="fora",0%,G8371/QUÓRUM!$C$6)</f>
        <v>#DIV/0!</v>
      </c>
      <c r="I8371" s="87"/>
      <c r="J8371" s="88"/>
      <c r="K8371" s="88"/>
      <c r="L8371" s="89"/>
      <c r="M8371" s="89"/>
    </row>
    <row r="8372" spans="3:13" x14ac:dyDescent="0.3">
      <c r="C8372" s="87"/>
      <c r="H8372" s="86" t="e">
        <f>IF(I8372="fora",0%,G8372/QUÓRUM!$C$6)</f>
        <v>#DIV/0!</v>
      </c>
      <c r="I8372" s="87"/>
      <c r="J8372" s="88"/>
      <c r="K8372" s="88"/>
      <c r="L8372" s="89"/>
      <c r="M8372" s="89"/>
    </row>
    <row r="8373" spans="3:13" x14ac:dyDescent="0.3">
      <c r="C8373" s="87"/>
      <c r="H8373" s="86" t="e">
        <f>IF(I8373="fora",0%,G8373/QUÓRUM!$C$6)</f>
        <v>#DIV/0!</v>
      </c>
      <c r="I8373" s="87"/>
      <c r="J8373" s="88"/>
      <c r="K8373" s="88"/>
      <c r="L8373" s="89"/>
      <c r="M8373" s="89"/>
    </row>
    <row r="8374" spans="3:13" x14ac:dyDescent="0.3">
      <c r="C8374" s="87"/>
      <c r="H8374" s="86" t="e">
        <f>IF(I8374="fora",0%,G8374/QUÓRUM!$C$6)</f>
        <v>#DIV/0!</v>
      </c>
      <c r="I8374" s="87"/>
      <c r="J8374" s="88"/>
      <c r="K8374" s="88"/>
      <c r="L8374" s="89"/>
      <c r="M8374" s="89"/>
    </row>
    <row r="8375" spans="3:13" x14ac:dyDescent="0.3">
      <c r="C8375" s="87"/>
      <c r="H8375" s="86" t="e">
        <f>IF(I8375="fora",0%,G8375/QUÓRUM!$C$6)</f>
        <v>#DIV/0!</v>
      </c>
      <c r="I8375" s="87"/>
      <c r="J8375" s="88"/>
      <c r="K8375" s="88"/>
      <c r="L8375" s="89"/>
      <c r="M8375" s="89"/>
    </row>
    <row r="8376" spans="3:13" x14ac:dyDescent="0.3">
      <c r="C8376" s="87"/>
      <c r="H8376" s="86" t="e">
        <f>IF(I8376="fora",0%,G8376/QUÓRUM!$C$6)</f>
        <v>#DIV/0!</v>
      </c>
      <c r="I8376" s="87"/>
      <c r="J8376" s="88"/>
      <c r="K8376" s="88"/>
      <c r="L8376" s="89"/>
      <c r="M8376" s="89"/>
    </row>
    <row r="8377" spans="3:13" x14ac:dyDescent="0.3">
      <c r="C8377" s="87"/>
      <c r="H8377" s="86" t="e">
        <f>IF(I8377="fora",0%,G8377/QUÓRUM!$C$6)</f>
        <v>#DIV/0!</v>
      </c>
      <c r="I8377" s="87"/>
      <c r="J8377" s="88"/>
      <c r="K8377" s="88"/>
      <c r="L8377" s="89"/>
      <c r="M8377" s="89"/>
    </row>
    <row r="8378" spans="3:13" x14ac:dyDescent="0.3">
      <c r="C8378" s="87"/>
      <c r="H8378" s="86" t="e">
        <f>IF(I8378="fora",0%,G8378/QUÓRUM!$C$6)</f>
        <v>#DIV/0!</v>
      </c>
      <c r="I8378" s="87"/>
      <c r="J8378" s="88"/>
      <c r="K8378" s="88"/>
      <c r="L8378" s="89"/>
      <c r="M8378" s="89"/>
    </row>
    <row r="8379" spans="3:13" x14ac:dyDescent="0.3">
      <c r="C8379" s="87"/>
      <c r="H8379" s="86" t="e">
        <f>IF(I8379="fora",0%,G8379/QUÓRUM!$C$6)</f>
        <v>#DIV/0!</v>
      </c>
      <c r="I8379" s="87"/>
      <c r="J8379" s="88"/>
      <c r="K8379" s="88"/>
      <c r="L8379" s="89"/>
      <c r="M8379" s="89"/>
    </row>
    <row r="8380" spans="3:13" x14ac:dyDescent="0.3">
      <c r="C8380" s="87"/>
      <c r="H8380" s="86" t="e">
        <f>IF(I8380="fora",0%,G8380/QUÓRUM!$C$6)</f>
        <v>#DIV/0!</v>
      </c>
      <c r="I8380" s="87"/>
      <c r="J8380" s="88"/>
      <c r="K8380" s="88"/>
      <c r="L8380" s="89"/>
      <c r="M8380" s="89"/>
    </row>
    <row r="8381" spans="3:13" x14ac:dyDescent="0.3">
      <c r="C8381" s="87"/>
      <c r="H8381" s="86" t="e">
        <f>IF(I8381="fora",0%,G8381/QUÓRUM!$C$6)</f>
        <v>#DIV/0!</v>
      </c>
      <c r="I8381" s="87"/>
      <c r="J8381" s="88"/>
      <c r="K8381" s="88"/>
      <c r="L8381" s="89"/>
      <c r="M8381" s="89"/>
    </row>
    <row r="8382" spans="3:13" x14ac:dyDescent="0.3">
      <c r="C8382" s="87"/>
      <c r="H8382" s="86" t="e">
        <f>IF(I8382="fora",0%,G8382/QUÓRUM!$C$6)</f>
        <v>#DIV/0!</v>
      </c>
      <c r="I8382" s="87"/>
      <c r="J8382" s="88"/>
      <c r="K8382" s="88"/>
      <c r="L8382" s="89"/>
      <c r="M8382" s="89"/>
    </row>
    <row r="8383" spans="3:13" x14ac:dyDescent="0.3">
      <c r="C8383" s="87"/>
      <c r="H8383" s="86" t="e">
        <f>IF(I8383="fora",0%,G8383/QUÓRUM!$C$6)</f>
        <v>#DIV/0!</v>
      </c>
      <c r="I8383" s="87"/>
      <c r="J8383" s="88"/>
      <c r="K8383" s="88"/>
      <c r="L8383" s="89"/>
      <c r="M8383" s="89"/>
    </row>
    <row r="8384" spans="3:13" x14ac:dyDescent="0.3">
      <c r="C8384" s="87"/>
      <c r="H8384" s="86" t="e">
        <f>IF(I8384="fora",0%,G8384/QUÓRUM!$C$6)</f>
        <v>#DIV/0!</v>
      </c>
      <c r="I8384" s="87"/>
      <c r="J8384" s="88"/>
      <c r="K8384" s="88"/>
      <c r="L8384" s="89"/>
      <c r="M8384" s="89"/>
    </row>
    <row r="8385" spans="3:13" x14ac:dyDescent="0.3">
      <c r="C8385" s="87"/>
      <c r="H8385" s="86" t="e">
        <f>IF(I8385="fora",0%,G8385/QUÓRUM!$C$6)</f>
        <v>#DIV/0!</v>
      </c>
      <c r="I8385" s="87"/>
      <c r="J8385" s="88"/>
      <c r="K8385" s="88"/>
      <c r="L8385" s="89"/>
      <c r="M8385" s="89"/>
    </row>
    <row r="8386" spans="3:13" x14ac:dyDescent="0.3">
      <c r="C8386" s="87"/>
      <c r="H8386" s="86" t="e">
        <f>IF(I8386="fora",0%,G8386/QUÓRUM!$C$6)</f>
        <v>#DIV/0!</v>
      </c>
      <c r="I8386" s="87"/>
      <c r="J8386" s="88"/>
      <c r="K8386" s="88"/>
      <c r="L8386" s="89"/>
      <c r="M8386" s="89"/>
    </row>
    <row r="8387" spans="3:13" x14ac:dyDescent="0.3">
      <c r="C8387" s="87"/>
      <c r="H8387" s="86" t="e">
        <f>IF(I8387="fora",0%,G8387/QUÓRUM!$C$6)</f>
        <v>#DIV/0!</v>
      </c>
      <c r="I8387" s="87"/>
      <c r="J8387" s="88"/>
      <c r="K8387" s="88"/>
      <c r="L8387" s="89"/>
      <c r="M8387" s="89"/>
    </row>
    <row r="8388" spans="3:13" x14ac:dyDescent="0.3">
      <c r="C8388" s="87"/>
      <c r="H8388" s="86" t="e">
        <f>IF(I8388="fora",0%,G8388/QUÓRUM!$C$6)</f>
        <v>#DIV/0!</v>
      </c>
      <c r="I8388" s="87"/>
      <c r="J8388" s="88"/>
      <c r="K8388" s="88"/>
      <c r="L8388" s="89"/>
      <c r="M8388" s="89"/>
    </row>
    <row r="8389" spans="3:13" x14ac:dyDescent="0.3">
      <c r="C8389" s="87"/>
      <c r="H8389" s="86" t="e">
        <f>IF(I8389="fora",0%,G8389/QUÓRUM!$C$6)</f>
        <v>#DIV/0!</v>
      </c>
      <c r="I8389" s="87"/>
      <c r="J8389" s="88"/>
      <c r="K8389" s="88"/>
      <c r="L8389" s="89"/>
      <c r="M8389" s="89"/>
    </row>
    <row r="8390" spans="3:13" x14ac:dyDescent="0.3">
      <c r="C8390" s="87"/>
      <c r="H8390" s="86" t="e">
        <f>IF(I8390="fora",0%,G8390/QUÓRUM!$C$6)</f>
        <v>#DIV/0!</v>
      </c>
      <c r="I8390" s="87"/>
      <c r="J8390" s="88"/>
      <c r="K8390" s="88"/>
      <c r="L8390" s="89"/>
      <c r="M8390" s="89"/>
    </row>
    <row r="8391" spans="3:13" x14ac:dyDescent="0.3">
      <c r="C8391" s="87"/>
      <c r="H8391" s="86" t="e">
        <f>IF(I8391="fora",0%,G8391/QUÓRUM!$C$6)</f>
        <v>#DIV/0!</v>
      </c>
      <c r="I8391" s="87"/>
      <c r="J8391" s="88"/>
      <c r="K8391" s="88"/>
      <c r="L8391" s="89"/>
      <c r="M8391" s="89"/>
    </row>
    <row r="8392" spans="3:13" x14ac:dyDescent="0.3">
      <c r="C8392" s="87"/>
      <c r="H8392" s="86" t="e">
        <f>IF(I8392="fora",0%,G8392/QUÓRUM!$C$6)</f>
        <v>#DIV/0!</v>
      </c>
      <c r="I8392" s="87"/>
      <c r="J8392" s="88"/>
      <c r="K8392" s="88"/>
      <c r="L8392" s="89"/>
      <c r="M8392" s="89"/>
    </row>
    <row r="8393" spans="3:13" x14ac:dyDescent="0.3">
      <c r="C8393" s="87"/>
      <c r="H8393" s="86" t="e">
        <f>IF(I8393="fora",0%,G8393/QUÓRUM!$C$6)</f>
        <v>#DIV/0!</v>
      </c>
      <c r="I8393" s="87"/>
      <c r="J8393" s="88"/>
      <c r="K8393" s="88"/>
      <c r="L8393" s="89"/>
      <c r="M8393" s="89"/>
    </row>
    <row r="8394" spans="3:13" x14ac:dyDescent="0.3">
      <c r="C8394" s="87"/>
      <c r="H8394" s="86" t="e">
        <f>IF(I8394="fora",0%,G8394/QUÓRUM!$C$6)</f>
        <v>#DIV/0!</v>
      </c>
      <c r="I8394" s="87"/>
      <c r="J8394" s="88"/>
      <c r="K8394" s="88"/>
      <c r="L8394" s="89"/>
      <c r="M8394" s="89"/>
    </row>
    <row r="8395" spans="3:13" x14ac:dyDescent="0.3">
      <c r="C8395" s="87"/>
      <c r="H8395" s="86" t="e">
        <f>IF(I8395="fora",0%,G8395/QUÓRUM!$C$6)</f>
        <v>#DIV/0!</v>
      </c>
      <c r="I8395" s="87"/>
      <c r="J8395" s="88"/>
      <c r="K8395" s="88"/>
      <c r="L8395" s="89"/>
      <c r="M8395" s="89"/>
    </row>
    <row r="8396" spans="3:13" x14ac:dyDescent="0.3">
      <c r="C8396" s="87"/>
      <c r="H8396" s="86" t="e">
        <f>IF(I8396="fora",0%,G8396/QUÓRUM!$C$6)</f>
        <v>#DIV/0!</v>
      </c>
      <c r="I8396" s="87"/>
      <c r="J8396" s="88"/>
      <c r="K8396" s="88"/>
      <c r="L8396" s="89"/>
      <c r="M8396" s="89"/>
    </row>
    <row r="8397" spans="3:13" x14ac:dyDescent="0.3">
      <c r="C8397" s="87"/>
      <c r="H8397" s="86" t="e">
        <f>IF(I8397="fora",0%,G8397/QUÓRUM!$C$6)</f>
        <v>#DIV/0!</v>
      </c>
      <c r="I8397" s="87"/>
      <c r="J8397" s="88"/>
      <c r="K8397" s="88"/>
      <c r="L8397" s="89"/>
      <c r="M8397" s="89"/>
    </row>
    <row r="8398" spans="3:13" x14ac:dyDescent="0.3">
      <c r="C8398" s="87"/>
      <c r="H8398" s="86" t="e">
        <f>IF(I8398="fora",0%,G8398/QUÓRUM!$C$6)</f>
        <v>#DIV/0!</v>
      </c>
      <c r="I8398" s="87"/>
      <c r="J8398" s="88"/>
      <c r="K8398" s="88"/>
      <c r="L8398" s="89"/>
      <c r="M8398" s="89"/>
    </row>
    <row r="8399" spans="3:13" x14ac:dyDescent="0.3">
      <c r="C8399" s="87"/>
      <c r="H8399" s="86" t="e">
        <f>IF(I8399="fora",0%,G8399/QUÓRUM!$C$6)</f>
        <v>#DIV/0!</v>
      </c>
      <c r="I8399" s="87"/>
      <c r="J8399" s="88"/>
      <c r="K8399" s="88"/>
      <c r="L8399" s="89"/>
      <c r="M8399" s="89"/>
    </row>
    <row r="8400" spans="3:13" x14ac:dyDescent="0.3">
      <c r="C8400" s="87"/>
      <c r="H8400" s="86" t="e">
        <f>IF(I8400="fora",0%,G8400/QUÓRUM!$C$6)</f>
        <v>#DIV/0!</v>
      </c>
      <c r="I8400" s="87"/>
      <c r="J8400" s="88"/>
      <c r="K8400" s="88"/>
      <c r="L8400" s="89"/>
      <c r="M8400" s="89"/>
    </row>
    <row r="8401" spans="3:13" x14ac:dyDescent="0.3">
      <c r="C8401" s="87"/>
      <c r="H8401" s="86" t="e">
        <f>IF(I8401="fora",0%,G8401/QUÓRUM!$C$6)</f>
        <v>#DIV/0!</v>
      </c>
      <c r="I8401" s="87"/>
      <c r="J8401" s="88"/>
      <c r="K8401" s="88"/>
      <c r="L8401" s="89"/>
      <c r="M8401" s="89"/>
    </row>
    <row r="8402" spans="3:13" x14ac:dyDescent="0.3">
      <c r="C8402" s="87"/>
      <c r="H8402" s="86" t="e">
        <f>IF(I8402="fora",0%,G8402/QUÓRUM!$C$6)</f>
        <v>#DIV/0!</v>
      </c>
      <c r="I8402" s="87"/>
      <c r="J8402" s="88"/>
      <c r="K8402" s="88"/>
      <c r="L8402" s="89"/>
      <c r="M8402" s="89"/>
    </row>
    <row r="8403" spans="3:13" x14ac:dyDescent="0.3">
      <c r="C8403" s="87"/>
      <c r="H8403" s="86" t="e">
        <f>IF(I8403="fora",0%,G8403/QUÓRUM!$C$6)</f>
        <v>#DIV/0!</v>
      </c>
      <c r="I8403" s="87"/>
      <c r="J8403" s="88"/>
      <c r="K8403" s="88"/>
      <c r="L8403" s="89"/>
      <c r="M8403" s="89"/>
    </row>
    <row r="8404" spans="3:13" x14ac:dyDescent="0.3">
      <c r="C8404" s="87"/>
      <c r="H8404" s="86" t="e">
        <f>IF(I8404="fora",0%,G8404/QUÓRUM!$C$6)</f>
        <v>#DIV/0!</v>
      </c>
      <c r="I8404" s="87"/>
      <c r="J8404" s="88"/>
      <c r="K8404" s="88"/>
      <c r="L8404" s="89"/>
      <c r="M8404" s="89"/>
    </row>
    <row r="8405" spans="3:13" x14ac:dyDescent="0.3">
      <c r="C8405" s="87"/>
      <c r="H8405" s="86" t="e">
        <f>IF(I8405="fora",0%,G8405/QUÓRUM!$C$6)</f>
        <v>#DIV/0!</v>
      </c>
      <c r="I8405" s="87"/>
      <c r="J8405" s="88"/>
      <c r="K8405" s="88"/>
      <c r="L8405" s="89"/>
      <c r="M8405" s="89"/>
    </row>
    <row r="8406" spans="3:13" x14ac:dyDescent="0.3">
      <c r="C8406" s="87"/>
      <c r="H8406" s="86" t="e">
        <f>IF(I8406="fora",0%,G8406/QUÓRUM!$C$6)</f>
        <v>#DIV/0!</v>
      </c>
      <c r="I8406" s="87"/>
      <c r="J8406" s="88"/>
      <c r="K8406" s="88"/>
      <c r="L8406" s="89"/>
      <c r="M8406" s="89"/>
    </row>
    <row r="8407" spans="3:13" x14ac:dyDescent="0.3">
      <c r="C8407" s="87"/>
      <c r="H8407" s="86" t="e">
        <f>IF(I8407="fora",0%,G8407/QUÓRUM!$C$6)</f>
        <v>#DIV/0!</v>
      </c>
      <c r="I8407" s="87"/>
      <c r="J8407" s="88"/>
      <c r="K8407" s="88"/>
      <c r="L8407" s="89"/>
      <c r="M8407" s="89"/>
    </row>
    <row r="8408" spans="3:13" x14ac:dyDescent="0.3">
      <c r="C8408" s="87"/>
      <c r="H8408" s="86" t="e">
        <f>IF(I8408="fora",0%,G8408/QUÓRUM!$C$6)</f>
        <v>#DIV/0!</v>
      </c>
      <c r="I8408" s="87"/>
      <c r="J8408" s="88"/>
      <c r="K8408" s="88"/>
      <c r="L8408" s="89"/>
      <c r="M8408" s="89"/>
    </row>
    <row r="8409" spans="3:13" x14ac:dyDescent="0.3">
      <c r="C8409" s="87"/>
      <c r="H8409" s="86" t="e">
        <f>IF(I8409="fora",0%,G8409/QUÓRUM!$C$6)</f>
        <v>#DIV/0!</v>
      </c>
      <c r="I8409" s="87"/>
      <c r="J8409" s="88"/>
      <c r="K8409" s="88"/>
      <c r="L8409" s="89"/>
      <c r="M8409" s="89"/>
    </row>
    <row r="8410" spans="3:13" x14ac:dyDescent="0.3">
      <c r="C8410" s="87"/>
      <c r="H8410" s="86" t="e">
        <f>IF(I8410="fora",0%,G8410/QUÓRUM!$C$6)</f>
        <v>#DIV/0!</v>
      </c>
      <c r="I8410" s="87"/>
      <c r="J8410" s="88"/>
      <c r="K8410" s="88"/>
      <c r="L8410" s="89"/>
      <c r="M8410" s="89"/>
    </row>
    <row r="8411" spans="3:13" x14ac:dyDescent="0.3">
      <c r="C8411" s="87"/>
      <c r="H8411" s="86" t="e">
        <f>IF(I8411="fora",0%,G8411/QUÓRUM!$C$6)</f>
        <v>#DIV/0!</v>
      </c>
      <c r="I8411" s="87"/>
      <c r="J8411" s="88"/>
      <c r="K8411" s="88"/>
      <c r="L8411" s="89"/>
      <c r="M8411" s="89"/>
    </row>
    <row r="8412" spans="3:13" x14ac:dyDescent="0.3">
      <c r="C8412" s="87"/>
      <c r="H8412" s="86" t="e">
        <f>IF(I8412="fora",0%,G8412/QUÓRUM!$C$6)</f>
        <v>#DIV/0!</v>
      </c>
      <c r="I8412" s="87"/>
      <c r="J8412" s="88"/>
      <c r="K8412" s="88"/>
      <c r="L8412" s="89"/>
      <c r="M8412" s="89"/>
    </row>
    <row r="8413" spans="3:13" x14ac:dyDescent="0.3">
      <c r="C8413" s="87"/>
      <c r="H8413" s="86" t="e">
        <f>IF(I8413="fora",0%,G8413/QUÓRUM!$C$6)</f>
        <v>#DIV/0!</v>
      </c>
      <c r="I8413" s="87"/>
      <c r="J8413" s="88"/>
      <c r="K8413" s="88"/>
      <c r="L8413" s="89"/>
      <c r="M8413" s="89"/>
    </row>
    <row r="8414" spans="3:13" x14ac:dyDescent="0.3">
      <c r="C8414" s="87"/>
      <c r="H8414" s="86" t="e">
        <f>IF(I8414="fora",0%,G8414/QUÓRUM!$C$6)</f>
        <v>#DIV/0!</v>
      </c>
      <c r="I8414" s="87"/>
      <c r="J8414" s="88"/>
      <c r="K8414" s="88"/>
      <c r="L8414" s="89"/>
      <c r="M8414" s="89"/>
    </row>
    <row r="8415" spans="3:13" x14ac:dyDescent="0.3">
      <c r="C8415" s="87"/>
      <c r="H8415" s="86" t="e">
        <f>IF(I8415="fora",0%,G8415/QUÓRUM!$C$6)</f>
        <v>#DIV/0!</v>
      </c>
      <c r="I8415" s="87"/>
      <c r="J8415" s="88"/>
      <c r="K8415" s="88"/>
      <c r="L8415" s="89"/>
      <c r="M8415" s="89"/>
    </row>
    <row r="8416" spans="3:13" x14ac:dyDescent="0.3">
      <c r="C8416" s="87"/>
      <c r="H8416" s="86" t="e">
        <f>IF(I8416="fora",0%,G8416/QUÓRUM!$C$6)</f>
        <v>#DIV/0!</v>
      </c>
      <c r="I8416" s="87"/>
      <c r="J8416" s="88"/>
      <c r="K8416" s="88"/>
      <c r="L8416" s="89"/>
      <c r="M8416" s="89"/>
    </row>
    <row r="8417" spans="3:13" x14ac:dyDescent="0.3">
      <c r="C8417" s="87"/>
      <c r="H8417" s="86" t="e">
        <f>IF(I8417="fora",0%,G8417/QUÓRUM!$C$6)</f>
        <v>#DIV/0!</v>
      </c>
      <c r="I8417" s="87"/>
      <c r="J8417" s="88"/>
      <c r="K8417" s="88"/>
      <c r="L8417" s="89"/>
      <c r="M8417" s="89"/>
    </row>
    <row r="8418" spans="3:13" x14ac:dyDescent="0.3">
      <c r="C8418" s="87"/>
      <c r="H8418" s="86" t="e">
        <f>IF(I8418="fora",0%,G8418/QUÓRUM!$C$6)</f>
        <v>#DIV/0!</v>
      </c>
      <c r="I8418" s="87"/>
      <c r="J8418" s="88"/>
      <c r="K8418" s="88"/>
      <c r="L8418" s="89"/>
      <c r="M8418" s="89"/>
    </row>
    <row r="8419" spans="3:13" x14ac:dyDescent="0.3">
      <c r="C8419" s="87"/>
      <c r="H8419" s="86" t="e">
        <f>IF(I8419="fora",0%,G8419/QUÓRUM!$C$6)</f>
        <v>#DIV/0!</v>
      </c>
      <c r="I8419" s="87"/>
      <c r="J8419" s="88"/>
      <c r="K8419" s="88"/>
      <c r="L8419" s="89"/>
      <c r="M8419" s="89"/>
    </row>
    <row r="8420" spans="3:13" x14ac:dyDescent="0.3">
      <c r="C8420" s="87"/>
      <c r="H8420" s="86" t="e">
        <f>IF(I8420="fora",0%,G8420/QUÓRUM!$C$6)</f>
        <v>#DIV/0!</v>
      </c>
      <c r="I8420" s="87"/>
      <c r="J8420" s="88"/>
      <c r="K8420" s="88"/>
      <c r="L8420" s="89"/>
      <c r="M8420" s="89"/>
    </row>
    <row r="8421" spans="3:13" x14ac:dyDescent="0.3">
      <c r="C8421" s="87"/>
      <c r="H8421" s="86" t="e">
        <f>IF(I8421="fora",0%,G8421/QUÓRUM!$C$6)</f>
        <v>#DIV/0!</v>
      </c>
      <c r="I8421" s="87"/>
      <c r="J8421" s="88"/>
      <c r="K8421" s="88"/>
      <c r="L8421" s="89"/>
      <c r="M8421" s="89"/>
    </row>
    <row r="8422" spans="3:13" x14ac:dyDescent="0.3">
      <c r="C8422" s="87"/>
      <c r="H8422" s="86" t="e">
        <f>IF(I8422="fora",0%,G8422/QUÓRUM!$C$6)</f>
        <v>#DIV/0!</v>
      </c>
      <c r="I8422" s="87"/>
      <c r="J8422" s="88"/>
      <c r="K8422" s="88"/>
      <c r="L8422" s="89"/>
      <c r="M8422" s="89"/>
    </row>
    <row r="8423" spans="3:13" x14ac:dyDescent="0.3">
      <c r="C8423" s="87"/>
      <c r="H8423" s="86" t="e">
        <f>IF(I8423="fora",0%,G8423/QUÓRUM!$C$6)</f>
        <v>#DIV/0!</v>
      </c>
      <c r="I8423" s="87"/>
      <c r="J8423" s="88"/>
      <c r="K8423" s="88"/>
      <c r="L8423" s="89"/>
      <c r="M8423" s="89"/>
    </row>
    <row r="8424" spans="3:13" x14ac:dyDescent="0.3">
      <c r="C8424" s="87"/>
      <c r="H8424" s="86" t="e">
        <f>IF(I8424="fora",0%,G8424/QUÓRUM!$C$6)</f>
        <v>#DIV/0!</v>
      </c>
      <c r="I8424" s="87"/>
      <c r="J8424" s="88"/>
      <c r="K8424" s="88"/>
      <c r="L8424" s="89"/>
      <c r="M8424" s="89"/>
    </row>
    <row r="8425" spans="3:13" x14ac:dyDescent="0.3">
      <c r="C8425" s="87"/>
      <c r="H8425" s="86" t="e">
        <f>IF(I8425="fora",0%,G8425/QUÓRUM!$C$6)</f>
        <v>#DIV/0!</v>
      </c>
      <c r="I8425" s="87"/>
      <c r="J8425" s="88"/>
      <c r="K8425" s="88"/>
      <c r="L8425" s="89"/>
      <c r="M8425" s="89"/>
    </row>
    <row r="8426" spans="3:13" x14ac:dyDescent="0.3">
      <c r="C8426" s="87"/>
      <c r="G8426" s="115"/>
      <c r="H8426" s="86" t="e">
        <f>IF(I8426="fora",0%,G8426/QUÓRUM!$C$6)</f>
        <v>#DIV/0!</v>
      </c>
      <c r="I8426" s="87"/>
      <c r="J8426" s="88"/>
      <c r="K8426" s="88"/>
      <c r="L8426" s="89"/>
      <c r="M8426" s="89"/>
    </row>
    <row r="8427" spans="3:13" x14ac:dyDescent="0.3">
      <c r="C8427" s="87"/>
      <c r="H8427" s="86" t="e">
        <f>IF(I8427="fora",0%,G8427/QUÓRUM!$C$6)</f>
        <v>#DIV/0!</v>
      </c>
      <c r="I8427" s="87"/>
      <c r="J8427" s="88"/>
      <c r="K8427" s="88"/>
      <c r="L8427" s="89"/>
      <c r="M8427" s="89"/>
    </row>
    <row r="8428" spans="3:13" x14ac:dyDescent="0.3">
      <c r="C8428" s="87"/>
      <c r="H8428" s="86" t="e">
        <f>IF(I8428="fora",0%,G8428/QUÓRUM!$C$6)</f>
        <v>#DIV/0!</v>
      </c>
      <c r="I8428" s="87"/>
      <c r="J8428" s="88"/>
      <c r="K8428" s="88"/>
      <c r="L8428" s="89"/>
      <c r="M8428" s="89"/>
    </row>
    <row r="8429" spans="3:13" x14ac:dyDescent="0.3">
      <c r="C8429" s="87"/>
      <c r="H8429" s="86" t="e">
        <f>IF(I8429="fora",0%,G8429/QUÓRUM!$C$6)</f>
        <v>#DIV/0!</v>
      </c>
      <c r="I8429" s="87"/>
      <c r="J8429" s="88"/>
      <c r="K8429" s="88"/>
      <c r="L8429" s="89"/>
      <c r="M8429" s="89"/>
    </row>
    <row r="8430" spans="3:13" x14ac:dyDescent="0.3">
      <c r="C8430" s="87"/>
      <c r="H8430" s="86" t="e">
        <f>IF(I8430="fora",0%,G8430/QUÓRUM!$C$6)</f>
        <v>#DIV/0!</v>
      </c>
      <c r="I8430" s="87"/>
      <c r="J8430" s="88"/>
      <c r="K8430" s="88"/>
      <c r="L8430" s="89"/>
      <c r="M8430" s="89"/>
    </row>
    <row r="8431" spans="3:13" x14ac:dyDescent="0.3">
      <c r="C8431" s="87"/>
      <c r="H8431" s="86" t="e">
        <f>IF(I8431="fora",0%,G8431/QUÓRUM!$C$6)</f>
        <v>#DIV/0!</v>
      </c>
      <c r="I8431" s="87"/>
      <c r="J8431" s="88"/>
      <c r="K8431" s="88"/>
      <c r="L8431" s="89"/>
      <c r="M8431" s="89"/>
    </row>
    <row r="8432" spans="3:13" x14ac:dyDescent="0.3">
      <c r="C8432" s="87"/>
      <c r="H8432" s="86" t="e">
        <f>IF(I8432="fora",0%,G8432/QUÓRUM!$C$6)</f>
        <v>#DIV/0!</v>
      </c>
      <c r="I8432" s="87"/>
      <c r="J8432" s="88"/>
      <c r="K8432" s="88"/>
      <c r="L8432" s="89"/>
      <c r="M8432" s="89"/>
    </row>
    <row r="8433" spans="3:13" x14ac:dyDescent="0.3">
      <c r="C8433" s="87"/>
      <c r="H8433" s="86" t="e">
        <f>IF(I8433="fora",0%,G8433/QUÓRUM!$C$6)</f>
        <v>#DIV/0!</v>
      </c>
      <c r="I8433" s="87"/>
      <c r="J8433" s="88"/>
      <c r="K8433" s="88"/>
      <c r="L8433" s="89"/>
      <c r="M8433" s="89"/>
    </row>
    <row r="8434" spans="3:13" x14ac:dyDescent="0.3">
      <c r="C8434" s="87"/>
      <c r="H8434" s="86" t="e">
        <f>IF(I8434="fora",0%,G8434/QUÓRUM!$C$6)</f>
        <v>#DIV/0!</v>
      </c>
      <c r="I8434" s="87"/>
      <c r="J8434" s="88"/>
      <c r="K8434" s="88"/>
      <c r="L8434" s="89"/>
      <c r="M8434" s="89"/>
    </row>
    <row r="8435" spans="3:13" x14ac:dyDescent="0.3">
      <c r="C8435" s="87"/>
      <c r="H8435" s="86" t="e">
        <f>IF(I8435="fora",0%,G8435/QUÓRUM!$C$6)</f>
        <v>#DIV/0!</v>
      </c>
      <c r="I8435" s="87"/>
      <c r="J8435" s="88"/>
      <c r="K8435" s="88"/>
      <c r="L8435" s="89"/>
      <c r="M8435" s="89"/>
    </row>
    <row r="8436" spans="3:13" x14ac:dyDescent="0.3">
      <c r="C8436" s="87"/>
      <c r="H8436" s="86" t="e">
        <f>IF(I8436="fora",0%,G8436/QUÓRUM!$C$6)</f>
        <v>#DIV/0!</v>
      </c>
      <c r="I8436" s="87"/>
      <c r="J8436" s="88"/>
      <c r="K8436" s="88"/>
      <c r="L8436" s="89"/>
      <c r="M8436" s="89"/>
    </row>
    <row r="8437" spans="3:13" x14ac:dyDescent="0.3">
      <c r="C8437" s="87"/>
      <c r="H8437" s="86" t="e">
        <f>IF(I8437="fora",0%,G8437/QUÓRUM!$C$6)</f>
        <v>#DIV/0!</v>
      </c>
      <c r="I8437" s="87"/>
      <c r="J8437" s="88"/>
      <c r="K8437" s="88"/>
      <c r="L8437" s="89"/>
      <c r="M8437" s="89"/>
    </row>
    <row r="8438" spans="3:13" x14ac:dyDescent="0.3">
      <c r="C8438" s="87"/>
      <c r="H8438" s="86" t="e">
        <f>IF(I8438="fora",0%,G8438/QUÓRUM!$C$6)</f>
        <v>#DIV/0!</v>
      </c>
      <c r="I8438" s="87"/>
      <c r="J8438" s="88"/>
      <c r="K8438" s="88"/>
      <c r="L8438" s="89"/>
      <c r="M8438" s="89"/>
    </row>
    <row r="8439" spans="3:13" x14ac:dyDescent="0.3">
      <c r="C8439" s="87"/>
      <c r="H8439" s="86" t="e">
        <f>IF(I8439="fora",0%,G8439/QUÓRUM!$C$6)</f>
        <v>#DIV/0!</v>
      </c>
      <c r="I8439" s="87"/>
      <c r="J8439" s="88"/>
      <c r="K8439" s="88"/>
      <c r="L8439" s="89"/>
      <c r="M8439" s="89"/>
    </row>
    <row r="8440" spans="3:13" x14ac:dyDescent="0.3">
      <c r="C8440" s="87"/>
      <c r="H8440" s="86" t="e">
        <f>IF(I8440="fora",0%,G8440/QUÓRUM!$C$6)</f>
        <v>#DIV/0!</v>
      </c>
      <c r="I8440" s="87"/>
      <c r="J8440" s="88"/>
      <c r="K8440" s="88"/>
      <c r="L8440" s="89"/>
      <c r="M8440" s="89"/>
    </row>
    <row r="8441" spans="3:13" x14ac:dyDescent="0.3">
      <c r="C8441" s="87"/>
      <c r="H8441" s="86" t="e">
        <f>IF(I8441="fora",0%,G8441/QUÓRUM!$C$6)</f>
        <v>#DIV/0!</v>
      </c>
      <c r="I8441" s="87"/>
      <c r="J8441" s="88"/>
      <c r="K8441" s="88"/>
      <c r="L8441" s="89"/>
      <c r="M8441" s="89"/>
    </row>
    <row r="8442" spans="3:13" x14ac:dyDescent="0.3">
      <c r="C8442" s="87"/>
      <c r="H8442" s="86" t="e">
        <f>IF(I8442="fora",0%,G8442/QUÓRUM!$C$6)</f>
        <v>#DIV/0!</v>
      </c>
      <c r="I8442" s="87"/>
      <c r="J8442" s="88"/>
      <c r="K8442" s="88"/>
      <c r="L8442" s="89"/>
      <c r="M8442" s="89"/>
    </row>
    <row r="8443" spans="3:13" x14ac:dyDescent="0.3">
      <c r="C8443" s="87"/>
      <c r="G8443" s="115"/>
      <c r="H8443" s="86" t="e">
        <f>IF(I8443="fora",0%,G8443/QUÓRUM!$C$6)</f>
        <v>#DIV/0!</v>
      </c>
      <c r="I8443" s="87"/>
      <c r="J8443" s="88"/>
      <c r="K8443" s="88"/>
      <c r="L8443" s="89"/>
      <c r="M8443" s="89"/>
    </row>
    <row r="8444" spans="3:13" x14ac:dyDescent="0.3">
      <c r="C8444" s="87"/>
      <c r="H8444" s="86" t="e">
        <f>IF(I8444="fora",0%,G8444/QUÓRUM!$C$6)</f>
        <v>#DIV/0!</v>
      </c>
      <c r="I8444" s="87"/>
      <c r="J8444" s="88"/>
      <c r="K8444" s="88"/>
      <c r="L8444" s="89"/>
      <c r="M8444" s="89"/>
    </row>
    <row r="8445" spans="3:13" x14ac:dyDescent="0.3">
      <c r="C8445" s="87"/>
      <c r="H8445" s="86" t="e">
        <f>IF(I8445="fora",0%,G8445/QUÓRUM!$C$6)</f>
        <v>#DIV/0!</v>
      </c>
      <c r="I8445" s="87"/>
      <c r="J8445" s="88"/>
      <c r="K8445" s="88"/>
      <c r="L8445" s="89"/>
      <c r="M8445" s="89"/>
    </row>
    <row r="8446" spans="3:13" x14ac:dyDescent="0.3">
      <c r="C8446" s="87"/>
      <c r="H8446" s="86" t="e">
        <f>IF(I8446="fora",0%,G8446/QUÓRUM!$C$6)</f>
        <v>#DIV/0!</v>
      </c>
      <c r="I8446" s="87"/>
      <c r="J8446" s="88"/>
      <c r="K8446" s="88"/>
      <c r="L8446" s="89"/>
      <c r="M8446" s="89"/>
    </row>
    <row r="8447" spans="3:13" x14ac:dyDescent="0.3">
      <c r="C8447" s="87"/>
      <c r="H8447" s="86" t="e">
        <f>IF(I8447="fora",0%,G8447/QUÓRUM!$C$6)</f>
        <v>#DIV/0!</v>
      </c>
      <c r="I8447" s="87"/>
      <c r="J8447" s="88"/>
      <c r="K8447" s="88"/>
      <c r="L8447" s="89"/>
      <c r="M8447" s="89"/>
    </row>
    <row r="8448" spans="3:13" x14ac:dyDescent="0.3">
      <c r="C8448" s="87"/>
      <c r="H8448" s="86" t="e">
        <f>IF(I8448="fora",0%,G8448/QUÓRUM!$C$6)</f>
        <v>#DIV/0!</v>
      </c>
      <c r="I8448" s="87"/>
      <c r="J8448" s="88"/>
      <c r="K8448" s="88"/>
      <c r="L8448" s="89"/>
      <c r="M8448" s="89"/>
    </row>
    <row r="8449" spans="3:13" x14ac:dyDescent="0.3">
      <c r="C8449" s="87"/>
      <c r="H8449" s="86" t="e">
        <f>IF(I8449="fora",0%,G8449/QUÓRUM!$C$6)</f>
        <v>#DIV/0!</v>
      </c>
      <c r="I8449" s="87"/>
      <c r="J8449" s="88"/>
      <c r="K8449" s="88"/>
      <c r="L8449" s="89"/>
      <c r="M8449" s="89"/>
    </row>
    <row r="8450" spans="3:13" x14ac:dyDescent="0.3">
      <c r="C8450" s="87"/>
      <c r="H8450" s="86" t="e">
        <f>IF(I8450="fora",0%,G8450/QUÓRUM!$C$6)</f>
        <v>#DIV/0!</v>
      </c>
      <c r="I8450" s="87"/>
      <c r="J8450" s="88"/>
      <c r="K8450" s="88"/>
      <c r="L8450" s="89"/>
      <c r="M8450" s="89"/>
    </row>
    <row r="8451" spans="3:13" x14ac:dyDescent="0.3">
      <c r="C8451" s="87"/>
      <c r="H8451" s="86" t="e">
        <f>IF(I8451="fora",0%,G8451/QUÓRUM!$C$6)</f>
        <v>#DIV/0!</v>
      </c>
      <c r="I8451" s="87"/>
      <c r="J8451" s="88"/>
      <c r="K8451" s="88"/>
      <c r="L8451" s="89"/>
      <c r="M8451" s="89"/>
    </row>
    <row r="8452" spans="3:13" x14ac:dyDescent="0.3">
      <c r="C8452" s="87"/>
      <c r="H8452" s="86" t="e">
        <f>IF(I8452="fora",0%,G8452/QUÓRUM!$C$6)</f>
        <v>#DIV/0!</v>
      </c>
      <c r="I8452" s="87"/>
      <c r="J8452" s="88"/>
      <c r="K8452" s="88"/>
      <c r="L8452" s="89"/>
      <c r="M8452" s="89"/>
    </row>
    <row r="8453" spans="3:13" x14ac:dyDescent="0.3">
      <c r="C8453" s="87"/>
      <c r="H8453" s="86" t="e">
        <f>IF(I8453="fora",0%,G8453/QUÓRUM!$C$6)</f>
        <v>#DIV/0!</v>
      </c>
      <c r="I8453" s="87"/>
      <c r="J8453" s="88"/>
      <c r="K8453" s="88"/>
      <c r="L8453" s="89"/>
      <c r="M8453" s="89"/>
    </row>
    <row r="8454" spans="3:13" x14ac:dyDescent="0.3">
      <c r="C8454" s="87"/>
      <c r="H8454" s="86" t="e">
        <f>IF(I8454="fora",0%,G8454/QUÓRUM!$C$6)</f>
        <v>#DIV/0!</v>
      </c>
      <c r="I8454" s="87"/>
      <c r="J8454" s="88"/>
      <c r="K8454" s="88"/>
      <c r="L8454" s="89"/>
      <c r="M8454" s="89"/>
    </row>
    <row r="8455" spans="3:13" x14ac:dyDescent="0.3">
      <c r="C8455" s="87"/>
      <c r="H8455" s="86" t="e">
        <f>IF(I8455="fora",0%,G8455/QUÓRUM!$C$6)</f>
        <v>#DIV/0!</v>
      </c>
      <c r="I8455" s="87"/>
      <c r="J8455" s="88"/>
      <c r="K8455" s="88"/>
      <c r="L8455" s="89"/>
      <c r="M8455" s="89"/>
    </row>
    <row r="8456" spans="3:13" x14ac:dyDescent="0.3">
      <c r="C8456" s="87"/>
      <c r="H8456" s="86" t="e">
        <f>IF(I8456="fora",0%,G8456/QUÓRUM!$C$6)</f>
        <v>#DIV/0!</v>
      </c>
      <c r="I8456" s="87"/>
      <c r="J8456" s="88"/>
      <c r="K8456" s="88"/>
      <c r="L8456" s="89"/>
      <c r="M8456" s="89"/>
    </row>
    <row r="8457" spans="3:13" x14ac:dyDescent="0.3">
      <c r="C8457" s="87"/>
      <c r="H8457" s="86" t="e">
        <f>IF(I8457="fora",0%,G8457/QUÓRUM!$C$6)</f>
        <v>#DIV/0!</v>
      </c>
      <c r="I8457" s="87"/>
      <c r="J8457" s="88"/>
      <c r="K8457" s="88"/>
      <c r="L8457" s="89"/>
      <c r="M8457" s="89"/>
    </row>
    <row r="8458" spans="3:13" x14ac:dyDescent="0.3">
      <c r="C8458" s="87"/>
      <c r="H8458" s="86" t="e">
        <f>IF(I8458="fora",0%,G8458/QUÓRUM!$C$6)</f>
        <v>#DIV/0!</v>
      </c>
      <c r="I8458" s="87"/>
      <c r="J8458" s="88"/>
      <c r="K8458" s="88"/>
      <c r="L8458" s="89"/>
      <c r="M8458" s="89"/>
    </row>
    <row r="8459" spans="3:13" x14ac:dyDescent="0.3">
      <c r="C8459" s="87"/>
      <c r="H8459" s="86" t="e">
        <f>IF(I8459="fora",0%,G8459/QUÓRUM!$C$6)</f>
        <v>#DIV/0!</v>
      </c>
      <c r="I8459" s="87"/>
      <c r="J8459" s="88"/>
      <c r="K8459" s="88"/>
      <c r="L8459" s="89"/>
      <c r="M8459" s="89"/>
    </row>
    <row r="8460" spans="3:13" x14ac:dyDescent="0.3">
      <c r="C8460" s="87"/>
      <c r="H8460" s="86" t="e">
        <f>IF(I8460="fora",0%,G8460/QUÓRUM!$C$6)</f>
        <v>#DIV/0!</v>
      </c>
      <c r="I8460" s="87"/>
      <c r="J8460" s="88"/>
      <c r="K8460" s="88"/>
      <c r="L8460" s="89"/>
      <c r="M8460" s="89"/>
    </row>
    <row r="8461" spans="3:13" x14ac:dyDescent="0.3">
      <c r="C8461" s="87"/>
      <c r="H8461" s="86" t="e">
        <f>IF(I8461="fora",0%,G8461/QUÓRUM!$C$6)</f>
        <v>#DIV/0!</v>
      </c>
      <c r="I8461" s="87"/>
      <c r="J8461" s="88"/>
      <c r="K8461" s="88"/>
      <c r="L8461" s="89"/>
      <c r="M8461" s="89"/>
    </row>
    <row r="8462" spans="3:13" x14ac:dyDescent="0.3">
      <c r="C8462" s="87"/>
      <c r="H8462" s="86" t="e">
        <f>IF(I8462="fora",0%,G8462/QUÓRUM!$C$6)</f>
        <v>#DIV/0!</v>
      </c>
      <c r="I8462" s="87"/>
      <c r="J8462" s="88"/>
      <c r="K8462" s="88"/>
      <c r="L8462" s="89"/>
      <c r="M8462" s="89"/>
    </row>
    <row r="8463" spans="3:13" x14ac:dyDescent="0.3">
      <c r="C8463" s="87"/>
      <c r="H8463" s="86" t="e">
        <f>IF(I8463="fora",0%,G8463/QUÓRUM!$C$6)</f>
        <v>#DIV/0!</v>
      </c>
      <c r="I8463" s="87"/>
      <c r="J8463" s="88"/>
      <c r="K8463" s="88"/>
      <c r="L8463" s="89"/>
      <c r="M8463" s="89"/>
    </row>
    <row r="8464" spans="3:13" x14ac:dyDescent="0.3">
      <c r="C8464" s="87"/>
      <c r="H8464" s="86" t="e">
        <f>IF(I8464="fora",0%,G8464/QUÓRUM!$C$6)</f>
        <v>#DIV/0!</v>
      </c>
      <c r="I8464" s="87"/>
      <c r="J8464" s="88"/>
      <c r="K8464" s="88"/>
      <c r="L8464" s="89"/>
      <c r="M8464" s="89"/>
    </row>
    <row r="8465" spans="3:13" x14ac:dyDescent="0.3">
      <c r="C8465" s="87"/>
      <c r="H8465" s="86" t="e">
        <f>IF(I8465="fora",0%,G8465/QUÓRUM!$C$6)</f>
        <v>#DIV/0!</v>
      </c>
      <c r="I8465" s="87"/>
      <c r="J8465" s="88"/>
      <c r="K8465" s="88"/>
      <c r="L8465" s="89"/>
      <c r="M8465" s="89"/>
    </row>
    <row r="8466" spans="3:13" x14ac:dyDescent="0.3">
      <c r="C8466" s="87"/>
      <c r="H8466" s="86" t="e">
        <f>IF(I8466="fora",0%,G8466/QUÓRUM!$C$6)</f>
        <v>#DIV/0!</v>
      </c>
      <c r="I8466" s="87"/>
      <c r="J8466" s="88"/>
      <c r="K8466" s="88"/>
      <c r="L8466" s="89"/>
      <c r="M8466" s="89"/>
    </row>
    <row r="8467" spans="3:13" x14ac:dyDescent="0.3">
      <c r="C8467" s="87"/>
      <c r="H8467" s="86" t="e">
        <f>IF(I8467="fora",0%,G8467/QUÓRUM!$C$6)</f>
        <v>#DIV/0!</v>
      </c>
      <c r="I8467" s="87"/>
      <c r="J8467" s="88"/>
      <c r="K8467" s="88"/>
      <c r="L8467" s="89"/>
      <c r="M8467" s="89"/>
    </row>
    <row r="8468" spans="3:13" x14ac:dyDescent="0.3">
      <c r="C8468" s="87"/>
      <c r="H8468" s="86" t="e">
        <f>IF(I8468="fora",0%,G8468/QUÓRUM!$C$6)</f>
        <v>#DIV/0!</v>
      </c>
      <c r="I8468" s="87"/>
      <c r="J8468" s="88"/>
      <c r="K8468" s="88"/>
      <c r="L8468" s="89"/>
      <c r="M8468" s="89"/>
    </row>
    <row r="8469" spans="3:13" x14ac:dyDescent="0.3">
      <c r="C8469" s="87"/>
      <c r="H8469" s="86" t="e">
        <f>IF(I8469="fora",0%,G8469/QUÓRUM!$C$6)</f>
        <v>#DIV/0!</v>
      </c>
      <c r="I8469" s="87"/>
      <c r="J8469" s="88"/>
      <c r="K8469" s="88"/>
      <c r="L8469" s="89"/>
      <c r="M8469" s="89"/>
    </row>
    <row r="8470" spans="3:13" x14ac:dyDescent="0.3">
      <c r="C8470" s="87"/>
      <c r="H8470" s="86" t="e">
        <f>IF(I8470="fora",0%,G8470/QUÓRUM!$C$6)</f>
        <v>#DIV/0!</v>
      </c>
      <c r="I8470" s="87"/>
      <c r="J8470" s="88"/>
      <c r="K8470" s="88"/>
      <c r="L8470" s="89"/>
      <c r="M8470" s="89"/>
    </row>
    <row r="8471" spans="3:13" x14ac:dyDescent="0.3">
      <c r="C8471" s="87"/>
      <c r="H8471" s="86" t="e">
        <f>IF(I8471="fora",0%,G8471/QUÓRUM!$C$6)</f>
        <v>#DIV/0!</v>
      </c>
      <c r="I8471" s="87"/>
      <c r="J8471" s="88"/>
      <c r="K8471" s="88"/>
      <c r="L8471" s="89"/>
      <c r="M8471" s="89"/>
    </row>
    <row r="8472" spans="3:13" x14ac:dyDescent="0.3">
      <c r="C8472" s="87"/>
      <c r="H8472" s="86" t="e">
        <f>IF(I8472="fora",0%,G8472/QUÓRUM!$C$6)</f>
        <v>#DIV/0!</v>
      </c>
      <c r="I8472" s="87"/>
      <c r="J8472" s="88"/>
      <c r="K8472" s="88"/>
      <c r="L8472" s="89"/>
      <c r="M8472" s="89"/>
    </row>
    <row r="8473" spans="3:13" x14ac:dyDescent="0.3">
      <c r="C8473" s="87"/>
      <c r="H8473" s="86" t="e">
        <f>IF(I8473="fora",0%,G8473/QUÓRUM!$C$6)</f>
        <v>#DIV/0!</v>
      </c>
      <c r="I8473" s="87"/>
      <c r="J8473" s="88"/>
      <c r="K8473" s="88"/>
      <c r="L8473" s="89"/>
      <c r="M8473" s="89"/>
    </row>
    <row r="8474" spans="3:13" x14ac:dyDescent="0.3">
      <c r="C8474" s="87"/>
      <c r="H8474" s="86" t="e">
        <f>IF(I8474="fora",0%,G8474/QUÓRUM!$C$6)</f>
        <v>#DIV/0!</v>
      </c>
      <c r="I8474" s="87"/>
      <c r="J8474" s="88"/>
      <c r="K8474" s="88"/>
      <c r="L8474" s="89"/>
      <c r="M8474" s="89"/>
    </row>
    <row r="8475" spans="3:13" x14ac:dyDescent="0.3">
      <c r="C8475" s="87"/>
      <c r="H8475" s="86" t="e">
        <f>IF(I8475="fora",0%,G8475/QUÓRUM!$C$6)</f>
        <v>#DIV/0!</v>
      </c>
      <c r="I8475" s="87"/>
      <c r="J8475" s="88"/>
      <c r="K8475" s="88"/>
      <c r="L8475" s="89"/>
      <c r="M8475" s="89"/>
    </row>
    <row r="8476" spans="3:13" x14ac:dyDescent="0.3">
      <c r="C8476" s="87"/>
      <c r="H8476" s="86" t="e">
        <f>IF(I8476="fora",0%,G8476/QUÓRUM!$C$6)</f>
        <v>#DIV/0!</v>
      </c>
      <c r="I8476" s="87"/>
      <c r="J8476" s="88"/>
      <c r="K8476" s="88"/>
      <c r="L8476" s="89"/>
      <c r="M8476" s="89"/>
    </row>
    <row r="8477" spans="3:13" x14ac:dyDescent="0.3">
      <c r="C8477" s="87"/>
      <c r="H8477" s="86" t="e">
        <f>IF(I8477="fora",0%,G8477/QUÓRUM!$C$6)</f>
        <v>#DIV/0!</v>
      </c>
      <c r="I8477" s="87"/>
      <c r="J8477" s="88"/>
      <c r="K8477" s="88"/>
      <c r="L8477" s="89"/>
      <c r="M8477" s="89"/>
    </row>
    <row r="8478" spans="3:13" x14ac:dyDescent="0.3">
      <c r="C8478" s="87"/>
      <c r="H8478" s="86" t="e">
        <f>IF(I8478="fora",0%,G8478/QUÓRUM!$C$6)</f>
        <v>#DIV/0!</v>
      </c>
      <c r="I8478" s="87"/>
      <c r="J8478" s="88"/>
      <c r="K8478" s="88"/>
      <c r="L8478" s="89"/>
      <c r="M8478" s="89"/>
    </row>
    <row r="8479" spans="3:13" x14ac:dyDescent="0.3">
      <c r="C8479" s="87"/>
      <c r="H8479" s="86" t="e">
        <f>IF(I8479="fora",0%,G8479/QUÓRUM!$C$6)</f>
        <v>#DIV/0!</v>
      </c>
      <c r="I8479" s="87"/>
      <c r="J8479" s="88"/>
      <c r="K8479" s="88"/>
      <c r="L8479" s="89"/>
      <c r="M8479" s="89"/>
    </row>
    <row r="8480" spans="3:13" x14ac:dyDescent="0.3">
      <c r="C8480" s="87"/>
      <c r="H8480" s="86" t="e">
        <f>IF(I8480="fora",0%,G8480/QUÓRUM!$C$6)</f>
        <v>#DIV/0!</v>
      </c>
      <c r="I8480" s="87"/>
      <c r="J8480" s="88"/>
      <c r="K8480" s="88"/>
      <c r="L8480" s="89"/>
      <c r="M8480" s="89"/>
    </row>
    <row r="8481" spans="3:13" x14ac:dyDescent="0.3">
      <c r="C8481" s="87"/>
      <c r="H8481" s="86" t="e">
        <f>IF(I8481="fora",0%,G8481/QUÓRUM!$C$6)</f>
        <v>#DIV/0!</v>
      </c>
      <c r="I8481" s="87"/>
      <c r="J8481" s="88"/>
      <c r="K8481" s="88"/>
      <c r="L8481" s="89"/>
      <c r="M8481" s="89"/>
    </row>
    <row r="8482" spans="3:13" x14ac:dyDescent="0.3">
      <c r="C8482" s="87"/>
      <c r="H8482" s="86" t="e">
        <f>IF(I8482="fora",0%,G8482/QUÓRUM!$C$6)</f>
        <v>#DIV/0!</v>
      </c>
      <c r="I8482" s="87"/>
      <c r="J8482" s="88"/>
      <c r="K8482" s="88"/>
      <c r="L8482" s="89"/>
      <c r="M8482" s="89"/>
    </row>
    <row r="8483" spans="3:13" x14ac:dyDescent="0.3">
      <c r="C8483" s="87"/>
      <c r="H8483" s="86" t="e">
        <f>IF(I8483="fora",0%,G8483/QUÓRUM!$C$6)</f>
        <v>#DIV/0!</v>
      </c>
      <c r="I8483" s="87"/>
      <c r="J8483" s="88"/>
      <c r="K8483" s="88"/>
      <c r="L8483" s="89"/>
      <c r="M8483" s="89"/>
    </row>
    <row r="8484" spans="3:13" x14ac:dyDescent="0.3">
      <c r="C8484" s="87"/>
      <c r="H8484" s="86" t="e">
        <f>IF(I8484="fora",0%,G8484/QUÓRUM!$C$6)</f>
        <v>#DIV/0!</v>
      </c>
      <c r="I8484" s="87"/>
      <c r="J8484" s="88"/>
      <c r="K8484" s="88"/>
      <c r="L8484" s="89"/>
      <c r="M8484" s="89"/>
    </row>
    <row r="8485" spans="3:13" x14ac:dyDescent="0.3">
      <c r="C8485" s="87"/>
      <c r="H8485" s="86" t="e">
        <f>IF(I8485="fora",0%,G8485/QUÓRUM!$C$6)</f>
        <v>#DIV/0!</v>
      </c>
      <c r="I8485" s="87"/>
      <c r="J8485" s="88"/>
      <c r="K8485" s="88"/>
      <c r="L8485" s="89"/>
      <c r="M8485" s="89"/>
    </row>
    <row r="8486" spans="3:13" x14ac:dyDescent="0.3">
      <c r="C8486" s="87"/>
      <c r="H8486" s="86" t="e">
        <f>IF(I8486="fora",0%,G8486/QUÓRUM!$C$6)</f>
        <v>#DIV/0!</v>
      </c>
      <c r="I8486" s="87"/>
      <c r="J8486" s="88"/>
      <c r="K8486" s="88"/>
      <c r="L8486" s="89"/>
      <c r="M8486" s="89"/>
    </row>
    <row r="8487" spans="3:13" x14ac:dyDescent="0.3">
      <c r="C8487" s="87"/>
      <c r="H8487" s="86" t="e">
        <f>IF(I8487="fora",0%,G8487/QUÓRUM!$C$6)</f>
        <v>#DIV/0!</v>
      </c>
      <c r="I8487" s="87"/>
      <c r="J8487" s="88"/>
      <c r="K8487" s="88"/>
      <c r="L8487" s="89"/>
      <c r="M8487" s="89"/>
    </row>
    <row r="8488" spans="3:13" x14ac:dyDescent="0.3">
      <c r="C8488" s="87"/>
      <c r="H8488" s="86" t="e">
        <f>IF(I8488="fora",0%,G8488/QUÓRUM!$C$6)</f>
        <v>#DIV/0!</v>
      </c>
      <c r="I8488" s="87"/>
      <c r="J8488" s="88"/>
      <c r="K8488" s="88"/>
      <c r="L8488" s="89"/>
      <c r="M8488" s="89"/>
    </row>
    <row r="8489" spans="3:13" x14ac:dyDescent="0.3">
      <c r="C8489" s="87"/>
      <c r="H8489" s="86" t="e">
        <f>IF(I8489="fora",0%,G8489/QUÓRUM!$C$6)</f>
        <v>#DIV/0!</v>
      </c>
      <c r="I8489" s="87"/>
      <c r="J8489" s="88"/>
      <c r="K8489" s="88"/>
      <c r="L8489" s="89"/>
      <c r="M8489" s="89"/>
    </row>
    <row r="8490" spans="3:13" x14ac:dyDescent="0.3">
      <c r="C8490" s="87"/>
      <c r="H8490" s="86" t="e">
        <f>IF(I8490="fora",0%,G8490/QUÓRUM!$C$6)</f>
        <v>#DIV/0!</v>
      </c>
      <c r="I8490" s="87"/>
      <c r="J8490" s="88"/>
      <c r="K8490" s="88"/>
      <c r="L8490" s="89"/>
      <c r="M8490" s="89"/>
    </row>
    <row r="8491" spans="3:13" x14ac:dyDescent="0.3">
      <c r="C8491" s="87"/>
      <c r="H8491" s="86" t="e">
        <f>IF(I8491="fora",0%,G8491/QUÓRUM!$C$6)</f>
        <v>#DIV/0!</v>
      </c>
      <c r="I8491" s="87"/>
      <c r="J8491" s="88"/>
      <c r="K8491" s="88"/>
      <c r="L8491" s="89"/>
      <c r="M8491" s="89"/>
    </row>
    <row r="8492" spans="3:13" x14ac:dyDescent="0.3">
      <c r="C8492" s="87"/>
      <c r="H8492" s="86" t="e">
        <f>IF(I8492="fora",0%,G8492/QUÓRUM!$C$6)</f>
        <v>#DIV/0!</v>
      </c>
      <c r="I8492" s="87"/>
      <c r="J8492" s="88"/>
      <c r="K8492" s="88"/>
      <c r="L8492" s="89"/>
      <c r="M8492" s="89"/>
    </row>
    <row r="8493" spans="3:13" x14ac:dyDescent="0.3">
      <c r="C8493" s="87"/>
      <c r="H8493" s="86" t="e">
        <f>IF(I8493="fora",0%,G8493/QUÓRUM!$C$6)</f>
        <v>#DIV/0!</v>
      </c>
      <c r="I8493" s="87"/>
      <c r="J8493" s="88"/>
      <c r="K8493" s="88"/>
      <c r="L8493" s="89"/>
      <c r="M8493" s="89"/>
    </row>
    <row r="8494" spans="3:13" x14ac:dyDescent="0.3">
      <c r="C8494" s="87"/>
      <c r="H8494" s="86" t="e">
        <f>IF(I8494="fora",0%,G8494/QUÓRUM!$C$6)</f>
        <v>#DIV/0!</v>
      </c>
      <c r="I8494" s="87"/>
      <c r="J8494" s="88"/>
      <c r="K8494" s="88"/>
      <c r="L8494" s="89"/>
      <c r="M8494" s="89"/>
    </row>
    <row r="8495" spans="3:13" x14ac:dyDescent="0.3">
      <c r="C8495" s="87"/>
      <c r="H8495" s="86" t="e">
        <f>IF(I8495="fora",0%,G8495/QUÓRUM!$C$6)</f>
        <v>#DIV/0!</v>
      </c>
      <c r="I8495" s="87"/>
      <c r="J8495" s="88"/>
      <c r="K8495" s="88"/>
      <c r="L8495" s="89"/>
      <c r="M8495" s="89"/>
    </row>
    <row r="8496" spans="3:13" x14ac:dyDescent="0.3">
      <c r="C8496" s="87"/>
      <c r="H8496" s="86" t="e">
        <f>IF(I8496="fora",0%,G8496/QUÓRUM!$C$6)</f>
        <v>#DIV/0!</v>
      </c>
      <c r="I8496" s="87"/>
      <c r="J8496" s="88"/>
      <c r="K8496" s="88"/>
      <c r="L8496" s="89"/>
      <c r="M8496" s="89"/>
    </row>
    <row r="8497" spans="3:13" x14ac:dyDescent="0.3">
      <c r="C8497" s="87"/>
      <c r="H8497" s="86" t="e">
        <f>IF(I8497="fora",0%,G8497/QUÓRUM!$C$6)</f>
        <v>#DIV/0!</v>
      </c>
      <c r="I8497" s="87"/>
      <c r="J8497" s="88"/>
      <c r="K8497" s="88"/>
      <c r="L8497" s="89"/>
      <c r="M8497" s="89"/>
    </row>
    <row r="8498" spans="3:13" x14ac:dyDescent="0.3">
      <c r="C8498" s="87"/>
      <c r="H8498" s="86" t="e">
        <f>IF(I8498="fora",0%,G8498/QUÓRUM!$C$6)</f>
        <v>#DIV/0!</v>
      </c>
      <c r="I8498" s="87"/>
      <c r="J8498" s="88"/>
      <c r="K8498" s="88"/>
      <c r="L8498" s="89"/>
      <c r="M8498" s="89"/>
    </row>
    <row r="8499" spans="3:13" x14ac:dyDescent="0.3">
      <c r="C8499" s="87"/>
      <c r="H8499" s="86" t="e">
        <f>IF(I8499="fora",0%,G8499/QUÓRUM!$C$6)</f>
        <v>#DIV/0!</v>
      </c>
      <c r="I8499" s="87"/>
      <c r="J8499" s="88"/>
      <c r="K8499" s="88"/>
      <c r="L8499" s="89"/>
      <c r="M8499" s="89"/>
    </row>
    <row r="8500" spans="3:13" x14ac:dyDescent="0.3">
      <c r="C8500" s="87"/>
      <c r="H8500" s="86" t="e">
        <f>IF(I8500="fora",0%,G8500/QUÓRUM!$C$6)</f>
        <v>#DIV/0!</v>
      </c>
      <c r="I8500" s="87"/>
      <c r="J8500" s="88"/>
      <c r="K8500" s="88"/>
      <c r="L8500" s="89"/>
      <c r="M8500" s="89"/>
    </row>
    <row r="8501" spans="3:13" x14ac:dyDescent="0.3">
      <c r="C8501" s="87"/>
      <c r="H8501" s="86" t="e">
        <f>IF(I8501="fora",0%,G8501/QUÓRUM!$C$6)</f>
        <v>#DIV/0!</v>
      </c>
      <c r="I8501" s="87"/>
      <c r="J8501" s="88"/>
      <c r="K8501" s="88"/>
      <c r="L8501" s="89"/>
      <c r="M8501" s="89"/>
    </row>
    <row r="8502" spans="3:13" x14ac:dyDescent="0.3">
      <c r="C8502" s="87"/>
      <c r="H8502" s="86" t="e">
        <f>IF(I8502="fora",0%,G8502/QUÓRUM!$C$6)</f>
        <v>#DIV/0!</v>
      </c>
      <c r="I8502" s="87"/>
      <c r="J8502" s="88"/>
      <c r="K8502" s="88"/>
      <c r="L8502" s="89"/>
      <c r="M8502" s="89"/>
    </row>
    <row r="8503" spans="3:13" x14ac:dyDescent="0.3">
      <c r="C8503" s="87"/>
      <c r="H8503" s="86" t="e">
        <f>IF(I8503="fora",0%,G8503/QUÓRUM!$C$6)</f>
        <v>#DIV/0!</v>
      </c>
      <c r="I8503" s="87"/>
      <c r="J8503" s="88"/>
      <c r="K8503" s="88"/>
      <c r="L8503" s="89"/>
      <c r="M8503" s="89"/>
    </row>
    <row r="8504" spans="3:13" x14ac:dyDescent="0.3">
      <c r="C8504" s="87"/>
      <c r="H8504" s="86" t="e">
        <f>IF(I8504="fora",0%,G8504/QUÓRUM!$C$6)</f>
        <v>#DIV/0!</v>
      </c>
      <c r="I8504" s="87"/>
      <c r="J8504" s="88"/>
      <c r="K8504" s="88"/>
      <c r="L8504" s="89"/>
      <c r="M8504" s="89"/>
    </row>
    <row r="8505" spans="3:13" x14ac:dyDescent="0.3">
      <c r="C8505" s="87"/>
      <c r="H8505" s="86" t="e">
        <f>IF(I8505="fora",0%,G8505/QUÓRUM!$C$6)</f>
        <v>#DIV/0!</v>
      </c>
      <c r="I8505" s="87"/>
      <c r="J8505" s="88"/>
      <c r="K8505" s="88"/>
      <c r="L8505" s="89"/>
      <c r="M8505" s="89"/>
    </row>
    <row r="8506" spans="3:13" x14ac:dyDescent="0.3">
      <c r="C8506" s="87"/>
      <c r="H8506" s="86" t="e">
        <f>IF(I8506="fora",0%,G8506/QUÓRUM!$C$6)</f>
        <v>#DIV/0!</v>
      </c>
      <c r="I8506" s="87"/>
      <c r="J8506" s="88"/>
      <c r="K8506" s="88"/>
      <c r="L8506" s="89"/>
      <c r="M8506" s="89"/>
    </row>
    <row r="8507" spans="3:13" x14ac:dyDescent="0.3">
      <c r="C8507" s="87"/>
      <c r="H8507" s="86" t="e">
        <f>IF(I8507="fora",0%,G8507/QUÓRUM!$C$6)</f>
        <v>#DIV/0!</v>
      </c>
      <c r="I8507" s="87"/>
      <c r="J8507" s="88"/>
      <c r="K8507" s="88"/>
      <c r="L8507" s="89"/>
      <c r="M8507" s="89"/>
    </row>
    <row r="8508" spans="3:13" x14ac:dyDescent="0.3">
      <c r="C8508" s="87"/>
      <c r="H8508" s="86" t="e">
        <f>IF(I8508="fora",0%,G8508/QUÓRUM!$C$6)</f>
        <v>#DIV/0!</v>
      </c>
      <c r="I8508" s="87"/>
      <c r="J8508" s="88"/>
      <c r="K8508" s="88"/>
      <c r="L8508" s="89"/>
      <c r="M8508" s="89"/>
    </row>
    <row r="8509" spans="3:13" x14ac:dyDescent="0.3">
      <c r="C8509" s="87"/>
      <c r="H8509" s="86" t="e">
        <f>IF(I8509="fora",0%,G8509/QUÓRUM!$C$6)</f>
        <v>#DIV/0!</v>
      </c>
      <c r="I8509" s="87"/>
      <c r="J8509" s="88"/>
      <c r="K8509" s="88"/>
      <c r="L8509" s="89"/>
      <c r="M8509" s="89"/>
    </row>
    <row r="8510" spans="3:13" x14ac:dyDescent="0.3">
      <c r="C8510" s="87"/>
      <c r="H8510" s="86" t="e">
        <f>IF(I8510="fora",0%,G8510/QUÓRUM!$C$6)</f>
        <v>#DIV/0!</v>
      </c>
      <c r="I8510" s="87"/>
      <c r="J8510" s="88"/>
      <c r="K8510" s="88"/>
      <c r="L8510" s="89"/>
      <c r="M8510" s="89"/>
    </row>
    <row r="8511" spans="3:13" x14ac:dyDescent="0.3">
      <c r="C8511" s="87"/>
      <c r="H8511" s="86" t="e">
        <f>IF(I8511="fora",0%,G8511/QUÓRUM!$C$6)</f>
        <v>#DIV/0!</v>
      </c>
      <c r="I8511" s="87"/>
      <c r="J8511" s="88"/>
      <c r="K8511" s="88"/>
      <c r="L8511" s="89"/>
      <c r="M8511" s="89"/>
    </row>
    <row r="8512" spans="3:13" x14ac:dyDescent="0.3">
      <c r="C8512" s="87"/>
      <c r="H8512" s="86" t="e">
        <f>IF(I8512="fora",0%,G8512/QUÓRUM!$C$6)</f>
        <v>#DIV/0!</v>
      </c>
      <c r="I8512" s="87"/>
      <c r="J8512" s="88"/>
      <c r="K8512" s="88"/>
      <c r="L8512" s="89"/>
      <c r="M8512" s="89"/>
    </row>
    <row r="8513" spans="3:13" x14ac:dyDescent="0.3">
      <c r="C8513" s="87"/>
      <c r="H8513" s="86" t="e">
        <f>IF(I8513="fora",0%,G8513/QUÓRUM!$C$6)</f>
        <v>#DIV/0!</v>
      </c>
      <c r="I8513" s="87"/>
      <c r="J8513" s="88"/>
      <c r="K8513" s="88"/>
      <c r="L8513" s="89"/>
      <c r="M8513" s="89"/>
    </row>
    <row r="8514" spans="3:13" x14ac:dyDescent="0.3">
      <c r="C8514" s="87"/>
      <c r="H8514" s="86" t="e">
        <f>IF(I8514="fora",0%,G8514/QUÓRUM!$C$6)</f>
        <v>#DIV/0!</v>
      </c>
      <c r="I8514" s="87"/>
      <c r="J8514" s="88"/>
      <c r="K8514" s="88"/>
      <c r="L8514" s="89"/>
      <c r="M8514" s="89"/>
    </row>
    <row r="8515" spans="3:13" x14ac:dyDescent="0.3">
      <c r="C8515" s="87"/>
      <c r="H8515" s="86" t="e">
        <f>IF(I8515="fora",0%,G8515/QUÓRUM!$C$6)</f>
        <v>#DIV/0!</v>
      </c>
      <c r="I8515" s="87"/>
      <c r="J8515" s="88"/>
      <c r="K8515" s="88"/>
      <c r="L8515" s="89"/>
      <c r="M8515" s="89"/>
    </row>
    <row r="8516" spans="3:13" x14ac:dyDescent="0.3">
      <c r="C8516" s="87"/>
      <c r="H8516" s="86" t="e">
        <f>IF(I8516="fora",0%,G8516/QUÓRUM!$C$6)</f>
        <v>#DIV/0!</v>
      </c>
      <c r="I8516" s="87"/>
      <c r="J8516" s="88"/>
      <c r="K8516" s="88"/>
      <c r="L8516" s="89"/>
      <c r="M8516" s="89"/>
    </row>
    <row r="8517" spans="3:13" x14ac:dyDescent="0.3">
      <c r="C8517" s="87"/>
      <c r="H8517" s="86" t="e">
        <f>IF(I8517="fora",0%,G8517/QUÓRUM!$C$6)</f>
        <v>#DIV/0!</v>
      </c>
      <c r="I8517" s="87"/>
      <c r="J8517" s="88"/>
      <c r="K8517" s="88"/>
      <c r="L8517" s="89"/>
      <c r="M8517" s="89"/>
    </row>
    <row r="8518" spans="3:13" x14ac:dyDescent="0.3">
      <c r="C8518" s="87"/>
      <c r="H8518" s="86" t="e">
        <f>IF(I8518="fora",0%,G8518/QUÓRUM!$C$6)</f>
        <v>#DIV/0!</v>
      </c>
      <c r="I8518" s="87"/>
      <c r="J8518" s="88"/>
      <c r="K8518" s="88"/>
      <c r="L8518" s="89"/>
      <c r="M8518" s="89"/>
    </row>
    <row r="8519" spans="3:13" x14ac:dyDescent="0.3">
      <c r="C8519" s="87"/>
      <c r="H8519" s="86" t="e">
        <f>IF(I8519="fora",0%,G8519/QUÓRUM!$C$6)</f>
        <v>#DIV/0!</v>
      </c>
      <c r="I8519" s="87"/>
      <c r="J8519" s="88"/>
      <c r="K8519" s="88"/>
      <c r="L8519" s="89"/>
      <c r="M8519" s="89"/>
    </row>
    <row r="8520" spans="3:13" x14ac:dyDescent="0.3">
      <c r="C8520" s="87"/>
      <c r="H8520" s="86" t="e">
        <f>IF(I8520="fora",0%,G8520/QUÓRUM!$C$6)</f>
        <v>#DIV/0!</v>
      </c>
      <c r="I8520" s="87"/>
      <c r="J8520" s="88"/>
      <c r="K8520" s="88"/>
      <c r="L8520" s="89"/>
      <c r="M8520" s="89"/>
    </row>
    <row r="8521" spans="3:13" x14ac:dyDescent="0.3">
      <c r="C8521" s="87"/>
      <c r="H8521" s="86" t="e">
        <f>IF(I8521="fora",0%,G8521/QUÓRUM!$C$6)</f>
        <v>#DIV/0!</v>
      </c>
      <c r="I8521" s="87"/>
      <c r="J8521" s="88"/>
      <c r="K8521" s="88"/>
      <c r="L8521" s="89"/>
      <c r="M8521" s="89"/>
    </row>
    <row r="8522" spans="3:13" x14ac:dyDescent="0.3">
      <c r="C8522" s="87"/>
      <c r="H8522" s="86" t="e">
        <f>IF(I8522="fora",0%,G8522/QUÓRUM!$C$6)</f>
        <v>#DIV/0!</v>
      </c>
      <c r="I8522" s="87"/>
      <c r="J8522" s="88"/>
      <c r="K8522" s="88"/>
      <c r="L8522" s="89"/>
      <c r="M8522" s="89"/>
    </row>
    <row r="8523" spans="3:13" x14ac:dyDescent="0.3">
      <c r="C8523" s="87"/>
      <c r="H8523" s="86" t="e">
        <f>IF(I8523="fora",0%,G8523/QUÓRUM!$C$6)</f>
        <v>#DIV/0!</v>
      </c>
      <c r="I8523" s="87"/>
      <c r="J8523" s="88"/>
      <c r="K8523" s="88"/>
      <c r="L8523" s="89"/>
      <c r="M8523" s="89"/>
    </row>
    <row r="8524" spans="3:13" x14ac:dyDescent="0.3">
      <c r="C8524" s="87"/>
      <c r="H8524" s="86" t="e">
        <f>IF(I8524="fora",0%,G8524/QUÓRUM!$C$6)</f>
        <v>#DIV/0!</v>
      </c>
      <c r="I8524" s="87"/>
      <c r="J8524" s="88"/>
      <c r="K8524" s="88"/>
      <c r="L8524" s="89"/>
      <c r="M8524" s="89"/>
    </row>
    <row r="8525" spans="3:13" x14ac:dyDescent="0.3">
      <c r="C8525" s="87"/>
      <c r="H8525" s="86" t="e">
        <f>IF(I8525="fora",0%,G8525/QUÓRUM!$C$6)</f>
        <v>#DIV/0!</v>
      </c>
      <c r="I8525" s="87"/>
      <c r="J8525" s="88"/>
      <c r="K8525" s="88"/>
      <c r="L8525" s="89"/>
      <c r="M8525" s="89"/>
    </row>
    <row r="8526" spans="3:13" x14ac:dyDescent="0.3">
      <c r="C8526" s="87"/>
      <c r="H8526" s="86" t="e">
        <f>IF(I8526="fora",0%,G8526/QUÓRUM!$C$6)</f>
        <v>#DIV/0!</v>
      </c>
      <c r="I8526" s="87"/>
      <c r="J8526" s="88"/>
      <c r="K8526" s="88"/>
      <c r="L8526" s="89"/>
      <c r="M8526" s="89"/>
    </row>
    <row r="8527" spans="3:13" x14ac:dyDescent="0.3">
      <c r="C8527" s="87"/>
      <c r="H8527" s="86" t="e">
        <f>IF(I8527="fora",0%,G8527/QUÓRUM!$C$6)</f>
        <v>#DIV/0!</v>
      </c>
      <c r="I8527" s="87"/>
      <c r="J8527" s="88"/>
      <c r="K8527" s="88"/>
      <c r="L8527" s="89"/>
      <c r="M8527" s="89"/>
    </row>
    <row r="8528" spans="3:13" x14ac:dyDescent="0.3">
      <c r="C8528" s="87"/>
      <c r="H8528" s="86" t="e">
        <f>IF(I8528="fora",0%,G8528/QUÓRUM!$C$6)</f>
        <v>#DIV/0!</v>
      </c>
      <c r="I8528" s="87"/>
      <c r="J8528" s="88"/>
      <c r="K8528" s="88"/>
      <c r="L8528" s="89"/>
      <c r="M8528" s="89"/>
    </row>
    <row r="8529" spans="3:13" x14ac:dyDescent="0.3">
      <c r="C8529" s="87"/>
      <c r="H8529" s="86" t="e">
        <f>IF(I8529="fora",0%,G8529/QUÓRUM!$C$6)</f>
        <v>#DIV/0!</v>
      </c>
      <c r="I8529" s="87"/>
      <c r="J8529" s="88"/>
      <c r="K8529" s="88"/>
      <c r="L8529" s="89"/>
      <c r="M8529" s="89"/>
    </row>
    <row r="8530" spans="3:13" x14ac:dyDescent="0.3">
      <c r="C8530" s="87"/>
      <c r="H8530" s="86" t="e">
        <f>IF(I8530="fora",0%,G8530/QUÓRUM!$C$6)</f>
        <v>#DIV/0!</v>
      </c>
      <c r="I8530" s="87"/>
      <c r="J8530" s="88"/>
      <c r="K8530" s="88"/>
      <c r="L8530" s="89"/>
      <c r="M8530" s="89"/>
    </row>
    <row r="8531" spans="3:13" x14ac:dyDescent="0.3">
      <c r="C8531" s="87"/>
      <c r="H8531" s="86" t="e">
        <f>IF(I8531="fora",0%,G8531/QUÓRUM!$C$6)</f>
        <v>#DIV/0!</v>
      </c>
      <c r="I8531" s="87"/>
      <c r="J8531" s="88"/>
      <c r="K8531" s="88"/>
      <c r="L8531" s="89"/>
      <c r="M8531" s="89"/>
    </row>
    <row r="8532" spans="3:13" x14ac:dyDescent="0.3">
      <c r="C8532" s="87"/>
      <c r="H8532" s="86" t="e">
        <f>IF(I8532="fora",0%,G8532/QUÓRUM!$C$6)</f>
        <v>#DIV/0!</v>
      </c>
      <c r="I8532" s="87"/>
      <c r="J8532" s="88"/>
      <c r="K8532" s="88"/>
      <c r="L8532" s="89"/>
      <c r="M8532" s="89"/>
    </row>
    <row r="8533" spans="3:13" x14ac:dyDescent="0.3">
      <c r="C8533" s="87"/>
      <c r="H8533" s="86" t="e">
        <f>IF(I8533="fora",0%,G8533/QUÓRUM!$C$6)</f>
        <v>#DIV/0!</v>
      </c>
      <c r="I8533" s="87"/>
      <c r="J8533" s="88"/>
      <c r="K8533" s="88"/>
      <c r="L8533" s="89"/>
      <c r="M8533" s="89"/>
    </row>
    <row r="8534" spans="3:13" x14ac:dyDescent="0.3">
      <c r="C8534" s="87"/>
      <c r="H8534" s="86" t="e">
        <f>IF(I8534="fora",0%,G8534/QUÓRUM!$C$6)</f>
        <v>#DIV/0!</v>
      </c>
      <c r="I8534" s="87"/>
      <c r="J8534" s="88"/>
      <c r="K8534" s="88"/>
      <c r="L8534" s="89"/>
      <c r="M8534" s="89"/>
    </row>
    <row r="8535" spans="3:13" x14ac:dyDescent="0.3">
      <c r="C8535" s="87"/>
      <c r="H8535" s="86" t="e">
        <f>IF(I8535="fora",0%,G8535/QUÓRUM!$C$6)</f>
        <v>#DIV/0!</v>
      </c>
      <c r="I8535" s="87"/>
      <c r="J8535" s="88"/>
      <c r="K8535" s="88"/>
      <c r="L8535" s="89"/>
      <c r="M8535" s="89"/>
    </row>
    <row r="8536" spans="3:13" x14ac:dyDescent="0.3">
      <c r="C8536" s="87"/>
      <c r="H8536" s="86" t="e">
        <f>IF(I8536="fora",0%,G8536/QUÓRUM!$C$6)</f>
        <v>#DIV/0!</v>
      </c>
      <c r="I8536" s="87"/>
      <c r="J8536" s="88"/>
      <c r="K8536" s="88"/>
      <c r="L8536" s="89"/>
      <c r="M8536" s="89"/>
    </row>
    <row r="8537" spans="3:13" x14ac:dyDescent="0.3">
      <c r="C8537" s="87"/>
      <c r="H8537" s="86" t="e">
        <f>IF(I8537="fora",0%,G8537/QUÓRUM!$C$6)</f>
        <v>#DIV/0!</v>
      </c>
      <c r="I8537" s="87"/>
      <c r="J8537" s="88"/>
      <c r="K8537" s="88"/>
      <c r="L8537" s="89"/>
      <c r="M8537" s="89"/>
    </row>
    <row r="8538" spans="3:13" x14ac:dyDescent="0.3">
      <c r="C8538" s="87"/>
      <c r="H8538" s="86" t="e">
        <f>IF(I8538="fora",0%,G8538/QUÓRUM!$C$6)</f>
        <v>#DIV/0!</v>
      </c>
      <c r="I8538" s="87"/>
      <c r="J8538" s="88"/>
      <c r="K8538" s="88"/>
      <c r="L8538" s="89"/>
      <c r="M8538" s="89"/>
    </row>
    <row r="8539" spans="3:13" x14ac:dyDescent="0.3">
      <c r="C8539" s="87"/>
      <c r="H8539" s="86" t="e">
        <f>IF(I8539="fora",0%,G8539/QUÓRUM!$C$6)</f>
        <v>#DIV/0!</v>
      </c>
      <c r="I8539" s="87"/>
      <c r="J8539" s="88"/>
      <c r="K8539" s="88"/>
      <c r="L8539" s="89"/>
      <c r="M8539" s="89"/>
    </row>
    <row r="8540" spans="3:13" x14ac:dyDescent="0.3">
      <c r="C8540" s="87"/>
      <c r="H8540" s="86" t="e">
        <f>IF(I8540="fora",0%,G8540/QUÓRUM!$C$6)</f>
        <v>#DIV/0!</v>
      </c>
      <c r="I8540" s="87"/>
      <c r="J8540" s="88"/>
      <c r="K8540" s="88"/>
      <c r="L8540" s="89"/>
      <c r="M8540" s="89"/>
    </row>
    <row r="8541" spans="3:13" x14ac:dyDescent="0.3">
      <c r="C8541" s="87"/>
      <c r="H8541" s="86" t="e">
        <f>IF(I8541="fora",0%,G8541/QUÓRUM!$C$6)</f>
        <v>#DIV/0!</v>
      </c>
      <c r="I8541" s="87"/>
      <c r="J8541" s="88"/>
      <c r="K8541" s="88"/>
      <c r="L8541" s="89"/>
      <c r="M8541" s="89"/>
    </row>
    <row r="8542" spans="3:13" x14ac:dyDescent="0.3">
      <c r="C8542" s="87"/>
      <c r="H8542" s="86" t="e">
        <f>IF(I8542="fora",0%,G8542/QUÓRUM!$C$6)</f>
        <v>#DIV/0!</v>
      </c>
      <c r="I8542" s="87"/>
      <c r="J8542" s="88"/>
      <c r="K8542" s="88"/>
      <c r="L8542" s="89"/>
      <c r="M8542" s="89"/>
    </row>
    <row r="8543" spans="3:13" x14ac:dyDescent="0.3">
      <c r="C8543" s="87"/>
      <c r="H8543" s="86" t="e">
        <f>IF(I8543="fora",0%,G8543/QUÓRUM!$C$6)</f>
        <v>#DIV/0!</v>
      </c>
      <c r="I8543" s="87"/>
      <c r="J8543" s="88"/>
      <c r="K8543" s="88"/>
      <c r="L8543" s="89"/>
      <c r="M8543" s="89"/>
    </row>
    <row r="8544" spans="3:13" x14ac:dyDescent="0.3">
      <c r="C8544" s="87"/>
      <c r="H8544" s="86" t="e">
        <f>IF(I8544="fora",0%,G8544/QUÓRUM!$C$6)</f>
        <v>#DIV/0!</v>
      </c>
      <c r="I8544" s="87"/>
      <c r="J8544" s="88"/>
      <c r="K8544" s="88"/>
      <c r="L8544" s="89"/>
      <c r="M8544" s="89"/>
    </row>
    <row r="8545" spans="3:13" x14ac:dyDescent="0.3">
      <c r="C8545" s="87"/>
      <c r="H8545" s="86" t="e">
        <f>IF(I8545="fora",0%,G8545/QUÓRUM!$C$6)</f>
        <v>#DIV/0!</v>
      </c>
      <c r="I8545" s="87"/>
      <c r="J8545" s="88"/>
      <c r="K8545" s="88"/>
      <c r="L8545" s="89"/>
      <c r="M8545" s="89"/>
    </row>
    <row r="8546" spans="3:13" x14ac:dyDescent="0.3">
      <c r="C8546" s="87"/>
      <c r="H8546" s="86" t="e">
        <f>IF(I8546="fora",0%,G8546/QUÓRUM!$C$6)</f>
        <v>#DIV/0!</v>
      </c>
      <c r="I8546" s="87"/>
      <c r="J8546" s="88"/>
      <c r="K8546" s="88"/>
      <c r="L8546" s="89"/>
      <c r="M8546" s="89"/>
    </row>
    <row r="8547" spans="3:13" x14ac:dyDescent="0.3">
      <c r="C8547" s="87"/>
      <c r="H8547" s="86" t="e">
        <f>IF(I8547="fora",0%,G8547/QUÓRUM!$C$6)</f>
        <v>#DIV/0!</v>
      </c>
      <c r="I8547" s="87"/>
      <c r="J8547" s="88"/>
      <c r="K8547" s="88"/>
      <c r="L8547" s="89"/>
      <c r="M8547" s="89"/>
    </row>
    <row r="8548" spans="3:13" x14ac:dyDescent="0.3">
      <c r="C8548" s="87"/>
      <c r="H8548" s="86" t="e">
        <f>IF(I8548="fora",0%,G8548/QUÓRUM!$C$6)</f>
        <v>#DIV/0!</v>
      </c>
      <c r="I8548" s="87"/>
      <c r="J8548" s="88"/>
      <c r="K8548" s="88"/>
      <c r="L8548" s="89"/>
      <c r="M8548" s="89"/>
    </row>
    <row r="8549" spans="3:13" x14ac:dyDescent="0.3">
      <c r="C8549" s="87"/>
      <c r="H8549" s="86" t="e">
        <f>IF(I8549="fora",0%,G8549/QUÓRUM!$C$6)</f>
        <v>#DIV/0!</v>
      </c>
      <c r="I8549" s="87"/>
      <c r="J8549" s="88"/>
      <c r="K8549" s="88"/>
      <c r="L8549" s="89"/>
      <c r="M8549" s="89"/>
    </row>
    <row r="8550" spans="3:13" x14ac:dyDescent="0.3">
      <c r="C8550" s="87"/>
      <c r="H8550" s="86" t="e">
        <f>IF(I8550="fora",0%,G8550/QUÓRUM!$C$6)</f>
        <v>#DIV/0!</v>
      </c>
      <c r="I8550" s="87"/>
      <c r="J8550" s="88"/>
      <c r="K8550" s="88"/>
      <c r="L8550" s="89"/>
      <c r="M8550" s="89"/>
    </row>
    <row r="8551" spans="3:13" x14ac:dyDescent="0.3">
      <c r="C8551" s="87"/>
      <c r="H8551" s="86" t="e">
        <f>IF(I8551="fora",0%,G8551/QUÓRUM!$C$6)</f>
        <v>#DIV/0!</v>
      </c>
      <c r="I8551" s="87"/>
      <c r="J8551" s="88"/>
      <c r="K8551" s="88"/>
      <c r="L8551" s="89"/>
      <c r="M8551" s="89"/>
    </row>
    <row r="8552" spans="3:13" x14ac:dyDescent="0.3">
      <c r="C8552" s="87"/>
      <c r="H8552" s="86" t="e">
        <f>IF(I8552="fora",0%,G8552/QUÓRUM!$C$6)</f>
        <v>#DIV/0!</v>
      </c>
      <c r="I8552" s="87"/>
      <c r="J8552" s="88"/>
      <c r="K8552" s="88"/>
      <c r="L8552" s="89"/>
      <c r="M8552" s="89"/>
    </row>
    <row r="8553" spans="3:13" x14ac:dyDescent="0.3">
      <c r="C8553" s="87"/>
      <c r="H8553" s="86" t="e">
        <f>IF(I8553="fora",0%,G8553/QUÓRUM!$C$6)</f>
        <v>#DIV/0!</v>
      </c>
      <c r="I8553" s="87"/>
      <c r="J8553" s="88"/>
      <c r="K8553" s="88"/>
      <c r="L8553" s="89"/>
      <c r="M8553" s="89"/>
    </row>
    <row r="8554" spans="3:13" x14ac:dyDescent="0.3">
      <c r="C8554" s="87"/>
      <c r="H8554" s="86" t="e">
        <f>IF(I8554="fora",0%,G8554/QUÓRUM!$C$6)</f>
        <v>#DIV/0!</v>
      </c>
      <c r="I8554" s="87"/>
      <c r="J8554" s="88"/>
      <c r="K8554" s="88"/>
      <c r="L8554" s="89"/>
      <c r="M8554" s="89"/>
    </row>
    <row r="8555" spans="3:13" x14ac:dyDescent="0.3">
      <c r="C8555" s="87"/>
      <c r="H8555" s="86" t="e">
        <f>IF(I8555="fora",0%,G8555/QUÓRUM!$C$6)</f>
        <v>#DIV/0!</v>
      </c>
      <c r="I8555" s="87"/>
      <c r="J8555" s="88"/>
      <c r="K8555" s="88"/>
      <c r="L8555" s="89"/>
      <c r="M8555" s="89"/>
    </row>
    <row r="8556" spans="3:13" x14ac:dyDescent="0.3">
      <c r="C8556" s="87"/>
      <c r="H8556" s="86" t="e">
        <f>IF(I8556="fora",0%,G8556/QUÓRUM!$C$6)</f>
        <v>#DIV/0!</v>
      </c>
      <c r="I8556" s="87"/>
      <c r="J8556" s="88"/>
      <c r="K8556" s="88"/>
      <c r="L8556" s="89"/>
      <c r="M8556" s="89"/>
    </row>
    <row r="8557" spans="3:13" x14ac:dyDescent="0.3">
      <c r="C8557" s="87"/>
      <c r="H8557" s="86" t="e">
        <f>IF(I8557="fora",0%,G8557/QUÓRUM!$C$6)</f>
        <v>#DIV/0!</v>
      </c>
      <c r="I8557" s="87"/>
      <c r="J8557" s="88"/>
      <c r="K8557" s="88"/>
      <c r="L8557" s="89"/>
      <c r="M8557" s="89"/>
    </row>
    <row r="8558" spans="3:13" x14ac:dyDescent="0.3">
      <c r="C8558" s="87"/>
      <c r="H8558" s="86" t="e">
        <f>IF(I8558="fora",0%,G8558/QUÓRUM!$C$6)</f>
        <v>#DIV/0!</v>
      </c>
      <c r="I8558" s="87"/>
      <c r="J8558" s="88"/>
      <c r="K8558" s="88"/>
      <c r="L8558" s="89"/>
      <c r="M8558" s="89"/>
    </row>
    <row r="8559" spans="3:13" x14ac:dyDescent="0.3">
      <c r="C8559" s="87"/>
      <c r="H8559" s="86" t="e">
        <f>IF(I8559="fora",0%,G8559/QUÓRUM!$C$6)</f>
        <v>#DIV/0!</v>
      </c>
      <c r="I8559" s="87"/>
      <c r="J8559" s="88"/>
      <c r="K8559" s="88"/>
      <c r="L8559" s="89"/>
      <c r="M8559" s="89"/>
    </row>
    <row r="8560" spans="3:13" x14ac:dyDescent="0.3">
      <c r="C8560" s="87"/>
      <c r="H8560" s="86" t="e">
        <f>IF(I8560="fora",0%,G8560/QUÓRUM!$C$6)</f>
        <v>#DIV/0!</v>
      </c>
      <c r="I8560" s="87"/>
      <c r="J8560" s="88"/>
      <c r="K8560" s="88"/>
      <c r="L8560" s="89"/>
      <c r="M8560" s="89"/>
    </row>
    <row r="8561" spans="3:13" x14ac:dyDescent="0.3">
      <c r="C8561" s="87"/>
      <c r="H8561" s="86" t="e">
        <f>IF(I8561="fora",0%,G8561/QUÓRUM!$C$6)</f>
        <v>#DIV/0!</v>
      </c>
      <c r="I8561" s="87"/>
      <c r="J8561" s="88"/>
      <c r="K8561" s="88"/>
      <c r="L8561" s="89"/>
      <c r="M8561" s="89"/>
    </row>
    <row r="8562" spans="3:13" x14ac:dyDescent="0.3">
      <c r="C8562" s="87"/>
      <c r="H8562" s="86" t="e">
        <f>IF(I8562="fora",0%,G8562/QUÓRUM!$C$6)</f>
        <v>#DIV/0!</v>
      </c>
      <c r="I8562" s="87"/>
      <c r="J8562" s="88"/>
      <c r="K8562" s="88"/>
      <c r="L8562" s="89"/>
      <c r="M8562" s="89"/>
    </row>
    <row r="8563" spans="3:13" x14ac:dyDescent="0.3">
      <c r="C8563" s="87"/>
      <c r="H8563" s="86" t="e">
        <f>IF(I8563="fora",0%,G8563/QUÓRUM!$C$6)</f>
        <v>#DIV/0!</v>
      </c>
      <c r="I8563" s="87"/>
      <c r="J8563" s="88"/>
      <c r="K8563" s="88"/>
      <c r="L8563" s="89"/>
      <c r="M8563" s="89"/>
    </row>
    <row r="8564" spans="3:13" x14ac:dyDescent="0.3">
      <c r="C8564" s="87"/>
      <c r="H8564" s="86" t="e">
        <f>IF(I8564="fora",0%,G8564/QUÓRUM!$C$6)</f>
        <v>#DIV/0!</v>
      </c>
      <c r="I8564" s="87"/>
      <c r="J8564" s="88"/>
      <c r="K8564" s="88"/>
      <c r="L8564" s="89"/>
      <c r="M8564" s="89"/>
    </row>
    <row r="8565" spans="3:13" x14ac:dyDescent="0.3">
      <c r="C8565" s="87"/>
      <c r="H8565" s="86" t="e">
        <f>IF(I8565="fora",0%,G8565/QUÓRUM!$C$6)</f>
        <v>#DIV/0!</v>
      </c>
      <c r="I8565" s="87"/>
      <c r="J8565" s="88"/>
      <c r="K8565" s="88"/>
      <c r="L8565" s="89"/>
      <c r="M8565" s="89"/>
    </row>
    <row r="8566" spans="3:13" x14ac:dyDescent="0.3">
      <c r="C8566" s="87"/>
      <c r="H8566" s="86" t="e">
        <f>IF(I8566="fora",0%,G8566/QUÓRUM!$C$6)</f>
        <v>#DIV/0!</v>
      </c>
      <c r="I8566" s="87"/>
      <c r="J8566" s="88"/>
      <c r="K8566" s="88"/>
      <c r="L8566" s="89"/>
      <c r="M8566" s="89"/>
    </row>
    <row r="8567" spans="3:13" x14ac:dyDescent="0.3">
      <c r="C8567" s="87"/>
      <c r="H8567" s="86" t="e">
        <f>IF(I8567="fora",0%,G8567/QUÓRUM!$C$6)</f>
        <v>#DIV/0!</v>
      </c>
      <c r="I8567" s="87"/>
      <c r="J8567" s="88"/>
      <c r="K8567" s="88"/>
      <c r="L8567" s="89"/>
      <c r="M8567" s="89"/>
    </row>
    <row r="8568" spans="3:13" x14ac:dyDescent="0.3">
      <c r="C8568" s="87"/>
      <c r="H8568" s="86" t="e">
        <f>IF(I8568="fora",0%,G8568/QUÓRUM!$C$6)</f>
        <v>#DIV/0!</v>
      </c>
      <c r="I8568" s="87"/>
      <c r="J8568" s="88"/>
      <c r="K8568" s="88"/>
      <c r="L8568" s="89"/>
      <c r="M8568" s="89"/>
    </row>
    <row r="8569" spans="3:13" x14ac:dyDescent="0.3">
      <c r="C8569" s="87"/>
      <c r="H8569" s="86" t="e">
        <f>IF(I8569="fora",0%,G8569/QUÓRUM!$C$6)</f>
        <v>#DIV/0!</v>
      </c>
      <c r="I8569" s="87"/>
      <c r="J8569" s="88"/>
      <c r="K8569" s="88"/>
      <c r="L8569" s="89"/>
      <c r="M8569" s="89"/>
    </row>
    <row r="8570" spans="3:13" x14ac:dyDescent="0.3">
      <c r="C8570" s="87"/>
      <c r="H8570" s="86" t="e">
        <f>IF(I8570="fora",0%,G8570/QUÓRUM!$C$6)</f>
        <v>#DIV/0!</v>
      </c>
      <c r="I8570" s="87"/>
      <c r="J8570" s="88"/>
      <c r="K8570" s="88"/>
      <c r="L8570" s="89"/>
      <c r="M8570" s="89"/>
    </row>
    <row r="8571" spans="3:13" x14ac:dyDescent="0.3">
      <c r="C8571" s="87"/>
      <c r="H8571" s="86" t="e">
        <f>IF(I8571="fora",0%,G8571/QUÓRUM!$C$6)</f>
        <v>#DIV/0!</v>
      </c>
      <c r="I8571" s="87"/>
      <c r="J8571" s="88"/>
      <c r="K8571" s="88"/>
      <c r="L8571" s="89"/>
      <c r="M8571" s="89"/>
    </row>
    <row r="8572" spans="3:13" x14ac:dyDescent="0.3">
      <c r="C8572" s="87"/>
      <c r="H8572" s="86" t="e">
        <f>IF(I8572="fora",0%,G8572/QUÓRUM!$C$6)</f>
        <v>#DIV/0!</v>
      </c>
      <c r="I8572" s="87"/>
      <c r="J8572" s="88"/>
      <c r="K8572" s="88"/>
      <c r="L8572" s="89"/>
      <c r="M8572" s="89"/>
    </row>
    <row r="8573" spans="3:13" x14ac:dyDescent="0.3">
      <c r="C8573" s="87"/>
      <c r="H8573" s="86" t="e">
        <f>IF(I8573="fora",0%,G8573/QUÓRUM!$C$6)</f>
        <v>#DIV/0!</v>
      </c>
      <c r="I8573" s="87"/>
      <c r="J8573" s="88"/>
      <c r="K8573" s="88"/>
      <c r="L8573" s="89"/>
      <c r="M8573" s="89"/>
    </row>
    <row r="8574" spans="3:13" x14ac:dyDescent="0.3">
      <c r="C8574" s="87"/>
      <c r="H8574" s="86" t="e">
        <f>IF(I8574="fora",0%,G8574/QUÓRUM!$C$6)</f>
        <v>#DIV/0!</v>
      </c>
      <c r="I8574" s="87"/>
      <c r="J8574" s="88"/>
      <c r="K8574" s="88"/>
      <c r="L8574" s="89"/>
      <c r="M8574" s="89"/>
    </row>
    <row r="8575" spans="3:13" x14ac:dyDescent="0.3">
      <c r="C8575" s="87"/>
      <c r="H8575" s="86" t="e">
        <f>IF(I8575="fora",0%,G8575/QUÓRUM!$C$6)</f>
        <v>#DIV/0!</v>
      </c>
      <c r="I8575" s="87"/>
      <c r="J8575" s="88"/>
      <c r="K8575" s="88"/>
      <c r="L8575" s="89"/>
      <c r="M8575" s="89"/>
    </row>
    <row r="8576" spans="3:13" x14ac:dyDescent="0.3">
      <c r="C8576" s="87"/>
      <c r="H8576" s="86" t="e">
        <f>IF(I8576="fora",0%,G8576/QUÓRUM!$C$6)</f>
        <v>#DIV/0!</v>
      </c>
      <c r="I8576" s="87"/>
      <c r="J8576" s="88"/>
      <c r="K8576" s="88"/>
      <c r="L8576" s="89"/>
      <c r="M8576" s="89"/>
    </row>
    <row r="8577" spans="3:13" x14ac:dyDescent="0.3">
      <c r="C8577" s="87"/>
      <c r="H8577" s="86" t="e">
        <f>IF(I8577="fora",0%,G8577/QUÓRUM!$C$6)</f>
        <v>#DIV/0!</v>
      </c>
      <c r="I8577" s="87"/>
      <c r="J8577" s="88"/>
      <c r="K8577" s="88"/>
      <c r="L8577" s="89"/>
      <c r="M8577" s="89"/>
    </row>
    <row r="8578" spans="3:13" x14ac:dyDescent="0.3">
      <c r="C8578" s="87"/>
      <c r="H8578" s="86" t="e">
        <f>IF(I8578="fora",0%,G8578/QUÓRUM!$C$6)</f>
        <v>#DIV/0!</v>
      </c>
      <c r="I8578" s="87"/>
      <c r="J8578" s="88"/>
      <c r="K8578" s="88"/>
      <c r="L8578" s="89"/>
      <c r="M8578" s="89"/>
    </row>
    <row r="8579" spans="3:13" x14ac:dyDescent="0.3">
      <c r="C8579" s="87"/>
      <c r="H8579" s="86" t="e">
        <f>IF(I8579="fora",0%,G8579/QUÓRUM!$C$6)</f>
        <v>#DIV/0!</v>
      </c>
      <c r="I8579" s="87"/>
      <c r="J8579" s="88"/>
      <c r="K8579" s="88"/>
      <c r="L8579" s="89"/>
      <c r="M8579" s="89"/>
    </row>
    <row r="8580" spans="3:13" x14ac:dyDescent="0.3">
      <c r="C8580" s="87"/>
      <c r="H8580" s="86" t="e">
        <f>IF(I8580="fora",0%,G8580/QUÓRUM!$C$6)</f>
        <v>#DIV/0!</v>
      </c>
      <c r="I8580" s="87"/>
      <c r="J8580" s="88"/>
      <c r="K8580" s="88"/>
      <c r="L8580" s="89"/>
      <c r="M8580" s="89"/>
    </row>
    <row r="8581" spans="3:13" x14ac:dyDescent="0.3">
      <c r="C8581" s="87"/>
      <c r="H8581" s="86" t="e">
        <f>IF(I8581="fora",0%,G8581/QUÓRUM!$C$6)</f>
        <v>#DIV/0!</v>
      </c>
      <c r="I8581" s="87"/>
      <c r="J8581" s="88"/>
      <c r="K8581" s="88"/>
      <c r="L8581" s="89"/>
      <c r="M8581" s="89"/>
    </row>
    <row r="8582" spans="3:13" x14ac:dyDescent="0.3">
      <c r="C8582" s="87"/>
      <c r="H8582" s="86" t="e">
        <f>IF(I8582="fora",0%,G8582/QUÓRUM!$C$6)</f>
        <v>#DIV/0!</v>
      </c>
      <c r="I8582" s="87"/>
      <c r="J8582" s="88"/>
      <c r="K8582" s="88"/>
      <c r="L8582" s="89"/>
      <c r="M8582" s="89"/>
    </row>
    <row r="8583" spans="3:13" x14ac:dyDescent="0.3">
      <c r="C8583" s="87"/>
      <c r="H8583" s="86" t="e">
        <f>IF(I8583="fora",0%,G8583/QUÓRUM!$C$6)</f>
        <v>#DIV/0!</v>
      </c>
      <c r="I8583" s="87"/>
      <c r="J8583" s="88"/>
      <c r="K8583" s="88"/>
      <c r="L8583" s="89"/>
      <c r="M8583" s="89"/>
    </row>
    <row r="8584" spans="3:13" x14ac:dyDescent="0.3">
      <c r="C8584" s="87"/>
      <c r="H8584" s="86" t="e">
        <f>IF(I8584="fora",0%,G8584/QUÓRUM!$C$6)</f>
        <v>#DIV/0!</v>
      </c>
      <c r="I8584" s="87"/>
      <c r="J8584" s="88"/>
      <c r="K8584" s="88"/>
      <c r="L8584" s="89"/>
      <c r="M8584" s="89"/>
    </row>
    <row r="8585" spans="3:13" x14ac:dyDescent="0.3">
      <c r="C8585" s="87"/>
      <c r="H8585" s="86" t="e">
        <f>IF(I8585="fora",0%,G8585/QUÓRUM!$C$6)</f>
        <v>#DIV/0!</v>
      </c>
      <c r="I8585" s="87"/>
      <c r="J8585" s="88"/>
      <c r="K8585" s="88"/>
      <c r="L8585" s="89"/>
      <c r="M8585" s="89"/>
    </row>
    <row r="8586" spans="3:13" x14ac:dyDescent="0.3">
      <c r="C8586" s="87"/>
      <c r="H8586" s="86" t="e">
        <f>IF(I8586="fora",0%,G8586/QUÓRUM!$C$6)</f>
        <v>#DIV/0!</v>
      </c>
      <c r="I8586" s="87"/>
      <c r="J8586" s="88"/>
      <c r="K8586" s="88"/>
      <c r="L8586" s="89"/>
      <c r="M8586" s="89"/>
    </row>
    <row r="8587" spans="3:13" x14ac:dyDescent="0.3">
      <c r="C8587" s="87"/>
      <c r="H8587" s="86" t="e">
        <f>IF(I8587="fora",0%,G8587/QUÓRUM!$C$6)</f>
        <v>#DIV/0!</v>
      </c>
      <c r="I8587" s="87"/>
      <c r="J8587" s="88"/>
      <c r="K8587" s="88"/>
      <c r="L8587" s="89"/>
      <c r="M8587" s="89"/>
    </row>
    <row r="8588" spans="3:13" x14ac:dyDescent="0.3">
      <c r="C8588" s="87"/>
      <c r="H8588" s="86" t="e">
        <f>IF(I8588="fora",0%,G8588/QUÓRUM!$C$6)</f>
        <v>#DIV/0!</v>
      </c>
      <c r="I8588" s="87"/>
      <c r="J8588" s="88"/>
      <c r="K8588" s="88"/>
      <c r="L8588" s="89"/>
      <c r="M8588" s="89"/>
    </row>
    <row r="8589" spans="3:13" x14ac:dyDescent="0.3">
      <c r="C8589" s="87"/>
      <c r="H8589" s="86" t="e">
        <f>IF(I8589="fora",0%,G8589/QUÓRUM!$C$6)</f>
        <v>#DIV/0!</v>
      </c>
      <c r="I8589" s="87"/>
      <c r="J8589" s="88"/>
      <c r="K8589" s="88"/>
      <c r="L8589" s="89"/>
      <c r="M8589" s="89"/>
    </row>
    <row r="8590" spans="3:13" x14ac:dyDescent="0.3">
      <c r="C8590" s="87"/>
      <c r="H8590" s="86" t="e">
        <f>IF(I8590="fora",0%,G8590/QUÓRUM!$C$6)</f>
        <v>#DIV/0!</v>
      </c>
      <c r="I8590" s="87"/>
      <c r="J8590" s="88"/>
      <c r="K8590" s="88"/>
      <c r="L8590" s="89"/>
      <c r="M8590" s="89"/>
    </row>
    <row r="8591" spans="3:13" x14ac:dyDescent="0.3">
      <c r="C8591" s="87"/>
      <c r="H8591" s="86" t="e">
        <f>IF(I8591="fora",0%,G8591/QUÓRUM!$C$6)</f>
        <v>#DIV/0!</v>
      </c>
      <c r="I8591" s="87"/>
      <c r="J8591" s="88"/>
      <c r="K8591" s="88"/>
      <c r="L8591" s="89"/>
      <c r="M8591" s="89"/>
    </row>
    <row r="8592" spans="3:13" x14ac:dyDescent="0.3">
      <c r="C8592" s="87"/>
      <c r="H8592" s="86" t="e">
        <f>IF(I8592="fora",0%,G8592/QUÓRUM!$C$6)</f>
        <v>#DIV/0!</v>
      </c>
      <c r="I8592" s="87"/>
      <c r="J8592" s="88"/>
      <c r="K8592" s="88"/>
      <c r="L8592" s="89"/>
      <c r="M8592" s="89"/>
    </row>
    <row r="8593" spans="3:13" x14ac:dyDescent="0.3">
      <c r="C8593" s="87"/>
      <c r="H8593" s="86" t="e">
        <f>IF(I8593="fora",0%,G8593/QUÓRUM!$C$6)</f>
        <v>#DIV/0!</v>
      </c>
      <c r="I8593" s="87"/>
      <c r="J8593" s="88"/>
      <c r="K8593" s="88"/>
      <c r="L8593" s="89"/>
      <c r="M8593" s="89"/>
    </row>
    <row r="8594" spans="3:13" x14ac:dyDescent="0.3">
      <c r="C8594" s="87"/>
      <c r="H8594" s="86" t="e">
        <f>IF(I8594="fora",0%,G8594/QUÓRUM!$C$6)</f>
        <v>#DIV/0!</v>
      </c>
      <c r="I8594" s="87"/>
      <c r="J8594" s="88"/>
      <c r="K8594" s="88"/>
      <c r="L8594" s="89"/>
      <c r="M8594" s="89"/>
    </row>
    <row r="8595" spans="3:13" x14ac:dyDescent="0.3">
      <c r="C8595" s="87"/>
      <c r="H8595" s="86" t="e">
        <f>IF(I8595="fora",0%,G8595/QUÓRUM!$C$6)</f>
        <v>#DIV/0!</v>
      </c>
      <c r="I8595" s="87"/>
      <c r="J8595" s="88"/>
      <c r="K8595" s="88"/>
      <c r="L8595" s="89"/>
      <c r="M8595" s="89"/>
    </row>
    <row r="8596" spans="3:13" x14ac:dyDescent="0.3">
      <c r="C8596" s="87"/>
      <c r="H8596" s="86" t="e">
        <f>IF(I8596="fora",0%,G8596/QUÓRUM!$C$6)</f>
        <v>#DIV/0!</v>
      </c>
      <c r="I8596" s="87"/>
      <c r="J8596" s="88"/>
      <c r="K8596" s="88"/>
      <c r="L8596" s="89"/>
      <c r="M8596" s="89"/>
    </row>
    <row r="8597" spans="3:13" x14ac:dyDescent="0.3">
      <c r="C8597" s="87"/>
      <c r="H8597" s="86" t="e">
        <f>IF(I8597="fora",0%,G8597/QUÓRUM!$C$6)</f>
        <v>#DIV/0!</v>
      </c>
      <c r="I8597" s="87"/>
      <c r="J8597" s="88"/>
      <c r="K8597" s="88"/>
      <c r="L8597" s="89"/>
      <c r="M8597" s="89"/>
    </row>
    <row r="8598" spans="3:13" x14ac:dyDescent="0.3">
      <c r="C8598" s="87"/>
      <c r="H8598" s="86" t="e">
        <f>IF(I8598="fora",0%,G8598/QUÓRUM!$C$6)</f>
        <v>#DIV/0!</v>
      </c>
      <c r="I8598" s="87"/>
      <c r="J8598" s="88"/>
      <c r="K8598" s="88"/>
      <c r="L8598" s="89"/>
      <c r="M8598" s="89"/>
    </row>
    <row r="8599" spans="3:13" x14ac:dyDescent="0.3">
      <c r="C8599" s="87"/>
      <c r="H8599" s="86" t="e">
        <f>IF(I8599="fora",0%,G8599/QUÓRUM!$C$6)</f>
        <v>#DIV/0!</v>
      </c>
      <c r="I8599" s="87"/>
      <c r="J8599" s="88"/>
      <c r="K8599" s="88"/>
      <c r="L8599" s="89"/>
      <c r="M8599" s="89"/>
    </row>
    <row r="8600" spans="3:13" x14ac:dyDescent="0.3">
      <c r="C8600" s="87"/>
      <c r="H8600" s="86" t="e">
        <f>IF(I8600="fora",0%,G8600/QUÓRUM!$C$6)</f>
        <v>#DIV/0!</v>
      </c>
      <c r="I8600" s="87"/>
      <c r="J8600" s="88"/>
      <c r="K8600" s="88"/>
      <c r="L8600" s="89"/>
      <c r="M8600" s="89"/>
    </row>
    <row r="8601" spans="3:13" x14ac:dyDescent="0.3">
      <c r="C8601" s="87"/>
      <c r="H8601" s="86" t="e">
        <f>IF(I8601="fora",0%,G8601/QUÓRUM!$C$6)</f>
        <v>#DIV/0!</v>
      </c>
      <c r="I8601" s="87"/>
      <c r="J8601" s="88"/>
      <c r="K8601" s="88"/>
      <c r="L8601" s="89"/>
      <c r="M8601" s="89"/>
    </row>
    <row r="8602" spans="3:13" x14ac:dyDescent="0.3">
      <c r="C8602" s="87"/>
      <c r="H8602" s="86" t="e">
        <f>IF(I8602="fora",0%,G8602/QUÓRUM!$C$6)</f>
        <v>#DIV/0!</v>
      </c>
      <c r="I8602" s="87"/>
      <c r="J8602" s="88"/>
      <c r="K8602" s="88"/>
      <c r="L8602" s="89"/>
      <c r="M8602" s="89"/>
    </row>
    <row r="8603" spans="3:13" x14ac:dyDescent="0.3">
      <c r="C8603" s="87"/>
      <c r="H8603" s="86" t="e">
        <f>IF(I8603="fora",0%,G8603/QUÓRUM!$C$6)</f>
        <v>#DIV/0!</v>
      </c>
      <c r="I8603" s="87"/>
      <c r="J8603" s="88"/>
      <c r="K8603" s="88"/>
      <c r="L8603" s="89"/>
      <c r="M8603" s="89"/>
    </row>
    <row r="8604" spans="3:13" x14ac:dyDescent="0.3">
      <c r="C8604" s="87"/>
      <c r="H8604" s="86" t="e">
        <f>IF(I8604="fora",0%,G8604/QUÓRUM!$C$6)</f>
        <v>#DIV/0!</v>
      </c>
      <c r="I8604" s="87"/>
      <c r="J8604" s="88"/>
      <c r="K8604" s="88"/>
      <c r="L8604" s="89"/>
      <c r="M8604" s="89"/>
    </row>
    <row r="8605" spans="3:13" x14ac:dyDescent="0.3">
      <c r="C8605" s="87"/>
      <c r="H8605" s="86" t="e">
        <f>IF(I8605="fora",0%,G8605/QUÓRUM!$C$6)</f>
        <v>#DIV/0!</v>
      </c>
      <c r="I8605" s="87"/>
      <c r="J8605" s="88"/>
      <c r="K8605" s="88"/>
      <c r="L8605" s="89"/>
      <c r="M8605" s="89"/>
    </row>
    <row r="8606" spans="3:13" x14ac:dyDescent="0.3">
      <c r="C8606" s="87"/>
      <c r="H8606" s="86" t="e">
        <f>IF(I8606="fora",0%,G8606/QUÓRUM!$C$6)</f>
        <v>#DIV/0!</v>
      </c>
      <c r="I8606" s="87"/>
      <c r="J8606" s="88"/>
      <c r="K8606" s="88"/>
      <c r="L8606" s="89"/>
      <c r="M8606" s="89"/>
    </row>
    <row r="8607" spans="3:13" x14ac:dyDescent="0.3">
      <c r="C8607" s="87"/>
      <c r="H8607" s="86" t="e">
        <f>IF(I8607="fora",0%,G8607/QUÓRUM!$C$6)</f>
        <v>#DIV/0!</v>
      </c>
      <c r="I8607" s="87"/>
      <c r="J8607" s="88"/>
      <c r="K8607" s="88"/>
      <c r="L8607" s="89"/>
      <c r="M8607" s="89"/>
    </row>
    <row r="8608" spans="3:13" x14ac:dyDescent="0.3">
      <c r="C8608" s="87"/>
      <c r="H8608" s="86" t="e">
        <f>IF(I8608="fora",0%,G8608/QUÓRUM!$C$6)</f>
        <v>#DIV/0!</v>
      </c>
      <c r="I8608" s="87"/>
      <c r="J8608" s="88"/>
      <c r="K8608" s="88"/>
      <c r="L8608" s="89"/>
      <c r="M8608" s="89"/>
    </row>
    <row r="8609" spans="3:13" x14ac:dyDescent="0.3">
      <c r="C8609" s="87"/>
      <c r="H8609" s="86" t="e">
        <f>IF(I8609="fora",0%,G8609/QUÓRUM!$C$6)</f>
        <v>#DIV/0!</v>
      </c>
      <c r="I8609" s="87"/>
      <c r="J8609" s="88"/>
      <c r="K8609" s="88"/>
      <c r="L8609" s="89"/>
      <c r="M8609" s="89"/>
    </row>
    <row r="8610" spans="3:13" x14ac:dyDescent="0.3">
      <c r="C8610" s="87"/>
      <c r="H8610" s="86" t="e">
        <f>IF(I8610="fora",0%,G8610/QUÓRUM!$C$6)</f>
        <v>#DIV/0!</v>
      </c>
      <c r="I8610" s="87"/>
      <c r="J8610" s="88"/>
      <c r="K8610" s="88"/>
      <c r="L8610" s="89"/>
      <c r="M8610" s="89"/>
    </row>
    <row r="8611" spans="3:13" x14ac:dyDescent="0.3">
      <c r="C8611" s="87"/>
      <c r="H8611" s="86" t="e">
        <f>IF(I8611="fora",0%,G8611/QUÓRUM!$C$6)</f>
        <v>#DIV/0!</v>
      </c>
      <c r="I8611" s="87"/>
      <c r="J8611" s="88"/>
      <c r="K8611" s="88"/>
      <c r="L8611" s="89"/>
      <c r="M8611" s="89"/>
    </row>
    <row r="8612" spans="3:13" x14ac:dyDescent="0.3">
      <c r="C8612" s="87"/>
      <c r="H8612" s="86" t="e">
        <f>IF(I8612="fora",0%,G8612/QUÓRUM!$C$6)</f>
        <v>#DIV/0!</v>
      </c>
      <c r="I8612" s="87"/>
      <c r="J8612" s="88"/>
      <c r="K8612" s="88"/>
      <c r="L8612" s="89"/>
      <c r="M8612" s="89"/>
    </row>
    <row r="8613" spans="3:13" x14ac:dyDescent="0.3">
      <c r="C8613" s="87"/>
      <c r="H8613" s="86" t="e">
        <f>IF(I8613="fora",0%,G8613/QUÓRUM!$C$6)</f>
        <v>#DIV/0!</v>
      </c>
      <c r="I8613" s="87"/>
      <c r="J8613" s="88"/>
      <c r="K8613" s="88"/>
      <c r="L8613" s="89"/>
      <c r="M8613" s="89"/>
    </row>
    <row r="8614" spans="3:13" x14ac:dyDescent="0.3">
      <c r="C8614" s="87"/>
      <c r="H8614" s="86" t="e">
        <f>IF(I8614="fora",0%,G8614/QUÓRUM!$C$6)</f>
        <v>#DIV/0!</v>
      </c>
      <c r="I8614" s="87"/>
      <c r="J8614" s="88"/>
      <c r="K8614" s="88"/>
      <c r="L8614" s="89"/>
      <c r="M8614" s="89"/>
    </row>
    <row r="8615" spans="3:13" x14ac:dyDescent="0.3">
      <c r="C8615" s="87"/>
      <c r="H8615" s="86" t="e">
        <f>IF(I8615="fora",0%,G8615/QUÓRUM!$C$6)</f>
        <v>#DIV/0!</v>
      </c>
      <c r="I8615" s="87"/>
      <c r="J8615" s="88"/>
      <c r="K8615" s="88"/>
      <c r="L8615" s="89"/>
      <c r="M8615" s="89"/>
    </row>
    <row r="8616" spans="3:13" x14ac:dyDescent="0.3">
      <c r="C8616" s="87"/>
      <c r="H8616" s="86" t="e">
        <f>IF(I8616="fora",0%,G8616/QUÓRUM!$C$6)</f>
        <v>#DIV/0!</v>
      </c>
      <c r="I8616" s="87"/>
      <c r="J8616" s="88"/>
      <c r="K8616" s="88"/>
      <c r="L8616" s="89"/>
      <c r="M8616" s="89"/>
    </row>
    <row r="8617" spans="3:13" x14ac:dyDescent="0.3">
      <c r="C8617" s="87"/>
      <c r="H8617" s="86" t="e">
        <f>IF(I8617="fora",0%,G8617/QUÓRUM!$C$6)</f>
        <v>#DIV/0!</v>
      </c>
      <c r="I8617" s="87"/>
      <c r="J8617" s="88"/>
      <c r="K8617" s="88"/>
      <c r="L8617" s="89"/>
      <c r="M8617" s="89"/>
    </row>
    <row r="8618" spans="3:13" x14ac:dyDescent="0.3">
      <c r="C8618" s="87"/>
      <c r="H8618" s="86" t="e">
        <f>IF(I8618="fora",0%,G8618/QUÓRUM!$C$6)</f>
        <v>#DIV/0!</v>
      </c>
      <c r="I8618" s="87"/>
      <c r="J8618" s="88"/>
      <c r="K8618" s="88"/>
      <c r="L8618" s="89"/>
      <c r="M8618" s="89"/>
    </row>
    <row r="8619" spans="3:13" x14ac:dyDescent="0.3">
      <c r="C8619" s="87"/>
      <c r="H8619" s="86" t="e">
        <f>IF(I8619="fora",0%,G8619/QUÓRUM!$C$6)</f>
        <v>#DIV/0!</v>
      </c>
      <c r="I8619" s="87"/>
      <c r="J8619" s="88"/>
      <c r="K8619" s="88"/>
      <c r="L8619" s="89"/>
      <c r="M8619" s="89"/>
    </row>
    <row r="8620" spans="3:13" x14ac:dyDescent="0.3">
      <c r="C8620" s="87"/>
      <c r="H8620" s="86" t="e">
        <f>IF(I8620="fora",0%,G8620/QUÓRUM!$C$6)</f>
        <v>#DIV/0!</v>
      </c>
      <c r="I8620" s="87"/>
      <c r="J8620" s="88"/>
      <c r="K8620" s="88"/>
      <c r="L8620" s="89"/>
      <c r="M8620" s="89"/>
    </row>
    <row r="8621" spans="3:13" x14ac:dyDescent="0.3">
      <c r="C8621" s="87"/>
      <c r="H8621" s="86" t="e">
        <f>IF(I8621="fora",0%,G8621/QUÓRUM!$C$6)</f>
        <v>#DIV/0!</v>
      </c>
      <c r="I8621" s="87"/>
      <c r="J8621" s="88"/>
      <c r="K8621" s="88"/>
      <c r="L8621" s="89"/>
      <c r="M8621" s="89"/>
    </row>
    <row r="8622" spans="3:13" x14ac:dyDescent="0.3">
      <c r="C8622" s="87"/>
      <c r="H8622" s="86" t="e">
        <f>IF(I8622="fora",0%,G8622/QUÓRUM!$C$6)</f>
        <v>#DIV/0!</v>
      </c>
      <c r="I8622" s="87"/>
      <c r="J8622" s="88"/>
      <c r="K8622" s="88"/>
      <c r="L8622" s="89"/>
      <c r="M8622" s="89"/>
    </row>
    <row r="8623" spans="3:13" x14ac:dyDescent="0.3">
      <c r="C8623" s="87"/>
      <c r="H8623" s="86" t="e">
        <f>IF(I8623="fora",0%,G8623/QUÓRUM!$C$6)</f>
        <v>#DIV/0!</v>
      </c>
      <c r="I8623" s="87"/>
      <c r="J8623" s="88"/>
      <c r="K8623" s="88"/>
      <c r="L8623" s="89"/>
      <c r="M8623" s="89"/>
    </row>
    <row r="8624" spans="3:13" x14ac:dyDescent="0.3">
      <c r="C8624" s="87"/>
      <c r="H8624" s="86" t="e">
        <f>IF(I8624="fora",0%,G8624/QUÓRUM!$C$6)</f>
        <v>#DIV/0!</v>
      </c>
      <c r="I8624" s="87"/>
      <c r="J8624" s="88"/>
      <c r="K8624" s="88"/>
      <c r="L8624" s="89"/>
      <c r="M8624" s="89"/>
    </row>
    <row r="8625" spans="3:13" x14ac:dyDescent="0.3">
      <c r="C8625" s="87"/>
      <c r="H8625" s="86" t="e">
        <f>IF(I8625="fora",0%,G8625/QUÓRUM!$C$6)</f>
        <v>#DIV/0!</v>
      </c>
      <c r="I8625" s="87"/>
      <c r="J8625" s="88"/>
      <c r="K8625" s="88"/>
      <c r="L8625" s="89"/>
      <c r="M8625" s="89"/>
    </row>
    <row r="8626" spans="3:13" x14ac:dyDescent="0.3">
      <c r="C8626" s="87"/>
      <c r="G8626" s="115"/>
      <c r="H8626" s="86" t="e">
        <f>IF(I8626="fora",0%,G8626/QUÓRUM!$C$6)</f>
        <v>#DIV/0!</v>
      </c>
      <c r="I8626" s="87"/>
      <c r="J8626" s="88"/>
      <c r="K8626" s="88"/>
      <c r="L8626" s="89"/>
      <c r="M8626" s="89"/>
    </row>
    <row r="8627" spans="3:13" x14ac:dyDescent="0.3">
      <c r="C8627" s="87"/>
      <c r="H8627" s="86" t="e">
        <f>IF(I8627="fora",0%,G8627/QUÓRUM!$C$6)</f>
        <v>#DIV/0!</v>
      </c>
      <c r="I8627" s="87"/>
      <c r="J8627" s="88"/>
      <c r="K8627" s="88"/>
      <c r="L8627" s="89"/>
      <c r="M8627" s="89"/>
    </row>
    <row r="8628" spans="3:13" x14ac:dyDescent="0.3">
      <c r="C8628" s="87"/>
      <c r="H8628" s="86" t="e">
        <f>IF(I8628="fora",0%,G8628/QUÓRUM!$C$6)</f>
        <v>#DIV/0!</v>
      </c>
      <c r="I8628" s="87"/>
      <c r="J8628" s="88"/>
      <c r="K8628" s="88"/>
      <c r="L8628" s="89"/>
      <c r="M8628" s="89"/>
    </row>
    <row r="8629" spans="3:13" x14ac:dyDescent="0.3">
      <c r="C8629" s="87"/>
      <c r="H8629" s="86" t="e">
        <f>IF(I8629="fora",0%,G8629/QUÓRUM!$C$6)</f>
        <v>#DIV/0!</v>
      </c>
      <c r="I8629" s="87"/>
      <c r="J8629" s="88"/>
      <c r="K8629" s="88"/>
      <c r="L8629" s="89"/>
      <c r="M8629" s="89"/>
    </row>
    <row r="8630" spans="3:13" x14ac:dyDescent="0.3">
      <c r="C8630" s="87"/>
      <c r="H8630" s="86" t="e">
        <f>IF(I8630="fora",0%,G8630/QUÓRUM!$C$6)</f>
        <v>#DIV/0!</v>
      </c>
      <c r="I8630" s="87"/>
      <c r="J8630" s="88"/>
      <c r="K8630" s="88"/>
      <c r="L8630" s="89"/>
      <c r="M8630" s="89"/>
    </row>
    <row r="8631" spans="3:13" x14ac:dyDescent="0.3">
      <c r="C8631" s="87"/>
      <c r="H8631" s="86" t="e">
        <f>IF(I8631="fora",0%,G8631/QUÓRUM!$C$6)</f>
        <v>#DIV/0!</v>
      </c>
      <c r="I8631" s="87"/>
      <c r="J8631" s="88"/>
      <c r="K8631" s="88"/>
      <c r="L8631" s="89"/>
      <c r="M8631" s="89"/>
    </row>
    <row r="8632" spans="3:13" x14ac:dyDescent="0.3">
      <c r="C8632" s="87"/>
      <c r="H8632" s="86" t="e">
        <f>IF(I8632="fora",0%,G8632/QUÓRUM!$C$6)</f>
        <v>#DIV/0!</v>
      </c>
      <c r="I8632" s="87"/>
      <c r="J8632" s="88"/>
      <c r="K8632" s="88"/>
      <c r="L8632" s="89"/>
      <c r="M8632" s="89"/>
    </row>
    <row r="8633" spans="3:13" x14ac:dyDescent="0.3">
      <c r="C8633" s="87"/>
      <c r="H8633" s="86" t="e">
        <f>IF(I8633="fora",0%,G8633/QUÓRUM!$C$6)</f>
        <v>#DIV/0!</v>
      </c>
      <c r="I8633" s="87"/>
      <c r="J8633" s="88"/>
      <c r="K8633" s="88"/>
      <c r="L8633" s="89"/>
      <c r="M8633" s="89"/>
    </row>
    <row r="8634" spans="3:13" x14ac:dyDescent="0.3">
      <c r="C8634" s="87"/>
      <c r="H8634" s="86" t="e">
        <f>IF(I8634="fora",0%,G8634/QUÓRUM!$C$6)</f>
        <v>#DIV/0!</v>
      </c>
      <c r="I8634" s="87"/>
      <c r="J8634" s="88"/>
      <c r="K8634" s="88"/>
      <c r="L8634" s="89"/>
      <c r="M8634" s="89"/>
    </row>
    <row r="8635" spans="3:13" x14ac:dyDescent="0.3">
      <c r="C8635" s="87"/>
      <c r="H8635" s="86" t="e">
        <f>IF(I8635="fora",0%,G8635/QUÓRUM!$C$6)</f>
        <v>#DIV/0!</v>
      </c>
      <c r="I8635" s="87"/>
      <c r="J8635" s="88"/>
      <c r="K8635" s="88"/>
      <c r="L8635" s="89"/>
      <c r="M8635" s="89"/>
    </row>
    <row r="8636" spans="3:13" x14ac:dyDescent="0.3">
      <c r="C8636" s="87"/>
      <c r="H8636" s="86" t="e">
        <f>IF(I8636="fora",0%,G8636/QUÓRUM!$C$6)</f>
        <v>#DIV/0!</v>
      </c>
      <c r="I8636" s="87"/>
      <c r="J8636" s="88"/>
      <c r="K8636" s="88"/>
      <c r="L8636" s="89"/>
      <c r="M8636" s="89"/>
    </row>
    <row r="8637" spans="3:13" x14ac:dyDescent="0.3">
      <c r="C8637" s="87"/>
      <c r="H8637" s="86" t="e">
        <f>IF(I8637="fora",0%,G8637/QUÓRUM!$C$6)</f>
        <v>#DIV/0!</v>
      </c>
      <c r="I8637" s="87"/>
      <c r="J8637" s="88"/>
      <c r="K8637" s="88"/>
      <c r="L8637" s="89"/>
      <c r="M8637" s="89"/>
    </row>
    <row r="8638" spans="3:13" x14ac:dyDescent="0.3">
      <c r="C8638" s="87"/>
      <c r="H8638" s="86" t="e">
        <f>IF(I8638="fora",0%,G8638/QUÓRUM!$C$6)</f>
        <v>#DIV/0!</v>
      </c>
      <c r="I8638" s="87"/>
      <c r="J8638" s="88"/>
      <c r="K8638" s="88"/>
      <c r="L8638" s="89"/>
      <c r="M8638" s="89"/>
    </row>
    <row r="8639" spans="3:13" x14ac:dyDescent="0.3">
      <c r="C8639" s="87"/>
      <c r="H8639" s="86" t="e">
        <f>IF(I8639="fora",0%,G8639/QUÓRUM!$C$6)</f>
        <v>#DIV/0!</v>
      </c>
      <c r="I8639" s="87"/>
      <c r="J8639" s="88"/>
      <c r="K8639" s="88"/>
      <c r="L8639" s="89"/>
      <c r="M8639" s="89"/>
    </row>
    <row r="8640" spans="3:13" x14ac:dyDescent="0.3">
      <c r="C8640" s="87"/>
      <c r="H8640" s="86" t="e">
        <f>IF(I8640="fora",0%,G8640/QUÓRUM!$C$6)</f>
        <v>#DIV/0!</v>
      </c>
      <c r="I8640" s="87"/>
      <c r="J8640" s="88"/>
      <c r="K8640" s="88"/>
      <c r="L8640" s="89"/>
      <c r="M8640" s="89"/>
    </row>
    <row r="8641" spans="3:13" x14ac:dyDescent="0.3">
      <c r="C8641" s="87"/>
      <c r="H8641" s="86" t="e">
        <f>IF(I8641="fora",0%,G8641/QUÓRUM!$C$6)</f>
        <v>#DIV/0!</v>
      </c>
      <c r="I8641" s="87"/>
      <c r="J8641" s="88"/>
      <c r="K8641" s="88"/>
      <c r="L8641" s="89"/>
      <c r="M8641" s="89"/>
    </row>
    <row r="8642" spans="3:13" x14ac:dyDescent="0.3">
      <c r="C8642" s="87"/>
      <c r="H8642" s="86" t="e">
        <f>IF(I8642="fora",0%,G8642/QUÓRUM!$C$6)</f>
        <v>#DIV/0!</v>
      </c>
      <c r="I8642" s="87"/>
      <c r="J8642" s="88"/>
      <c r="K8642" s="88"/>
      <c r="L8642" s="89"/>
      <c r="M8642" s="89"/>
    </row>
    <row r="8643" spans="3:13" x14ac:dyDescent="0.3">
      <c r="C8643" s="87"/>
      <c r="H8643" s="86" t="e">
        <f>IF(I8643="fora",0%,G8643/QUÓRUM!$C$6)</f>
        <v>#DIV/0!</v>
      </c>
      <c r="I8643" s="87"/>
      <c r="J8643" s="88"/>
      <c r="K8643" s="88"/>
      <c r="L8643" s="89"/>
      <c r="M8643" s="89"/>
    </row>
    <row r="8644" spans="3:13" x14ac:dyDescent="0.3">
      <c r="C8644" s="87"/>
      <c r="H8644" s="86" t="e">
        <f>IF(I8644="fora",0%,G8644/QUÓRUM!$C$6)</f>
        <v>#DIV/0!</v>
      </c>
      <c r="I8644" s="87"/>
      <c r="J8644" s="88"/>
      <c r="K8644" s="88"/>
      <c r="L8644" s="89"/>
      <c r="M8644" s="89"/>
    </row>
    <row r="8645" spans="3:13" x14ac:dyDescent="0.3">
      <c r="C8645" s="87"/>
      <c r="H8645" s="86" t="e">
        <f>IF(I8645="fora",0%,G8645/QUÓRUM!$C$6)</f>
        <v>#DIV/0!</v>
      </c>
      <c r="I8645" s="87"/>
      <c r="J8645" s="88"/>
      <c r="K8645" s="88"/>
      <c r="L8645" s="89"/>
      <c r="M8645" s="89"/>
    </row>
    <row r="8646" spans="3:13" x14ac:dyDescent="0.3">
      <c r="C8646" s="87"/>
      <c r="H8646" s="86" t="e">
        <f>IF(I8646="fora",0%,G8646/QUÓRUM!$C$6)</f>
        <v>#DIV/0!</v>
      </c>
      <c r="I8646" s="87"/>
      <c r="J8646" s="88"/>
      <c r="K8646" s="88"/>
      <c r="L8646" s="89"/>
      <c r="M8646" s="89"/>
    </row>
    <row r="8647" spans="3:13" x14ac:dyDescent="0.3">
      <c r="C8647" s="87"/>
      <c r="H8647" s="86" t="e">
        <f>IF(I8647="fora",0%,G8647/QUÓRUM!$C$6)</f>
        <v>#DIV/0!</v>
      </c>
      <c r="I8647" s="87"/>
      <c r="J8647" s="88"/>
      <c r="K8647" s="88"/>
      <c r="L8647" s="89"/>
      <c r="M8647" s="89"/>
    </row>
    <row r="8648" spans="3:13" x14ac:dyDescent="0.3">
      <c r="C8648" s="87"/>
      <c r="H8648" s="86" t="e">
        <f>IF(I8648="fora",0%,G8648/QUÓRUM!$C$6)</f>
        <v>#DIV/0!</v>
      </c>
      <c r="I8648" s="87"/>
      <c r="J8648" s="88"/>
      <c r="K8648" s="88"/>
      <c r="L8648" s="89"/>
      <c r="M8648" s="89"/>
    </row>
    <row r="8649" spans="3:13" x14ac:dyDescent="0.3">
      <c r="C8649" s="87"/>
      <c r="H8649" s="86" t="e">
        <f>IF(I8649="fora",0%,G8649/QUÓRUM!$C$6)</f>
        <v>#DIV/0!</v>
      </c>
      <c r="I8649" s="87"/>
      <c r="J8649" s="88"/>
      <c r="K8649" s="88"/>
      <c r="L8649" s="89"/>
      <c r="M8649" s="89"/>
    </row>
    <row r="8650" spans="3:13" x14ac:dyDescent="0.3">
      <c r="C8650" s="87"/>
      <c r="H8650" s="86" t="e">
        <f>IF(I8650="fora",0%,G8650/QUÓRUM!$C$6)</f>
        <v>#DIV/0!</v>
      </c>
      <c r="I8650" s="87"/>
      <c r="J8650" s="88"/>
      <c r="K8650" s="88"/>
      <c r="L8650" s="89"/>
      <c r="M8650" s="89"/>
    </row>
    <row r="8651" spans="3:13" x14ac:dyDescent="0.3">
      <c r="C8651" s="87"/>
      <c r="H8651" s="86" t="e">
        <f>IF(I8651="fora",0%,G8651/QUÓRUM!$C$6)</f>
        <v>#DIV/0!</v>
      </c>
      <c r="I8651" s="87"/>
      <c r="J8651" s="88"/>
      <c r="K8651" s="88"/>
      <c r="L8651" s="89"/>
      <c r="M8651" s="89"/>
    </row>
    <row r="8652" spans="3:13" x14ac:dyDescent="0.3">
      <c r="C8652" s="87"/>
      <c r="H8652" s="86" t="e">
        <f>IF(I8652="fora",0%,G8652/QUÓRUM!$C$6)</f>
        <v>#DIV/0!</v>
      </c>
      <c r="I8652" s="87"/>
      <c r="J8652" s="88"/>
      <c r="K8652" s="88"/>
      <c r="L8652" s="89"/>
      <c r="M8652" s="89"/>
    </row>
    <row r="8653" spans="3:13" x14ac:dyDescent="0.3">
      <c r="C8653" s="87"/>
      <c r="H8653" s="86" t="e">
        <f>IF(I8653="fora",0%,G8653/QUÓRUM!$C$6)</f>
        <v>#DIV/0!</v>
      </c>
      <c r="I8653" s="87"/>
      <c r="J8653" s="88"/>
      <c r="K8653" s="88"/>
      <c r="L8653" s="89"/>
      <c r="M8653" s="89"/>
    </row>
    <row r="8654" spans="3:13" x14ac:dyDescent="0.3">
      <c r="C8654" s="87"/>
      <c r="H8654" s="86" t="e">
        <f>IF(I8654="fora",0%,G8654/QUÓRUM!$C$6)</f>
        <v>#DIV/0!</v>
      </c>
      <c r="I8654" s="87"/>
      <c r="J8654" s="88"/>
      <c r="K8654" s="88"/>
      <c r="L8654" s="89"/>
      <c r="M8654" s="89"/>
    </row>
    <row r="8655" spans="3:13" x14ac:dyDescent="0.3">
      <c r="C8655" s="87"/>
      <c r="H8655" s="86" t="e">
        <f>IF(I8655="fora",0%,G8655/QUÓRUM!$C$6)</f>
        <v>#DIV/0!</v>
      </c>
      <c r="I8655" s="87"/>
      <c r="J8655" s="88"/>
      <c r="K8655" s="88"/>
      <c r="L8655" s="89"/>
      <c r="M8655" s="89"/>
    </row>
    <row r="8656" spans="3:13" x14ac:dyDescent="0.3">
      <c r="C8656" s="87"/>
      <c r="H8656" s="86" t="e">
        <f>IF(I8656="fora",0%,G8656/QUÓRUM!$C$6)</f>
        <v>#DIV/0!</v>
      </c>
      <c r="I8656" s="87"/>
      <c r="J8656" s="88"/>
      <c r="K8656" s="88"/>
      <c r="L8656" s="89"/>
      <c r="M8656" s="89"/>
    </row>
    <row r="8657" spans="3:13" x14ac:dyDescent="0.3">
      <c r="C8657" s="87"/>
      <c r="H8657" s="86" t="e">
        <f>IF(I8657="fora",0%,G8657/QUÓRUM!$C$6)</f>
        <v>#DIV/0!</v>
      </c>
      <c r="I8657" s="87"/>
      <c r="J8657" s="88"/>
      <c r="K8657" s="88"/>
      <c r="L8657" s="89"/>
      <c r="M8657" s="89"/>
    </row>
    <row r="8658" spans="3:13" x14ac:dyDescent="0.3">
      <c r="C8658" s="87"/>
      <c r="H8658" s="86" t="e">
        <f>IF(I8658="fora",0%,G8658/QUÓRUM!$C$6)</f>
        <v>#DIV/0!</v>
      </c>
      <c r="I8658" s="87"/>
      <c r="J8658" s="88"/>
      <c r="K8658" s="88"/>
      <c r="L8658" s="89"/>
      <c r="M8658" s="89"/>
    </row>
    <row r="8659" spans="3:13" x14ac:dyDescent="0.3">
      <c r="C8659" s="87"/>
      <c r="H8659" s="86" t="e">
        <f>IF(I8659="fora",0%,G8659/QUÓRUM!$C$6)</f>
        <v>#DIV/0!</v>
      </c>
      <c r="I8659" s="87"/>
      <c r="J8659" s="88"/>
      <c r="K8659" s="88"/>
      <c r="L8659" s="89"/>
      <c r="M8659" s="89"/>
    </row>
    <row r="8660" spans="3:13" x14ac:dyDescent="0.3">
      <c r="C8660" s="87"/>
      <c r="H8660" s="86" t="e">
        <f>IF(I8660="fora",0%,G8660/QUÓRUM!$C$6)</f>
        <v>#DIV/0!</v>
      </c>
      <c r="I8660" s="87"/>
      <c r="J8660" s="88"/>
      <c r="K8660" s="88"/>
      <c r="L8660" s="89"/>
      <c r="M8660" s="89"/>
    </row>
    <row r="8661" spans="3:13" x14ac:dyDescent="0.3">
      <c r="C8661" s="87"/>
      <c r="H8661" s="86" t="e">
        <f>IF(I8661="fora",0%,G8661/QUÓRUM!$C$6)</f>
        <v>#DIV/0!</v>
      </c>
      <c r="I8661" s="87"/>
      <c r="J8661" s="88"/>
      <c r="K8661" s="88"/>
      <c r="L8661" s="89"/>
      <c r="M8661" s="89"/>
    </row>
    <row r="8662" spans="3:13" x14ac:dyDescent="0.3">
      <c r="C8662" s="87"/>
      <c r="H8662" s="86" t="e">
        <f>IF(I8662="fora",0%,G8662/QUÓRUM!$C$6)</f>
        <v>#DIV/0!</v>
      </c>
      <c r="I8662" s="87"/>
      <c r="J8662" s="88"/>
      <c r="K8662" s="88"/>
      <c r="L8662" s="89"/>
      <c r="M8662" s="89"/>
    </row>
    <row r="8663" spans="3:13" x14ac:dyDescent="0.3">
      <c r="C8663" s="87"/>
      <c r="H8663" s="86" t="e">
        <f>IF(I8663="fora",0%,G8663/QUÓRUM!$C$6)</f>
        <v>#DIV/0!</v>
      </c>
      <c r="I8663" s="87"/>
      <c r="J8663" s="88"/>
      <c r="K8663" s="88"/>
      <c r="L8663" s="89"/>
      <c r="M8663" s="89"/>
    </row>
    <row r="8664" spans="3:13" x14ac:dyDescent="0.3">
      <c r="C8664" s="87"/>
      <c r="H8664" s="86" t="e">
        <f>IF(I8664="fora",0%,G8664/QUÓRUM!$C$6)</f>
        <v>#DIV/0!</v>
      </c>
      <c r="I8664" s="87"/>
      <c r="J8664" s="88"/>
      <c r="K8664" s="88"/>
      <c r="L8664" s="89"/>
      <c r="M8664" s="89"/>
    </row>
    <row r="8665" spans="3:13" x14ac:dyDescent="0.3">
      <c r="C8665" s="87"/>
      <c r="H8665" s="86" t="e">
        <f>IF(I8665="fora",0%,G8665/QUÓRUM!$C$6)</f>
        <v>#DIV/0!</v>
      </c>
      <c r="I8665" s="87"/>
      <c r="J8665" s="88"/>
      <c r="K8665" s="88"/>
      <c r="L8665" s="89"/>
      <c r="M8665" s="89"/>
    </row>
    <row r="8666" spans="3:13" x14ac:dyDescent="0.3">
      <c r="C8666" s="87"/>
      <c r="H8666" s="86" t="e">
        <f>IF(I8666="fora",0%,G8666/QUÓRUM!$C$6)</f>
        <v>#DIV/0!</v>
      </c>
      <c r="I8666" s="87"/>
      <c r="J8666" s="88"/>
      <c r="K8666" s="88"/>
      <c r="L8666" s="89"/>
      <c r="M8666" s="89"/>
    </row>
    <row r="8667" spans="3:13" x14ac:dyDescent="0.3">
      <c r="C8667" s="87"/>
      <c r="H8667" s="86" t="e">
        <f>IF(I8667="fora",0%,G8667/QUÓRUM!$C$6)</f>
        <v>#DIV/0!</v>
      </c>
      <c r="I8667" s="87"/>
      <c r="J8667" s="88"/>
      <c r="K8667" s="88"/>
      <c r="L8667" s="89"/>
      <c r="M8667" s="89"/>
    </row>
    <row r="8668" spans="3:13" x14ac:dyDescent="0.3">
      <c r="C8668" s="87"/>
      <c r="H8668" s="86" t="e">
        <f>IF(I8668="fora",0%,G8668/QUÓRUM!$C$6)</f>
        <v>#DIV/0!</v>
      </c>
      <c r="I8668" s="87"/>
      <c r="J8668" s="88"/>
      <c r="K8668" s="88"/>
      <c r="L8668" s="89"/>
      <c r="M8668" s="89"/>
    </row>
    <row r="8669" spans="3:13" x14ac:dyDescent="0.3">
      <c r="C8669" s="87"/>
      <c r="H8669" s="86" t="e">
        <f>IF(I8669="fora",0%,G8669/QUÓRUM!$C$6)</f>
        <v>#DIV/0!</v>
      </c>
      <c r="I8669" s="87"/>
      <c r="J8669" s="88"/>
      <c r="K8669" s="88"/>
      <c r="L8669" s="89"/>
      <c r="M8669" s="89"/>
    </row>
    <row r="8670" spans="3:13" x14ac:dyDescent="0.3">
      <c r="C8670" s="87"/>
      <c r="H8670" s="86" t="e">
        <f>IF(I8670="fora",0%,G8670/QUÓRUM!$C$6)</f>
        <v>#DIV/0!</v>
      </c>
      <c r="I8670" s="87"/>
      <c r="J8670" s="88"/>
      <c r="K8670" s="88"/>
      <c r="L8670" s="89"/>
      <c r="M8670" s="89"/>
    </row>
    <row r="8671" spans="3:13" x14ac:dyDescent="0.3">
      <c r="C8671" s="87"/>
      <c r="H8671" s="86" t="e">
        <f>IF(I8671="fora",0%,G8671/QUÓRUM!$C$6)</f>
        <v>#DIV/0!</v>
      </c>
      <c r="I8671" s="87"/>
      <c r="J8671" s="88"/>
      <c r="K8671" s="88"/>
      <c r="L8671" s="89"/>
      <c r="M8671" s="89"/>
    </row>
    <row r="8672" spans="3:13" x14ac:dyDescent="0.3">
      <c r="C8672" s="87"/>
      <c r="H8672" s="86" t="e">
        <f>IF(I8672="fora",0%,G8672/QUÓRUM!$C$6)</f>
        <v>#DIV/0!</v>
      </c>
      <c r="I8672" s="87"/>
      <c r="J8672" s="88"/>
      <c r="K8672" s="88"/>
      <c r="L8672" s="89"/>
      <c r="M8672" s="89"/>
    </row>
    <row r="8673" spans="3:13" x14ac:dyDescent="0.3">
      <c r="C8673" s="87"/>
      <c r="H8673" s="86" t="e">
        <f>IF(I8673="fora",0%,G8673/QUÓRUM!$C$6)</f>
        <v>#DIV/0!</v>
      </c>
      <c r="I8673" s="87"/>
      <c r="J8673" s="88"/>
      <c r="K8673" s="88"/>
      <c r="L8673" s="89"/>
      <c r="M8673" s="89"/>
    </row>
    <row r="8674" spans="3:13" x14ac:dyDescent="0.3">
      <c r="C8674" s="87"/>
      <c r="H8674" s="86" t="e">
        <f>IF(I8674="fora",0%,G8674/QUÓRUM!$C$6)</f>
        <v>#DIV/0!</v>
      </c>
      <c r="I8674" s="87"/>
      <c r="J8674" s="88"/>
      <c r="K8674" s="88"/>
      <c r="L8674" s="89"/>
      <c r="M8674" s="89"/>
    </row>
    <row r="8675" spans="3:13" x14ac:dyDescent="0.3">
      <c r="C8675" s="87"/>
      <c r="H8675" s="86" t="e">
        <f>IF(I8675="fora",0%,G8675/QUÓRUM!$C$6)</f>
        <v>#DIV/0!</v>
      </c>
      <c r="I8675" s="87"/>
      <c r="J8675" s="88"/>
      <c r="K8675" s="88"/>
      <c r="L8675" s="89"/>
      <c r="M8675" s="89"/>
    </row>
    <row r="8676" spans="3:13" x14ac:dyDescent="0.3">
      <c r="C8676" s="87"/>
      <c r="H8676" s="86" t="e">
        <f>IF(I8676="fora",0%,G8676/QUÓRUM!$C$6)</f>
        <v>#DIV/0!</v>
      </c>
      <c r="I8676" s="87"/>
      <c r="J8676" s="88"/>
      <c r="K8676" s="88"/>
      <c r="L8676" s="89"/>
      <c r="M8676" s="89"/>
    </row>
    <row r="8677" spans="3:13" x14ac:dyDescent="0.3">
      <c r="C8677" s="87"/>
      <c r="H8677" s="86" t="e">
        <f>IF(I8677="fora",0%,G8677/QUÓRUM!$C$6)</f>
        <v>#DIV/0!</v>
      </c>
      <c r="I8677" s="87"/>
      <c r="J8677" s="88"/>
      <c r="K8677" s="88"/>
      <c r="L8677" s="89"/>
      <c r="M8677" s="89"/>
    </row>
    <row r="8678" spans="3:13" x14ac:dyDescent="0.3">
      <c r="C8678" s="87"/>
      <c r="H8678" s="86" t="e">
        <f>IF(I8678="fora",0%,G8678/QUÓRUM!$C$6)</f>
        <v>#DIV/0!</v>
      </c>
      <c r="I8678" s="87"/>
      <c r="J8678" s="88"/>
      <c r="K8678" s="88"/>
      <c r="L8678" s="89"/>
      <c r="M8678" s="89"/>
    </row>
    <row r="8679" spans="3:13" x14ac:dyDescent="0.3">
      <c r="C8679" s="87"/>
      <c r="H8679" s="86" t="e">
        <f>IF(I8679="fora",0%,G8679/QUÓRUM!$C$6)</f>
        <v>#DIV/0!</v>
      </c>
      <c r="I8679" s="87"/>
      <c r="J8679" s="88"/>
      <c r="K8679" s="88"/>
      <c r="L8679" s="89"/>
      <c r="M8679" s="89"/>
    </row>
    <row r="8680" spans="3:13" x14ac:dyDescent="0.3">
      <c r="C8680" s="87"/>
      <c r="H8680" s="86" t="e">
        <f>IF(I8680="fora",0%,G8680/QUÓRUM!$C$6)</f>
        <v>#DIV/0!</v>
      </c>
      <c r="I8680" s="87"/>
      <c r="J8680" s="88"/>
      <c r="K8680" s="88"/>
      <c r="L8680" s="89"/>
      <c r="M8680" s="89"/>
    </row>
    <row r="8681" spans="3:13" x14ac:dyDescent="0.3">
      <c r="C8681" s="87"/>
      <c r="H8681" s="86" t="e">
        <f>IF(I8681="fora",0%,G8681/QUÓRUM!$C$6)</f>
        <v>#DIV/0!</v>
      </c>
      <c r="I8681" s="87"/>
      <c r="J8681" s="88"/>
      <c r="K8681" s="88"/>
      <c r="L8681" s="89"/>
      <c r="M8681" s="89"/>
    </row>
    <row r="8682" spans="3:13" x14ac:dyDescent="0.3">
      <c r="C8682" s="87"/>
      <c r="H8682" s="86" t="e">
        <f>IF(I8682="fora",0%,G8682/QUÓRUM!$C$6)</f>
        <v>#DIV/0!</v>
      </c>
      <c r="I8682" s="87"/>
      <c r="J8682" s="88"/>
      <c r="K8682" s="88"/>
      <c r="L8682" s="89"/>
      <c r="M8682" s="89"/>
    </row>
    <row r="8683" spans="3:13" x14ac:dyDescent="0.3">
      <c r="C8683" s="87"/>
      <c r="H8683" s="86" t="e">
        <f>IF(I8683="fora",0%,G8683/QUÓRUM!$C$6)</f>
        <v>#DIV/0!</v>
      </c>
      <c r="I8683" s="87"/>
      <c r="J8683" s="88"/>
      <c r="K8683" s="88"/>
      <c r="L8683" s="89"/>
      <c r="M8683" s="89"/>
    </row>
    <row r="8684" spans="3:13" x14ac:dyDescent="0.3">
      <c r="C8684" s="87"/>
      <c r="H8684" s="86" t="e">
        <f>IF(I8684="fora",0%,G8684/QUÓRUM!$C$6)</f>
        <v>#DIV/0!</v>
      </c>
      <c r="I8684" s="87"/>
      <c r="J8684" s="88"/>
      <c r="K8684" s="88"/>
      <c r="L8684" s="89"/>
      <c r="M8684" s="89"/>
    </row>
    <row r="8685" spans="3:13" x14ac:dyDescent="0.3">
      <c r="C8685" s="87"/>
      <c r="H8685" s="86" t="e">
        <f>IF(I8685="fora",0%,G8685/QUÓRUM!$C$6)</f>
        <v>#DIV/0!</v>
      </c>
      <c r="I8685" s="87"/>
      <c r="J8685" s="88"/>
      <c r="K8685" s="88"/>
      <c r="L8685" s="89"/>
      <c r="M8685" s="89"/>
    </row>
    <row r="8686" spans="3:13" x14ac:dyDescent="0.3">
      <c r="C8686" s="87"/>
      <c r="H8686" s="86" t="e">
        <f>IF(I8686="fora",0%,G8686/QUÓRUM!$C$6)</f>
        <v>#DIV/0!</v>
      </c>
      <c r="I8686" s="87"/>
      <c r="J8686" s="88"/>
      <c r="K8686" s="88"/>
      <c r="L8686" s="89"/>
      <c r="M8686" s="89"/>
    </row>
    <row r="8687" spans="3:13" x14ac:dyDescent="0.3">
      <c r="C8687" s="87"/>
      <c r="H8687" s="86" t="e">
        <f>IF(I8687="fora",0%,G8687/QUÓRUM!$C$6)</f>
        <v>#DIV/0!</v>
      </c>
      <c r="I8687" s="87"/>
      <c r="J8687" s="88"/>
      <c r="K8687" s="88"/>
      <c r="L8687" s="89"/>
      <c r="M8687" s="89"/>
    </row>
    <row r="8688" spans="3:13" x14ac:dyDescent="0.3">
      <c r="C8688" s="87"/>
      <c r="H8688" s="86" t="e">
        <f>IF(I8688="fora",0%,G8688/QUÓRUM!$C$6)</f>
        <v>#DIV/0!</v>
      </c>
      <c r="I8688" s="87"/>
      <c r="J8688" s="88"/>
      <c r="K8688" s="88"/>
      <c r="L8688" s="89"/>
      <c r="M8688" s="89"/>
    </row>
    <row r="8689" spans="3:13" x14ac:dyDescent="0.3">
      <c r="C8689" s="87"/>
      <c r="H8689" s="86" t="e">
        <f>IF(I8689="fora",0%,G8689/QUÓRUM!$C$6)</f>
        <v>#DIV/0!</v>
      </c>
      <c r="I8689" s="87"/>
      <c r="J8689" s="88"/>
      <c r="K8689" s="88"/>
      <c r="L8689" s="89"/>
      <c r="M8689" s="89"/>
    </row>
    <row r="8690" spans="3:13" x14ac:dyDescent="0.3">
      <c r="C8690" s="87"/>
      <c r="H8690" s="86" t="e">
        <f>IF(I8690="fora",0%,G8690/QUÓRUM!$C$6)</f>
        <v>#DIV/0!</v>
      </c>
      <c r="I8690" s="87"/>
      <c r="J8690" s="88"/>
      <c r="K8690" s="88"/>
      <c r="L8690" s="89"/>
      <c r="M8690" s="89"/>
    </row>
    <row r="8691" spans="3:13" x14ac:dyDescent="0.3">
      <c r="C8691" s="87"/>
      <c r="H8691" s="86" t="e">
        <f>IF(I8691="fora",0%,G8691/QUÓRUM!$C$6)</f>
        <v>#DIV/0!</v>
      </c>
      <c r="I8691" s="87"/>
      <c r="J8691" s="88"/>
      <c r="K8691" s="88"/>
      <c r="L8691" s="89"/>
      <c r="M8691" s="89"/>
    </row>
    <row r="8692" spans="3:13" x14ac:dyDescent="0.3">
      <c r="C8692" s="87"/>
      <c r="H8692" s="86" t="e">
        <f>IF(I8692="fora",0%,G8692/QUÓRUM!$C$6)</f>
        <v>#DIV/0!</v>
      </c>
      <c r="I8692" s="87"/>
      <c r="J8692" s="88"/>
      <c r="K8692" s="88"/>
      <c r="L8692" s="89"/>
      <c r="M8692" s="89"/>
    </row>
    <row r="8693" spans="3:13" x14ac:dyDescent="0.3">
      <c r="C8693" s="87"/>
      <c r="H8693" s="86" t="e">
        <f>IF(I8693="fora",0%,G8693/QUÓRUM!$C$6)</f>
        <v>#DIV/0!</v>
      </c>
      <c r="I8693" s="87"/>
      <c r="J8693" s="88"/>
      <c r="K8693" s="88"/>
      <c r="L8693" s="89"/>
      <c r="M8693" s="89"/>
    </row>
    <row r="8694" spans="3:13" x14ac:dyDescent="0.3">
      <c r="C8694" s="87"/>
      <c r="H8694" s="86" t="e">
        <f>IF(I8694="fora",0%,G8694/QUÓRUM!$C$6)</f>
        <v>#DIV/0!</v>
      </c>
      <c r="I8694" s="87"/>
      <c r="J8694" s="88"/>
      <c r="K8694" s="88"/>
      <c r="L8694" s="89"/>
      <c r="M8694" s="89"/>
    </row>
    <row r="8695" spans="3:13" x14ac:dyDescent="0.3">
      <c r="C8695" s="87"/>
      <c r="H8695" s="86" t="e">
        <f>IF(I8695="fora",0%,G8695/QUÓRUM!$C$6)</f>
        <v>#DIV/0!</v>
      </c>
      <c r="I8695" s="87"/>
      <c r="J8695" s="88"/>
      <c r="K8695" s="88"/>
      <c r="L8695" s="89"/>
      <c r="M8695" s="89"/>
    </row>
    <row r="8696" spans="3:13" x14ac:dyDescent="0.3">
      <c r="C8696" s="87"/>
      <c r="H8696" s="86" t="e">
        <f>IF(I8696="fora",0%,G8696/QUÓRUM!$C$6)</f>
        <v>#DIV/0!</v>
      </c>
      <c r="I8696" s="87"/>
      <c r="J8696" s="88"/>
      <c r="K8696" s="88"/>
      <c r="L8696" s="89"/>
      <c r="M8696" s="89"/>
    </row>
    <row r="8697" spans="3:13" x14ac:dyDescent="0.3">
      <c r="C8697" s="87"/>
      <c r="H8697" s="86" t="e">
        <f>IF(I8697="fora",0%,G8697/QUÓRUM!$C$6)</f>
        <v>#DIV/0!</v>
      </c>
      <c r="I8697" s="87"/>
      <c r="J8697" s="88"/>
      <c r="K8697" s="88"/>
      <c r="L8697" s="89"/>
      <c r="M8697" s="89"/>
    </row>
    <row r="8698" spans="3:13" x14ac:dyDescent="0.3">
      <c r="C8698" s="87"/>
      <c r="H8698" s="86" t="e">
        <f>IF(I8698="fora",0%,G8698/QUÓRUM!$C$6)</f>
        <v>#DIV/0!</v>
      </c>
      <c r="I8698" s="87"/>
      <c r="J8698" s="88"/>
      <c r="K8698" s="88"/>
      <c r="L8698" s="89"/>
      <c r="M8698" s="89"/>
    </row>
    <row r="8699" spans="3:13" x14ac:dyDescent="0.3">
      <c r="C8699" s="87"/>
      <c r="H8699" s="86" t="e">
        <f>IF(I8699="fora",0%,G8699/QUÓRUM!$C$6)</f>
        <v>#DIV/0!</v>
      </c>
      <c r="I8699" s="87"/>
      <c r="J8699" s="88"/>
      <c r="K8699" s="88"/>
      <c r="L8699" s="89"/>
      <c r="M8699" s="89"/>
    </row>
    <row r="8700" spans="3:13" x14ac:dyDescent="0.3">
      <c r="C8700" s="87"/>
      <c r="H8700" s="86" t="e">
        <f>IF(I8700="fora",0%,G8700/QUÓRUM!$C$6)</f>
        <v>#DIV/0!</v>
      </c>
      <c r="I8700" s="87"/>
      <c r="J8700" s="88"/>
      <c r="K8700" s="88"/>
      <c r="L8700" s="89"/>
      <c r="M8700" s="89"/>
    </row>
    <row r="8701" spans="3:13" x14ac:dyDescent="0.3">
      <c r="C8701" s="87"/>
      <c r="H8701" s="86" t="e">
        <f>IF(I8701="fora",0%,G8701/QUÓRUM!$C$6)</f>
        <v>#DIV/0!</v>
      </c>
      <c r="I8701" s="87"/>
      <c r="J8701" s="88"/>
      <c r="K8701" s="88"/>
      <c r="L8701" s="89"/>
      <c r="M8701" s="89"/>
    </row>
    <row r="8702" spans="3:13" x14ac:dyDescent="0.3">
      <c r="C8702" s="87"/>
      <c r="H8702" s="86" t="e">
        <f>IF(I8702="fora",0%,G8702/QUÓRUM!$C$6)</f>
        <v>#DIV/0!</v>
      </c>
      <c r="I8702" s="87"/>
      <c r="J8702" s="88"/>
      <c r="K8702" s="88"/>
      <c r="L8702" s="89"/>
      <c r="M8702" s="89"/>
    </row>
    <row r="8703" spans="3:13" x14ac:dyDescent="0.3">
      <c r="C8703" s="87"/>
      <c r="H8703" s="86" t="e">
        <f>IF(I8703="fora",0%,G8703/QUÓRUM!$C$6)</f>
        <v>#DIV/0!</v>
      </c>
      <c r="I8703" s="87"/>
      <c r="J8703" s="88"/>
      <c r="K8703" s="88"/>
      <c r="L8703" s="89"/>
      <c r="M8703" s="89"/>
    </row>
    <row r="8704" spans="3:13" x14ac:dyDescent="0.3">
      <c r="C8704" s="87"/>
      <c r="H8704" s="86" t="e">
        <f>IF(I8704="fora",0%,G8704/QUÓRUM!$C$6)</f>
        <v>#DIV/0!</v>
      </c>
      <c r="I8704" s="87"/>
      <c r="J8704" s="88"/>
      <c r="K8704" s="88"/>
      <c r="L8704" s="89"/>
      <c r="M8704" s="89"/>
    </row>
    <row r="8705" spans="3:13" x14ac:dyDescent="0.3">
      <c r="C8705" s="87"/>
      <c r="H8705" s="86" t="e">
        <f>IF(I8705="fora",0%,G8705/QUÓRUM!$C$6)</f>
        <v>#DIV/0!</v>
      </c>
      <c r="I8705" s="87"/>
      <c r="J8705" s="88"/>
      <c r="K8705" s="88"/>
      <c r="L8705" s="89"/>
      <c r="M8705" s="89"/>
    </row>
    <row r="8706" spans="3:13" x14ac:dyDescent="0.3">
      <c r="C8706" s="87"/>
      <c r="H8706" s="86" t="e">
        <f>IF(I8706="fora",0%,G8706/QUÓRUM!$C$6)</f>
        <v>#DIV/0!</v>
      </c>
      <c r="I8706" s="87"/>
      <c r="J8706" s="88"/>
      <c r="K8706" s="88"/>
      <c r="L8706" s="89"/>
      <c r="M8706" s="89"/>
    </row>
    <row r="8707" spans="3:13" x14ac:dyDescent="0.3">
      <c r="C8707" s="87"/>
      <c r="H8707" s="86" t="e">
        <f>IF(I8707="fora",0%,G8707/QUÓRUM!$C$6)</f>
        <v>#DIV/0!</v>
      </c>
      <c r="I8707" s="87"/>
      <c r="J8707" s="88"/>
      <c r="K8707" s="88"/>
      <c r="L8707" s="89"/>
      <c r="M8707" s="89"/>
    </row>
    <row r="8708" spans="3:13" x14ac:dyDescent="0.3">
      <c r="C8708" s="87"/>
      <c r="H8708" s="86" t="e">
        <f>IF(I8708="fora",0%,G8708/QUÓRUM!$C$6)</f>
        <v>#DIV/0!</v>
      </c>
      <c r="I8708" s="87"/>
      <c r="J8708" s="88"/>
      <c r="K8708" s="88"/>
      <c r="L8708" s="89"/>
      <c r="M8708" s="89"/>
    </row>
    <row r="8709" spans="3:13" x14ac:dyDescent="0.3">
      <c r="C8709" s="87"/>
      <c r="H8709" s="86" t="e">
        <f>IF(I8709="fora",0%,G8709/QUÓRUM!$C$6)</f>
        <v>#DIV/0!</v>
      </c>
      <c r="I8709" s="87"/>
      <c r="J8709" s="88"/>
      <c r="K8709" s="88"/>
      <c r="L8709" s="89"/>
      <c r="M8709" s="89"/>
    </row>
    <row r="8710" spans="3:13" x14ac:dyDescent="0.3">
      <c r="C8710" s="87"/>
      <c r="H8710" s="86" t="e">
        <f>IF(I8710="fora",0%,G8710/QUÓRUM!$C$6)</f>
        <v>#DIV/0!</v>
      </c>
      <c r="I8710" s="87"/>
      <c r="J8710" s="88"/>
      <c r="K8710" s="88"/>
      <c r="L8710" s="89"/>
      <c r="M8710" s="89"/>
    </row>
    <row r="8711" spans="3:13" x14ac:dyDescent="0.3">
      <c r="C8711" s="87"/>
      <c r="H8711" s="86" t="e">
        <f>IF(I8711="fora",0%,G8711/QUÓRUM!$C$6)</f>
        <v>#DIV/0!</v>
      </c>
      <c r="I8711" s="87"/>
      <c r="J8711" s="88"/>
      <c r="K8711" s="88"/>
      <c r="L8711" s="89"/>
      <c r="M8711" s="89"/>
    </row>
    <row r="8712" spans="3:13" x14ac:dyDescent="0.3">
      <c r="C8712" s="87"/>
      <c r="H8712" s="86" t="e">
        <f>IF(I8712="fora",0%,G8712/QUÓRUM!$C$6)</f>
        <v>#DIV/0!</v>
      </c>
      <c r="I8712" s="87"/>
      <c r="J8712" s="88"/>
      <c r="K8712" s="88"/>
      <c r="L8712" s="89"/>
      <c r="M8712" s="89"/>
    </row>
    <row r="8713" spans="3:13" x14ac:dyDescent="0.3">
      <c r="C8713" s="87"/>
      <c r="H8713" s="86" t="e">
        <f>IF(I8713="fora",0%,G8713/QUÓRUM!$C$6)</f>
        <v>#DIV/0!</v>
      </c>
      <c r="I8713" s="87"/>
      <c r="J8713" s="88"/>
      <c r="K8713" s="88"/>
      <c r="L8713" s="89"/>
      <c r="M8713" s="89"/>
    </row>
    <row r="8714" spans="3:13" x14ac:dyDescent="0.3">
      <c r="C8714" s="87"/>
      <c r="H8714" s="86" t="e">
        <f>IF(I8714="fora",0%,G8714/QUÓRUM!$C$6)</f>
        <v>#DIV/0!</v>
      </c>
      <c r="I8714" s="87"/>
      <c r="J8714" s="88"/>
      <c r="K8714" s="88"/>
      <c r="L8714" s="89"/>
      <c r="M8714" s="89"/>
    </row>
    <row r="8715" spans="3:13" x14ac:dyDescent="0.3">
      <c r="C8715" s="87"/>
      <c r="H8715" s="86" t="e">
        <f>IF(I8715="fora",0%,G8715/QUÓRUM!$C$6)</f>
        <v>#DIV/0!</v>
      </c>
      <c r="I8715" s="87"/>
      <c r="J8715" s="88"/>
      <c r="K8715" s="88"/>
      <c r="L8715" s="89"/>
      <c r="M8715" s="89"/>
    </row>
    <row r="8716" spans="3:13" x14ac:dyDescent="0.3">
      <c r="C8716" s="87"/>
      <c r="H8716" s="86" t="e">
        <f>IF(I8716="fora",0%,G8716/QUÓRUM!$C$6)</f>
        <v>#DIV/0!</v>
      </c>
      <c r="I8716" s="87"/>
      <c r="J8716" s="88"/>
      <c r="K8716" s="88"/>
      <c r="L8716" s="89"/>
      <c r="M8716" s="89"/>
    </row>
    <row r="8717" spans="3:13" x14ac:dyDescent="0.3">
      <c r="C8717" s="87"/>
      <c r="H8717" s="86" t="e">
        <f>IF(I8717="fora",0%,G8717/QUÓRUM!$C$6)</f>
        <v>#DIV/0!</v>
      </c>
      <c r="I8717" s="87"/>
      <c r="J8717" s="88"/>
      <c r="K8717" s="88"/>
      <c r="L8717" s="89"/>
      <c r="M8717" s="89"/>
    </row>
    <row r="8718" spans="3:13" x14ac:dyDescent="0.3">
      <c r="C8718" s="87"/>
      <c r="H8718" s="86" t="e">
        <f>IF(I8718="fora",0%,G8718/QUÓRUM!$C$6)</f>
        <v>#DIV/0!</v>
      </c>
      <c r="I8718" s="87"/>
      <c r="J8718" s="88"/>
      <c r="K8718" s="88"/>
      <c r="L8718" s="89"/>
      <c r="M8718" s="89"/>
    </row>
    <row r="8719" spans="3:13" x14ac:dyDescent="0.3">
      <c r="C8719" s="87"/>
      <c r="H8719" s="86" t="e">
        <f>IF(I8719="fora",0%,G8719/QUÓRUM!$C$6)</f>
        <v>#DIV/0!</v>
      </c>
      <c r="I8719" s="87"/>
      <c r="J8719" s="88"/>
      <c r="K8719" s="88"/>
      <c r="L8719" s="89"/>
      <c r="M8719" s="89"/>
    </row>
    <row r="8720" spans="3:13" x14ac:dyDescent="0.3">
      <c r="C8720" s="87"/>
      <c r="H8720" s="86" t="e">
        <f>IF(I8720="fora",0%,G8720/QUÓRUM!$C$6)</f>
        <v>#DIV/0!</v>
      </c>
      <c r="I8720" s="87"/>
      <c r="J8720" s="88"/>
      <c r="K8720" s="88"/>
      <c r="L8720" s="89"/>
      <c r="M8720" s="89"/>
    </row>
    <row r="8721" spans="3:13" x14ac:dyDescent="0.3">
      <c r="C8721" s="87"/>
      <c r="H8721" s="86" t="e">
        <f>IF(I8721="fora",0%,G8721/QUÓRUM!$C$6)</f>
        <v>#DIV/0!</v>
      </c>
      <c r="I8721" s="87"/>
      <c r="J8721" s="88"/>
      <c r="K8721" s="88"/>
      <c r="L8721" s="89"/>
      <c r="M8721" s="89"/>
    </row>
    <row r="8722" spans="3:13" x14ac:dyDescent="0.3">
      <c r="C8722" s="87"/>
      <c r="H8722" s="86" t="e">
        <f>IF(I8722="fora",0%,G8722/QUÓRUM!$C$6)</f>
        <v>#DIV/0!</v>
      </c>
      <c r="I8722" s="87"/>
      <c r="J8722" s="88"/>
      <c r="K8722" s="88"/>
      <c r="L8722" s="89"/>
      <c r="M8722" s="89"/>
    </row>
    <row r="8723" spans="3:13" x14ac:dyDescent="0.3">
      <c r="C8723" s="87"/>
      <c r="H8723" s="86" t="e">
        <f>IF(I8723="fora",0%,G8723/QUÓRUM!$C$6)</f>
        <v>#DIV/0!</v>
      </c>
      <c r="I8723" s="87"/>
      <c r="J8723" s="88"/>
      <c r="K8723" s="88"/>
      <c r="L8723" s="89"/>
      <c r="M8723" s="89"/>
    </row>
    <row r="8724" spans="3:13" x14ac:dyDescent="0.3">
      <c r="C8724" s="87"/>
      <c r="H8724" s="86" t="e">
        <f>IF(I8724="fora",0%,G8724/QUÓRUM!$C$6)</f>
        <v>#DIV/0!</v>
      </c>
      <c r="I8724" s="87"/>
      <c r="J8724" s="88"/>
      <c r="K8724" s="88"/>
      <c r="L8724" s="89"/>
      <c r="M8724" s="89"/>
    </row>
    <row r="8725" spans="3:13" x14ac:dyDescent="0.3">
      <c r="C8725" s="87"/>
      <c r="H8725" s="86" t="e">
        <f>IF(I8725="fora",0%,G8725/QUÓRUM!$C$6)</f>
        <v>#DIV/0!</v>
      </c>
      <c r="I8725" s="87"/>
      <c r="J8725" s="88"/>
      <c r="K8725" s="88"/>
      <c r="L8725" s="89"/>
      <c r="M8725" s="89"/>
    </row>
    <row r="8726" spans="3:13" x14ac:dyDescent="0.3">
      <c r="C8726" s="87"/>
      <c r="H8726" s="86" t="e">
        <f>IF(I8726="fora",0%,G8726/QUÓRUM!$C$6)</f>
        <v>#DIV/0!</v>
      </c>
      <c r="I8726" s="87"/>
      <c r="J8726" s="88"/>
      <c r="K8726" s="88"/>
      <c r="L8726" s="89"/>
      <c r="M8726" s="89"/>
    </row>
    <row r="8727" spans="3:13" x14ac:dyDescent="0.3">
      <c r="C8727" s="87"/>
      <c r="H8727" s="86" t="e">
        <f>IF(I8727="fora",0%,G8727/QUÓRUM!$C$6)</f>
        <v>#DIV/0!</v>
      </c>
      <c r="I8727" s="87"/>
      <c r="J8727" s="88"/>
      <c r="K8727" s="88"/>
      <c r="L8727" s="89"/>
      <c r="M8727" s="89"/>
    </row>
    <row r="8728" spans="3:13" x14ac:dyDescent="0.3">
      <c r="C8728" s="87"/>
      <c r="H8728" s="86" t="e">
        <f>IF(I8728="fora",0%,G8728/QUÓRUM!$C$6)</f>
        <v>#DIV/0!</v>
      </c>
      <c r="I8728" s="87"/>
      <c r="J8728" s="88"/>
      <c r="K8728" s="88"/>
      <c r="L8728" s="89"/>
      <c r="M8728" s="89"/>
    </row>
    <row r="8729" spans="3:13" x14ac:dyDescent="0.3">
      <c r="C8729" s="87"/>
      <c r="H8729" s="86" t="e">
        <f>IF(I8729="fora",0%,G8729/QUÓRUM!$C$6)</f>
        <v>#DIV/0!</v>
      </c>
      <c r="I8729" s="87"/>
      <c r="J8729" s="88"/>
      <c r="K8729" s="88"/>
      <c r="L8729" s="89"/>
      <c r="M8729" s="89"/>
    </row>
    <row r="8730" spans="3:13" x14ac:dyDescent="0.3">
      <c r="C8730" s="87"/>
      <c r="H8730" s="86" t="e">
        <f>IF(I8730="fora",0%,G8730/QUÓRUM!$C$6)</f>
        <v>#DIV/0!</v>
      </c>
      <c r="I8730" s="87"/>
      <c r="J8730" s="88"/>
      <c r="K8730" s="88"/>
      <c r="L8730" s="89"/>
      <c r="M8730" s="89"/>
    </row>
    <row r="8731" spans="3:13" x14ac:dyDescent="0.3">
      <c r="C8731" s="87"/>
      <c r="H8731" s="86" t="e">
        <f>IF(I8731="fora",0%,G8731/QUÓRUM!$C$6)</f>
        <v>#DIV/0!</v>
      </c>
      <c r="I8731" s="87"/>
      <c r="J8731" s="88"/>
      <c r="K8731" s="88"/>
      <c r="L8731" s="89"/>
      <c r="M8731" s="89"/>
    </row>
    <row r="8732" spans="3:13" x14ac:dyDescent="0.3">
      <c r="C8732" s="87"/>
      <c r="H8732" s="86" t="e">
        <f>IF(I8732="fora",0%,G8732/QUÓRUM!$C$6)</f>
        <v>#DIV/0!</v>
      </c>
      <c r="I8732" s="87"/>
      <c r="J8732" s="88"/>
      <c r="K8732" s="88"/>
      <c r="L8732" s="89"/>
      <c r="M8732" s="89"/>
    </row>
    <row r="8733" spans="3:13" x14ac:dyDescent="0.3">
      <c r="C8733" s="87"/>
      <c r="H8733" s="86" t="e">
        <f>IF(I8733="fora",0%,G8733/QUÓRUM!$C$6)</f>
        <v>#DIV/0!</v>
      </c>
      <c r="I8733" s="87"/>
      <c r="J8733" s="88"/>
      <c r="K8733" s="88"/>
      <c r="L8733" s="89"/>
      <c r="M8733" s="89"/>
    </row>
    <row r="8734" spans="3:13" x14ac:dyDescent="0.3">
      <c r="C8734" s="87"/>
      <c r="H8734" s="86" t="e">
        <f>IF(I8734="fora",0%,G8734/QUÓRUM!$C$6)</f>
        <v>#DIV/0!</v>
      </c>
      <c r="I8734" s="87"/>
      <c r="J8734" s="88"/>
      <c r="K8734" s="88"/>
      <c r="L8734" s="89"/>
      <c r="M8734" s="89"/>
    </row>
    <row r="8735" spans="3:13" x14ac:dyDescent="0.3">
      <c r="C8735" s="87"/>
      <c r="H8735" s="86" t="e">
        <f>IF(I8735="fora",0%,G8735/QUÓRUM!$C$6)</f>
        <v>#DIV/0!</v>
      </c>
      <c r="I8735" s="87"/>
      <c r="J8735" s="88"/>
      <c r="K8735" s="88"/>
      <c r="L8735" s="89"/>
      <c r="M8735" s="89"/>
    </row>
    <row r="8736" spans="3:13" x14ac:dyDescent="0.3">
      <c r="C8736" s="87"/>
      <c r="H8736" s="86" t="e">
        <f>IF(I8736="fora",0%,G8736/QUÓRUM!$C$6)</f>
        <v>#DIV/0!</v>
      </c>
      <c r="I8736" s="87"/>
      <c r="J8736" s="88"/>
      <c r="K8736" s="88"/>
      <c r="L8736" s="89"/>
      <c r="M8736" s="89"/>
    </row>
    <row r="8737" spans="3:13" x14ac:dyDescent="0.3">
      <c r="C8737" s="87"/>
      <c r="H8737" s="86" t="e">
        <f>IF(I8737="fora",0%,G8737/QUÓRUM!$C$6)</f>
        <v>#DIV/0!</v>
      </c>
      <c r="I8737" s="87"/>
      <c r="J8737" s="88"/>
      <c r="K8737" s="88"/>
      <c r="L8737" s="89"/>
      <c r="M8737" s="89"/>
    </row>
    <row r="8738" spans="3:13" x14ac:dyDescent="0.3">
      <c r="C8738" s="87"/>
      <c r="H8738" s="86" t="e">
        <f>IF(I8738="fora",0%,G8738/QUÓRUM!$C$6)</f>
        <v>#DIV/0!</v>
      </c>
      <c r="I8738" s="87"/>
      <c r="J8738" s="88"/>
      <c r="K8738" s="88"/>
      <c r="L8738" s="89"/>
      <c r="M8738" s="89"/>
    </row>
    <row r="8739" spans="3:13" x14ac:dyDescent="0.3">
      <c r="C8739" s="87"/>
      <c r="H8739" s="86" t="e">
        <f>IF(I8739="fora",0%,G8739/QUÓRUM!$C$6)</f>
        <v>#DIV/0!</v>
      </c>
      <c r="I8739" s="87"/>
      <c r="J8739" s="88"/>
      <c r="K8739" s="88"/>
      <c r="L8739" s="89"/>
      <c r="M8739" s="89"/>
    </row>
    <row r="8740" spans="3:13" x14ac:dyDescent="0.3">
      <c r="C8740" s="87"/>
      <c r="H8740" s="86" t="e">
        <f>IF(I8740="fora",0%,G8740/QUÓRUM!$C$6)</f>
        <v>#DIV/0!</v>
      </c>
      <c r="I8740" s="87"/>
      <c r="J8740" s="88"/>
      <c r="K8740" s="88"/>
      <c r="L8740" s="89"/>
      <c r="M8740" s="89"/>
    </row>
    <row r="8741" spans="3:13" x14ac:dyDescent="0.3">
      <c r="C8741" s="87"/>
      <c r="H8741" s="86" t="e">
        <f>IF(I8741="fora",0%,G8741/QUÓRUM!$C$6)</f>
        <v>#DIV/0!</v>
      </c>
      <c r="I8741" s="87"/>
      <c r="J8741" s="88"/>
      <c r="K8741" s="88"/>
      <c r="L8741" s="89"/>
      <c r="M8741" s="89"/>
    </row>
    <row r="8742" spans="3:13" x14ac:dyDescent="0.3">
      <c r="C8742" s="87"/>
      <c r="H8742" s="86" t="e">
        <f>IF(I8742="fora",0%,G8742/QUÓRUM!$C$6)</f>
        <v>#DIV/0!</v>
      </c>
      <c r="I8742" s="87"/>
      <c r="J8742" s="88"/>
      <c r="K8742" s="88"/>
      <c r="L8742" s="89"/>
      <c r="M8742" s="89"/>
    </row>
    <row r="8743" spans="3:13" x14ac:dyDescent="0.3">
      <c r="C8743" s="87"/>
      <c r="H8743" s="86" t="e">
        <f>IF(I8743="fora",0%,G8743/QUÓRUM!$C$6)</f>
        <v>#DIV/0!</v>
      </c>
      <c r="I8743" s="87"/>
      <c r="J8743" s="88"/>
      <c r="K8743" s="88"/>
      <c r="L8743" s="89"/>
      <c r="M8743" s="89"/>
    </row>
    <row r="8744" spans="3:13" x14ac:dyDescent="0.3">
      <c r="C8744" s="87"/>
      <c r="H8744" s="86" t="e">
        <f>IF(I8744="fora",0%,G8744/QUÓRUM!$C$6)</f>
        <v>#DIV/0!</v>
      </c>
      <c r="I8744" s="87"/>
      <c r="J8744" s="88"/>
      <c r="K8744" s="88"/>
      <c r="L8744" s="89"/>
      <c r="M8744" s="89"/>
    </row>
    <row r="8745" spans="3:13" x14ac:dyDescent="0.3">
      <c r="C8745" s="87"/>
      <c r="H8745" s="86" t="e">
        <f>IF(I8745="fora",0%,G8745/QUÓRUM!$C$6)</f>
        <v>#DIV/0!</v>
      </c>
      <c r="I8745" s="87"/>
      <c r="J8745" s="88"/>
      <c r="K8745" s="88"/>
      <c r="L8745" s="89"/>
      <c r="M8745" s="89"/>
    </row>
    <row r="8746" spans="3:13" x14ac:dyDescent="0.3">
      <c r="C8746" s="87"/>
      <c r="H8746" s="86" t="e">
        <f>IF(I8746="fora",0%,G8746/QUÓRUM!$C$6)</f>
        <v>#DIV/0!</v>
      </c>
      <c r="I8746" s="87"/>
      <c r="J8746" s="88"/>
      <c r="K8746" s="88"/>
      <c r="L8746" s="89"/>
      <c r="M8746" s="89"/>
    </row>
    <row r="8747" spans="3:13" x14ac:dyDescent="0.3">
      <c r="C8747" s="87"/>
      <c r="H8747" s="86" t="e">
        <f>IF(I8747="fora",0%,G8747/QUÓRUM!$C$6)</f>
        <v>#DIV/0!</v>
      </c>
      <c r="I8747" s="87"/>
      <c r="J8747" s="88"/>
      <c r="K8747" s="88"/>
      <c r="L8747" s="89"/>
      <c r="M8747" s="89"/>
    </row>
    <row r="8748" spans="3:13" x14ac:dyDescent="0.3">
      <c r="C8748" s="87"/>
      <c r="H8748" s="86" t="e">
        <f>IF(I8748="fora",0%,G8748/QUÓRUM!$C$6)</f>
        <v>#DIV/0!</v>
      </c>
      <c r="I8748" s="87"/>
      <c r="J8748" s="88"/>
      <c r="K8748" s="88"/>
      <c r="L8748" s="89"/>
      <c r="M8748" s="89"/>
    </row>
    <row r="8749" spans="3:13" x14ac:dyDescent="0.3">
      <c r="C8749" s="87"/>
      <c r="H8749" s="86" t="e">
        <f>IF(I8749="fora",0%,G8749/QUÓRUM!$C$6)</f>
        <v>#DIV/0!</v>
      </c>
      <c r="I8749" s="87"/>
      <c r="J8749" s="88"/>
      <c r="K8749" s="88"/>
      <c r="L8749" s="89"/>
      <c r="M8749" s="89"/>
    </row>
    <row r="8750" spans="3:13" x14ac:dyDescent="0.3">
      <c r="C8750" s="87"/>
      <c r="H8750" s="86" t="e">
        <f>IF(I8750="fora",0%,G8750/QUÓRUM!$C$6)</f>
        <v>#DIV/0!</v>
      </c>
      <c r="I8750" s="87"/>
      <c r="J8750" s="88"/>
      <c r="K8750" s="88"/>
      <c r="L8750" s="89"/>
      <c r="M8750" s="89"/>
    </row>
    <row r="8751" spans="3:13" x14ac:dyDescent="0.3">
      <c r="C8751" s="87"/>
      <c r="H8751" s="86" t="e">
        <f>IF(I8751="fora",0%,G8751/QUÓRUM!$C$6)</f>
        <v>#DIV/0!</v>
      </c>
      <c r="I8751" s="87"/>
      <c r="J8751" s="88"/>
      <c r="K8751" s="88"/>
      <c r="L8751" s="89"/>
      <c r="M8751" s="89"/>
    </row>
    <row r="8752" spans="3:13" x14ac:dyDescent="0.3">
      <c r="C8752" s="87"/>
      <c r="H8752" s="86" t="e">
        <f>IF(I8752="fora",0%,G8752/QUÓRUM!$C$6)</f>
        <v>#DIV/0!</v>
      </c>
      <c r="I8752" s="87"/>
      <c r="J8752" s="88"/>
      <c r="K8752" s="88"/>
      <c r="L8752" s="89"/>
      <c r="M8752" s="89"/>
    </row>
    <row r="8753" spans="3:13" x14ac:dyDescent="0.3">
      <c r="C8753" s="87"/>
      <c r="H8753" s="86" t="e">
        <f>IF(I8753="fora",0%,G8753/QUÓRUM!$C$6)</f>
        <v>#DIV/0!</v>
      </c>
      <c r="I8753" s="87"/>
      <c r="J8753" s="88"/>
      <c r="K8753" s="88"/>
      <c r="L8753" s="89"/>
      <c r="M8753" s="89"/>
    </row>
    <row r="8754" spans="3:13" x14ac:dyDescent="0.3">
      <c r="C8754" s="87"/>
      <c r="H8754" s="86" t="e">
        <f>IF(I8754="fora",0%,G8754/QUÓRUM!$C$6)</f>
        <v>#DIV/0!</v>
      </c>
      <c r="I8754" s="87"/>
      <c r="J8754" s="88"/>
      <c r="K8754" s="88"/>
      <c r="L8754" s="89"/>
      <c r="M8754" s="89"/>
    </row>
    <row r="8755" spans="3:13" x14ac:dyDescent="0.3">
      <c r="C8755" s="87"/>
      <c r="H8755" s="86" t="e">
        <f>IF(I8755="fora",0%,G8755/QUÓRUM!$C$6)</f>
        <v>#DIV/0!</v>
      </c>
      <c r="I8755" s="87"/>
      <c r="J8755" s="88"/>
      <c r="K8755" s="88"/>
      <c r="L8755" s="89"/>
      <c r="M8755" s="89"/>
    </row>
    <row r="8756" spans="3:13" x14ac:dyDescent="0.3">
      <c r="C8756" s="87"/>
      <c r="H8756" s="86" t="e">
        <f>IF(I8756="fora",0%,G8756/QUÓRUM!$C$6)</f>
        <v>#DIV/0!</v>
      </c>
      <c r="I8756" s="87"/>
      <c r="J8756" s="88"/>
      <c r="K8756" s="88"/>
      <c r="L8756" s="89"/>
      <c r="M8756" s="89"/>
    </row>
    <row r="8757" spans="3:13" x14ac:dyDescent="0.3">
      <c r="C8757" s="87"/>
      <c r="H8757" s="86" t="e">
        <f>IF(I8757="fora",0%,G8757/QUÓRUM!$C$6)</f>
        <v>#DIV/0!</v>
      </c>
      <c r="I8757" s="87"/>
      <c r="J8757" s="88"/>
      <c r="K8757" s="88"/>
      <c r="L8757" s="89"/>
      <c r="M8757" s="89"/>
    </row>
    <row r="8758" spans="3:13" x14ac:dyDescent="0.3">
      <c r="C8758" s="87"/>
      <c r="H8758" s="86" t="e">
        <f>IF(I8758="fora",0%,G8758/QUÓRUM!$C$6)</f>
        <v>#DIV/0!</v>
      </c>
      <c r="I8758" s="87"/>
      <c r="J8758" s="88"/>
      <c r="K8758" s="88"/>
      <c r="L8758" s="89"/>
      <c r="M8758" s="89"/>
    </row>
    <row r="8759" spans="3:13" x14ac:dyDescent="0.3">
      <c r="C8759" s="87"/>
      <c r="H8759" s="86" t="e">
        <f>IF(I8759="fora",0%,G8759/QUÓRUM!$C$6)</f>
        <v>#DIV/0!</v>
      </c>
      <c r="I8759" s="87"/>
      <c r="J8759" s="88"/>
      <c r="K8759" s="88"/>
      <c r="L8759" s="89"/>
      <c r="M8759" s="89"/>
    </row>
    <row r="8760" spans="3:13" x14ac:dyDescent="0.3">
      <c r="C8760" s="87"/>
      <c r="H8760" s="86" t="e">
        <f>IF(I8760="fora",0%,G8760/QUÓRUM!$C$6)</f>
        <v>#DIV/0!</v>
      </c>
      <c r="I8760" s="87"/>
      <c r="J8760" s="88"/>
      <c r="K8760" s="88"/>
      <c r="L8760" s="89"/>
      <c r="M8760" s="89"/>
    </row>
    <row r="8761" spans="3:13" x14ac:dyDescent="0.3">
      <c r="C8761" s="87"/>
      <c r="H8761" s="86" t="e">
        <f>IF(I8761="fora",0%,G8761/QUÓRUM!$C$6)</f>
        <v>#DIV/0!</v>
      </c>
      <c r="I8761" s="87"/>
      <c r="J8761" s="88"/>
      <c r="K8761" s="88"/>
      <c r="L8761" s="89"/>
      <c r="M8761" s="89"/>
    </row>
    <row r="8762" spans="3:13" x14ac:dyDescent="0.3">
      <c r="C8762" s="87"/>
      <c r="H8762" s="86" t="e">
        <f>IF(I8762="fora",0%,G8762/QUÓRUM!$C$6)</f>
        <v>#DIV/0!</v>
      </c>
      <c r="I8762" s="87"/>
      <c r="J8762" s="88"/>
      <c r="K8762" s="88"/>
      <c r="L8762" s="89"/>
      <c r="M8762" s="89"/>
    </row>
    <row r="8763" spans="3:13" x14ac:dyDescent="0.3">
      <c r="C8763" s="87"/>
      <c r="H8763" s="86" t="e">
        <f>IF(I8763="fora",0%,G8763/QUÓRUM!$C$6)</f>
        <v>#DIV/0!</v>
      </c>
      <c r="I8763" s="87"/>
      <c r="J8763" s="88"/>
      <c r="K8763" s="88"/>
      <c r="L8763" s="89"/>
      <c r="M8763" s="89"/>
    </row>
    <row r="8764" spans="3:13" x14ac:dyDescent="0.3">
      <c r="C8764" s="87"/>
      <c r="H8764" s="86" t="e">
        <f>IF(I8764="fora",0%,G8764/QUÓRUM!$C$6)</f>
        <v>#DIV/0!</v>
      </c>
      <c r="I8764" s="87"/>
      <c r="J8764" s="88"/>
      <c r="K8764" s="88"/>
      <c r="L8764" s="89"/>
      <c r="M8764" s="89"/>
    </row>
    <row r="8765" spans="3:13" x14ac:dyDescent="0.3">
      <c r="C8765" s="87"/>
      <c r="H8765" s="86" t="e">
        <f>IF(I8765="fora",0%,G8765/QUÓRUM!$C$6)</f>
        <v>#DIV/0!</v>
      </c>
      <c r="I8765" s="87"/>
      <c r="J8765" s="88"/>
      <c r="K8765" s="88"/>
      <c r="L8765" s="89"/>
      <c r="M8765" s="89"/>
    </row>
    <row r="8766" spans="3:13" x14ac:dyDescent="0.3">
      <c r="C8766" s="87"/>
      <c r="H8766" s="86" t="e">
        <f>IF(I8766="fora",0%,G8766/QUÓRUM!$C$6)</f>
        <v>#DIV/0!</v>
      </c>
      <c r="I8766" s="87"/>
      <c r="J8766" s="88"/>
      <c r="K8766" s="88"/>
      <c r="L8766" s="89"/>
      <c r="M8766" s="89"/>
    </row>
    <row r="8767" spans="3:13" x14ac:dyDescent="0.3">
      <c r="C8767" s="87"/>
      <c r="H8767" s="86" t="e">
        <f>IF(I8767="fora",0%,G8767/QUÓRUM!$C$6)</f>
        <v>#DIV/0!</v>
      </c>
      <c r="I8767" s="87"/>
      <c r="J8767" s="88"/>
      <c r="K8767" s="88"/>
      <c r="L8767" s="89"/>
      <c r="M8767" s="89"/>
    </row>
    <row r="8768" spans="3:13" x14ac:dyDescent="0.3">
      <c r="C8768" s="87"/>
      <c r="H8768" s="86" t="e">
        <f>IF(I8768="fora",0%,G8768/QUÓRUM!$C$6)</f>
        <v>#DIV/0!</v>
      </c>
      <c r="I8768" s="87"/>
      <c r="J8768" s="88"/>
      <c r="K8768" s="88"/>
      <c r="L8768" s="89"/>
      <c r="M8768" s="89"/>
    </row>
    <row r="8769" spans="3:13" x14ac:dyDescent="0.3">
      <c r="C8769" s="87"/>
      <c r="H8769" s="86" t="e">
        <f>IF(I8769="fora",0%,G8769/QUÓRUM!$C$6)</f>
        <v>#DIV/0!</v>
      </c>
      <c r="I8769" s="87"/>
      <c r="J8769" s="88"/>
      <c r="K8769" s="88"/>
      <c r="L8769" s="89"/>
      <c r="M8769" s="89"/>
    </row>
    <row r="8770" spans="3:13" x14ac:dyDescent="0.3">
      <c r="C8770" s="87"/>
      <c r="H8770" s="86" t="e">
        <f>IF(I8770="fora",0%,G8770/QUÓRUM!$C$6)</f>
        <v>#DIV/0!</v>
      </c>
      <c r="I8770" s="87"/>
      <c r="J8770" s="88"/>
      <c r="K8770" s="88"/>
      <c r="L8770" s="89"/>
      <c r="M8770" s="89"/>
    </row>
    <row r="8771" spans="3:13" x14ac:dyDescent="0.3">
      <c r="C8771" s="87"/>
      <c r="H8771" s="86" t="e">
        <f>IF(I8771="fora",0%,G8771/QUÓRUM!$C$6)</f>
        <v>#DIV/0!</v>
      </c>
      <c r="I8771" s="87"/>
      <c r="J8771" s="88"/>
      <c r="K8771" s="88"/>
      <c r="L8771" s="89"/>
      <c r="M8771" s="89"/>
    </row>
    <row r="8772" spans="3:13" x14ac:dyDescent="0.3">
      <c r="C8772" s="87"/>
      <c r="H8772" s="86" t="e">
        <f>IF(I8772="fora",0%,G8772/QUÓRUM!$C$6)</f>
        <v>#DIV/0!</v>
      </c>
      <c r="I8772" s="87"/>
      <c r="J8772" s="88"/>
      <c r="K8772" s="88"/>
      <c r="L8772" s="89"/>
      <c r="M8772" s="89"/>
    </row>
    <row r="8773" spans="3:13" x14ac:dyDescent="0.3">
      <c r="C8773" s="87"/>
      <c r="H8773" s="86" t="e">
        <f>IF(I8773="fora",0%,G8773/QUÓRUM!$C$6)</f>
        <v>#DIV/0!</v>
      </c>
      <c r="I8773" s="87"/>
      <c r="J8773" s="88"/>
      <c r="K8773" s="88"/>
      <c r="L8773" s="89"/>
      <c r="M8773" s="89"/>
    </row>
    <row r="8774" spans="3:13" x14ac:dyDescent="0.3">
      <c r="C8774" s="87"/>
      <c r="H8774" s="86" t="e">
        <f>IF(I8774="fora",0%,G8774/QUÓRUM!$C$6)</f>
        <v>#DIV/0!</v>
      </c>
      <c r="I8774" s="87"/>
      <c r="J8774" s="88"/>
      <c r="K8774" s="88"/>
      <c r="L8774" s="89"/>
      <c r="M8774" s="89"/>
    </row>
    <row r="8775" spans="3:13" x14ac:dyDescent="0.3">
      <c r="C8775" s="87"/>
      <c r="H8775" s="86" t="e">
        <f>IF(I8775="fora",0%,G8775/QUÓRUM!$C$6)</f>
        <v>#DIV/0!</v>
      </c>
      <c r="I8775" s="87"/>
      <c r="J8775" s="88"/>
      <c r="K8775" s="88"/>
      <c r="L8775" s="89"/>
      <c r="M8775" s="89"/>
    </row>
    <row r="8776" spans="3:13" x14ac:dyDescent="0.3">
      <c r="C8776" s="87"/>
      <c r="H8776" s="86" t="e">
        <f>IF(I8776="fora",0%,G8776/QUÓRUM!$C$6)</f>
        <v>#DIV/0!</v>
      </c>
      <c r="I8776" s="87"/>
      <c r="J8776" s="88"/>
      <c r="K8776" s="88"/>
      <c r="L8776" s="89"/>
      <c r="M8776" s="89"/>
    </row>
    <row r="8777" spans="3:13" x14ac:dyDescent="0.3">
      <c r="C8777" s="87"/>
      <c r="H8777" s="86" t="e">
        <f>IF(I8777="fora",0%,G8777/QUÓRUM!$C$6)</f>
        <v>#DIV/0!</v>
      </c>
      <c r="I8777" s="87"/>
      <c r="J8777" s="88"/>
      <c r="K8777" s="88"/>
      <c r="L8777" s="89"/>
      <c r="M8777" s="89"/>
    </row>
    <row r="8778" spans="3:13" x14ac:dyDescent="0.3">
      <c r="C8778" s="87"/>
      <c r="H8778" s="86" t="e">
        <f>IF(I8778="fora",0%,G8778/QUÓRUM!$C$6)</f>
        <v>#DIV/0!</v>
      </c>
      <c r="I8778" s="87"/>
      <c r="J8778" s="88"/>
      <c r="K8778" s="88"/>
      <c r="L8778" s="89"/>
      <c r="M8778" s="89"/>
    </row>
    <row r="8779" spans="3:13" x14ac:dyDescent="0.3">
      <c r="C8779" s="87"/>
      <c r="H8779" s="86" t="e">
        <f>IF(I8779="fora",0%,G8779/QUÓRUM!$C$6)</f>
        <v>#DIV/0!</v>
      </c>
      <c r="I8779" s="87"/>
      <c r="J8779" s="88"/>
      <c r="K8779" s="88"/>
      <c r="L8779" s="89"/>
      <c r="M8779" s="89"/>
    </row>
    <row r="8780" spans="3:13" x14ac:dyDescent="0.3">
      <c r="C8780" s="87"/>
      <c r="H8780" s="86" t="e">
        <f>IF(I8780="fora",0%,G8780/QUÓRUM!$C$6)</f>
        <v>#DIV/0!</v>
      </c>
      <c r="I8780" s="87"/>
      <c r="J8780" s="88"/>
      <c r="K8780" s="88"/>
      <c r="L8780" s="89"/>
      <c r="M8780" s="89"/>
    </row>
    <row r="8781" spans="3:13" x14ac:dyDescent="0.3">
      <c r="C8781" s="87"/>
      <c r="H8781" s="86" t="e">
        <f>IF(I8781="fora",0%,G8781/QUÓRUM!$C$6)</f>
        <v>#DIV/0!</v>
      </c>
      <c r="I8781" s="87"/>
      <c r="J8781" s="88"/>
      <c r="K8781" s="88"/>
      <c r="L8781" s="89"/>
      <c r="M8781" s="89"/>
    </row>
    <row r="8782" spans="3:13" x14ac:dyDescent="0.3">
      <c r="C8782" s="87"/>
      <c r="H8782" s="86" t="e">
        <f>IF(I8782="fora",0%,G8782/QUÓRUM!$C$6)</f>
        <v>#DIV/0!</v>
      </c>
      <c r="I8782" s="87"/>
      <c r="J8782" s="88"/>
      <c r="K8782" s="88"/>
      <c r="L8782" s="89"/>
      <c r="M8782" s="89"/>
    </row>
    <row r="8783" spans="3:13" x14ac:dyDescent="0.3">
      <c r="C8783" s="87"/>
      <c r="H8783" s="86" t="e">
        <f>IF(I8783="fora",0%,G8783/QUÓRUM!$C$6)</f>
        <v>#DIV/0!</v>
      </c>
      <c r="I8783" s="87"/>
      <c r="J8783" s="88"/>
      <c r="K8783" s="88"/>
      <c r="L8783" s="89"/>
      <c r="M8783" s="89"/>
    </row>
    <row r="8784" spans="3:13" x14ac:dyDescent="0.3">
      <c r="C8784" s="87"/>
      <c r="H8784" s="86" t="e">
        <f>IF(I8784="fora",0%,G8784/QUÓRUM!$C$6)</f>
        <v>#DIV/0!</v>
      </c>
      <c r="I8784" s="87"/>
      <c r="J8784" s="88"/>
      <c r="K8784" s="88"/>
      <c r="L8784" s="89"/>
      <c r="M8784" s="89"/>
    </row>
    <row r="8785" spans="3:13" x14ac:dyDescent="0.3">
      <c r="C8785" s="87"/>
      <c r="H8785" s="86" t="e">
        <f>IF(I8785="fora",0%,G8785/QUÓRUM!$C$6)</f>
        <v>#DIV/0!</v>
      </c>
      <c r="I8785" s="87"/>
      <c r="J8785" s="88"/>
      <c r="K8785" s="88"/>
      <c r="L8785" s="89"/>
      <c r="M8785" s="89"/>
    </row>
    <row r="8786" spans="3:13" x14ac:dyDescent="0.3">
      <c r="C8786" s="87"/>
      <c r="H8786" s="86" t="e">
        <f>IF(I8786="fora",0%,G8786/QUÓRUM!$C$6)</f>
        <v>#DIV/0!</v>
      </c>
      <c r="I8786" s="87"/>
      <c r="J8786" s="88"/>
      <c r="K8786" s="88"/>
      <c r="L8786" s="89"/>
      <c r="M8786" s="89"/>
    </row>
    <row r="8787" spans="3:13" x14ac:dyDescent="0.3">
      <c r="C8787" s="87"/>
      <c r="H8787" s="86" t="e">
        <f>IF(I8787="fora",0%,G8787/QUÓRUM!$C$6)</f>
        <v>#DIV/0!</v>
      </c>
      <c r="I8787" s="87"/>
      <c r="J8787" s="88"/>
      <c r="K8787" s="88"/>
      <c r="L8787" s="89"/>
      <c r="M8787" s="89"/>
    </row>
    <row r="8788" spans="3:13" x14ac:dyDescent="0.3">
      <c r="C8788" s="87"/>
      <c r="H8788" s="86" t="e">
        <f>IF(I8788="fora",0%,G8788/QUÓRUM!$C$6)</f>
        <v>#DIV/0!</v>
      </c>
      <c r="I8788" s="87"/>
      <c r="J8788" s="88"/>
      <c r="K8788" s="88"/>
      <c r="L8788" s="89"/>
      <c r="M8788" s="89"/>
    </row>
    <row r="8789" spans="3:13" x14ac:dyDescent="0.3">
      <c r="C8789" s="87"/>
      <c r="H8789" s="86" t="e">
        <f>IF(I8789="fora",0%,G8789/QUÓRUM!$C$6)</f>
        <v>#DIV/0!</v>
      </c>
      <c r="I8789" s="87"/>
      <c r="J8789" s="88"/>
      <c r="K8789" s="88"/>
      <c r="L8789" s="89"/>
      <c r="M8789" s="89"/>
    </row>
    <row r="8790" spans="3:13" x14ac:dyDescent="0.3">
      <c r="C8790" s="87"/>
      <c r="H8790" s="86" t="e">
        <f>IF(I8790="fora",0%,G8790/QUÓRUM!$C$6)</f>
        <v>#DIV/0!</v>
      </c>
      <c r="I8790" s="87"/>
      <c r="J8790" s="88"/>
      <c r="K8790" s="88"/>
      <c r="L8790" s="89"/>
      <c r="M8790" s="89"/>
    </row>
    <row r="8791" spans="3:13" x14ac:dyDescent="0.3">
      <c r="C8791" s="87"/>
      <c r="H8791" s="86" t="e">
        <f>IF(I8791="fora",0%,G8791/QUÓRUM!$C$6)</f>
        <v>#DIV/0!</v>
      </c>
      <c r="I8791" s="87"/>
      <c r="J8791" s="88"/>
      <c r="K8791" s="88"/>
      <c r="L8791" s="89"/>
      <c r="M8791" s="89"/>
    </row>
    <row r="8792" spans="3:13" x14ac:dyDescent="0.3">
      <c r="C8792" s="87"/>
      <c r="H8792" s="86" t="e">
        <f>IF(I8792="fora",0%,G8792/QUÓRUM!$C$6)</f>
        <v>#DIV/0!</v>
      </c>
      <c r="I8792" s="87"/>
      <c r="J8792" s="88"/>
      <c r="K8792" s="88"/>
      <c r="L8792" s="89"/>
      <c r="M8792" s="89"/>
    </row>
    <row r="8793" spans="3:13" x14ac:dyDescent="0.3">
      <c r="C8793" s="87"/>
      <c r="H8793" s="86" t="e">
        <f>IF(I8793="fora",0%,G8793/QUÓRUM!$C$6)</f>
        <v>#DIV/0!</v>
      </c>
      <c r="I8793" s="87"/>
      <c r="J8793" s="88"/>
      <c r="K8793" s="88"/>
      <c r="L8793" s="89"/>
      <c r="M8793" s="89"/>
    </row>
    <row r="8794" spans="3:13" x14ac:dyDescent="0.3">
      <c r="C8794" s="87"/>
      <c r="H8794" s="86" t="e">
        <f>IF(I8794="fora",0%,G8794/QUÓRUM!$C$6)</f>
        <v>#DIV/0!</v>
      </c>
      <c r="I8794" s="87"/>
      <c r="J8794" s="88"/>
      <c r="K8794" s="88"/>
      <c r="L8794" s="89"/>
      <c r="M8794" s="89"/>
    </row>
    <row r="8795" spans="3:13" x14ac:dyDescent="0.3">
      <c r="C8795" s="87"/>
      <c r="H8795" s="86" t="e">
        <f>IF(I8795="fora",0%,G8795/QUÓRUM!$C$6)</f>
        <v>#DIV/0!</v>
      </c>
      <c r="I8795" s="87"/>
      <c r="J8795" s="88"/>
      <c r="K8795" s="88"/>
      <c r="L8795" s="89"/>
      <c r="M8795" s="89"/>
    </row>
    <row r="8796" spans="3:13" x14ac:dyDescent="0.3">
      <c r="C8796" s="87"/>
      <c r="H8796" s="86" t="e">
        <f>IF(I8796="fora",0%,G8796/QUÓRUM!$C$6)</f>
        <v>#DIV/0!</v>
      </c>
      <c r="I8796" s="87"/>
      <c r="J8796" s="88"/>
      <c r="K8796" s="88"/>
      <c r="L8796" s="89"/>
      <c r="M8796" s="89"/>
    </row>
    <row r="8797" spans="3:13" x14ac:dyDescent="0.3">
      <c r="C8797" s="87"/>
      <c r="H8797" s="86" t="e">
        <f>IF(I8797="fora",0%,G8797/QUÓRUM!$C$6)</f>
        <v>#DIV/0!</v>
      </c>
      <c r="I8797" s="87"/>
      <c r="J8797" s="88"/>
      <c r="K8797" s="88"/>
      <c r="L8797" s="89"/>
      <c r="M8797" s="89"/>
    </row>
    <row r="8798" spans="3:13" x14ac:dyDescent="0.3">
      <c r="C8798" s="87"/>
      <c r="H8798" s="86" t="e">
        <f>IF(I8798="fora",0%,G8798/QUÓRUM!$C$6)</f>
        <v>#DIV/0!</v>
      </c>
      <c r="I8798" s="87"/>
      <c r="J8798" s="88"/>
      <c r="K8798" s="88"/>
      <c r="L8798" s="89"/>
      <c r="M8798" s="89"/>
    </row>
    <row r="8799" spans="3:13" x14ac:dyDescent="0.3">
      <c r="C8799" s="87"/>
      <c r="H8799" s="86" t="e">
        <f>IF(I8799="fora",0%,G8799/QUÓRUM!$C$6)</f>
        <v>#DIV/0!</v>
      </c>
      <c r="I8799" s="87"/>
      <c r="J8799" s="88"/>
      <c r="K8799" s="88"/>
      <c r="L8799" s="89"/>
      <c r="M8799" s="89"/>
    </row>
    <row r="8800" spans="3:13" x14ac:dyDescent="0.3">
      <c r="C8800" s="87"/>
      <c r="H8800" s="86" t="e">
        <f>IF(I8800="fora",0%,G8800/QUÓRUM!$C$6)</f>
        <v>#DIV/0!</v>
      </c>
      <c r="I8800" s="87"/>
      <c r="J8800" s="88"/>
      <c r="K8800" s="88"/>
      <c r="L8800" s="89"/>
      <c r="M8800" s="89"/>
    </row>
    <row r="8801" spans="3:13" x14ac:dyDescent="0.3">
      <c r="C8801" s="87"/>
      <c r="H8801" s="86" t="e">
        <f>IF(I8801="fora",0%,G8801/QUÓRUM!$C$6)</f>
        <v>#DIV/0!</v>
      </c>
      <c r="I8801" s="87"/>
      <c r="J8801" s="88"/>
      <c r="K8801" s="88"/>
      <c r="L8801" s="89"/>
      <c r="M8801" s="89"/>
    </row>
    <row r="8802" spans="3:13" x14ac:dyDescent="0.3">
      <c r="C8802" s="87"/>
      <c r="H8802" s="86" t="e">
        <f>IF(I8802="fora",0%,G8802/QUÓRUM!$C$6)</f>
        <v>#DIV/0!</v>
      </c>
      <c r="I8802" s="87"/>
      <c r="J8802" s="88"/>
      <c r="K8802" s="88"/>
      <c r="L8802" s="89"/>
      <c r="M8802" s="89"/>
    </row>
    <row r="8803" spans="3:13" x14ac:dyDescent="0.3">
      <c r="C8803" s="87"/>
      <c r="H8803" s="86" t="e">
        <f>IF(I8803="fora",0%,G8803/QUÓRUM!$C$6)</f>
        <v>#DIV/0!</v>
      </c>
      <c r="I8803" s="87"/>
      <c r="J8803" s="88"/>
      <c r="K8803" s="88"/>
      <c r="L8803" s="89"/>
      <c r="M8803" s="89"/>
    </row>
    <row r="8804" spans="3:13" x14ac:dyDescent="0.3">
      <c r="C8804" s="87"/>
      <c r="H8804" s="86" t="e">
        <f>IF(I8804="fora",0%,G8804/QUÓRUM!$C$6)</f>
        <v>#DIV/0!</v>
      </c>
      <c r="I8804" s="87"/>
      <c r="J8804" s="88"/>
      <c r="K8804" s="88"/>
      <c r="L8804" s="89"/>
      <c r="M8804" s="89"/>
    </row>
    <row r="8805" spans="3:13" x14ac:dyDescent="0.3">
      <c r="C8805" s="87"/>
      <c r="H8805" s="86" t="e">
        <f>IF(I8805="fora",0%,G8805/QUÓRUM!$C$6)</f>
        <v>#DIV/0!</v>
      </c>
      <c r="I8805" s="87"/>
      <c r="J8805" s="88"/>
      <c r="K8805" s="88"/>
      <c r="L8805" s="89"/>
      <c r="M8805" s="89"/>
    </row>
    <row r="8806" spans="3:13" x14ac:dyDescent="0.3">
      <c r="C8806" s="87"/>
      <c r="H8806" s="86" t="e">
        <f>IF(I8806="fora",0%,G8806/QUÓRUM!$C$6)</f>
        <v>#DIV/0!</v>
      </c>
      <c r="I8806" s="87"/>
      <c r="J8806" s="88"/>
      <c r="K8806" s="88"/>
      <c r="L8806" s="89"/>
      <c r="M8806" s="89"/>
    </row>
    <row r="8807" spans="3:13" x14ac:dyDescent="0.3">
      <c r="C8807" s="87"/>
      <c r="H8807" s="86" t="e">
        <f>IF(I8807="fora",0%,G8807/QUÓRUM!$C$6)</f>
        <v>#DIV/0!</v>
      </c>
      <c r="I8807" s="87"/>
      <c r="J8807" s="88"/>
      <c r="K8807" s="88"/>
      <c r="L8807" s="89"/>
      <c r="M8807" s="89"/>
    </row>
    <row r="8808" spans="3:13" x14ac:dyDescent="0.3">
      <c r="C8808" s="87"/>
      <c r="H8808" s="86" t="e">
        <f>IF(I8808="fora",0%,G8808/QUÓRUM!$C$6)</f>
        <v>#DIV/0!</v>
      </c>
      <c r="I8808" s="87"/>
      <c r="J8808" s="88"/>
      <c r="K8808" s="88"/>
      <c r="L8808" s="89"/>
      <c r="M8808" s="89"/>
    </row>
    <row r="8809" spans="3:13" x14ac:dyDescent="0.3">
      <c r="C8809" s="87"/>
      <c r="H8809" s="86" t="e">
        <f>IF(I8809="fora",0%,G8809/QUÓRUM!$C$6)</f>
        <v>#DIV/0!</v>
      </c>
      <c r="I8809" s="87"/>
      <c r="J8809" s="88"/>
      <c r="K8809" s="88"/>
      <c r="L8809" s="89"/>
      <c r="M8809" s="89"/>
    </row>
    <row r="8810" spans="3:13" x14ac:dyDescent="0.3">
      <c r="C8810" s="87"/>
      <c r="H8810" s="86" t="e">
        <f>IF(I8810="fora",0%,G8810/QUÓRUM!$C$6)</f>
        <v>#DIV/0!</v>
      </c>
      <c r="I8810" s="87"/>
      <c r="J8810" s="88"/>
      <c r="K8810" s="88"/>
      <c r="L8810" s="89"/>
      <c r="M8810" s="89"/>
    </row>
    <row r="8811" spans="3:13" x14ac:dyDescent="0.3">
      <c r="C8811" s="87"/>
      <c r="H8811" s="86" t="e">
        <f>IF(I8811="fora",0%,G8811/QUÓRUM!$C$6)</f>
        <v>#DIV/0!</v>
      </c>
      <c r="I8811" s="87"/>
      <c r="J8811" s="88"/>
      <c r="K8811" s="88"/>
      <c r="L8811" s="89"/>
      <c r="M8811" s="89"/>
    </row>
    <row r="8812" spans="3:13" x14ac:dyDescent="0.3">
      <c r="C8812" s="87"/>
      <c r="H8812" s="86" t="e">
        <f>IF(I8812="fora",0%,G8812/QUÓRUM!$C$6)</f>
        <v>#DIV/0!</v>
      </c>
      <c r="I8812" s="87"/>
      <c r="J8812" s="88"/>
      <c r="K8812" s="88"/>
      <c r="L8812" s="89"/>
      <c r="M8812" s="89"/>
    </row>
    <row r="8813" spans="3:13" x14ac:dyDescent="0.3">
      <c r="C8813" s="87"/>
      <c r="H8813" s="86" t="e">
        <f>IF(I8813="fora",0%,G8813/QUÓRUM!$C$6)</f>
        <v>#DIV/0!</v>
      </c>
      <c r="I8813" s="87"/>
      <c r="J8813" s="88"/>
      <c r="K8813" s="88"/>
      <c r="L8813" s="89"/>
      <c r="M8813" s="89"/>
    </row>
    <row r="8814" spans="3:13" x14ac:dyDescent="0.3">
      <c r="C8814" s="87"/>
      <c r="H8814" s="86" t="e">
        <f>IF(I8814="fora",0%,G8814/QUÓRUM!$C$6)</f>
        <v>#DIV/0!</v>
      </c>
      <c r="I8814" s="87"/>
      <c r="J8814" s="88"/>
      <c r="K8814" s="88"/>
      <c r="L8814" s="89"/>
      <c r="M8814" s="89"/>
    </row>
    <row r="8815" spans="3:13" x14ac:dyDescent="0.3">
      <c r="C8815" s="87"/>
      <c r="H8815" s="86" t="e">
        <f>IF(I8815="fora",0%,G8815/QUÓRUM!$C$6)</f>
        <v>#DIV/0!</v>
      </c>
      <c r="I8815" s="87"/>
      <c r="J8815" s="88"/>
      <c r="K8815" s="88"/>
      <c r="L8815" s="89"/>
      <c r="M8815" s="89"/>
    </row>
    <row r="8816" spans="3:13" x14ac:dyDescent="0.3">
      <c r="C8816" s="87"/>
      <c r="H8816" s="86" t="e">
        <f>IF(I8816="fora",0%,G8816/QUÓRUM!$C$6)</f>
        <v>#DIV/0!</v>
      </c>
      <c r="I8816" s="87"/>
      <c r="J8816" s="88"/>
      <c r="K8816" s="88"/>
      <c r="L8816" s="89"/>
      <c r="M8816" s="89"/>
    </row>
    <row r="8817" spans="3:13" x14ac:dyDescent="0.3">
      <c r="C8817" s="87"/>
      <c r="H8817" s="86" t="e">
        <f>IF(I8817="fora",0%,G8817/QUÓRUM!$C$6)</f>
        <v>#DIV/0!</v>
      </c>
      <c r="I8817" s="87"/>
      <c r="J8817" s="88"/>
      <c r="K8817" s="88"/>
      <c r="L8817" s="89"/>
      <c r="M8817" s="89"/>
    </row>
    <row r="8818" spans="3:13" x14ac:dyDescent="0.3">
      <c r="C8818" s="87"/>
      <c r="H8818" s="86" t="e">
        <f>IF(I8818="fora",0%,G8818/QUÓRUM!$C$6)</f>
        <v>#DIV/0!</v>
      </c>
      <c r="I8818" s="87"/>
      <c r="J8818" s="88"/>
      <c r="K8818" s="88"/>
      <c r="L8818" s="89"/>
      <c r="M8818" s="89"/>
    </row>
    <row r="8819" spans="3:13" x14ac:dyDescent="0.3">
      <c r="C8819" s="87"/>
      <c r="H8819" s="86" t="e">
        <f>IF(I8819="fora",0%,G8819/QUÓRUM!$C$6)</f>
        <v>#DIV/0!</v>
      </c>
      <c r="I8819" s="87"/>
      <c r="J8819" s="88"/>
      <c r="K8819" s="88"/>
      <c r="L8819" s="89"/>
      <c r="M8819" s="89"/>
    </row>
    <row r="8820" spans="3:13" x14ac:dyDescent="0.3">
      <c r="C8820" s="87"/>
      <c r="H8820" s="86" t="e">
        <f>IF(I8820="fora",0%,G8820/QUÓRUM!$C$6)</f>
        <v>#DIV/0!</v>
      </c>
      <c r="I8820" s="87"/>
      <c r="J8820" s="88"/>
      <c r="K8820" s="88"/>
      <c r="L8820" s="89"/>
      <c r="M8820" s="89"/>
    </row>
    <row r="8821" spans="3:13" x14ac:dyDescent="0.3">
      <c r="C8821" s="87"/>
      <c r="H8821" s="86" t="e">
        <f>IF(I8821="fora",0%,G8821/QUÓRUM!$C$6)</f>
        <v>#DIV/0!</v>
      </c>
      <c r="I8821" s="87"/>
      <c r="J8821" s="88"/>
      <c r="K8821" s="88"/>
      <c r="L8821" s="89"/>
      <c r="M8821" s="89"/>
    </row>
    <row r="8822" spans="3:13" x14ac:dyDescent="0.3">
      <c r="C8822" s="87"/>
      <c r="H8822" s="86" t="e">
        <f>IF(I8822="fora",0%,G8822/QUÓRUM!$C$6)</f>
        <v>#DIV/0!</v>
      </c>
      <c r="I8822" s="87"/>
      <c r="J8822" s="88"/>
      <c r="K8822" s="88"/>
      <c r="L8822" s="89"/>
      <c r="M8822" s="89"/>
    </row>
    <row r="8823" spans="3:13" x14ac:dyDescent="0.3">
      <c r="C8823" s="87"/>
      <c r="H8823" s="86" t="e">
        <f>IF(I8823="fora",0%,G8823/QUÓRUM!$C$6)</f>
        <v>#DIV/0!</v>
      </c>
      <c r="I8823" s="87"/>
      <c r="J8823" s="88"/>
      <c r="K8823" s="88"/>
      <c r="L8823" s="89"/>
      <c r="M8823" s="89"/>
    </row>
    <row r="8824" spans="3:13" x14ac:dyDescent="0.3">
      <c r="C8824" s="87"/>
      <c r="H8824" s="86" t="e">
        <f>IF(I8824="fora",0%,G8824/QUÓRUM!$C$6)</f>
        <v>#DIV/0!</v>
      </c>
      <c r="I8824" s="87"/>
      <c r="J8824" s="88"/>
      <c r="K8824" s="88"/>
      <c r="L8824" s="89"/>
      <c r="M8824" s="89"/>
    </row>
    <row r="8825" spans="3:13" x14ac:dyDescent="0.3">
      <c r="C8825" s="87"/>
      <c r="H8825" s="86" t="e">
        <f>IF(I8825="fora",0%,G8825/QUÓRUM!$C$6)</f>
        <v>#DIV/0!</v>
      </c>
      <c r="I8825" s="87"/>
      <c r="J8825" s="88"/>
      <c r="K8825" s="88"/>
      <c r="L8825" s="89"/>
      <c r="M8825" s="89"/>
    </row>
    <row r="8826" spans="3:13" x14ac:dyDescent="0.3">
      <c r="C8826" s="87"/>
      <c r="H8826" s="86" t="e">
        <f>IF(I8826="fora",0%,G8826/QUÓRUM!$C$6)</f>
        <v>#DIV/0!</v>
      </c>
      <c r="I8826" s="87"/>
      <c r="J8826" s="88"/>
      <c r="K8826" s="88"/>
      <c r="L8826" s="89"/>
      <c r="M8826" s="89"/>
    </row>
    <row r="8827" spans="3:13" x14ac:dyDescent="0.3">
      <c r="C8827" s="87"/>
      <c r="H8827" s="86" t="e">
        <f>IF(I8827="fora",0%,G8827/QUÓRUM!$C$6)</f>
        <v>#DIV/0!</v>
      </c>
      <c r="I8827" s="87"/>
      <c r="J8827" s="88"/>
      <c r="K8827" s="88"/>
      <c r="L8827" s="89"/>
      <c r="M8827" s="89"/>
    </row>
    <row r="8828" spans="3:13" x14ac:dyDescent="0.3">
      <c r="C8828" s="87"/>
      <c r="H8828" s="86" t="e">
        <f>IF(I8828="fora",0%,G8828/QUÓRUM!$C$6)</f>
        <v>#DIV/0!</v>
      </c>
      <c r="I8828" s="87"/>
      <c r="J8828" s="88"/>
      <c r="K8828" s="88"/>
      <c r="L8828" s="89"/>
      <c r="M8828" s="89"/>
    </row>
    <row r="8829" spans="3:13" x14ac:dyDescent="0.3">
      <c r="C8829" s="87"/>
      <c r="H8829" s="86" t="e">
        <f>IF(I8829="fora",0%,G8829/QUÓRUM!$C$6)</f>
        <v>#DIV/0!</v>
      </c>
      <c r="I8829" s="87"/>
      <c r="J8829" s="88"/>
      <c r="K8829" s="88"/>
      <c r="L8829" s="89"/>
      <c r="M8829" s="89"/>
    </row>
    <row r="8830" spans="3:13" x14ac:dyDescent="0.3">
      <c r="C8830" s="87"/>
      <c r="H8830" s="86" t="e">
        <f>IF(I8830="fora",0%,G8830/QUÓRUM!$C$6)</f>
        <v>#DIV/0!</v>
      </c>
      <c r="I8830" s="87"/>
      <c r="J8830" s="88"/>
      <c r="K8830" s="88"/>
      <c r="L8830" s="89"/>
      <c r="M8830" s="89"/>
    </row>
    <row r="8831" spans="3:13" x14ac:dyDescent="0.3">
      <c r="C8831" s="87"/>
      <c r="H8831" s="86" t="e">
        <f>IF(I8831="fora",0%,G8831/QUÓRUM!$C$6)</f>
        <v>#DIV/0!</v>
      </c>
      <c r="I8831" s="87"/>
      <c r="J8831" s="88"/>
      <c r="K8831" s="88"/>
      <c r="L8831" s="89"/>
      <c r="M8831" s="89"/>
    </row>
    <row r="8832" spans="3:13" x14ac:dyDescent="0.3">
      <c r="C8832" s="87"/>
      <c r="H8832" s="86" t="e">
        <f>IF(I8832="fora",0%,G8832/QUÓRUM!$C$6)</f>
        <v>#DIV/0!</v>
      </c>
      <c r="I8832" s="87"/>
      <c r="J8832" s="88"/>
      <c r="K8832" s="88"/>
      <c r="L8832" s="89"/>
      <c r="M8832" s="89"/>
    </row>
    <row r="8833" spans="3:13" x14ac:dyDescent="0.3">
      <c r="C8833" s="87"/>
      <c r="H8833" s="86" t="e">
        <f>IF(I8833="fora",0%,G8833/QUÓRUM!$C$6)</f>
        <v>#DIV/0!</v>
      </c>
      <c r="I8833" s="87"/>
      <c r="J8833" s="88"/>
      <c r="K8833" s="88"/>
      <c r="L8833" s="89"/>
      <c r="M8833" s="89"/>
    </row>
    <row r="8834" spans="3:13" x14ac:dyDescent="0.3">
      <c r="C8834" s="87"/>
      <c r="H8834" s="86" t="e">
        <f>IF(I8834="fora",0%,G8834/QUÓRUM!$C$6)</f>
        <v>#DIV/0!</v>
      </c>
      <c r="I8834" s="87"/>
      <c r="J8834" s="88"/>
      <c r="K8834" s="88"/>
      <c r="L8834" s="89"/>
      <c r="M8834" s="89"/>
    </row>
    <row r="8835" spans="3:13" x14ac:dyDescent="0.3">
      <c r="C8835" s="87"/>
      <c r="H8835" s="86" t="e">
        <f>IF(I8835="fora",0%,G8835/QUÓRUM!$C$6)</f>
        <v>#DIV/0!</v>
      </c>
      <c r="I8835" s="87"/>
      <c r="J8835" s="88"/>
      <c r="K8835" s="88"/>
      <c r="L8835" s="89"/>
      <c r="M8835" s="89"/>
    </row>
    <row r="8836" spans="3:13" x14ac:dyDescent="0.3">
      <c r="C8836" s="87"/>
      <c r="H8836" s="86" t="e">
        <f>IF(I8836="fora",0%,G8836/QUÓRUM!$C$6)</f>
        <v>#DIV/0!</v>
      </c>
      <c r="I8836" s="87"/>
      <c r="J8836" s="88"/>
      <c r="K8836" s="88"/>
      <c r="L8836" s="89"/>
      <c r="M8836" s="89"/>
    </row>
    <row r="8837" spans="3:13" x14ac:dyDescent="0.3">
      <c r="C8837" s="87"/>
      <c r="H8837" s="86" t="e">
        <f>IF(I8837="fora",0%,G8837/QUÓRUM!$C$6)</f>
        <v>#DIV/0!</v>
      </c>
      <c r="I8837" s="87"/>
      <c r="J8837" s="88"/>
      <c r="K8837" s="88"/>
      <c r="L8837" s="89"/>
      <c r="M8837" s="89"/>
    </row>
    <row r="8838" spans="3:13" x14ac:dyDescent="0.3">
      <c r="C8838" s="87"/>
      <c r="H8838" s="86" t="e">
        <f>IF(I8838="fora",0%,G8838/QUÓRUM!$C$6)</f>
        <v>#DIV/0!</v>
      </c>
      <c r="I8838" s="87"/>
      <c r="J8838" s="88"/>
      <c r="K8838" s="88"/>
      <c r="L8838" s="89"/>
      <c r="M8838" s="89"/>
    </row>
    <row r="8839" spans="3:13" x14ac:dyDescent="0.3">
      <c r="C8839" s="87"/>
      <c r="H8839" s="86" t="e">
        <f>IF(I8839="fora",0%,G8839/QUÓRUM!$C$6)</f>
        <v>#DIV/0!</v>
      </c>
      <c r="I8839" s="87"/>
      <c r="J8839" s="88"/>
      <c r="K8839" s="88"/>
      <c r="L8839" s="89"/>
      <c r="M8839" s="89"/>
    </row>
    <row r="8840" spans="3:13" x14ac:dyDescent="0.3">
      <c r="C8840" s="87"/>
      <c r="H8840" s="86" t="e">
        <f>IF(I8840="fora",0%,G8840/QUÓRUM!$C$6)</f>
        <v>#DIV/0!</v>
      </c>
      <c r="I8840" s="87"/>
      <c r="J8840" s="88"/>
      <c r="K8840" s="88"/>
      <c r="L8840" s="89"/>
      <c r="M8840" s="89"/>
    </row>
    <row r="8841" spans="3:13" x14ac:dyDescent="0.3">
      <c r="C8841" s="87"/>
      <c r="H8841" s="86" t="e">
        <f>IF(I8841="fora",0%,G8841/QUÓRUM!$C$6)</f>
        <v>#DIV/0!</v>
      </c>
      <c r="I8841" s="87"/>
      <c r="J8841" s="88"/>
      <c r="K8841" s="88"/>
      <c r="L8841" s="89"/>
      <c r="M8841" s="89"/>
    </row>
    <row r="8842" spans="3:13" x14ac:dyDescent="0.3">
      <c r="C8842" s="87"/>
      <c r="H8842" s="86" t="e">
        <f>IF(I8842="fora",0%,G8842/QUÓRUM!$C$6)</f>
        <v>#DIV/0!</v>
      </c>
      <c r="I8842" s="87"/>
      <c r="J8842" s="88"/>
      <c r="K8842" s="88"/>
      <c r="L8842" s="89"/>
      <c r="M8842" s="89"/>
    </row>
    <row r="8843" spans="3:13" x14ac:dyDescent="0.3">
      <c r="C8843" s="87"/>
      <c r="H8843" s="86" t="e">
        <f>IF(I8843="fora",0%,G8843/QUÓRUM!$C$6)</f>
        <v>#DIV/0!</v>
      </c>
      <c r="I8843" s="87"/>
      <c r="J8843" s="88"/>
      <c r="K8843" s="88"/>
      <c r="L8843" s="89"/>
      <c r="M8843" s="89"/>
    </row>
    <row r="8844" spans="3:13" x14ac:dyDescent="0.3">
      <c r="C8844" s="87"/>
      <c r="H8844" s="86" t="e">
        <f>IF(I8844="fora",0%,G8844/QUÓRUM!$C$6)</f>
        <v>#DIV/0!</v>
      </c>
      <c r="I8844" s="87"/>
      <c r="J8844" s="88"/>
      <c r="K8844" s="88"/>
      <c r="L8844" s="89"/>
      <c r="M8844" s="89"/>
    </row>
    <row r="8845" spans="3:13" x14ac:dyDescent="0.3">
      <c r="C8845" s="87"/>
      <c r="H8845" s="86" t="e">
        <f>IF(I8845="fora",0%,G8845/QUÓRUM!$C$6)</f>
        <v>#DIV/0!</v>
      </c>
      <c r="I8845" s="87"/>
      <c r="J8845" s="88"/>
      <c r="K8845" s="88"/>
      <c r="L8845" s="89"/>
      <c r="M8845" s="89"/>
    </row>
    <row r="8846" spans="3:13" x14ac:dyDescent="0.3">
      <c r="C8846" s="87"/>
      <c r="H8846" s="86" t="e">
        <f>IF(I8846="fora",0%,G8846/QUÓRUM!$C$6)</f>
        <v>#DIV/0!</v>
      </c>
      <c r="I8846" s="87"/>
      <c r="J8846" s="88"/>
      <c r="K8846" s="88"/>
      <c r="L8846" s="89"/>
      <c r="M8846" s="89"/>
    </row>
    <row r="8847" spans="3:13" x14ac:dyDescent="0.3">
      <c r="C8847" s="87"/>
      <c r="H8847" s="86" t="e">
        <f>IF(I8847="fora",0%,G8847/QUÓRUM!$C$6)</f>
        <v>#DIV/0!</v>
      </c>
      <c r="I8847" s="87"/>
      <c r="J8847" s="88"/>
      <c r="K8847" s="88"/>
      <c r="L8847" s="89"/>
      <c r="M8847" s="89"/>
    </row>
    <row r="8848" spans="3:13" x14ac:dyDescent="0.3">
      <c r="C8848" s="87"/>
      <c r="H8848" s="86" t="e">
        <f>IF(I8848="fora",0%,G8848/QUÓRUM!$C$6)</f>
        <v>#DIV/0!</v>
      </c>
      <c r="I8848" s="87"/>
      <c r="J8848" s="88"/>
      <c r="K8848" s="88"/>
      <c r="L8848" s="89"/>
      <c r="M8848" s="89"/>
    </row>
    <row r="8849" spans="3:13" x14ac:dyDescent="0.3">
      <c r="C8849" s="87"/>
      <c r="H8849" s="86" t="e">
        <f>IF(I8849="fora",0%,G8849/QUÓRUM!$C$6)</f>
        <v>#DIV/0!</v>
      </c>
      <c r="I8849" s="87"/>
      <c r="J8849" s="88"/>
      <c r="K8849" s="88"/>
      <c r="L8849" s="89"/>
      <c r="M8849" s="89"/>
    </row>
    <row r="8850" spans="3:13" x14ac:dyDescent="0.3">
      <c r="C8850" s="87"/>
      <c r="H8850" s="86" t="e">
        <f>IF(I8850="fora",0%,G8850/QUÓRUM!$C$6)</f>
        <v>#DIV/0!</v>
      </c>
      <c r="I8850" s="87"/>
      <c r="J8850" s="88"/>
      <c r="K8850" s="88"/>
      <c r="L8850" s="89"/>
      <c r="M8850" s="89"/>
    </row>
    <row r="8851" spans="3:13" x14ac:dyDescent="0.3">
      <c r="C8851" s="87"/>
      <c r="H8851" s="86" t="e">
        <f>IF(I8851="fora",0%,G8851/QUÓRUM!$C$6)</f>
        <v>#DIV/0!</v>
      </c>
      <c r="I8851" s="87"/>
      <c r="J8851" s="88"/>
      <c r="K8851" s="88"/>
      <c r="L8851" s="89"/>
      <c r="M8851" s="89"/>
    </row>
    <row r="8852" spans="3:13" x14ac:dyDescent="0.3">
      <c r="C8852" s="87"/>
      <c r="H8852" s="86" t="e">
        <f>IF(I8852="fora",0%,G8852/QUÓRUM!$C$6)</f>
        <v>#DIV/0!</v>
      </c>
      <c r="I8852" s="87"/>
      <c r="J8852" s="88"/>
      <c r="K8852" s="88"/>
      <c r="L8852" s="89"/>
      <c r="M8852" s="89"/>
    </row>
    <row r="8853" spans="3:13" x14ac:dyDescent="0.3">
      <c r="C8853" s="87"/>
      <c r="H8853" s="86" t="e">
        <f>IF(I8853="fora",0%,G8853/QUÓRUM!$C$6)</f>
        <v>#DIV/0!</v>
      </c>
      <c r="I8853" s="87"/>
      <c r="J8853" s="88"/>
      <c r="K8853" s="88"/>
      <c r="L8853" s="89"/>
      <c r="M8853" s="89"/>
    </row>
    <row r="8854" spans="3:13" x14ac:dyDescent="0.3">
      <c r="C8854" s="87"/>
      <c r="H8854" s="86" t="e">
        <f>IF(I8854="fora",0%,G8854/QUÓRUM!$C$6)</f>
        <v>#DIV/0!</v>
      </c>
      <c r="I8854" s="87"/>
      <c r="J8854" s="88"/>
      <c r="K8854" s="88"/>
      <c r="L8854" s="89"/>
      <c r="M8854" s="89"/>
    </row>
    <row r="8855" spans="3:13" x14ac:dyDescent="0.3">
      <c r="C8855" s="87"/>
      <c r="H8855" s="86" t="e">
        <f>IF(I8855="fora",0%,G8855/QUÓRUM!$C$6)</f>
        <v>#DIV/0!</v>
      </c>
      <c r="I8855" s="87"/>
      <c r="J8855" s="88"/>
      <c r="K8855" s="88"/>
      <c r="L8855" s="89"/>
      <c r="M8855" s="89"/>
    </row>
    <row r="8856" spans="3:13" x14ac:dyDescent="0.3">
      <c r="C8856" s="87"/>
      <c r="H8856" s="86" t="e">
        <f>IF(I8856="fora",0%,G8856/QUÓRUM!$C$6)</f>
        <v>#DIV/0!</v>
      </c>
      <c r="I8856" s="87"/>
      <c r="J8856" s="88"/>
      <c r="K8856" s="88"/>
      <c r="L8856" s="89"/>
      <c r="M8856" s="89"/>
    </row>
    <row r="8857" spans="3:13" x14ac:dyDescent="0.3">
      <c r="C8857" s="87"/>
      <c r="H8857" s="86" t="e">
        <f>IF(I8857="fora",0%,G8857/QUÓRUM!$C$6)</f>
        <v>#DIV/0!</v>
      </c>
      <c r="I8857" s="87"/>
      <c r="J8857" s="88"/>
      <c r="K8857" s="88"/>
      <c r="L8857" s="89"/>
      <c r="M8857" s="89"/>
    </row>
    <row r="8858" spans="3:13" x14ac:dyDescent="0.3">
      <c r="C8858" s="87"/>
      <c r="H8858" s="86" t="e">
        <f>IF(I8858="fora",0%,G8858/QUÓRUM!$C$6)</f>
        <v>#DIV/0!</v>
      </c>
      <c r="I8858" s="87"/>
      <c r="J8858" s="88"/>
      <c r="K8858" s="88"/>
      <c r="L8858" s="89"/>
      <c r="M8858" s="89"/>
    </row>
    <row r="8859" spans="3:13" x14ac:dyDescent="0.3">
      <c r="C8859" s="87"/>
      <c r="H8859" s="86" t="e">
        <f>IF(I8859="fora",0%,G8859/QUÓRUM!$C$6)</f>
        <v>#DIV/0!</v>
      </c>
      <c r="I8859" s="87"/>
      <c r="J8859" s="88"/>
      <c r="K8859" s="88"/>
      <c r="L8859" s="89"/>
      <c r="M8859" s="89"/>
    </row>
    <row r="8860" spans="3:13" x14ac:dyDescent="0.3">
      <c r="C8860" s="87"/>
      <c r="H8860" s="86" t="e">
        <f>IF(I8860="fora",0%,G8860/QUÓRUM!$C$6)</f>
        <v>#DIV/0!</v>
      </c>
      <c r="I8860" s="87"/>
      <c r="J8860" s="88"/>
      <c r="K8860" s="88"/>
      <c r="L8860" s="89"/>
      <c r="M8860" s="89"/>
    </row>
    <row r="8861" spans="3:13" x14ac:dyDescent="0.3">
      <c r="C8861" s="87"/>
      <c r="H8861" s="86" t="e">
        <f>IF(I8861="fora",0%,G8861/QUÓRUM!$C$6)</f>
        <v>#DIV/0!</v>
      </c>
      <c r="I8861" s="87"/>
      <c r="J8861" s="88"/>
      <c r="K8861" s="88"/>
      <c r="L8861" s="89"/>
      <c r="M8861" s="89"/>
    </row>
    <row r="8862" spans="3:13" x14ac:dyDescent="0.3">
      <c r="C8862" s="87"/>
      <c r="H8862" s="86" t="e">
        <f>IF(I8862="fora",0%,G8862/QUÓRUM!$C$6)</f>
        <v>#DIV/0!</v>
      </c>
      <c r="I8862" s="87"/>
      <c r="J8862" s="88"/>
      <c r="K8862" s="88"/>
      <c r="L8862" s="89"/>
      <c r="M8862" s="89"/>
    </row>
    <row r="8863" spans="3:13" x14ac:dyDescent="0.3">
      <c r="C8863" s="87"/>
      <c r="H8863" s="86" t="e">
        <f>IF(I8863="fora",0%,G8863/QUÓRUM!$C$6)</f>
        <v>#DIV/0!</v>
      </c>
      <c r="I8863" s="87"/>
      <c r="J8863" s="88"/>
      <c r="K8863" s="88"/>
      <c r="L8863" s="89"/>
      <c r="M8863" s="89"/>
    </row>
    <row r="8864" spans="3:13" x14ac:dyDescent="0.3">
      <c r="C8864" s="87"/>
      <c r="H8864" s="86" t="e">
        <f>IF(I8864="fora",0%,G8864/QUÓRUM!$C$6)</f>
        <v>#DIV/0!</v>
      </c>
      <c r="I8864" s="87"/>
      <c r="J8864" s="88"/>
      <c r="K8864" s="88"/>
      <c r="L8864" s="89"/>
      <c r="M8864" s="89"/>
    </row>
    <row r="8865" spans="3:13" x14ac:dyDescent="0.3">
      <c r="C8865" s="87"/>
      <c r="H8865" s="86" t="e">
        <f>IF(I8865="fora",0%,G8865/QUÓRUM!$C$6)</f>
        <v>#DIV/0!</v>
      </c>
      <c r="I8865" s="87"/>
      <c r="J8865" s="88"/>
      <c r="K8865" s="88"/>
      <c r="L8865" s="89"/>
      <c r="M8865" s="89"/>
    </row>
    <row r="8866" spans="3:13" x14ac:dyDescent="0.3">
      <c r="C8866" s="87"/>
      <c r="H8866" s="86" t="e">
        <f>IF(I8866="fora",0%,G8866/QUÓRUM!$C$6)</f>
        <v>#DIV/0!</v>
      </c>
      <c r="I8866" s="87"/>
      <c r="J8866" s="88"/>
      <c r="K8866" s="88"/>
      <c r="L8866" s="89"/>
      <c r="M8866" s="89"/>
    </row>
    <row r="8867" spans="3:13" x14ac:dyDescent="0.3">
      <c r="C8867" s="87"/>
      <c r="H8867" s="86" t="e">
        <f>IF(I8867="fora",0%,G8867/QUÓRUM!$C$6)</f>
        <v>#DIV/0!</v>
      </c>
      <c r="I8867" s="87"/>
      <c r="J8867" s="88"/>
      <c r="K8867" s="88"/>
      <c r="L8867" s="89"/>
      <c r="M8867" s="89"/>
    </row>
    <row r="8868" spans="3:13" x14ac:dyDescent="0.3">
      <c r="C8868" s="87"/>
      <c r="H8868" s="86" t="e">
        <f>IF(I8868="fora",0%,G8868/QUÓRUM!$C$6)</f>
        <v>#DIV/0!</v>
      </c>
      <c r="I8868" s="87"/>
      <c r="J8868" s="88"/>
      <c r="K8868" s="88"/>
      <c r="L8868" s="89"/>
      <c r="M8868" s="89"/>
    </row>
    <row r="8869" spans="3:13" x14ac:dyDescent="0.3">
      <c r="C8869" s="87"/>
      <c r="H8869" s="86" t="e">
        <f>IF(I8869="fora",0%,G8869/QUÓRUM!$C$6)</f>
        <v>#DIV/0!</v>
      </c>
      <c r="I8869" s="87"/>
      <c r="J8869" s="88"/>
      <c r="K8869" s="88"/>
      <c r="L8869" s="89"/>
      <c r="M8869" s="89"/>
    </row>
    <row r="8870" spans="3:13" x14ac:dyDescent="0.3">
      <c r="C8870" s="87"/>
      <c r="H8870" s="86" t="e">
        <f>IF(I8870="fora",0%,G8870/QUÓRUM!$C$6)</f>
        <v>#DIV/0!</v>
      </c>
      <c r="I8870" s="87"/>
      <c r="J8870" s="88"/>
      <c r="K8870" s="88"/>
      <c r="L8870" s="89"/>
      <c r="M8870" s="89"/>
    </row>
    <row r="8871" spans="3:13" x14ac:dyDescent="0.3">
      <c r="C8871" s="87"/>
      <c r="H8871" s="86" t="e">
        <f>IF(I8871="fora",0%,G8871/QUÓRUM!$C$6)</f>
        <v>#DIV/0!</v>
      </c>
      <c r="I8871" s="87"/>
      <c r="J8871" s="88"/>
      <c r="K8871" s="88"/>
      <c r="L8871" s="89"/>
      <c r="M8871" s="89"/>
    </row>
    <row r="8872" spans="3:13" x14ac:dyDescent="0.3">
      <c r="C8872" s="87"/>
      <c r="H8872" s="86" t="e">
        <f>IF(I8872="fora",0%,G8872/QUÓRUM!$C$6)</f>
        <v>#DIV/0!</v>
      </c>
      <c r="I8872" s="87"/>
      <c r="J8872" s="88"/>
      <c r="K8872" s="88"/>
      <c r="L8872" s="89"/>
      <c r="M8872" s="89"/>
    </row>
    <row r="8873" spans="3:13" x14ac:dyDescent="0.3">
      <c r="C8873" s="87"/>
      <c r="H8873" s="86" t="e">
        <f>IF(I8873="fora",0%,G8873/QUÓRUM!$C$6)</f>
        <v>#DIV/0!</v>
      </c>
      <c r="I8873" s="87"/>
      <c r="J8873" s="88"/>
      <c r="K8873" s="88"/>
      <c r="L8873" s="89"/>
      <c r="M8873" s="89"/>
    </row>
    <row r="8874" spans="3:13" x14ac:dyDescent="0.3">
      <c r="C8874" s="87"/>
      <c r="H8874" s="86" t="e">
        <f>IF(I8874="fora",0%,G8874/QUÓRUM!$C$6)</f>
        <v>#DIV/0!</v>
      </c>
      <c r="I8874" s="87"/>
      <c r="J8874" s="88"/>
      <c r="K8874" s="88"/>
      <c r="L8874" s="89"/>
      <c r="M8874" s="89"/>
    </row>
    <row r="8875" spans="3:13" x14ac:dyDescent="0.3">
      <c r="C8875" s="87"/>
      <c r="H8875" s="86" t="e">
        <f>IF(I8875="fora",0%,G8875/QUÓRUM!$C$6)</f>
        <v>#DIV/0!</v>
      </c>
      <c r="I8875" s="87"/>
      <c r="J8875" s="88"/>
      <c r="K8875" s="88"/>
      <c r="L8875" s="89"/>
      <c r="M8875" s="89"/>
    </row>
    <row r="8876" spans="3:13" x14ac:dyDescent="0.3">
      <c r="C8876" s="87"/>
      <c r="H8876" s="86" t="e">
        <f>IF(I8876="fora",0%,G8876/QUÓRUM!$C$6)</f>
        <v>#DIV/0!</v>
      </c>
      <c r="I8876" s="87"/>
      <c r="J8876" s="88"/>
      <c r="K8876" s="88"/>
      <c r="L8876" s="89"/>
      <c r="M8876" s="89"/>
    </row>
    <row r="8877" spans="3:13" x14ac:dyDescent="0.3">
      <c r="C8877" s="87"/>
      <c r="H8877" s="86" t="e">
        <f>IF(I8877="fora",0%,G8877/QUÓRUM!$C$6)</f>
        <v>#DIV/0!</v>
      </c>
      <c r="I8877" s="87"/>
      <c r="J8877" s="88"/>
      <c r="K8877" s="88"/>
      <c r="L8877" s="89"/>
      <c r="M8877" s="89"/>
    </row>
    <row r="8878" spans="3:13" x14ac:dyDescent="0.3">
      <c r="C8878" s="87"/>
      <c r="H8878" s="86" t="e">
        <f>IF(I8878="fora",0%,G8878/QUÓRUM!$C$6)</f>
        <v>#DIV/0!</v>
      </c>
      <c r="I8878" s="87"/>
      <c r="J8878" s="88"/>
      <c r="K8878" s="88"/>
      <c r="L8878" s="89"/>
      <c r="M8878" s="89"/>
    </row>
    <row r="8879" spans="3:13" x14ac:dyDescent="0.3">
      <c r="C8879" s="87"/>
      <c r="H8879" s="86" t="e">
        <f>IF(I8879="fora",0%,G8879/QUÓRUM!$C$6)</f>
        <v>#DIV/0!</v>
      </c>
      <c r="I8879" s="87"/>
      <c r="J8879" s="88"/>
      <c r="K8879" s="88"/>
      <c r="L8879" s="89"/>
      <c r="M8879" s="89"/>
    </row>
    <row r="8880" spans="3:13" x14ac:dyDescent="0.3">
      <c r="C8880" s="87"/>
      <c r="H8880" s="86" t="e">
        <f>IF(I8880="fora",0%,G8880/QUÓRUM!$C$6)</f>
        <v>#DIV/0!</v>
      </c>
      <c r="I8880" s="87"/>
      <c r="J8880" s="88"/>
      <c r="K8880" s="88"/>
      <c r="L8880" s="89"/>
      <c r="M8880" s="89"/>
    </row>
    <row r="8881" spans="3:13" x14ac:dyDescent="0.3">
      <c r="C8881" s="87"/>
      <c r="H8881" s="86" t="e">
        <f>IF(I8881="fora",0%,G8881/QUÓRUM!$C$6)</f>
        <v>#DIV/0!</v>
      </c>
      <c r="I8881" s="87"/>
      <c r="J8881" s="88"/>
      <c r="K8881" s="88"/>
      <c r="L8881" s="89"/>
      <c r="M8881" s="89"/>
    </row>
    <row r="8882" spans="3:13" x14ac:dyDescent="0.3">
      <c r="C8882" s="87"/>
      <c r="H8882" s="86" t="e">
        <f>IF(I8882="fora",0%,G8882/QUÓRUM!$C$6)</f>
        <v>#DIV/0!</v>
      </c>
      <c r="I8882" s="87"/>
      <c r="J8882" s="88"/>
      <c r="K8882" s="88"/>
      <c r="L8882" s="89"/>
      <c r="M8882" s="89"/>
    </row>
    <row r="8883" spans="3:13" x14ac:dyDescent="0.3">
      <c r="C8883" s="87"/>
      <c r="H8883" s="86" t="e">
        <f>IF(I8883="fora",0%,G8883/QUÓRUM!$C$6)</f>
        <v>#DIV/0!</v>
      </c>
      <c r="I8883" s="87"/>
      <c r="J8883" s="88"/>
      <c r="K8883" s="88"/>
      <c r="L8883" s="89"/>
      <c r="M8883" s="89"/>
    </row>
    <row r="8884" spans="3:13" x14ac:dyDescent="0.3">
      <c r="C8884" s="87"/>
      <c r="H8884" s="86" t="e">
        <f>IF(I8884="fora",0%,G8884/QUÓRUM!$C$6)</f>
        <v>#DIV/0!</v>
      </c>
      <c r="I8884" s="87"/>
      <c r="J8884" s="88"/>
      <c r="K8884" s="88"/>
      <c r="L8884" s="89"/>
      <c r="M8884" s="89"/>
    </row>
    <row r="8885" spans="3:13" x14ac:dyDescent="0.3">
      <c r="C8885" s="87"/>
      <c r="H8885" s="86" t="e">
        <f>IF(I8885="fora",0%,G8885/QUÓRUM!$C$6)</f>
        <v>#DIV/0!</v>
      </c>
      <c r="I8885" s="87"/>
      <c r="J8885" s="88"/>
      <c r="K8885" s="88"/>
      <c r="L8885" s="89"/>
      <c r="M8885" s="89"/>
    </row>
    <row r="8886" spans="3:13" x14ac:dyDescent="0.3">
      <c r="C8886" s="87"/>
      <c r="H8886" s="86" t="e">
        <f>IF(I8886="fora",0%,G8886/QUÓRUM!$C$6)</f>
        <v>#DIV/0!</v>
      </c>
      <c r="I8886" s="87"/>
      <c r="J8886" s="88"/>
      <c r="K8886" s="88"/>
      <c r="L8886" s="89"/>
      <c r="M8886" s="89"/>
    </row>
    <row r="8887" spans="3:13" x14ac:dyDescent="0.3">
      <c r="C8887" s="87"/>
      <c r="H8887" s="86" t="e">
        <f>IF(I8887="fora",0%,G8887/QUÓRUM!$C$6)</f>
        <v>#DIV/0!</v>
      </c>
      <c r="I8887" s="87"/>
      <c r="J8887" s="88"/>
      <c r="K8887" s="88"/>
      <c r="L8887" s="89"/>
      <c r="M8887" s="89"/>
    </row>
    <row r="8888" spans="3:13" x14ac:dyDescent="0.3">
      <c r="C8888" s="87"/>
      <c r="H8888" s="86" t="e">
        <f>IF(I8888="fora",0%,G8888/QUÓRUM!$C$6)</f>
        <v>#DIV/0!</v>
      </c>
      <c r="I8888" s="87"/>
      <c r="J8888" s="88"/>
      <c r="K8888" s="88"/>
      <c r="L8888" s="89"/>
      <c r="M8888" s="89"/>
    </row>
    <row r="8889" spans="3:13" x14ac:dyDescent="0.3">
      <c r="C8889" s="87"/>
      <c r="H8889" s="86" t="e">
        <f>IF(I8889="fora",0%,G8889/QUÓRUM!$C$6)</f>
        <v>#DIV/0!</v>
      </c>
      <c r="I8889" s="87"/>
      <c r="J8889" s="88"/>
      <c r="K8889" s="88"/>
      <c r="L8889" s="89"/>
      <c r="M8889" s="89"/>
    </row>
    <row r="8890" spans="3:13" x14ac:dyDescent="0.3">
      <c r="C8890" s="87"/>
      <c r="H8890" s="86" t="e">
        <f>IF(I8890="fora",0%,G8890/QUÓRUM!$C$6)</f>
        <v>#DIV/0!</v>
      </c>
      <c r="I8890" s="87"/>
      <c r="J8890" s="88"/>
      <c r="K8890" s="88"/>
      <c r="L8890" s="89"/>
      <c r="M8890" s="89"/>
    </row>
    <row r="8891" spans="3:13" x14ac:dyDescent="0.3">
      <c r="C8891" s="87"/>
      <c r="H8891" s="86" t="e">
        <f>IF(I8891="fora",0%,G8891/QUÓRUM!$C$6)</f>
        <v>#DIV/0!</v>
      </c>
      <c r="I8891" s="87"/>
      <c r="J8891" s="88"/>
      <c r="K8891" s="88"/>
      <c r="L8891" s="89"/>
      <c r="M8891" s="89"/>
    </row>
    <row r="8892" spans="3:13" x14ac:dyDescent="0.3">
      <c r="C8892" s="87"/>
      <c r="H8892" s="86" t="e">
        <f>IF(I8892="fora",0%,G8892/QUÓRUM!$C$6)</f>
        <v>#DIV/0!</v>
      </c>
      <c r="I8892" s="87"/>
      <c r="J8892" s="88"/>
      <c r="K8892" s="88"/>
      <c r="L8892" s="89"/>
      <c r="M8892" s="89"/>
    </row>
    <row r="8893" spans="3:13" x14ac:dyDescent="0.3">
      <c r="C8893" s="87"/>
      <c r="H8893" s="86" t="e">
        <f>IF(I8893="fora",0%,G8893/QUÓRUM!$C$6)</f>
        <v>#DIV/0!</v>
      </c>
      <c r="I8893" s="87"/>
      <c r="J8893" s="88"/>
      <c r="K8893" s="88"/>
      <c r="L8893" s="89"/>
      <c r="M8893" s="89"/>
    </row>
    <row r="8894" spans="3:13" x14ac:dyDescent="0.3">
      <c r="C8894" s="87"/>
      <c r="H8894" s="86" t="e">
        <f>IF(I8894="fora",0%,G8894/QUÓRUM!$C$6)</f>
        <v>#DIV/0!</v>
      </c>
      <c r="I8894" s="87"/>
      <c r="J8894" s="88"/>
      <c r="K8894" s="88"/>
      <c r="L8894" s="89"/>
      <c r="M8894" s="89"/>
    </row>
    <row r="8895" spans="3:13" x14ac:dyDescent="0.3">
      <c r="C8895" s="87"/>
      <c r="H8895" s="86" t="e">
        <f>IF(I8895="fora",0%,G8895/QUÓRUM!$C$6)</f>
        <v>#DIV/0!</v>
      </c>
      <c r="I8895" s="87"/>
      <c r="J8895" s="88"/>
      <c r="K8895" s="88"/>
      <c r="L8895" s="89"/>
      <c r="M8895" s="89"/>
    </row>
    <row r="8896" spans="3:13" x14ac:dyDescent="0.3">
      <c r="C8896" s="87"/>
      <c r="H8896" s="86" t="e">
        <f>IF(I8896="fora",0%,G8896/QUÓRUM!$C$6)</f>
        <v>#DIV/0!</v>
      </c>
      <c r="I8896" s="87"/>
      <c r="J8896" s="88"/>
      <c r="K8896" s="88"/>
      <c r="L8896" s="89"/>
      <c r="M8896" s="89"/>
    </row>
    <row r="8897" spans="3:13" x14ac:dyDescent="0.3">
      <c r="C8897" s="87"/>
      <c r="H8897" s="86" t="e">
        <f>IF(I8897="fora",0%,G8897/QUÓRUM!$C$6)</f>
        <v>#DIV/0!</v>
      </c>
      <c r="I8897" s="87"/>
      <c r="J8897" s="88"/>
      <c r="K8897" s="88"/>
      <c r="L8897" s="89"/>
      <c r="M8897" s="89"/>
    </row>
    <row r="8898" spans="3:13" x14ac:dyDescent="0.3">
      <c r="C8898" s="87"/>
      <c r="H8898" s="86" t="e">
        <f>IF(I8898="fora",0%,G8898/QUÓRUM!$C$6)</f>
        <v>#DIV/0!</v>
      </c>
      <c r="I8898" s="87"/>
      <c r="J8898" s="88"/>
      <c r="K8898" s="88"/>
      <c r="L8898" s="89"/>
      <c r="M8898" s="89"/>
    </row>
    <row r="8899" spans="3:13" x14ac:dyDescent="0.3">
      <c r="C8899" s="87"/>
      <c r="H8899" s="86" t="e">
        <f>IF(I8899="fora",0%,G8899/QUÓRUM!$C$6)</f>
        <v>#DIV/0!</v>
      </c>
      <c r="I8899" s="87"/>
      <c r="J8899" s="88"/>
      <c r="K8899" s="88"/>
      <c r="L8899" s="89"/>
      <c r="M8899" s="89"/>
    </row>
    <row r="8900" spans="3:13" x14ac:dyDescent="0.3">
      <c r="C8900" s="87"/>
      <c r="H8900" s="86" t="e">
        <f>IF(I8900="fora",0%,G8900/QUÓRUM!$C$6)</f>
        <v>#DIV/0!</v>
      </c>
      <c r="I8900" s="87"/>
      <c r="J8900" s="88"/>
      <c r="K8900" s="88"/>
      <c r="L8900" s="89"/>
      <c r="M8900" s="89"/>
    </row>
    <row r="8901" spans="3:13" x14ac:dyDescent="0.3">
      <c r="C8901" s="87"/>
      <c r="H8901" s="86" t="e">
        <f>IF(I8901="fora",0%,G8901/QUÓRUM!$C$6)</f>
        <v>#DIV/0!</v>
      </c>
      <c r="I8901" s="87"/>
      <c r="J8901" s="88"/>
      <c r="K8901" s="88"/>
      <c r="L8901" s="89"/>
      <c r="M8901" s="89"/>
    </row>
    <row r="8902" spans="3:13" x14ac:dyDescent="0.3">
      <c r="C8902" s="87"/>
      <c r="H8902" s="86" t="e">
        <f>IF(I8902="fora",0%,G8902/QUÓRUM!$C$6)</f>
        <v>#DIV/0!</v>
      </c>
      <c r="I8902" s="87"/>
      <c r="J8902" s="88"/>
      <c r="K8902" s="88"/>
      <c r="L8902" s="89"/>
      <c r="M8902" s="89"/>
    </row>
    <row r="8903" spans="3:13" x14ac:dyDescent="0.3">
      <c r="C8903" s="87"/>
      <c r="H8903" s="86" t="e">
        <f>IF(I8903="fora",0%,G8903/QUÓRUM!$C$6)</f>
        <v>#DIV/0!</v>
      </c>
      <c r="I8903" s="87"/>
      <c r="J8903" s="88"/>
      <c r="K8903" s="88"/>
      <c r="L8903" s="89"/>
      <c r="M8903" s="89"/>
    </row>
    <row r="8904" spans="3:13" x14ac:dyDescent="0.3">
      <c r="C8904" s="87"/>
      <c r="H8904" s="86" t="e">
        <f>IF(I8904="fora",0%,G8904/QUÓRUM!$C$6)</f>
        <v>#DIV/0!</v>
      </c>
      <c r="I8904" s="87"/>
      <c r="J8904" s="88"/>
      <c r="K8904" s="88"/>
      <c r="L8904" s="89"/>
      <c r="M8904" s="89"/>
    </row>
    <row r="8905" spans="3:13" x14ac:dyDescent="0.3">
      <c r="C8905" s="87"/>
      <c r="H8905" s="86" t="e">
        <f>IF(I8905="fora",0%,G8905/QUÓRUM!$C$6)</f>
        <v>#DIV/0!</v>
      </c>
      <c r="I8905" s="87"/>
      <c r="J8905" s="88"/>
      <c r="K8905" s="88"/>
      <c r="L8905" s="89"/>
      <c r="M8905" s="89"/>
    </row>
    <row r="8906" spans="3:13" x14ac:dyDescent="0.3">
      <c r="C8906" s="87"/>
      <c r="H8906" s="86" t="e">
        <f>IF(I8906="fora",0%,G8906/QUÓRUM!$C$6)</f>
        <v>#DIV/0!</v>
      </c>
      <c r="I8906" s="87"/>
      <c r="J8906" s="88"/>
      <c r="K8906" s="88"/>
      <c r="L8906" s="89"/>
      <c r="M8906" s="89"/>
    </row>
    <row r="8907" spans="3:13" x14ac:dyDescent="0.3">
      <c r="C8907" s="87"/>
      <c r="H8907" s="86" t="e">
        <f>IF(I8907="fora",0%,G8907/QUÓRUM!$C$6)</f>
        <v>#DIV/0!</v>
      </c>
      <c r="I8907" s="87"/>
      <c r="J8907" s="88"/>
      <c r="K8907" s="88"/>
      <c r="L8907" s="89"/>
      <c r="M8907" s="89"/>
    </row>
    <row r="8908" spans="3:13" x14ac:dyDescent="0.3">
      <c r="C8908" s="87"/>
      <c r="H8908" s="86" t="e">
        <f>IF(I8908="fora",0%,G8908/QUÓRUM!$C$6)</f>
        <v>#DIV/0!</v>
      </c>
      <c r="I8908" s="87"/>
      <c r="J8908" s="88"/>
      <c r="K8908" s="88"/>
      <c r="L8908" s="89"/>
      <c r="M8908" s="89"/>
    </row>
    <row r="8909" spans="3:13" x14ac:dyDescent="0.3">
      <c r="C8909" s="87"/>
      <c r="H8909" s="86" t="e">
        <f>IF(I8909="fora",0%,G8909/QUÓRUM!$C$6)</f>
        <v>#DIV/0!</v>
      </c>
      <c r="I8909" s="87"/>
      <c r="J8909" s="88"/>
      <c r="K8909" s="88"/>
      <c r="L8909" s="89"/>
      <c r="M8909" s="89"/>
    </row>
    <row r="8910" spans="3:13" x14ac:dyDescent="0.3">
      <c r="C8910" s="87"/>
      <c r="H8910" s="86" t="e">
        <f>IF(I8910="fora",0%,G8910/QUÓRUM!$C$6)</f>
        <v>#DIV/0!</v>
      </c>
      <c r="I8910" s="87"/>
      <c r="J8910" s="88"/>
      <c r="K8910" s="88"/>
      <c r="L8910" s="89"/>
      <c r="M8910" s="89"/>
    </row>
    <row r="8911" spans="3:13" x14ac:dyDescent="0.3">
      <c r="C8911" s="87"/>
      <c r="H8911" s="86" t="e">
        <f>IF(I8911="fora",0%,G8911/QUÓRUM!$C$6)</f>
        <v>#DIV/0!</v>
      </c>
      <c r="I8911" s="87"/>
      <c r="J8911" s="88"/>
      <c r="K8911" s="88"/>
      <c r="L8911" s="89"/>
      <c r="M8911" s="89"/>
    </row>
    <row r="8912" spans="3:13" x14ac:dyDescent="0.3">
      <c r="C8912" s="87"/>
      <c r="H8912" s="86" t="e">
        <f>IF(I8912="fora",0%,G8912/QUÓRUM!$C$6)</f>
        <v>#DIV/0!</v>
      </c>
      <c r="I8912" s="87"/>
      <c r="J8912" s="88"/>
      <c r="K8912" s="88"/>
      <c r="L8912" s="89"/>
      <c r="M8912" s="89"/>
    </row>
    <row r="8913" spans="3:13" x14ac:dyDescent="0.3">
      <c r="C8913" s="87"/>
      <c r="H8913" s="86" t="e">
        <f>IF(I8913="fora",0%,G8913/QUÓRUM!$C$6)</f>
        <v>#DIV/0!</v>
      </c>
      <c r="I8913" s="87"/>
      <c r="J8913" s="88"/>
      <c r="K8913" s="88"/>
      <c r="L8913" s="89"/>
      <c r="M8913" s="89"/>
    </row>
    <row r="8914" spans="3:13" x14ac:dyDescent="0.3">
      <c r="C8914" s="87"/>
      <c r="H8914" s="86" t="e">
        <f>IF(I8914="fora",0%,G8914/QUÓRUM!$C$6)</f>
        <v>#DIV/0!</v>
      </c>
      <c r="I8914" s="87"/>
      <c r="J8914" s="88"/>
      <c r="K8914" s="88"/>
      <c r="L8914" s="89"/>
      <c r="M8914" s="89"/>
    </row>
    <row r="8915" spans="3:13" x14ac:dyDescent="0.3">
      <c r="C8915" s="87"/>
      <c r="H8915" s="86" t="e">
        <f>IF(I8915="fora",0%,G8915/QUÓRUM!$C$6)</f>
        <v>#DIV/0!</v>
      </c>
      <c r="I8915" s="87"/>
      <c r="J8915" s="88"/>
      <c r="K8915" s="88"/>
      <c r="L8915" s="89"/>
      <c r="M8915" s="89"/>
    </row>
    <row r="8916" spans="3:13" x14ac:dyDescent="0.3">
      <c r="C8916" s="87"/>
      <c r="H8916" s="86" t="e">
        <f>IF(I8916="fora",0%,G8916/QUÓRUM!$C$6)</f>
        <v>#DIV/0!</v>
      </c>
      <c r="I8916" s="87"/>
      <c r="J8916" s="88"/>
      <c r="K8916" s="88"/>
      <c r="L8916" s="89"/>
      <c r="M8916" s="89"/>
    </row>
    <row r="8917" spans="3:13" x14ac:dyDescent="0.3">
      <c r="C8917" s="87"/>
      <c r="H8917" s="86" t="e">
        <f>IF(I8917="fora",0%,G8917/QUÓRUM!$C$6)</f>
        <v>#DIV/0!</v>
      </c>
      <c r="I8917" s="87"/>
      <c r="J8917" s="88"/>
      <c r="K8917" s="88"/>
      <c r="L8917" s="89"/>
      <c r="M8917" s="89"/>
    </row>
    <row r="8918" spans="3:13" x14ac:dyDescent="0.3">
      <c r="C8918" s="87"/>
      <c r="H8918" s="86" t="e">
        <f>IF(I8918="fora",0%,G8918/QUÓRUM!$C$6)</f>
        <v>#DIV/0!</v>
      </c>
      <c r="I8918" s="87"/>
      <c r="J8918" s="88"/>
      <c r="K8918" s="88"/>
      <c r="L8918" s="89"/>
      <c r="M8918" s="89"/>
    </row>
    <row r="8919" spans="3:13" x14ac:dyDescent="0.3">
      <c r="C8919" s="87"/>
      <c r="H8919" s="86" t="e">
        <f>IF(I8919="fora",0%,G8919/QUÓRUM!$C$6)</f>
        <v>#DIV/0!</v>
      </c>
      <c r="I8919" s="87"/>
      <c r="J8919" s="88"/>
      <c r="K8919" s="88"/>
      <c r="L8919" s="89"/>
      <c r="M8919" s="89"/>
    </row>
    <row r="8920" spans="3:13" x14ac:dyDescent="0.3">
      <c r="C8920" s="87"/>
      <c r="H8920" s="86" t="e">
        <f>IF(I8920="fora",0%,G8920/QUÓRUM!$C$6)</f>
        <v>#DIV/0!</v>
      </c>
      <c r="I8920" s="87"/>
      <c r="J8920" s="88"/>
      <c r="K8920" s="88"/>
      <c r="L8920" s="89"/>
      <c r="M8920" s="89"/>
    </row>
    <row r="8921" spans="3:13" x14ac:dyDescent="0.3">
      <c r="C8921" s="87"/>
      <c r="H8921" s="86" t="e">
        <f>IF(I8921="fora",0%,G8921/QUÓRUM!$C$6)</f>
        <v>#DIV/0!</v>
      </c>
      <c r="I8921" s="87"/>
      <c r="J8921" s="88"/>
      <c r="K8921" s="88"/>
      <c r="L8921" s="89"/>
      <c r="M8921" s="89"/>
    </row>
    <row r="8922" spans="3:13" x14ac:dyDescent="0.3">
      <c r="C8922" s="87"/>
      <c r="H8922" s="86" t="e">
        <f>IF(I8922="fora",0%,G8922/QUÓRUM!$C$6)</f>
        <v>#DIV/0!</v>
      </c>
      <c r="I8922" s="87"/>
      <c r="J8922" s="88"/>
      <c r="K8922" s="88"/>
      <c r="L8922" s="89"/>
      <c r="M8922" s="89"/>
    </row>
    <row r="8923" spans="3:13" x14ac:dyDescent="0.3">
      <c r="C8923" s="87"/>
      <c r="H8923" s="86" t="e">
        <f>IF(I8923="fora",0%,G8923/QUÓRUM!$C$6)</f>
        <v>#DIV/0!</v>
      </c>
      <c r="I8923" s="87"/>
      <c r="J8923" s="88"/>
      <c r="K8923" s="88"/>
      <c r="L8923" s="89"/>
      <c r="M8923" s="89"/>
    </row>
    <row r="8924" spans="3:13" x14ac:dyDescent="0.3">
      <c r="C8924" s="87"/>
      <c r="H8924" s="86" t="e">
        <f>IF(I8924="fora",0%,G8924/QUÓRUM!$C$6)</f>
        <v>#DIV/0!</v>
      </c>
      <c r="I8924" s="87"/>
      <c r="J8924" s="88"/>
      <c r="K8924" s="88"/>
      <c r="L8924" s="89"/>
      <c r="M8924" s="89"/>
    </row>
    <row r="8925" spans="3:13" x14ac:dyDescent="0.3">
      <c r="C8925" s="87"/>
      <c r="H8925" s="86" t="e">
        <f>IF(I8925="fora",0%,G8925/QUÓRUM!$C$6)</f>
        <v>#DIV/0!</v>
      </c>
      <c r="I8925" s="87"/>
      <c r="J8925" s="88"/>
      <c r="K8925" s="88"/>
      <c r="L8925" s="89"/>
      <c r="M8925" s="89"/>
    </row>
    <row r="8926" spans="3:13" x14ac:dyDescent="0.3">
      <c r="C8926" s="87"/>
      <c r="H8926" s="86" t="e">
        <f>IF(I8926="fora",0%,G8926/QUÓRUM!$C$6)</f>
        <v>#DIV/0!</v>
      </c>
      <c r="I8926" s="87"/>
      <c r="J8926" s="88"/>
      <c r="K8926" s="88"/>
      <c r="L8926" s="89"/>
      <c r="M8926" s="89"/>
    </row>
    <row r="8927" spans="3:13" x14ac:dyDescent="0.3">
      <c r="C8927" s="87"/>
      <c r="H8927" s="86" t="e">
        <f>IF(I8927="fora",0%,G8927/QUÓRUM!$C$6)</f>
        <v>#DIV/0!</v>
      </c>
      <c r="I8927" s="87"/>
      <c r="J8927" s="88"/>
      <c r="K8927" s="88"/>
      <c r="L8927" s="89"/>
      <c r="M8927" s="89"/>
    </row>
    <row r="8928" spans="3:13" x14ac:dyDescent="0.3">
      <c r="C8928" s="87"/>
      <c r="H8928" s="86" t="e">
        <f>IF(I8928="fora",0%,G8928/QUÓRUM!$C$6)</f>
        <v>#DIV/0!</v>
      </c>
      <c r="I8928" s="87"/>
      <c r="J8928" s="88"/>
      <c r="K8928" s="88"/>
      <c r="L8928" s="89"/>
      <c r="M8928" s="89"/>
    </row>
    <row r="8929" spans="3:13" x14ac:dyDescent="0.3">
      <c r="C8929" s="87"/>
      <c r="H8929" s="86" t="e">
        <f>IF(I8929="fora",0%,G8929/QUÓRUM!$C$6)</f>
        <v>#DIV/0!</v>
      </c>
      <c r="I8929" s="87"/>
      <c r="J8929" s="88"/>
      <c r="K8929" s="88"/>
      <c r="L8929" s="89"/>
      <c r="M8929" s="89"/>
    </row>
    <row r="8930" spans="3:13" x14ac:dyDescent="0.3">
      <c r="C8930" s="87"/>
      <c r="H8930" s="86" t="e">
        <f>IF(I8930="fora",0%,G8930/QUÓRUM!$C$6)</f>
        <v>#DIV/0!</v>
      </c>
      <c r="I8930" s="87"/>
      <c r="J8930" s="88"/>
      <c r="K8930" s="88"/>
      <c r="L8930" s="89"/>
      <c r="M8930" s="89"/>
    </row>
    <row r="8931" spans="3:13" x14ac:dyDescent="0.3">
      <c r="C8931" s="87"/>
      <c r="H8931" s="86" t="e">
        <f>IF(I8931="fora",0%,G8931/QUÓRUM!$C$6)</f>
        <v>#DIV/0!</v>
      </c>
      <c r="I8931" s="87"/>
      <c r="J8931" s="88"/>
      <c r="K8931" s="88"/>
      <c r="L8931" s="89"/>
      <c r="M8931" s="89"/>
    </row>
    <row r="8932" spans="3:13" x14ac:dyDescent="0.3">
      <c r="C8932" s="87"/>
      <c r="H8932" s="86" t="e">
        <f>IF(I8932="fora",0%,G8932/QUÓRUM!$C$6)</f>
        <v>#DIV/0!</v>
      </c>
      <c r="I8932" s="87"/>
      <c r="J8932" s="88"/>
      <c r="K8932" s="88"/>
      <c r="L8932" s="89"/>
      <c r="M8932" s="89"/>
    </row>
    <row r="8933" spans="3:13" x14ac:dyDescent="0.3">
      <c r="C8933" s="87"/>
      <c r="H8933" s="86" t="e">
        <f>IF(I8933="fora",0%,G8933/QUÓRUM!$C$6)</f>
        <v>#DIV/0!</v>
      </c>
      <c r="I8933" s="87"/>
      <c r="J8933" s="88"/>
      <c r="K8933" s="88"/>
      <c r="L8933" s="89"/>
      <c r="M8933" s="89"/>
    </row>
    <row r="8934" spans="3:13" x14ac:dyDescent="0.3">
      <c r="C8934" s="87"/>
      <c r="H8934" s="86" t="e">
        <f>IF(I8934="fora",0%,G8934/QUÓRUM!$C$6)</f>
        <v>#DIV/0!</v>
      </c>
      <c r="I8934" s="87"/>
      <c r="J8934" s="88"/>
      <c r="K8934" s="88"/>
      <c r="L8934" s="89"/>
      <c r="M8934" s="89"/>
    </row>
    <row r="8935" spans="3:13" x14ac:dyDescent="0.3">
      <c r="C8935" s="87"/>
      <c r="H8935" s="86" t="e">
        <f>IF(I8935="fora",0%,G8935/QUÓRUM!$C$6)</f>
        <v>#DIV/0!</v>
      </c>
      <c r="I8935" s="87"/>
      <c r="J8935" s="88"/>
      <c r="K8935" s="88"/>
      <c r="L8935" s="89"/>
      <c r="M8935" s="89"/>
    </row>
    <row r="8936" spans="3:13" x14ac:dyDescent="0.3">
      <c r="C8936" s="87"/>
      <c r="H8936" s="86" t="e">
        <f>IF(I8936="fora",0%,G8936/QUÓRUM!$C$6)</f>
        <v>#DIV/0!</v>
      </c>
      <c r="I8936" s="87"/>
      <c r="J8936" s="88"/>
      <c r="K8936" s="88"/>
      <c r="L8936" s="89"/>
      <c r="M8936" s="89"/>
    </row>
    <row r="8937" spans="3:13" x14ac:dyDescent="0.3">
      <c r="C8937" s="87"/>
      <c r="H8937" s="86" t="e">
        <f>IF(I8937="fora",0%,G8937/QUÓRUM!$C$6)</f>
        <v>#DIV/0!</v>
      </c>
      <c r="I8937" s="87"/>
      <c r="J8937" s="88"/>
      <c r="K8937" s="88"/>
      <c r="L8937" s="89"/>
      <c r="M8937" s="89"/>
    </row>
    <row r="8938" spans="3:13" x14ac:dyDescent="0.3">
      <c r="C8938" s="87"/>
      <c r="H8938" s="86" t="e">
        <f>IF(I8938="fora",0%,G8938/QUÓRUM!$C$6)</f>
        <v>#DIV/0!</v>
      </c>
      <c r="I8938" s="87"/>
      <c r="J8938" s="88"/>
      <c r="K8938" s="88"/>
      <c r="L8938" s="89"/>
      <c r="M8938" s="89"/>
    </row>
    <row r="8939" spans="3:13" x14ac:dyDescent="0.3">
      <c r="C8939" s="87"/>
      <c r="H8939" s="86" t="e">
        <f>IF(I8939="fora",0%,G8939/QUÓRUM!$C$6)</f>
        <v>#DIV/0!</v>
      </c>
      <c r="I8939" s="87"/>
      <c r="J8939" s="88"/>
      <c r="K8939" s="88"/>
      <c r="L8939" s="89"/>
      <c r="M8939" s="89"/>
    </row>
    <row r="8940" spans="3:13" x14ac:dyDescent="0.3">
      <c r="C8940" s="87"/>
      <c r="H8940" s="86" t="e">
        <f>IF(I8940="fora",0%,G8940/QUÓRUM!$C$6)</f>
        <v>#DIV/0!</v>
      </c>
      <c r="I8940" s="87"/>
      <c r="J8940" s="88"/>
      <c r="K8940" s="88"/>
      <c r="L8940" s="89"/>
      <c r="M8940" s="89"/>
    </row>
    <row r="8941" spans="3:13" x14ac:dyDescent="0.3">
      <c r="C8941" s="87"/>
      <c r="H8941" s="86" t="e">
        <f>IF(I8941="fora",0%,G8941/QUÓRUM!$C$6)</f>
        <v>#DIV/0!</v>
      </c>
      <c r="I8941" s="87"/>
      <c r="J8941" s="88"/>
      <c r="K8941" s="88"/>
      <c r="L8941" s="89"/>
      <c r="M8941" s="89"/>
    </row>
    <row r="8942" spans="3:13" x14ac:dyDescent="0.3">
      <c r="C8942" s="87"/>
      <c r="H8942" s="86" t="e">
        <f>IF(I8942="fora",0%,G8942/QUÓRUM!$C$6)</f>
        <v>#DIV/0!</v>
      </c>
      <c r="I8942" s="87"/>
      <c r="J8942" s="88"/>
      <c r="K8942" s="88"/>
      <c r="L8942" s="89"/>
      <c r="M8942" s="89"/>
    </row>
    <row r="8943" spans="3:13" x14ac:dyDescent="0.3">
      <c r="C8943" s="87"/>
      <c r="H8943" s="86" t="e">
        <f>IF(I8943="fora",0%,G8943/QUÓRUM!$C$6)</f>
        <v>#DIV/0!</v>
      </c>
      <c r="I8943" s="87"/>
      <c r="J8943" s="88"/>
      <c r="K8943" s="88"/>
      <c r="L8943" s="89"/>
      <c r="M8943" s="89"/>
    </row>
    <row r="8944" spans="3:13" x14ac:dyDescent="0.3">
      <c r="C8944" s="87"/>
      <c r="H8944" s="86" t="e">
        <f>IF(I8944="fora",0%,G8944/QUÓRUM!$C$6)</f>
        <v>#DIV/0!</v>
      </c>
      <c r="I8944" s="87"/>
      <c r="J8944" s="88"/>
      <c r="K8944" s="88"/>
      <c r="L8944" s="89"/>
      <c r="M8944" s="89"/>
    </row>
    <row r="8945" spans="3:13" x14ac:dyDescent="0.3">
      <c r="C8945" s="87"/>
      <c r="H8945" s="86" t="e">
        <f>IF(I8945="fora",0%,G8945/QUÓRUM!$C$6)</f>
        <v>#DIV/0!</v>
      </c>
      <c r="I8945" s="87"/>
      <c r="J8945" s="88"/>
      <c r="K8945" s="88"/>
      <c r="L8945" s="89"/>
      <c r="M8945" s="89"/>
    </row>
    <row r="8946" spans="3:13" x14ac:dyDescent="0.3">
      <c r="C8946" s="87"/>
      <c r="H8946" s="86" t="e">
        <f>IF(I8946="fora",0%,G8946/QUÓRUM!$C$6)</f>
        <v>#DIV/0!</v>
      </c>
      <c r="I8946" s="87"/>
      <c r="J8946" s="88"/>
      <c r="K8946" s="88"/>
      <c r="L8946" s="89"/>
      <c r="M8946" s="89"/>
    </row>
    <row r="8947" spans="3:13" x14ac:dyDescent="0.3">
      <c r="C8947" s="87"/>
      <c r="H8947" s="86" t="e">
        <f>IF(I8947="fora",0%,G8947/QUÓRUM!$C$6)</f>
        <v>#DIV/0!</v>
      </c>
      <c r="I8947" s="87"/>
      <c r="J8947" s="88"/>
      <c r="K8947" s="88"/>
      <c r="L8947" s="89"/>
      <c r="M8947" s="89"/>
    </row>
    <row r="8948" spans="3:13" x14ac:dyDescent="0.3">
      <c r="C8948" s="87"/>
      <c r="H8948" s="86" t="e">
        <f>IF(I8948="fora",0%,G8948/QUÓRUM!$C$6)</f>
        <v>#DIV/0!</v>
      </c>
      <c r="I8948" s="87"/>
      <c r="J8948" s="88"/>
      <c r="K8948" s="88"/>
      <c r="L8948" s="89"/>
      <c r="M8948" s="89"/>
    </row>
    <row r="8949" spans="3:13" x14ac:dyDescent="0.3">
      <c r="C8949" s="87"/>
      <c r="H8949" s="86" t="e">
        <f>IF(I8949="fora",0%,G8949/QUÓRUM!$C$6)</f>
        <v>#DIV/0!</v>
      </c>
      <c r="I8949" s="87"/>
      <c r="J8949" s="88"/>
      <c r="K8949" s="88"/>
      <c r="L8949" s="89"/>
      <c r="M8949" s="89"/>
    </row>
    <row r="8950" spans="3:13" x14ac:dyDescent="0.3">
      <c r="C8950" s="87"/>
      <c r="H8950" s="86" t="e">
        <f>IF(I8950="fora",0%,G8950/QUÓRUM!$C$6)</f>
        <v>#DIV/0!</v>
      </c>
      <c r="I8950" s="87"/>
      <c r="J8950" s="88"/>
      <c r="K8950" s="88"/>
      <c r="L8950" s="89"/>
      <c r="M8950" s="89"/>
    </row>
    <row r="8951" spans="3:13" x14ac:dyDescent="0.3">
      <c r="C8951" s="87"/>
      <c r="H8951" s="86" t="e">
        <f>IF(I8951="fora",0%,G8951/QUÓRUM!$C$6)</f>
        <v>#DIV/0!</v>
      </c>
      <c r="I8951" s="87"/>
      <c r="J8951" s="88"/>
      <c r="K8951" s="88"/>
      <c r="L8951" s="89"/>
      <c r="M8951" s="89"/>
    </row>
    <row r="8952" spans="3:13" x14ac:dyDescent="0.3">
      <c r="C8952" s="87"/>
      <c r="H8952" s="86" t="e">
        <f>IF(I8952="fora",0%,G8952/QUÓRUM!$C$6)</f>
        <v>#DIV/0!</v>
      </c>
      <c r="I8952" s="87"/>
      <c r="J8952" s="88"/>
      <c r="K8952" s="88"/>
      <c r="L8952" s="89"/>
      <c r="M8952" s="89"/>
    </row>
    <row r="8953" spans="3:13" x14ac:dyDescent="0.3">
      <c r="C8953" s="87"/>
      <c r="H8953" s="86" t="e">
        <f>IF(I8953="fora",0%,G8953/QUÓRUM!$C$6)</f>
        <v>#DIV/0!</v>
      </c>
      <c r="I8953" s="87"/>
      <c r="J8953" s="88"/>
      <c r="K8953" s="88"/>
      <c r="L8953" s="89"/>
      <c r="M8953" s="89"/>
    </row>
    <row r="8954" spans="3:13" x14ac:dyDescent="0.3">
      <c r="C8954" s="87"/>
      <c r="H8954" s="86" t="e">
        <f>IF(I8954="fora",0%,G8954/QUÓRUM!$C$6)</f>
        <v>#DIV/0!</v>
      </c>
      <c r="I8954" s="87"/>
      <c r="J8954" s="88"/>
      <c r="K8954" s="88"/>
      <c r="L8954" s="89"/>
      <c r="M8954" s="89"/>
    </row>
    <row r="8955" spans="3:13" x14ac:dyDescent="0.3">
      <c r="C8955" s="87"/>
      <c r="H8955" s="86" t="e">
        <f>IF(I8955="fora",0%,G8955/QUÓRUM!$C$6)</f>
        <v>#DIV/0!</v>
      </c>
      <c r="I8955" s="87"/>
      <c r="J8955" s="88"/>
      <c r="K8955" s="88"/>
      <c r="L8955" s="89"/>
      <c r="M8955" s="89"/>
    </row>
    <row r="8956" spans="3:13" x14ac:dyDescent="0.3">
      <c r="C8956" s="87"/>
      <c r="H8956" s="86" t="e">
        <f>IF(I8956="fora",0%,G8956/QUÓRUM!$C$6)</f>
        <v>#DIV/0!</v>
      </c>
      <c r="I8956" s="87"/>
      <c r="J8956" s="88"/>
      <c r="K8956" s="88"/>
      <c r="L8956" s="89"/>
      <c r="M8956" s="89"/>
    </row>
    <row r="8957" spans="3:13" x14ac:dyDescent="0.3">
      <c r="C8957" s="87"/>
      <c r="H8957" s="86" t="e">
        <f>IF(I8957="fora",0%,G8957/QUÓRUM!$C$6)</f>
        <v>#DIV/0!</v>
      </c>
      <c r="I8957" s="87"/>
      <c r="J8957" s="88"/>
      <c r="K8957" s="88"/>
      <c r="L8957" s="89"/>
      <c r="M8957" s="89"/>
    </row>
    <row r="8958" spans="3:13" x14ac:dyDescent="0.3">
      <c r="C8958" s="87"/>
      <c r="H8958" s="86" t="e">
        <f>IF(I8958="fora",0%,G8958/QUÓRUM!$C$6)</f>
        <v>#DIV/0!</v>
      </c>
      <c r="I8958" s="87"/>
      <c r="J8958" s="88"/>
      <c r="K8958" s="88"/>
      <c r="L8958" s="89"/>
      <c r="M8958" s="89"/>
    </row>
    <row r="8959" spans="3:13" x14ac:dyDescent="0.3">
      <c r="C8959" s="87"/>
      <c r="H8959" s="86" t="e">
        <f>IF(I8959="fora",0%,G8959/QUÓRUM!$C$6)</f>
        <v>#DIV/0!</v>
      </c>
      <c r="I8959" s="87"/>
      <c r="J8959" s="88"/>
      <c r="K8959" s="88"/>
      <c r="L8959" s="89"/>
      <c r="M8959" s="89"/>
    </row>
    <row r="8960" spans="3:13" x14ac:dyDescent="0.3">
      <c r="C8960" s="87"/>
      <c r="H8960" s="86" t="e">
        <f>IF(I8960="fora",0%,G8960/QUÓRUM!$C$6)</f>
        <v>#DIV/0!</v>
      </c>
      <c r="I8960" s="87"/>
      <c r="J8960" s="88"/>
      <c r="K8960" s="88"/>
      <c r="L8960" s="89"/>
      <c r="M8960" s="89"/>
    </row>
    <row r="8961" spans="3:13" x14ac:dyDescent="0.3">
      <c r="C8961" s="87"/>
      <c r="H8961" s="86" t="e">
        <f>IF(I8961="fora",0%,G8961/QUÓRUM!$C$6)</f>
        <v>#DIV/0!</v>
      </c>
      <c r="I8961" s="87"/>
      <c r="J8961" s="88"/>
      <c r="K8961" s="88"/>
      <c r="L8961" s="89"/>
      <c r="M8961" s="89"/>
    </row>
    <row r="8962" spans="3:13" x14ac:dyDescent="0.3">
      <c r="C8962" s="87"/>
      <c r="H8962" s="86" t="e">
        <f>IF(I8962="fora",0%,G8962/QUÓRUM!$C$6)</f>
        <v>#DIV/0!</v>
      </c>
      <c r="I8962" s="87"/>
      <c r="J8962" s="88"/>
      <c r="K8962" s="88"/>
      <c r="L8962" s="89"/>
      <c r="M8962" s="89"/>
    </row>
    <row r="8963" spans="3:13" x14ac:dyDescent="0.3">
      <c r="C8963" s="87"/>
      <c r="H8963" s="86" t="e">
        <f>IF(I8963="fora",0%,G8963/QUÓRUM!$C$6)</f>
        <v>#DIV/0!</v>
      </c>
      <c r="I8963" s="87"/>
      <c r="J8963" s="88"/>
      <c r="K8963" s="88"/>
      <c r="L8963" s="89"/>
      <c r="M8963" s="89"/>
    </row>
    <row r="8964" spans="3:13" x14ac:dyDescent="0.3">
      <c r="C8964" s="87"/>
      <c r="H8964" s="86" t="e">
        <f>IF(I8964="fora",0%,G8964/QUÓRUM!$C$6)</f>
        <v>#DIV/0!</v>
      </c>
      <c r="I8964" s="87"/>
      <c r="J8964" s="88"/>
      <c r="K8964" s="88"/>
      <c r="L8964" s="89"/>
      <c r="M8964" s="89"/>
    </row>
    <row r="8965" spans="3:13" x14ac:dyDescent="0.3">
      <c r="C8965" s="87"/>
      <c r="H8965" s="86" t="e">
        <f>IF(I8965="fora",0%,G8965/QUÓRUM!$C$6)</f>
        <v>#DIV/0!</v>
      </c>
      <c r="I8965" s="87"/>
      <c r="J8965" s="88"/>
      <c r="K8965" s="88"/>
      <c r="L8965" s="89"/>
      <c r="M8965" s="89"/>
    </row>
    <row r="8966" spans="3:13" x14ac:dyDescent="0.3">
      <c r="C8966" s="87"/>
      <c r="H8966" s="86" t="e">
        <f>IF(I8966="fora",0%,G8966/QUÓRUM!$C$6)</f>
        <v>#DIV/0!</v>
      </c>
      <c r="I8966" s="87"/>
      <c r="J8966" s="88"/>
      <c r="K8966" s="88"/>
      <c r="L8966" s="89"/>
      <c r="M8966" s="89"/>
    </row>
    <row r="8967" spans="3:13" x14ac:dyDescent="0.3">
      <c r="C8967" s="87"/>
      <c r="H8967" s="86" t="e">
        <f>IF(I8967="fora",0%,G8967/QUÓRUM!$C$6)</f>
        <v>#DIV/0!</v>
      </c>
      <c r="I8967" s="87"/>
      <c r="J8967" s="88"/>
      <c r="K8967" s="88"/>
      <c r="L8967" s="89"/>
      <c r="M8967" s="89"/>
    </row>
    <row r="8968" spans="3:13" x14ac:dyDescent="0.3">
      <c r="C8968" s="87"/>
      <c r="H8968" s="86" t="e">
        <f>IF(I8968="fora",0%,G8968/QUÓRUM!$C$6)</f>
        <v>#DIV/0!</v>
      </c>
      <c r="I8968" s="87"/>
      <c r="J8968" s="88"/>
      <c r="K8968" s="88"/>
      <c r="L8968" s="89"/>
      <c r="M8968" s="89"/>
    </row>
    <row r="8969" spans="3:13" x14ac:dyDescent="0.3">
      <c r="C8969" s="87"/>
      <c r="H8969" s="86" t="e">
        <f>IF(I8969="fora",0%,G8969/QUÓRUM!$C$6)</f>
        <v>#DIV/0!</v>
      </c>
      <c r="I8969" s="87"/>
      <c r="J8969" s="88"/>
      <c r="K8969" s="88"/>
      <c r="L8969" s="89"/>
      <c r="M8969" s="89"/>
    </row>
    <row r="8970" spans="3:13" x14ac:dyDescent="0.3">
      <c r="C8970" s="87"/>
      <c r="H8970" s="86" t="e">
        <f>IF(I8970="fora",0%,G8970/QUÓRUM!$C$6)</f>
        <v>#DIV/0!</v>
      </c>
      <c r="I8970" s="87"/>
      <c r="J8970" s="88"/>
      <c r="K8970" s="88"/>
      <c r="L8970" s="89"/>
      <c r="M8970" s="89"/>
    </row>
    <row r="8971" spans="3:13" x14ac:dyDescent="0.3">
      <c r="C8971" s="87"/>
      <c r="H8971" s="86" t="e">
        <f>IF(I8971="fora",0%,G8971/QUÓRUM!$C$6)</f>
        <v>#DIV/0!</v>
      </c>
      <c r="I8971" s="87"/>
      <c r="J8971" s="88"/>
      <c r="K8971" s="88"/>
      <c r="L8971" s="89"/>
      <c r="M8971" s="89"/>
    </row>
    <row r="8972" spans="3:13" x14ac:dyDescent="0.3">
      <c r="C8972" s="87"/>
      <c r="H8972" s="86" t="e">
        <f>IF(I8972="fora",0%,G8972/QUÓRUM!$C$6)</f>
        <v>#DIV/0!</v>
      </c>
      <c r="I8972" s="87"/>
      <c r="J8972" s="88"/>
      <c r="K8972" s="88"/>
      <c r="L8972" s="89"/>
      <c r="M8972" s="89"/>
    </row>
    <row r="8973" spans="3:13" x14ac:dyDescent="0.3">
      <c r="C8973" s="87"/>
      <c r="H8973" s="86" t="e">
        <f>IF(I8973="fora",0%,G8973/QUÓRUM!$C$6)</f>
        <v>#DIV/0!</v>
      </c>
      <c r="I8973" s="87"/>
      <c r="J8973" s="88"/>
      <c r="K8973" s="88"/>
      <c r="L8973" s="89"/>
      <c r="M8973" s="89"/>
    </row>
    <row r="8974" spans="3:13" x14ac:dyDescent="0.3">
      <c r="C8974" s="87"/>
      <c r="H8974" s="86" t="e">
        <f>IF(I8974="fora",0%,G8974/QUÓRUM!$C$6)</f>
        <v>#DIV/0!</v>
      </c>
      <c r="I8974" s="87"/>
      <c r="J8974" s="88"/>
      <c r="K8974" s="88"/>
      <c r="L8974" s="89"/>
      <c r="M8974" s="89"/>
    </row>
    <row r="8975" spans="3:13" x14ac:dyDescent="0.3">
      <c r="C8975" s="87"/>
      <c r="H8975" s="86" t="e">
        <f>IF(I8975="fora",0%,G8975/QUÓRUM!$C$6)</f>
        <v>#DIV/0!</v>
      </c>
      <c r="I8975" s="87"/>
      <c r="J8975" s="88"/>
      <c r="K8975" s="88"/>
      <c r="L8975" s="89"/>
      <c r="M8975" s="89"/>
    </row>
    <row r="8976" spans="3:13" x14ac:dyDescent="0.3">
      <c r="C8976" s="87"/>
      <c r="H8976" s="86" t="e">
        <f>IF(I8976="fora",0%,G8976/QUÓRUM!$C$6)</f>
        <v>#DIV/0!</v>
      </c>
      <c r="I8976" s="87"/>
      <c r="J8976" s="88"/>
      <c r="K8976" s="88"/>
      <c r="L8976" s="89"/>
      <c r="M8976" s="89"/>
    </row>
    <row r="8977" spans="3:13" x14ac:dyDescent="0.3">
      <c r="C8977" s="87"/>
      <c r="H8977" s="86" t="e">
        <f>IF(I8977="fora",0%,G8977/QUÓRUM!$C$6)</f>
        <v>#DIV/0!</v>
      </c>
      <c r="I8977" s="87"/>
      <c r="J8977" s="88"/>
      <c r="K8977" s="88"/>
      <c r="L8977" s="89"/>
      <c r="M8977" s="89"/>
    </row>
    <row r="8978" spans="3:13" x14ac:dyDescent="0.3">
      <c r="C8978" s="87"/>
      <c r="H8978" s="86" t="e">
        <f>IF(I8978="fora",0%,G8978/QUÓRUM!$C$6)</f>
        <v>#DIV/0!</v>
      </c>
      <c r="I8978" s="87"/>
      <c r="J8978" s="88"/>
      <c r="K8978" s="88"/>
      <c r="L8978" s="89"/>
      <c r="M8978" s="89"/>
    </row>
    <row r="8979" spans="3:13" x14ac:dyDescent="0.3">
      <c r="C8979" s="87"/>
      <c r="H8979" s="86" t="e">
        <f>IF(I8979="fora",0%,G8979/QUÓRUM!$C$6)</f>
        <v>#DIV/0!</v>
      </c>
      <c r="I8979" s="87"/>
      <c r="J8979" s="88"/>
      <c r="K8979" s="88"/>
      <c r="L8979" s="89"/>
      <c r="M8979" s="89"/>
    </row>
    <row r="8980" spans="3:13" x14ac:dyDescent="0.3">
      <c r="C8980" s="87"/>
      <c r="H8980" s="86" t="e">
        <f>IF(I8980="fora",0%,G8980/QUÓRUM!$C$6)</f>
        <v>#DIV/0!</v>
      </c>
      <c r="I8980" s="87"/>
      <c r="J8980" s="88"/>
      <c r="K8980" s="88"/>
      <c r="L8980" s="89"/>
      <c r="M8980" s="89"/>
    </row>
    <row r="8981" spans="3:13" x14ac:dyDescent="0.3">
      <c r="C8981" s="87"/>
      <c r="H8981" s="86" t="e">
        <f>IF(I8981="fora",0%,G8981/QUÓRUM!$C$6)</f>
        <v>#DIV/0!</v>
      </c>
      <c r="I8981" s="87"/>
      <c r="J8981" s="88"/>
      <c r="K8981" s="88"/>
      <c r="L8981" s="89"/>
      <c r="M8981" s="89"/>
    </row>
    <row r="8982" spans="3:13" x14ac:dyDescent="0.3">
      <c r="C8982" s="87"/>
      <c r="H8982" s="86" t="e">
        <f>IF(I8982="fora",0%,G8982/QUÓRUM!$C$6)</f>
        <v>#DIV/0!</v>
      </c>
      <c r="I8982" s="87"/>
      <c r="J8982" s="88"/>
      <c r="K8982" s="88"/>
      <c r="L8982" s="89"/>
      <c r="M8982" s="89"/>
    </row>
    <row r="8983" spans="3:13" x14ac:dyDescent="0.3">
      <c r="C8983" s="87"/>
      <c r="H8983" s="86" t="e">
        <f>IF(I8983="fora",0%,G8983/QUÓRUM!$C$6)</f>
        <v>#DIV/0!</v>
      </c>
      <c r="I8983" s="87"/>
      <c r="J8983" s="88"/>
      <c r="K8983" s="88"/>
      <c r="L8983" s="89"/>
      <c r="M8983" s="89"/>
    </row>
    <row r="8984" spans="3:13" x14ac:dyDescent="0.3">
      <c r="C8984" s="87"/>
      <c r="H8984" s="86" t="e">
        <f>IF(I8984="fora",0%,G8984/QUÓRUM!$C$6)</f>
        <v>#DIV/0!</v>
      </c>
      <c r="I8984" s="87"/>
      <c r="J8984" s="88"/>
      <c r="K8984" s="88"/>
      <c r="L8984" s="89"/>
      <c r="M8984" s="89"/>
    </row>
    <row r="8985" spans="3:13" x14ac:dyDescent="0.3">
      <c r="C8985" s="87"/>
      <c r="H8985" s="86" t="e">
        <f>IF(I8985="fora",0%,G8985/QUÓRUM!$C$6)</f>
        <v>#DIV/0!</v>
      </c>
      <c r="I8985" s="87"/>
      <c r="J8985" s="88"/>
      <c r="K8985" s="88"/>
      <c r="L8985" s="89"/>
      <c r="M8985" s="89"/>
    </row>
    <row r="8986" spans="3:13" x14ac:dyDescent="0.3">
      <c r="C8986" s="87"/>
      <c r="H8986" s="86" t="e">
        <f>IF(I8986="fora",0%,G8986/QUÓRUM!$C$6)</f>
        <v>#DIV/0!</v>
      </c>
      <c r="I8986" s="87"/>
      <c r="J8986" s="88"/>
      <c r="K8986" s="88"/>
      <c r="L8986" s="89"/>
      <c r="M8986" s="89"/>
    </row>
    <row r="8987" spans="3:13" x14ac:dyDescent="0.3">
      <c r="C8987" s="87"/>
      <c r="H8987" s="86" t="e">
        <f>IF(I8987="fora",0%,G8987/QUÓRUM!$C$6)</f>
        <v>#DIV/0!</v>
      </c>
      <c r="I8987" s="87"/>
      <c r="J8987" s="88"/>
      <c r="K8987" s="88"/>
      <c r="L8987" s="89"/>
      <c r="M8987" s="89"/>
    </row>
    <row r="8988" spans="3:13" x14ac:dyDescent="0.3">
      <c r="C8988" s="87"/>
      <c r="H8988" s="86" t="e">
        <f>IF(I8988="fora",0%,G8988/QUÓRUM!$C$6)</f>
        <v>#DIV/0!</v>
      </c>
      <c r="I8988" s="87"/>
      <c r="J8988" s="88"/>
      <c r="K8988" s="88"/>
      <c r="L8988" s="89"/>
      <c r="M8988" s="89"/>
    </row>
    <row r="8989" spans="3:13" x14ac:dyDescent="0.3">
      <c r="C8989" s="87"/>
      <c r="H8989" s="86" t="e">
        <f>IF(I8989="fora",0%,G8989/QUÓRUM!$C$6)</f>
        <v>#DIV/0!</v>
      </c>
      <c r="I8989" s="87"/>
      <c r="J8989" s="88"/>
      <c r="K8989" s="88"/>
      <c r="L8989" s="89"/>
      <c r="M8989" s="89"/>
    </row>
    <row r="8990" spans="3:13" x14ac:dyDescent="0.3">
      <c r="C8990" s="87"/>
      <c r="H8990" s="86" t="e">
        <f>IF(I8990="fora",0%,G8990/QUÓRUM!$C$6)</f>
        <v>#DIV/0!</v>
      </c>
      <c r="I8990" s="87"/>
      <c r="J8990" s="88"/>
      <c r="K8990" s="88"/>
      <c r="L8990" s="89"/>
      <c r="M8990" s="89"/>
    </row>
    <row r="8991" spans="3:13" x14ac:dyDescent="0.3">
      <c r="C8991" s="87"/>
      <c r="H8991" s="86" t="e">
        <f>IF(I8991="fora",0%,G8991/QUÓRUM!$C$6)</f>
        <v>#DIV/0!</v>
      </c>
      <c r="I8991" s="87"/>
      <c r="J8991" s="88"/>
      <c r="K8991" s="88"/>
      <c r="L8991" s="89"/>
      <c r="M8991" s="89"/>
    </row>
    <row r="8992" spans="3:13" x14ac:dyDescent="0.3">
      <c r="C8992" s="87"/>
      <c r="H8992" s="86" t="e">
        <f>IF(I8992="fora",0%,G8992/QUÓRUM!$C$6)</f>
        <v>#DIV/0!</v>
      </c>
      <c r="I8992" s="87"/>
      <c r="J8992" s="88"/>
      <c r="K8992" s="88"/>
      <c r="L8992" s="89"/>
      <c r="M8992" s="89"/>
    </row>
    <row r="8993" spans="3:13" x14ac:dyDescent="0.3">
      <c r="C8993" s="87"/>
      <c r="H8993" s="86" t="e">
        <f>IF(I8993="fora",0%,G8993/QUÓRUM!$C$6)</f>
        <v>#DIV/0!</v>
      </c>
      <c r="I8993" s="87"/>
      <c r="J8993" s="88"/>
      <c r="K8993" s="88"/>
      <c r="L8993" s="89"/>
      <c r="M8993" s="89"/>
    </row>
    <row r="8994" spans="3:13" x14ac:dyDescent="0.3">
      <c r="C8994" s="87"/>
      <c r="H8994" s="86" t="e">
        <f>IF(I8994="fora",0%,G8994/QUÓRUM!$C$6)</f>
        <v>#DIV/0!</v>
      </c>
      <c r="I8994" s="87"/>
      <c r="J8994" s="88"/>
      <c r="K8994" s="88"/>
      <c r="L8994" s="89"/>
      <c r="M8994" s="89"/>
    </row>
    <row r="8995" spans="3:13" x14ac:dyDescent="0.3">
      <c r="C8995" s="87"/>
      <c r="H8995" s="86" t="e">
        <f>IF(I8995="fora",0%,G8995/QUÓRUM!$C$6)</f>
        <v>#DIV/0!</v>
      </c>
      <c r="I8995" s="87"/>
      <c r="J8995" s="88"/>
      <c r="K8995" s="88"/>
      <c r="L8995" s="89"/>
      <c r="M8995" s="89"/>
    </row>
    <row r="8996" spans="3:13" x14ac:dyDescent="0.3">
      <c r="C8996" s="87"/>
      <c r="H8996" s="86" t="e">
        <f>IF(I8996="fora",0%,G8996/QUÓRUM!$C$6)</f>
        <v>#DIV/0!</v>
      </c>
      <c r="I8996" s="87"/>
      <c r="J8996" s="88"/>
      <c r="K8996" s="88"/>
      <c r="L8996" s="89"/>
      <c r="M8996" s="89"/>
    </row>
    <row r="8997" spans="3:13" x14ac:dyDescent="0.3">
      <c r="C8997" s="87"/>
      <c r="H8997" s="86" t="e">
        <f>IF(I8997="fora",0%,G8997/QUÓRUM!$C$6)</f>
        <v>#DIV/0!</v>
      </c>
      <c r="I8997" s="87"/>
      <c r="J8997" s="88"/>
      <c r="K8997" s="88"/>
      <c r="L8997" s="89"/>
      <c r="M8997" s="89"/>
    </row>
    <row r="8998" spans="3:13" x14ac:dyDescent="0.3">
      <c r="C8998" s="87"/>
      <c r="G8998" s="115"/>
      <c r="H8998" s="86" t="e">
        <f>IF(I8998="fora",0%,G8998/QUÓRUM!$C$6)</f>
        <v>#DIV/0!</v>
      </c>
      <c r="I8998" s="87"/>
      <c r="J8998" s="88"/>
      <c r="K8998" s="88"/>
      <c r="L8998" s="89"/>
      <c r="M8998" s="89"/>
    </row>
    <row r="8999" spans="3:13" x14ac:dyDescent="0.3">
      <c r="C8999" s="87"/>
      <c r="H8999" s="86" t="e">
        <f>IF(I8999="fora",0%,G8999/QUÓRUM!$C$6)</f>
        <v>#DIV/0!</v>
      </c>
      <c r="I8999" s="87"/>
      <c r="J8999" s="88"/>
      <c r="K8999" s="88"/>
      <c r="L8999" s="89"/>
      <c r="M8999" s="89"/>
    </row>
    <row r="9000" spans="3:13" x14ac:dyDescent="0.3">
      <c r="C9000" s="87"/>
      <c r="H9000" s="86" t="e">
        <f>IF(I9000="fora",0%,G9000/QUÓRUM!$C$6)</f>
        <v>#DIV/0!</v>
      </c>
      <c r="I9000" s="87"/>
      <c r="J9000" s="88"/>
      <c r="K9000" s="88"/>
      <c r="L9000" s="89"/>
      <c r="M9000" s="89"/>
    </row>
    <row r="9001" spans="3:13" x14ac:dyDescent="0.3">
      <c r="C9001" s="87"/>
      <c r="H9001" s="86" t="e">
        <f>IF(I9001="fora",0%,G9001/QUÓRUM!$C$6)</f>
        <v>#DIV/0!</v>
      </c>
      <c r="I9001" s="87"/>
      <c r="J9001" s="88"/>
      <c r="K9001" s="88"/>
      <c r="L9001" s="89"/>
      <c r="M9001" s="89"/>
    </row>
    <row r="9002" spans="3:13" x14ac:dyDescent="0.3">
      <c r="C9002" s="87"/>
      <c r="H9002" s="86" t="e">
        <f>IF(I9002="fora",0%,G9002/QUÓRUM!$C$6)</f>
        <v>#DIV/0!</v>
      </c>
      <c r="I9002" s="87"/>
      <c r="J9002" s="88"/>
      <c r="K9002" s="88"/>
      <c r="L9002" s="89"/>
      <c r="M9002" s="89"/>
    </row>
    <row r="9003" spans="3:13" x14ac:dyDescent="0.3">
      <c r="C9003" s="87"/>
      <c r="H9003" s="86" t="e">
        <f>IF(I9003="fora",0%,G9003/QUÓRUM!$C$6)</f>
        <v>#DIV/0!</v>
      </c>
      <c r="I9003" s="87"/>
      <c r="J9003" s="88"/>
      <c r="K9003" s="88"/>
      <c r="L9003" s="89"/>
      <c r="M9003" s="89"/>
    </row>
    <row r="9004" spans="3:13" x14ac:dyDescent="0.3">
      <c r="C9004" s="87"/>
      <c r="H9004" s="86" t="e">
        <f>IF(I9004="fora",0%,G9004/QUÓRUM!$C$6)</f>
        <v>#DIV/0!</v>
      </c>
      <c r="I9004" s="87"/>
      <c r="J9004" s="88"/>
      <c r="K9004" s="88"/>
      <c r="L9004" s="89"/>
      <c r="M9004" s="89"/>
    </row>
    <row r="9005" spans="3:13" x14ac:dyDescent="0.3">
      <c r="C9005" s="87"/>
      <c r="H9005" s="86" t="e">
        <f>IF(I9005="fora",0%,G9005/QUÓRUM!$C$6)</f>
        <v>#DIV/0!</v>
      </c>
      <c r="I9005" s="87"/>
      <c r="J9005" s="88"/>
      <c r="K9005" s="88"/>
      <c r="L9005" s="89"/>
      <c r="M9005" s="89"/>
    </row>
    <row r="9006" spans="3:13" x14ac:dyDescent="0.3">
      <c r="C9006" s="87"/>
      <c r="H9006" s="86" t="e">
        <f>IF(I9006="fora",0%,G9006/QUÓRUM!$C$6)</f>
        <v>#DIV/0!</v>
      </c>
      <c r="I9006" s="87"/>
      <c r="J9006" s="88"/>
      <c r="K9006" s="88"/>
      <c r="L9006" s="89"/>
      <c r="M9006" s="89"/>
    </row>
    <row r="9007" spans="3:13" x14ac:dyDescent="0.3">
      <c r="C9007" s="87"/>
      <c r="H9007" s="86" t="e">
        <f>IF(I9007="fora",0%,G9007/QUÓRUM!$C$6)</f>
        <v>#DIV/0!</v>
      </c>
      <c r="I9007" s="87"/>
      <c r="J9007" s="88"/>
      <c r="K9007" s="88"/>
      <c r="L9007" s="89"/>
      <c r="M9007" s="89"/>
    </row>
    <row r="9008" spans="3:13" x14ac:dyDescent="0.3">
      <c r="C9008" s="87"/>
      <c r="H9008" s="86" t="e">
        <f>IF(I9008="fora",0%,G9008/QUÓRUM!$C$6)</f>
        <v>#DIV/0!</v>
      </c>
      <c r="I9008" s="87"/>
      <c r="J9008" s="88"/>
      <c r="K9008" s="88"/>
      <c r="L9008" s="89"/>
      <c r="M9008" s="89"/>
    </row>
    <row r="9009" spans="3:13" x14ac:dyDescent="0.3">
      <c r="C9009" s="87"/>
      <c r="G9009" s="115"/>
      <c r="H9009" s="86" t="e">
        <f>IF(I9009="fora",0%,G9009/QUÓRUM!$C$6)</f>
        <v>#DIV/0!</v>
      </c>
      <c r="I9009" s="87"/>
      <c r="J9009" s="88"/>
      <c r="K9009" s="88"/>
      <c r="L9009" s="89"/>
      <c r="M9009" s="89"/>
    </row>
    <row r="9010" spans="3:13" x14ac:dyDescent="0.3">
      <c r="C9010" s="87"/>
      <c r="H9010" s="86" t="e">
        <f>IF(I9010="fora",0%,G9010/QUÓRUM!$C$6)</f>
        <v>#DIV/0!</v>
      </c>
      <c r="I9010" s="87"/>
      <c r="J9010" s="88"/>
      <c r="K9010" s="88"/>
      <c r="L9010" s="89"/>
      <c r="M9010" s="89"/>
    </row>
    <row r="9011" spans="3:13" x14ac:dyDescent="0.3">
      <c r="C9011" s="87"/>
      <c r="H9011" s="86" t="e">
        <f>IF(I9011="fora",0%,G9011/QUÓRUM!$C$6)</f>
        <v>#DIV/0!</v>
      </c>
      <c r="I9011" s="87"/>
      <c r="J9011" s="88"/>
      <c r="K9011" s="88"/>
      <c r="L9011" s="89"/>
      <c r="M9011" s="89"/>
    </row>
    <row r="9012" spans="3:13" x14ac:dyDescent="0.3">
      <c r="C9012" s="87"/>
      <c r="H9012" s="86" t="e">
        <f>IF(I9012="fora",0%,G9012/QUÓRUM!$C$6)</f>
        <v>#DIV/0!</v>
      </c>
      <c r="I9012" s="87"/>
      <c r="J9012" s="88"/>
      <c r="K9012" s="88"/>
      <c r="L9012" s="89"/>
      <c r="M9012" s="89"/>
    </row>
    <row r="9013" spans="3:13" x14ac:dyDescent="0.3">
      <c r="C9013" s="87"/>
      <c r="H9013" s="86" t="e">
        <f>IF(I9013="fora",0%,G9013/QUÓRUM!$C$6)</f>
        <v>#DIV/0!</v>
      </c>
      <c r="I9013" s="87"/>
      <c r="J9013" s="88"/>
      <c r="K9013" s="88"/>
      <c r="L9013" s="89"/>
      <c r="M9013" s="89"/>
    </row>
    <row r="9014" spans="3:13" x14ac:dyDescent="0.3">
      <c r="C9014" s="87"/>
      <c r="H9014" s="86" t="e">
        <f>IF(I9014="fora",0%,G9014/QUÓRUM!$C$6)</f>
        <v>#DIV/0!</v>
      </c>
      <c r="I9014" s="87"/>
      <c r="J9014" s="88"/>
      <c r="K9014" s="88"/>
      <c r="L9014" s="89"/>
      <c r="M9014" s="89"/>
    </row>
    <row r="9015" spans="3:13" x14ac:dyDescent="0.3">
      <c r="C9015" s="87"/>
      <c r="H9015" s="86" t="e">
        <f>IF(I9015="fora",0%,G9015/QUÓRUM!$C$6)</f>
        <v>#DIV/0!</v>
      </c>
      <c r="I9015" s="87"/>
      <c r="J9015" s="88"/>
      <c r="K9015" s="88"/>
      <c r="L9015" s="89"/>
      <c r="M9015" s="89"/>
    </row>
    <row r="9016" spans="3:13" x14ac:dyDescent="0.3">
      <c r="C9016" s="87"/>
      <c r="H9016" s="86" t="e">
        <f>IF(I9016="fora",0%,G9016/QUÓRUM!$C$6)</f>
        <v>#DIV/0!</v>
      </c>
      <c r="I9016" s="87"/>
      <c r="J9016" s="88"/>
      <c r="K9016" s="88"/>
      <c r="L9016" s="89"/>
      <c r="M9016" s="89"/>
    </row>
    <row r="9017" spans="3:13" x14ac:dyDescent="0.3">
      <c r="C9017" s="87"/>
      <c r="H9017" s="86" t="e">
        <f>IF(I9017="fora",0%,G9017/QUÓRUM!$C$6)</f>
        <v>#DIV/0!</v>
      </c>
      <c r="I9017" s="87"/>
      <c r="J9017" s="88"/>
      <c r="K9017" s="88"/>
      <c r="L9017" s="89"/>
      <c r="M9017" s="89"/>
    </row>
    <row r="9018" spans="3:13" x14ac:dyDescent="0.3">
      <c r="C9018" s="87"/>
      <c r="H9018" s="86" t="e">
        <f>IF(I9018="fora",0%,G9018/QUÓRUM!$C$6)</f>
        <v>#DIV/0!</v>
      </c>
      <c r="I9018" s="87"/>
      <c r="J9018" s="88"/>
      <c r="K9018" s="88"/>
      <c r="L9018" s="89"/>
      <c r="M9018" s="89"/>
    </row>
    <row r="9019" spans="3:13" x14ac:dyDescent="0.3">
      <c r="C9019" s="87"/>
      <c r="H9019" s="86" t="e">
        <f>IF(I9019="fora",0%,G9019/QUÓRUM!$C$6)</f>
        <v>#DIV/0!</v>
      </c>
      <c r="I9019" s="87"/>
      <c r="J9019" s="88"/>
      <c r="K9019" s="88"/>
      <c r="L9019" s="89"/>
      <c r="M9019" s="89"/>
    </row>
    <row r="9020" spans="3:13" x14ac:dyDescent="0.3">
      <c r="C9020" s="87"/>
      <c r="H9020" s="86" t="e">
        <f>IF(I9020="fora",0%,G9020/QUÓRUM!$C$6)</f>
        <v>#DIV/0!</v>
      </c>
      <c r="I9020" s="87"/>
      <c r="J9020" s="88"/>
      <c r="K9020" s="88"/>
      <c r="L9020" s="89"/>
      <c r="M9020" s="89"/>
    </row>
    <row r="9021" spans="3:13" x14ac:dyDescent="0.3">
      <c r="C9021" s="87"/>
      <c r="H9021" s="86" t="e">
        <f>IF(I9021="fora",0%,G9021/QUÓRUM!$C$6)</f>
        <v>#DIV/0!</v>
      </c>
      <c r="I9021" s="87"/>
      <c r="J9021" s="88"/>
      <c r="K9021" s="88"/>
      <c r="L9021" s="89"/>
      <c r="M9021" s="89"/>
    </row>
    <row r="9022" spans="3:13" x14ac:dyDescent="0.3">
      <c r="C9022" s="87"/>
      <c r="H9022" s="86" t="e">
        <f>IF(I9022="fora",0%,G9022/QUÓRUM!$C$6)</f>
        <v>#DIV/0!</v>
      </c>
      <c r="I9022" s="87"/>
      <c r="J9022" s="88"/>
      <c r="K9022" s="88"/>
      <c r="L9022" s="89"/>
      <c r="M9022" s="89"/>
    </row>
    <row r="9023" spans="3:13" x14ac:dyDescent="0.3">
      <c r="C9023" s="87"/>
      <c r="H9023" s="86" t="e">
        <f>IF(I9023="fora",0%,G9023/QUÓRUM!$C$6)</f>
        <v>#DIV/0!</v>
      </c>
      <c r="I9023" s="87"/>
      <c r="J9023" s="88"/>
      <c r="K9023" s="88"/>
      <c r="L9023" s="89"/>
      <c r="M9023" s="89"/>
    </row>
    <row r="9024" spans="3:13" x14ac:dyDescent="0.3">
      <c r="C9024" s="87"/>
      <c r="H9024" s="86" t="e">
        <f>IF(I9024="fora",0%,G9024/QUÓRUM!$C$6)</f>
        <v>#DIV/0!</v>
      </c>
      <c r="I9024" s="87"/>
      <c r="J9024" s="88"/>
      <c r="K9024" s="88"/>
      <c r="L9024" s="89"/>
      <c r="M9024" s="89"/>
    </row>
    <row r="9025" spans="3:13" x14ac:dyDescent="0.3">
      <c r="C9025" s="87"/>
      <c r="H9025" s="86" t="e">
        <f>IF(I9025="fora",0%,G9025/QUÓRUM!$C$6)</f>
        <v>#DIV/0!</v>
      </c>
      <c r="I9025" s="87"/>
      <c r="J9025" s="88"/>
      <c r="K9025" s="88"/>
      <c r="L9025" s="89"/>
      <c r="M9025" s="89"/>
    </row>
    <row r="9026" spans="3:13" x14ac:dyDescent="0.3">
      <c r="C9026" s="87"/>
      <c r="H9026" s="86" t="e">
        <f>IF(I9026="fora",0%,G9026/QUÓRUM!$C$6)</f>
        <v>#DIV/0!</v>
      </c>
      <c r="I9026" s="87"/>
      <c r="J9026" s="88"/>
      <c r="K9026" s="88"/>
      <c r="L9026" s="89"/>
      <c r="M9026" s="89"/>
    </row>
    <row r="9027" spans="3:13" x14ac:dyDescent="0.3">
      <c r="C9027" s="87"/>
      <c r="H9027" s="86" t="e">
        <f>IF(I9027="fora",0%,G9027/QUÓRUM!$C$6)</f>
        <v>#DIV/0!</v>
      </c>
      <c r="I9027" s="87"/>
      <c r="J9027" s="88"/>
      <c r="K9027" s="88"/>
      <c r="L9027" s="89"/>
      <c r="M9027" s="89"/>
    </row>
    <row r="9028" spans="3:13" x14ac:dyDescent="0.3">
      <c r="C9028" s="87"/>
      <c r="H9028" s="86" t="e">
        <f>IF(I9028="fora",0%,G9028/QUÓRUM!$C$6)</f>
        <v>#DIV/0!</v>
      </c>
      <c r="I9028" s="87"/>
      <c r="J9028" s="88"/>
      <c r="K9028" s="88"/>
      <c r="L9028" s="89"/>
      <c r="M9028" s="89"/>
    </row>
    <row r="9029" spans="3:13" x14ac:dyDescent="0.3">
      <c r="C9029" s="87"/>
      <c r="H9029" s="86" t="e">
        <f>IF(I9029="fora",0%,G9029/QUÓRUM!$C$6)</f>
        <v>#DIV/0!</v>
      </c>
      <c r="I9029" s="87"/>
      <c r="J9029" s="88"/>
      <c r="K9029" s="88"/>
      <c r="L9029" s="89"/>
      <c r="M9029" s="89"/>
    </row>
    <row r="9030" spans="3:13" x14ac:dyDescent="0.3">
      <c r="C9030" s="87"/>
      <c r="H9030" s="86" t="e">
        <f>IF(I9030="fora",0%,G9030/QUÓRUM!$C$6)</f>
        <v>#DIV/0!</v>
      </c>
      <c r="I9030" s="87"/>
      <c r="J9030" s="88"/>
      <c r="K9030" s="88"/>
      <c r="L9030" s="89"/>
      <c r="M9030" s="89"/>
    </row>
    <row r="9031" spans="3:13" x14ac:dyDescent="0.3">
      <c r="C9031" s="87"/>
      <c r="H9031" s="86" t="e">
        <f>IF(I9031="fora",0%,G9031/QUÓRUM!$C$6)</f>
        <v>#DIV/0!</v>
      </c>
      <c r="I9031" s="87"/>
      <c r="J9031" s="88"/>
      <c r="K9031" s="88"/>
      <c r="L9031" s="89"/>
      <c r="M9031" s="89"/>
    </row>
    <row r="9032" spans="3:13" x14ac:dyDescent="0.3">
      <c r="C9032" s="87"/>
      <c r="H9032" s="86" t="e">
        <f>IF(I9032="fora",0%,G9032/QUÓRUM!$C$6)</f>
        <v>#DIV/0!</v>
      </c>
      <c r="I9032" s="87"/>
      <c r="J9032" s="88"/>
      <c r="K9032" s="88"/>
      <c r="L9032" s="89"/>
      <c r="M9032" s="89"/>
    </row>
    <row r="9033" spans="3:13" x14ac:dyDescent="0.3">
      <c r="C9033" s="87"/>
      <c r="H9033" s="86" t="e">
        <f>IF(I9033="fora",0%,G9033/QUÓRUM!$C$6)</f>
        <v>#DIV/0!</v>
      </c>
      <c r="I9033" s="87"/>
      <c r="J9033" s="88"/>
      <c r="K9033" s="88"/>
      <c r="L9033" s="89"/>
      <c r="M9033" s="89"/>
    </row>
    <row r="9034" spans="3:13" x14ac:dyDescent="0.3">
      <c r="C9034" s="87"/>
      <c r="H9034" s="86" t="e">
        <f>IF(I9034="fora",0%,G9034/QUÓRUM!$C$6)</f>
        <v>#DIV/0!</v>
      </c>
      <c r="I9034" s="87"/>
      <c r="J9034" s="88"/>
      <c r="K9034" s="88"/>
      <c r="L9034" s="89"/>
      <c r="M9034" s="89"/>
    </row>
    <row r="9035" spans="3:13" x14ac:dyDescent="0.3">
      <c r="C9035" s="87"/>
      <c r="H9035" s="86" t="e">
        <f>IF(I9035="fora",0%,G9035/QUÓRUM!$C$6)</f>
        <v>#DIV/0!</v>
      </c>
      <c r="I9035" s="87"/>
      <c r="J9035" s="88"/>
      <c r="K9035" s="88"/>
      <c r="L9035" s="89"/>
      <c r="M9035" s="89"/>
    </row>
    <row r="9036" spans="3:13" x14ac:dyDescent="0.3">
      <c r="C9036" s="87"/>
      <c r="H9036" s="86" t="e">
        <f>IF(I9036="fora",0%,G9036/QUÓRUM!$C$6)</f>
        <v>#DIV/0!</v>
      </c>
      <c r="I9036" s="87"/>
      <c r="J9036" s="88"/>
      <c r="K9036" s="88"/>
      <c r="L9036" s="89"/>
      <c r="M9036" s="89"/>
    </row>
    <row r="9037" spans="3:13" x14ac:dyDescent="0.3">
      <c r="C9037" s="87"/>
      <c r="H9037" s="86" t="e">
        <f>IF(I9037="fora",0%,G9037/QUÓRUM!$C$6)</f>
        <v>#DIV/0!</v>
      </c>
      <c r="I9037" s="87"/>
      <c r="J9037" s="88"/>
      <c r="K9037" s="88"/>
      <c r="L9037" s="89"/>
      <c r="M9037" s="89"/>
    </row>
    <row r="9038" spans="3:13" x14ac:dyDescent="0.3">
      <c r="C9038" s="87"/>
      <c r="H9038" s="86" t="e">
        <f>IF(I9038="fora",0%,G9038/QUÓRUM!$C$6)</f>
        <v>#DIV/0!</v>
      </c>
      <c r="I9038" s="87"/>
      <c r="J9038" s="88"/>
      <c r="K9038" s="88"/>
      <c r="L9038" s="89"/>
      <c r="M9038" s="89"/>
    </row>
    <row r="9039" spans="3:13" x14ac:dyDescent="0.3">
      <c r="C9039" s="87"/>
      <c r="H9039" s="86" t="e">
        <f>IF(I9039="fora",0%,G9039/QUÓRUM!$C$6)</f>
        <v>#DIV/0!</v>
      </c>
      <c r="I9039" s="87"/>
      <c r="J9039" s="88"/>
      <c r="K9039" s="88"/>
      <c r="L9039" s="89"/>
      <c r="M9039" s="89"/>
    </row>
    <row r="9040" spans="3:13" x14ac:dyDescent="0.3">
      <c r="C9040" s="87"/>
      <c r="H9040" s="86" t="e">
        <f>IF(I9040="fora",0%,G9040/QUÓRUM!$C$6)</f>
        <v>#DIV/0!</v>
      </c>
      <c r="I9040" s="87"/>
      <c r="J9040" s="88"/>
      <c r="K9040" s="88"/>
      <c r="L9040" s="89"/>
      <c r="M9040" s="89"/>
    </row>
    <row r="9041" spans="3:13" x14ac:dyDescent="0.3">
      <c r="C9041" s="87"/>
      <c r="H9041" s="86" t="e">
        <f>IF(I9041="fora",0%,G9041/QUÓRUM!$C$6)</f>
        <v>#DIV/0!</v>
      </c>
      <c r="I9041" s="87"/>
      <c r="J9041" s="88"/>
      <c r="K9041" s="88"/>
      <c r="L9041" s="89"/>
      <c r="M9041" s="89"/>
    </row>
    <row r="9042" spans="3:13" x14ac:dyDescent="0.3">
      <c r="C9042" s="87"/>
      <c r="H9042" s="86" t="e">
        <f>IF(I9042="fora",0%,G9042/QUÓRUM!$C$6)</f>
        <v>#DIV/0!</v>
      </c>
      <c r="I9042" s="87"/>
      <c r="J9042" s="88"/>
      <c r="K9042" s="88"/>
      <c r="L9042" s="89"/>
      <c r="M9042" s="89"/>
    </row>
    <row r="9043" spans="3:13" x14ac:dyDescent="0.3">
      <c r="C9043" s="87"/>
      <c r="H9043" s="86" t="e">
        <f>IF(I9043="fora",0%,G9043/QUÓRUM!$C$6)</f>
        <v>#DIV/0!</v>
      </c>
      <c r="I9043" s="87"/>
      <c r="J9043" s="88"/>
      <c r="K9043" s="88"/>
      <c r="L9043" s="89"/>
      <c r="M9043" s="89"/>
    </row>
    <row r="9044" spans="3:13" x14ac:dyDescent="0.3">
      <c r="C9044" s="87"/>
      <c r="H9044" s="86" t="e">
        <f>IF(I9044="fora",0%,G9044/QUÓRUM!$C$6)</f>
        <v>#DIV/0!</v>
      </c>
      <c r="I9044" s="87"/>
      <c r="J9044" s="88"/>
      <c r="K9044" s="88"/>
      <c r="L9044" s="89"/>
      <c r="M9044" s="89"/>
    </row>
    <row r="9045" spans="3:13" x14ac:dyDescent="0.3">
      <c r="C9045" s="87"/>
      <c r="H9045" s="86" t="e">
        <f>IF(I9045="fora",0%,G9045/QUÓRUM!$C$6)</f>
        <v>#DIV/0!</v>
      </c>
      <c r="I9045" s="87"/>
      <c r="J9045" s="88"/>
      <c r="K9045" s="88"/>
      <c r="L9045" s="89"/>
      <c r="M9045" s="89"/>
    </row>
    <row r="9046" spans="3:13" x14ac:dyDescent="0.3">
      <c r="C9046" s="87"/>
      <c r="H9046" s="86" t="e">
        <f>IF(I9046="fora",0%,G9046/QUÓRUM!$C$6)</f>
        <v>#DIV/0!</v>
      </c>
      <c r="I9046" s="87"/>
      <c r="J9046" s="88"/>
      <c r="K9046" s="88"/>
      <c r="L9046" s="89"/>
      <c r="M9046" s="89"/>
    </row>
    <row r="9047" spans="3:13" x14ac:dyDescent="0.3">
      <c r="C9047" s="87"/>
      <c r="H9047" s="86" t="e">
        <f>IF(I9047="fora",0%,G9047/QUÓRUM!$C$6)</f>
        <v>#DIV/0!</v>
      </c>
      <c r="I9047" s="87"/>
      <c r="J9047" s="88"/>
      <c r="K9047" s="88"/>
      <c r="L9047" s="89"/>
      <c r="M9047" s="89"/>
    </row>
    <row r="9048" spans="3:13" x14ac:dyDescent="0.3">
      <c r="C9048" s="87"/>
      <c r="H9048" s="86" t="e">
        <f>IF(I9048="fora",0%,G9048/QUÓRUM!$C$6)</f>
        <v>#DIV/0!</v>
      </c>
      <c r="I9048" s="87"/>
      <c r="J9048" s="88"/>
      <c r="K9048" s="88"/>
      <c r="L9048" s="89"/>
      <c r="M9048" s="89"/>
    </row>
    <row r="9049" spans="3:13" x14ac:dyDescent="0.3">
      <c r="C9049" s="87"/>
      <c r="H9049" s="86" t="e">
        <f>IF(I9049="fora",0%,G9049/QUÓRUM!$C$6)</f>
        <v>#DIV/0!</v>
      </c>
      <c r="I9049" s="87"/>
      <c r="J9049" s="88"/>
      <c r="K9049" s="88"/>
      <c r="L9049" s="89"/>
      <c r="M9049" s="89"/>
    </row>
    <row r="9050" spans="3:13" x14ac:dyDescent="0.3">
      <c r="C9050" s="87"/>
      <c r="H9050" s="86" t="e">
        <f>IF(I9050="fora",0%,G9050/QUÓRUM!$C$6)</f>
        <v>#DIV/0!</v>
      </c>
      <c r="I9050" s="87"/>
      <c r="J9050" s="88"/>
      <c r="K9050" s="88"/>
      <c r="L9050" s="89"/>
      <c r="M9050" s="89"/>
    </row>
    <row r="9051" spans="3:13" x14ac:dyDescent="0.3">
      <c r="C9051" s="87"/>
      <c r="H9051" s="86" t="e">
        <f>IF(I9051="fora",0%,G9051/QUÓRUM!$C$6)</f>
        <v>#DIV/0!</v>
      </c>
      <c r="I9051" s="87"/>
      <c r="J9051" s="88"/>
      <c r="K9051" s="88"/>
      <c r="L9051" s="89"/>
      <c r="M9051" s="89"/>
    </row>
    <row r="9052" spans="3:13" x14ac:dyDescent="0.3">
      <c r="C9052" s="87"/>
      <c r="H9052" s="86" t="e">
        <f>IF(I9052="fora",0%,G9052/QUÓRUM!$C$6)</f>
        <v>#DIV/0!</v>
      </c>
      <c r="I9052" s="87"/>
      <c r="J9052" s="88"/>
      <c r="K9052" s="88"/>
      <c r="L9052" s="89"/>
      <c r="M9052" s="89"/>
    </row>
    <row r="9053" spans="3:13" x14ac:dyDescent="0.3">
      <c r="C9053" s="87"/>
      <c r="H9053" s="86" t="e">
        <f>IF(I9053="fora",0%,G9053/QUÓRUM!$C$6)</f>
        <v>#DIV/0!</v>
      </c>
      <c r="I9053" s="87"/>
      <c r="J9053" s="88"/>
      <c r="K9053" s="88"/>
      <c r="L9053" s="89"/>
      <c r="M9053" s="89"/>
    </row>
    <row r="9054" spans="3:13" x14ac:dyDescent="0.3">
      <c r="C9054" s="87"/>
      <c r="H9054" s="86" t="e">
        <f>IF(I9054="fora",0%,G9054/QUÓRUM!$C$6)</f>
        <v>#DIV/0!</v>
      </c>
      <c r="I9054" s="87"/>
      <c r="J9054" s="88"/>
      <c r="K9054" s="88"/>
      <c r="L9054" s="89"/>
      <c r="M9054" s="89"/>
    </row>
    <row r="9055" spans="3:13" x14ac:dyDescent="0.3">
      <c r="C9055" s="87"/>
      <c r="H9055" s="86" t="e">
        <f>IF(I9055="fora",0%,G9055/QUÓRUM!$C$6)</f>
        <v>#DIV/0!</v>
      </c>
      <c r="I9055" s="87"/>
      <c r="J9055" s="88"/>
      <c r="K9055" s="88"/>
      <c r="L9055" s="89"/>
      <c r="M9055" s="89"/>
    </row>
    <row r="9056" spans="3:13" x14ac:dyDescent="0.3">
      <c r="C9056" s="87"/>
      <c r="H9056" s="86" t="e">
        <f>IF(I9056="fora",0%,G9056/QUÓRUM!$C$6)</f>
        <v>#DIV/0!</v>
      </c>
      <c r="I9056" s="87"/>
      <c r="J9056" s="88"/>
      <c r="K9056" s="88"/>
      <c r="L9056" s="89"/>
      <c r="M9056" s="89"/>
    </row>
    <row r="9057" spans="3:13" x14ac:dyDescent="0.3">
      <c r="C9057" s="87"/>
      <c r="H9057" s="86" t="e">
        <f>IF(I9057="fora",0%,G9057/QUÓRUM!$C$6)</f>
        <v>#DIV/0!</v>
      </c>
      <c r="I9057" s="87"/>
      <c r="J9057" s="88"/>
      <c r="K9057" s="88"/>
      <c r="L9057" s="89"/>
      <c r="M9057" s="89"/>
    </row>
    <row r="9058" spans="3:13" x14ac:dyDescent="0.3">
      <c r="C9058" s="87"/>
      <c r="H9058" s="86" t="e">
        <f>IF(I9058="fora",0%,G9058/QUÓRUM!$C$6)</f>
        <v>#DIV/0!</v>
      </c>
      <c r="I9058" s="87"/>
      <c r="J9058" s="88"/>
      <c r="K9058" s="88"/>
      <c r="L9058" s="89"/>
      <c r="M9058" s="89"/>
    </row>
    <row r="9059" spans="3:13" x14ac:dyDescent="0.3">
      <c r="C9059" s="87"/>
      <c r="H9059" s="86" t="e">
        <f>IF(I9059="fora",0%,G9059/QUÓRUM!$C$6)</f>
        <v>#DIV/0!</v>
      </c>
      <c r="I9059" s="87"/>
      <c r="J9059" s="88"/>
      <c r="K9059" s="88"/>
      <c r="L9059" s="89"/>
      <c r="M9059" s="89"/>
    </row>
    <row r="9060" spans="3:13" x14ac:dyDescent="0.3">
      <c r="C9060" s="87"/>
      <c r="H9060" s="86" t="e">
        <f>IF(I9060="fora",0%,G9060/QUÓRUM!$C$6)</f>
        <v>#DIV/0!</v>
      </c>
      <c r="I9060" s="87"/>
      <c r="J9060" s="88"/>
      <c r="K9060" s="88"/>
      <c r="L9060" s="89"/>
      <c r="M9060" s="89"/>
    </row>
    <row r="9061" spans="3:13" x14ac:dyDescent="0.3">
      <c r="C9061" s="87"/>
      <c r="H9061" s="86" t="e">
        <f>IF(I9061="fora",0%,G9061/QUÓRUM!$C$6)</f>
        <v>#DIV/0!</v>
      </c>
      <c r="I9061" s="87"/>
      <c r="J9061" s="88"/>
      <c r="K9061" s="88"/>
      <c r="L9061" s="89"/>
      <c r="M9061" s="89"/>
    </row>
    <row r="9062" spans="3:13" x14ac:dyDescent="0.3">
      <c r="C9062" s="87"/>
      <c r="H9062" s="86" t="e">
        <f>IF(I9062="fora",0%,G9062/QUÓRUM!$C$6)</f>
        <v>#DIV/0!</v>
      </c>
      <c r="I9062" s="87"/>
      <c r="J9062" s="88"/>
      <c r="K9062" s="88"/>
      <c r="L9062" s="89"/>
      <c r="M9062" s="89"/>
    </row>
    <row r="9063" spans="3:13" x14ac:dyDescent="0.3">
      <c r="C9063" s="87"/>
      <c r="H9063" s="86" t="e">
        <f>IF(I9063="fora",0%,G9063/QUÓRUM!$C$6)</f>
        <v>#DIV/0!</v>
      </c>
      <c r="I9063" s="87"/>
      <c r="J9063" s="88"/>
      <c r="K9063" s="88"/>
      <c r="L9063" s="89"/>
      <c r="M9063" s="89"/>
    </row>
    <row r="9064" spans="3:13" x14ac:dyDescent="0.3">
      <c r="C9064" s="87"/>
      <c r="H9064" s="86" t="e">
        <f>IF(I9064="fora",0%,G9064/QUÓRUM!$C$6)</f>
        <v>#DIV/0!</v>
      </c>
      <c r="I9064" s="87"/>
      <c r="J9064" s="88"/>
      <c r="K9064" s="88"/>
      <c r="L9064" s="89"/>
      <c r="M9064" s="89"/>
    </row>
    <row r="9065" spans="3:13" x14ac:dyDescent="0.3">
      <c r="C9065" s="87"/>
      <c r="H9065" s="86" t="e">
        <f>IF(I9065="fora",0%,G9065/QUÓRUM!$C$6)</f>
        <v>#DIV/0!</v>
      </c>
      <c r="I9065" s="87"/>
      <c r="J9065" s="88"/>
      <c r="K9065" s="88"/>
      <c r="L9065" s="89"/>
      <c r="M9065" s="89"/>
    </row>
    <row r="9066" spans="3:13" x14ac:dyDescent="0.3">
      <c r="C9066" s="87"/>
      <c r="H9066" s="86" t="e">
        <f>IF(I9066="fora",0%,G9066/QUÓRUM!$C$6)</f>
        <v>#DIV/0!</v>
      </c>
      <c r="I9066" s="87"/>
      <c r="J9066" s="88"/>
      <c r="K9066" s="88"/>
      <c r="L9066" s="89"/>
      <c r="M9066" s="89"/>
    </row>
    <row r="9067" spans="3:13" x14ac:dyDescent="0.3">
      <c r="C9067" s="87"/>
      <c r="H9067" s="86" t="e">
        <f>IF(I9067="fora",0%,G9067/QUÓRUM!$C$6)</f>
        <v>#DIV/0!</v>
      </c>
      <c r="I9067" s="87"/>
      <c r="J9067" s="88"/>
      <c r="K9067" s="88"/>
      <c r="L9067" s="89"/>
      <c r="M9067" s="89"/>
    </row>
    <row r="9068" spans="3:13" x14ac:dyDescent="0.3">
      <c r="C9068" s="87"/>
      <c r="H9068" s="86" t="e">
        <f>IF(I9068="fora",0%,G9068/QUÓRUM!$C$6)</f>
        <v>#DIV/0!</v>
      </c>
      <c r="I9068" s="87"/>
      <c r="J9068" s="88"/>
      <c r="K9068" s="88"/>
      <c r="L9068" s="89"/>
      <c r="M9068" s="89"/>
    </row>
    <row r="9069" spans="3:13" x14ac:dyDescent="0.3">
      <c r="C9069" s="87"/>
      <c r="H9069" s="86" t="e">
        <f>IF(I9069="fora",0%,G9069/QUÓRUM!$C$6)</f>
        <v>#DIV/0!</v>
      </c>
      <c r="I9069" s="87"/>
      <c r="J9069" s="88"/>
      <c r="K9069" s="88"/>
      <c r="L9069" s="89"/>
      <c r="M9069" s="89"/>
    </row>
    <row r="9070" spans="3:13" x14ac:dyDescent="0.3">
      <c r="C9070" s="87"/>
      <c r="H9070" s="86" t="e">
        <f>IF(I9070="fora",0%,G9070/QUÓRUM!$C$6)</f>
        <v>#DIV/0!</v>
      </c>
      <c r="I9070" s="87"/>
      <c r="J9070" s="88"/>
      <c r="K9070" s="88"/>
      <c r="L9070" s="89"/>
      <c r="M9070" s="89"/>
    </row>
    <row r="9071" spans="3:13" x14ac:dyDescent="0.3">
      <c r="C9071" s="87"/>
      <c r="H9071" s="86" t="e">
        <f>IF(I9071="fora",0%,G9071/QUÓRUM!$C$6)</f>
        <v>#DIV/0!</v>
      </c>
      <c r="I9071" s="87"/>
      <c r="J9071" s="88"/>
      <c r="K9071" s="88"/>
      <c r="L9071" s="89"/>
      <c r="M9071" s="89"/>
    </row>
    <row r="9072" spans="3:13" x14ac:dyDescent="0.3">
      <c r="C9072" s="87"/>
      <c r="H9072" s="86" t="e">
        <f>IF(I9072="fora",0%,G9072/QUÓRUM!$C$6)</f>
        <v>#DIV/0!</v>
      </c>
      <c r="I9072" s="87"/>
      <c r="J9072" s="88"/>
      <c r="K9072" s="88"/>
      <c r="L9072" s="89"/>
      <c r="M9072" s="89"/>
    </row>
    <row r="9073" spans="3:13" x14ac:dyDescent="0.3">
      <c r="C9073" s="87"/>
      <c r="H9073" s="86" t="e">
        <f>IF(I9073="fora",0%,G9073/QUÓRUM!$C$6)</f>
        <v>#DIV/0!</v>
      </c>
      <c r="I9073" s="87"/>
      <c r="J9073" s="88"/>
      <c r="K9073" s="88"/>
      <c r="L9073" s="89"/>
      <c r="M9073" s="89"/>
    </row>
    <row r="9074" spans="3:13" x14ac:dyDescent="0.3">
      <c r="C9074" s="87"/>
      <c r="H9074" s="86" t="e">
        <f>IF(I9074="fora",0%,G9074/QUÓRUM!$C$6)</f>
        <v>#DIV/0!</v>
      </c>
      <c r="I9074" s="87"/>
      <c r="J9074" s="88"/>
      <c r="K9074" s="88"/>
      <c r="L9074" s="89"/>
      <c r="M9074" s="89"/>
    </row>
    <row r="9075" spans="3:13" x14ac:dyDescent="0.3">
      <c r="C9075" s="87"/>
      <c r="H9075" s="86" t="e">
        <f>IF(I9075="fora",0%,G9075/QUÓRUM!$C$6)</f>
        <v>#DIV/0!</v>
      </c>
      <c r="I9075" s="87"/>
      <c r="J9075" s="88"/>
      <c r="K9075" s="88"/>
      <c r="L9075" s="89"/>
      <c r="M9075" s="89"/>
    </row>
    <row r="9076" spans="3:13" x14ac:dyDescent="0.3">
      <c r="C9076" s="87"/>
      <c r="H9076" s="86" t="e">
        <f>IF(I9076="fora",0%,G9076/QUÓRUM!$C$6)</f>
        <v>#DIV/0!</v>
      </c>
      <c r="I9076" s="87"/>
      <c r="J9076" s="88"/>
      <c r="K9076" s="88"/>
      <c r="L9076" s="89"/>
      <c r="M9076" s="89"/>
    </row>
    <row r="9077" spans="3:13" x14ac:dyDescent="0.3">
      <c r="C9077" s="87"/>
      <c r="H9077" s="86" t="e">
        <f>IF(I9077="fora",0%,G9077/QUÓRUM!$C$6)</f>
        <v>#DIV/0!</v>
      </c>
      <c r="I9077" s="87"/>
      <c r="J9077" s="88"/>
      <c r="K9077" s="88"/>
      <c r="L9077" s="89"/>
      <c r="M9077" s="89"/>
    </row>
    <row r="9078" spans="3:13" x14ac:dyDescent="0.3">
      <c r="C9078" s="87"/>
      <c r="H9078" s="86" t="e">
        <f>IF(I9078="fora",0%,G9078/QUÓRUM!$C$6)</f>
        <v>#DIV/0!</v>
      </c>
      <c r="I9078" s="87"/>
      <c r="J9078" s="88"/>
      <c r="K9078" s="88"/>
      <c r="L9078" s="89"/>
      <c r="M9078" s="89"/>
    </row>
    <row r="9079" spans="3:13" x14ac:dyDescent="0.3">
      <c r="C9079" s="87"/>
      <c r="H9079" s="86" t="e">
        <f>IF(I9079="fora",0%,G9079/QUÓRUM!$C$6)</f>
        <v>#DIV/0!</v>
      </c>
      <c r="I9079" s="87"/>
      <c r="J9079" s="88"/>
      <c r="K9079" s="88"/>
      <c r="L9079" s="89"/>
      <c r="M9079" s="89"/>
    </row>
    <row r="9080" spans="3:13" x14ac:dyDescent="0.3">
      <c r="C9080" s="87"/>
      <c r="H9080" s="86" t="e">
        <f>IF(I9080="fora",0%,G9080/QUÓRUM!$C$6)</f>
        <v>#DIV/0!</v>
      </c>
      <c r="I9080" s="87"/>
      <c r="J9080" s="88"/>
      <c r="K9080" s="88"/>
      <c r="L9080" s="89"/>
      <c r="M9080" s="89"/>
    </row>
    <row r="9081" spans="3:13" x14ac:dyDescent="0.3">
      <c r="C9081" s="87"/>
      <c r="H9081" s="86" t="e">
        <f>IF(I9081="fora",0%,G9081/QUÓRUM!$C$6)</f>
        <v>#DIV/0!</v>
      </c>
      <c r="I9081" s="87"/>
      <c r="J9081" s="88"/>
      <c r="K9081" s="88"/>
      <c r="L9081" s="89"/>
      <c r="M9081" s="89"/>
    </row>
    <row r="9082" spans="3:13" x14ac:dyDescent="0.3">
      <c r="C9082" s="87"/>
      <c r="H9082" s="86" t="e">
        <f>IF(I9082="fora",0%,G9082/QUÓRUM!$C$6)</f>
        <v>#DIV/0!</v>
      </c>
      <c r="I9082" s="87"/>
      <c r="J9082" s="88"/>
      <c r="K9082" s="88"/>
      <c r="L9082" s="89"/>
      <c r="M9082" s="89"/>
    </row>
    <row r="9083" spans="3:13" x14ac:dyDescent="0.3">
      <c r="C9083" s="87"/>
      <c r="H9083" s="86" t="e">
        <f>IF(I9083="fora",0%,G9083/QUÓRUM!$C$6)</f>
        <v>#DIV/0!</v>
      </c>
      <c r="I9083" s="87"/>
      <c r="J9083" s="88"/>
      <c r="K9083" s="88"/>
      <c r="L9083" s="89"/>
      <c r="M9083" s="89"/>
    </row>
    <row r="9084" spans="3:13" x14ac:dyDescent="0.3">
      <c r="C9084" s="87"/>
      <c r="H9084" s="86" t="e">
        <f>IF(I9084="fora",0%,G9084/QUÓRUM!$C$6)</f>
        <v>#DIV/0!</v>
      </c>
      <c r="I9084" s="87"/>
      <c r="J9084" s="88"/>
      <c r="K9084" s="88"/>
      <c r="L9084" s="89"/>
      <c r="M9084" s="89"/>
    </row>
    <row r="9085" spans="3:13" x14ac:dyDescent="0.3">
      <c r="C9085" s="87"/>
      <c r="H9085" s="86" t="e">
        <f>IF(I9085="fora",0%,G9085/QUÓRUM!$C$6)</f>
        <v>#DIV/0!</v>
      </c>
      <c r="I9085" s="87"/>
      <c r="J9085" s="88"/>
      <c r="K9085" s="88"/>
      <c r="L9085" s="89"/>
      <c r="M9085" s="89"/>
    </row>
    <row r="9086" spans="3:13" x14ac:dyDescent="0.3">
      <c r="C9086" s="87"/>
      <c r="H9086" s="86" t="e">
        <f>IF(I9086="fora",0%,G9086/QUÓRUM!$C$6)</f>
        <v>#DIV/0!</v>
      </c>
      <c r="I9086" s="87"/>
      <c r="J9086" s="88"/>
      <c r="K9086" s="88"/>
      <c r="L9086" s="89"/>
      <c r="M9086" s="89"/>
    </row>
    <row r="9087" spans="3:13" x14ac:dyDescent="0.3">
      <c r="C9087" s="87"/>
      <c r="H9087" s="86" t="e">
        <f>IF(I9087="fora",0%,G9087/QUÓRUM!$C$6)</f>
        <v>#DIV/0!</v>
      </c>
      <c r="I9087" s="87"/>
      <c r="J9087" s="88"/>
      <c r="K9087" s="88"/>
      <c r="L9087" s="89"/>
      <c r="M9087" s="89"/>
    </row>
    <row r="9088" spans="3:13" x14ac:dyDescent="0.3">
      <c r="C9088" s="87"/>
      <c r="H9088" s="86" t="e">
        <f>IF(I9088="fora",0%,G9088/QUÓRUM!$C$6)</f>
        <v>#DIV/0!</v>
      </c>
      <c r="I9088" s="87"/>
      <c r="J9088" s="88"/>
      <c r="K9088" s="88"/>
      <c r="L9088" s="89"/>
      <c r="M9088" s="89"/>
    </row>
    <row r="9089" spans="3:13" x14ac:dyDescent="0.3">
      <c r="C9089" s="87"/>
      <c r="H9089" s="86" t="e">
        <f>IF(I9089="fora",0%,G9089/QUÓRUM!$C$6)</f>
        <v>#DIV/0!</v>
      </c>
      <c r="I9089" s="87"/>
      <c r="J9089" s="88"/>
      <c r="K9089" s="88"/>
      <c r="L9089" s="89"/>
      <c r="M9089" s="89"/>
    </row>
    <row r="9090" spans="3:13" x14ac:dyDescent="0.3">
      <c r="C9090" s="87"/>
      <c r="H9090" s="86" t="e">
        <f>IF(I9090="fora",0%,G9090/QUÓRUM!$C$6)</f>
        <v>#DIV/0!</v>
      </c>
      <c r="I9090" s="87"/>
      <c r="J9090" s="88"/>
      <c r="K9090" s="88"/>
      <c r="L9090" s="89"/>
      <c r="M9090" s="89"/>
    </row>
    <row r="9091" spans="3:13" x14ac:dyDescent="0.3">
      <c r="C9091" s="87"/>
      <c r="H9091" s="86" t="e">
        <f>IF(I9091="fora",0%,G9091/QUÓRUM!$C$6)</f>
        <v>#DIV/0!</v>
      </c>
      <c r="I9091" s="87"/>
      <c r="J9091" s="88"/>
      <c r="K9091" s="88"/>
      <c r="L9091" s="89"/>
      <c r="M9091" s="89"/>
    </row>
    <row r="9092" spans="3:13" x14ac:dyDescent="0.3">
      <c r="C9092" s="87"/>
      <c r="H9092" s="86" t="e">
        <f>IF(I9092="fora",0%,G9092/QUÓRUM!$C$6)</f>
        <v>#DIV/0!</v>
      </c>
      <c r="I9092" s="87"/>
      <c r="J9092" s="88"/>
      <c r="K9092" s="88"/>
      <c r="L9092" s="89"/>
      <c r="M9092" s="89"/>
    </row>
    <row r="9093" spans="3:13" x14ac:dyDescent="0.3">
      <c r="C9093" s="87"/>
      <c r="H9093" s="86" t="e">
        <f>IF(I9093="fora",0%,G9093/QUÓRUM!$C$6)</f>
        <v>#DIV/0!</v>
      </c>
      <c r="I9093" s="87"/>
      <c r="J9093" s="88"/>
      <c r="K9093" s="88"/>
      <c r="L9093" s="89"/>
      <c r="M9093" s="89"/>
    </row>
    <row r="9094" spans="3:13" x14ac:dyDescent="0.3">
      <c r="C9094" s="87"/>
      <c r="H9094" s="86" t="e">
        <f>IF(I9094="fora",0%,G9094/QUÓRUM!$C$6)</f>
        <v>#DIV/0!</v>
      </c>
      <c r="I9094" s="87"/>
      <c r="J9094" s="88"/>
      <c r="K9094" s="88"/>
      <c r="L9094" s="89"/>
      <c r="M9094" s="89"/>
    </row>
    <row r="9095" spans="3:13" x14ac:dyDescent="0.3">
      <c r="C9095" s="87"/>
      <c r="H9095" s="86" t="e">
        <f>IF(I9095="fora",0%,G9095/QUÓRUM!$C$6)</f>
        <v>#DIV/0!</v>
      </c>
      <c r="I9095" s="87"/>
      <c r="J9095" s="88"/>
      <c r="K9095" s="88"/>
      <c r="L9095" s="89"/>
      <c r="M9095" s="89"/>
    </row>
    <row r="9096" spans="3:13" x14ac:dyDescent="0.3">
      <c r="C9096" s="87"/>
      <c r="H9096" s="86" t="e">
        <f>IF(I9096="fora",0%,G9096/QUÓRUM!$C$6)</f>
        <v>#DIV/0!</v>
      </c>
      <c r="I9096" s="87"/>
      <c r="J9096" s="88"/>
      <c r="K9096" s="88"/>
      <c r="L9096" s="89"/>
      <c r="M9096" s="89"/>
    </row>
    <row r="9097" spans="3:13" x14ac:dyDescent="0.3">
      <c r="C9097" s="87"/>
      <c r="H9097" s="86" t="e">
        <f>IF(I9097="fora",0%,G9097/QUÓRUM!$C$6)</f>
        <v>#DIV/0!</v>
      </c>
      <c r="I9097" s="87"/>
      <c r="J9097" s="88"/>
      <c r="K9097" s="88"/>
      <c r="L9097" s="89"/>
      <c r="M9097" s="89"/>
    </row>
    <row r="9098" spans="3:13" x14ac:dyDescent="0.3">
      <c r="C9098" s="87"/>
      <c r="H9098" s="86" t="e">
        <f>IF(I9098="fora",0%,G9098/QUÓRUM!$C$6)</f>
        <v>#DIV/0!</v>
      </c>
      <c r="I9098" s="87"/>
      <c r="J9098" s="88"/>
      <c r="K9098" s="88"/>
      <c r="L9098" s="89"/>
      <c r="M9098" s="89"/>
    </row>
    <row r="9099" spans="3:13" x14ac:dyDescent="0.3">
      <c r="C9099" s="87"/>
      <c r="H9099" s="86" t="e">
        <f>IF(I9099="fora",0%,G9099/QUÓRUM!$C$6)</f>
        <v>#DIV/0!</v>
      </c>
      <c r="I9099" s="87"/>
      <c r="J9099" s="88"/>
      <c r="K9099" s="88"/>
      <c r="L9099" s="89"/>
      <c r="M9099" s="89"/>
    </row>
    <row r="9100" spans="3:13" x14ac:dyDescent="0.3">
      <c r="C9100" s="87"/>
      <c r="H9100" s="86" t="e">
        <f>IF(I9100="fora",0%,G9100/QUÓRUM!$C$6)</f>
        <v>#DIV/0!</v>
      </c>
      <c r="I9100" s="87"/>
      <c r="J9100" s="88"/>
      <c r="K9100" s="88"/>
      <c r="L9100" s="89"/>
      <c r="M9100" s="89"/>
    </row>
    <row r="9101" spans="3:13" x14ac:dyDescent="0.3">
      <c r="C9101" s="87"/>
      <c r="H9101" s="86" t="e">
        <f>IF(I9101="fora",0%,G9101/QUÓRUM!$C$6)</f>
        <v>#DIV/0!</v>
      </c>
      <c r="I9101" s="87"/>
      <c r="J9101" s="88"/>
      <c r="K9101" s="88"/>
      <c r="L9101" s="89"/>
      <c r="M9101" s="89"/>
    </row>
    <row r="9102" spans="3:13" x14ac:dyDescent="0.3">
      <c r="C9102" s="87"/>
      <c r="H9102" s="86" t="e">
        <f>IF(I9102="fora",0%,G9102/QUÓRUM!$C$6)</f>
        <v>#DIV/0!</v>
      </c>
      <c r="I9102" s="87"/>
      <c r="J9102" s="88"/>
      <c r="K9102" s="88"/>
      <c r="L9102" s="89"/>
      <c r="M9102" s="89"/>
    </row>
    <row r="9103" spans="3:13" x14ac:dyDescent="0.3">
      <c r="C9103" s="87"/>
      <c r="H9103" s="86" t="e">
        <f>IF(I9103="fora",0%,G9103/QUÓRUM!$C$6)</f>
        <v>#DIV/0!</v>
      </c>
      <c r="I9103" s="87"/>
      <c r="J9103" s="88"/>
      <c r="K9103" s="88"/>
      <c r="L9103" s="89"/>
      <c r="M9103" s="89"/>
    </row>
    <row r="9104" spans="3:13" x14ac:dyDescent="0.3">
      <c r="C9104" s="87"/>
      <c r="H9104" s="86" t="e">
        <f>IF(I9104="fora",0%,G9104/QUÓRUM!$C$6)</f>
        <v>#DIV/0!</v>
      </c>
      <c r="I9104" s="87"/>
      <c r="J9104" s="88"/>
      <c r="K9104" s="88"/>
      <c r="L9104" s="89"/>
      <c r="M9104" s="89"/>
    </row>
    <row r="9105" spans="3:13" x14ac:dyDescent="0.3">
      <c r="C9105" s="87"/>
      <c r="H9105" s="86" t="e">
        <f>IF(I9105="fora",0%,G9105/QUÓRUM!$C$6)</f>
        <v>#DIV/0!</v>
      </c>
      <c r="I9105" s="87"/>
      <c r="J9105" s="88"/>
      <c r="K9105" s="88"/>
      <c r="L9105" s="89"/>
      <c r="M9105" s="89"/>
    </row>
    <row r="9106" spans="3:13" x14ac:dyDescent="0.3">
      <c r="C9106" s="87"/>
      <c r="H9106" s="86" t="e">
        <f>IF(I9106="fora",0%,G9106/QUÓRUM!$C$6)</f>
        <v>#DIV/0!</v>
      </c>
      <c r="I9106" s="87"/>
      <c r="J9106" s="88"/>
      <c r="K9106" s="88"/>
      <c r="L9106" s="89"/>
      <c r="M9106" s="89"/>
    </row>
    <row r="9107" spans="3:13" x14ac:dyDescent="0.3">
      <c r="C9107" s="87"/>
      <c r="H9107" s="86" t="e">
        <f>IF(I9107="fora",0%,G9107/QUÓRUM!$C$6)</f>
        <v>#DIV/0!</v>
      </c>
      <c r="I9107" s="87"/>
      <c r="J9107" s="88"/>
      <c r="K9107" s="88"/>
      <c r="L9107" s="89"/>
      <c r="M9107" s="89"/>
    </row>
    <row r="9108" spans="3:13" x14ac:dyDescent="0.3">
      <c r="C9108" s="87"/>
      <c r="H9108" s="86" t="e">
        <f>IF(I9108="fora",0%,G9108/QUÓRUM!$C$6)</f>
        <v>#DIV/0!</v>
      </c>
      <c r="I9108" s="87"/>
      <c r="J9108" s="88"/>
      <c r="K9108" s="88"/>
      <c r="L9108" s="89"/>
      <c r="M9108" s="89"/>
    </row>
    <row r="9109" spans="3:13" x14ac:dyDescent="0.3">
      <c r="C9109" s="87"/>
      <c r="H9109" s="86" t="e">
        <f>IF(I9109="fora",0%,G9109/QUÓRUM!$C$6)</f>
        <v>#DIV/0!</v>
      </c>
      <c r="I9109" s="87"/>
      <c r="J9109" s="88"/>
      <c r="K9109" s="88"/>
      <c r="L9109" s="89"/>
      <c r="M9109" s="89"/>
    </row>
    <row r="9110" spans="3:13" x14ac:dyDescent="0.3">
      <c r="C9110" s="87"/>
      <c r="H9110" s="86" t="e">
        <f>IF(I9110="fora",0%,G9110/QUÓRUM!$C$6)</f>
        <v>#DIV/0!</v>
      </c>
      <c r="I9110" s="87"/>
      <c r="J9110" s="88"/>
      <c r="K9110" s="88"/>
      <c r="L9110" s="89"/>
      <c r="M9110" s="89"/>
    </row>
    <row r="9111" spans="3:13" x14ac:dyDescent="0.3">
      <c r="C9111" s="87"/>
      <c r="H9111" s="86" t="e">
        <f>IF(I9111="fora",0%,G9111/QUÓRUM!$C$6)</f>
        <v>#DIV/0!</v>
      </c>
      <c r="I9111" s="87"/>
      <c r="J9111" s="88"/>
      <c r="K9111" s="88"/>
      <c r="L9111" s="89"/>
      <c r="M9111" s="89"/>
    </row>
    <row r="9112" spans="3:13" x14ac:dyDescent="0.3">
      <c r="C9112" s="87"/>
      <c r="H9112" s="86" t="e">
        <f>IF(I9112="fora",0%,G9112/QUÓRUM!$C$6)</f>
        <v>#DIV/0!</v>
      </c>
      <c r="I9112" s="87"/>
      <c r="J9112" s="88"/>
      <c r="K9112" s="88"/>
      <c r="L9112" s="89"/>
      <c r="M9112" s="89"/>
    </row>
    <row r="9113" spans="3:13" x14ac:dyDescent="0.3">
      <c r="C9113" s="87"/>
      <c r="H9113" s="86" t="e">
        <f>IF(I9113="fora",0%,G9113/QUÓRUM!$C$6)</f>
        <v>#DIV/0!</v>
      </c>
      <c r="I9113" s="87"/>
      <c r="J9113" s="88"/>
      <c r="K9113" s="88"/>
      <c r="L9113" s="89"/>
      <c r="M9113" s="89"/>
    </row>
    <row r="9114" spans="3:13" x14ac:dyDescent="0.3">
      <c r="C9114" s="87"/>
      <c r="H9114" s="86" t="e">
        <f>IF(I9114="fora",0%,G9114/QUÓRUM!$C$6)</f>
        <v>#DIV/0!</v>
      </c>
      <c r="I9114" s="87"/>
      <c r="J9114" s="88"/>
      <c r="K9114" s="88"/>
      <c r="L9114" s="89"/>
      <c r="M9114" s="89"/>
    </row>
    <row r="9115" spans="3:13" x14ac:dyDescent="0.3">
      <c r="C9115" s="87"/>
      <c r="H9115" s="86" t="e">
        <f>IF(I9115="fora",0%,G9115/QUÓRUM!$C$6)</f>
        <v>#DIV/0!</v>
      </c>
      <c r="I9115" s="87"/>
      <c r="J9115" s="88"/>
      <c r="K9115" s="88"/>
      <c r="L9115" s="89"/>
      <c r="M9115" s="89"/>
    </row>
    <row r="9116" spans="3:13" x14ac:dyDescent="0.3">
      <c r="C9116" s="87"/>
      <c r="H9116" s="86" t="e">
        <f>IF(I9116="fora",0%,G9116/QUÓRUM!$C$6)</f>
        <v>#DIV/0!</v>
      </c>
      <c r="I9116" s="87"/>
      <c r="J9116" s="88"/>
      <c r="K9116" s="88"/>
      <c r="L9116" s="89"/>
      <c r="M9116" s="89"/>
    </row>
    <row r="9117" spans="3:13" x14ac:dyDescent="0.3">
      <c r="C9117" s="87"/>
      <c r="H9117" s="86" t="e">
        <f>IF(I9117="fora",0%,G9117/QUÓRUM!$C$6)</f>
        <v>#DIV/0!</v>
      </c>
      <c r="I9117" s="87"/>
      <c r="J9117" s="88"/>
      <c r="K9117" s="88"/>
      <c r="L9117" s="89"/>
      <c r="M9117" s="89"/>
    </row>
    <row r="9118" spans="3:13" x14ac:dyDescent="0.3">
      <c r="C9118" s="87"/>
      <c r="H9118" s="86" t="e">
        <f>IF(I9118="fora",0%,G9118/QUÓRUM!$C$6)</f>
        <v>#DIV/0!</v>
      </c>
      <c r="I9118" s="87"/>
      <c r="J9118" s="88"/>
      <c r="K9118" s="88"/>
      <c r="L9118" s="89"/>
      <c r="M9118" s="89"/>
    </row>
    <row r="9119" spans="3:13" x14ac:dyDescent="0.3">
      <c r="C9119" s="87"/>
      <c r="H9119" s="86" t="e">
        <f>IF(I9119="fora",0%,G9119/QUÓRUM!$C$6)</f>
        <v>#DIV/0!</v>
      </c>
      <c r="I9119" s="87"/>
      <c r="J9119" s="88"/>
      <c r="K9119" s="88"/>
      <c r="L9119" s="89"/>
      <c r="M9119" s="89"/>
    </row>
    <row r="9120" spans="3:13" x14ac:dyDescent="0.3">
      <c r="C9120" s="87"/>
      <c r="H9120" s="86" t="e">
        <f>IF(I9120="fora",0%,G9120/QUÓRUM!$C$6)</f>
        <v>#DIV/0!</v>
      </c>
      <c r="I9120" s="87"/>
      <c r="J9120" s="88"/>
      <c r="K9120" s="88"/>
      <c r="L9120" s="89"/>
      <c r="M9120" s="89"/>
    </row>
    <row r="9121" spans="3:13" x14ac:dyDescent="0.3">
      <c r="C9121" s="87"/>
      <c r="H9121" s="86" t="e">
        <f>IF(I9121="fora",0%,G9121/QUÓRUM!$C$6)</f>
        <v>#DIV/0!</v>
      </c>
      <c r="I9121" s="87"/>
      <c r="J9121" s="88"/>
      <c r="K9121" s="88"/>
      <c r="L9121" s="89"/>
      <c r="M9121" s="89"/>
    </row>
    <row r="9122" spans="3:13" x14ac:dyDescent="0.3">
      <c r="C9122" s="87"/>
      <c r="H9122" s="86" t="e">
        <f>IF(I9122="fora",0%,G9122/QUÓRUM!$C$6)</f>
        <v>#DIV/0!</v>
      </c>
      <c r="I9122" s="87"/>
      <c r="J9122" s="88"/>
      <c r="K9122" s="88"/>
      <c r="L9122" s="89"/>
      <c r="M9122" s="89"/>
    </row>
    <row r="9123" spans="3:13" x14ac:dyDescent="0.3">
      <c r="C9123" s="87"/>
      <c r="H9123" s="86" t="e">
        <f>IF(I9123="fora",0%,G9123/QUÓRUM!$C$6)</f>
        <v>#DIV/0!</v>
      </c>
      <c r="I9123" s="87"/>
      <c r="J9123" s="88"/>
      <c r="K9123" s="88"/>
      <c r="L9123" s="89"/>
      <c r="M9123" s="89"/>
    </row>
    <row r="9124" spans="3:13" x14ac:dyDescent="0.3">
      <c r="C9124" s="87"/>
      <c r="H9124" s="86" t="e">
        <f>IF(I9124="fora",0%,G9124/QUÓRUM!$C$6)</f>
        <v>#DIV/0!</v>
      </c>
      <c r="I9124" s="87"/>
      <c r="J9124" s="88"/>
      <c r="K9124" s="88"/>
      <c r="L9124" s="89"/>
      <c r="M9124" s="89"/>
    </row>
    <row r="9125" spans="3:13" x14ac:dyDescent="0.3">
      <c r="C9125" s="87"/>
      <c r="H9125" s="86" t="e">
        <f>IF(I9125="fora",0%,G9125/QUÓRUM!$C$6)</f>
        <v>#DIV/0!</v>
      </c>
      <c r="I9125" s="87"/>
      <c r="J9125" s="88"/>
      <c r="K9125" s="88"/>
      <c r="L9125" s="89"/>
      <c r="M9125" s="89"/>
    </row>
    <row r="9126" spans="3:13" x14ac:dyDescent="0.3">
      <c r="C9126" s="87"/>
      <c r="H9126" s="86" t="e">
        <f>IF(I9126="fora",0%,G9126/QUÓRUM!$C$6)</f>
        <v>#DIV/0!</v>
      </c>
      <c r="I9126" s="87"/>
      <c r="J9126" s="88"/>
      <c r="K9126" s="88"/>
      <c r="L9126" s="89"/>
      <c r="M9126" s="89"/>
    </row>
    <row r="9127" spans="3:13" x14ac:dyDescent="0.3">
      <c r="C9127" s="87"/>
      <c r="H9127" s="86" t="e">
        <f>IF(I9127="fora",0%,G9127/QUÓRUM!$C$6)</f>
        <v>#DIV/0!</v>
      </c>
      <c r="I9127" s="87"/>
      <c r="J9127" s="88"/>
      <c r="K9127" s="88"/>
      <c r="L9127" s="89"/>
      <c r="M9127" s="89"/>
    </row>
    <row r="9128" spans="3:13" x14ac:dyDescent="0.3">
      <c r="C9128" s="87"/>
      <c r="H9128" s="86" t="e">
        <f>IF(I9128="fora",0%,G9128/QUÓRUM!$C$6)</f>
        <v>#DIV/0!</v>
      </c>
      <c r="I9128" s="87"/>
      <c r="J9128" s="88"/>
      <c r="K9128" s="88"/>
      <c r="L9128" s="89"/>
      <c r="M9128" s="89"/>
    </row>
    <row r="9129" spans="3:13" x14ac:dyDescent="0.3">
      <c r="C9129" s="87"/>
      <c r="H9129" s="86" t="e">
        <f>IF(I9129="fora",0%,G9129/QUÓRUM!$C$6)</f>
        <v>#DIV/0!</v>
      </c>
      <c r="I9129" s="87"/>
      <c r="J9129" s="88"/>
      <c r="K9129" s="88"/>
      <c r="L9129" s="89"/>
      <c r="M9129" s="89"/>
    </row>
    <row r="9130" spans="3:13" x14ac:dyDescent="0.3">
      <c r="C9130" s="87"/>
      <c r="H9130" s="86" t="e">
        <f>IF(I9130="fora",0%,G9130/QUÓRUM!$C$6)</f>
        <v>#DIV/0!</v>
      </c>
      <c r="I9130" s="87"/>
      <c r="J9130" s="88"/>
      <c r="K9130" s="88"/>
      <c r="L9130" s="89"/>
      <c r="M9130" s="89"/>
    </row>
    <row r="9131" spans="3:13" x14ac:dyDescent="0.3">
      <c r="C9131" s="87"/>
      <c r="H9131" s="86" t="e">
        <f>IF(I9131="fora",0%,G9131/QUÓRUM!$C$6)</f>
        <v>#DIV/0!</v>
      </c>
      <c r="I9131" s="87"/>
      <c r="J9131" s="88"/>
      <c r="K9131" s="88"/>
      <c r="L9131" s="89"/>
      <c r="M9131" s="89"/>
    </row>
    <row r="9132" spans="3:13" x14ac:dyDescent="0.3">
      <c r="C9132" s="87"/>
      <c r="H9132" s="86" t="e">
        <f>IF(I9132="fora",0%,G9132/QUÓRUM!$C$6)</f>
        <v>#DIV/0!</v>
      </c>
      <c r="I9132" s="87"/>
      <c r="J9132" s="88"/>
      <c r="K9132" s="88"/>
      <c r="L9132" s="89"/>
      <c r="M9132" s="89"/>
    </row>
    <row r="9133" spans="3:13" x14ac:dyDescent="0.3">
      <c r="C9133" s="87"/>
      <c r="H9133" s="86" t="e">
        <f>IF(I9133="fora",0%,G9133/QUÓRUM!$C$6)</f>
        <v>#DIV/0!</v>
      </c>
      <c r="I9133" s="87"/>
      <c r="J9133" s="88"/>
      <c r="K9133" s="88"/>
      <c r="L9133" s="89"/>
      <c r="M9133" s="89"/>
    </row>
    <row r="9134" spans="3:13" x14ac:dyDescent="0.3">
      <c r="C9134" s="87"/>
      <c r="H9134" s="86" t="e">
        <f>IF(I9134="fora",0%,G9134/QUÓRUM!$C$6)</f>
        <v>#DIV/0!</v>
      </c>
      <c r="I9134" s="87"/>
      <c r="J9134" s="88"/>
      <c r="K9134" s="88"/>
      <c r="L9134" s="89"/>
      <c r="M9134" s="89"/>
    </row>
    <row r="9135" spans="3:13" x14ac:dyDescent="0.3">
      <c r="C9135" s="87"/>
      <c r="H9135" s="86" t="e">
        <f>IF(I9135="fora",0%,G9135/QUÓRUM!$C$6)</f>
        <v>#DIV/0!</v>
      </c>
      <c r="I9135" s="87"/>
      <c r="J9135" s="88"/>
      <c r="K9135" s="88"/>
      <c r="L9135" s="89"/>
      <c r="M9135" s="89"/>
    </row>
    <row r="9136" spans="3:13" x14ac:dyDescent="0.3">
      <c r="C9136" s="87"/>
      <c r="H9136" s="86" t="e">
        <f>IF(I9136="fora",0%,G9136/QUÓRUM!$C$6)</f>
        <v>#DIV/0!</v>
      </c>
      <c r="I9136" s="87"/>
      <c r="J9136" s="88"/>
      <c r="K9136" s="88"/>
      <c r="L9136" s="89"/>
      <c r="M9136" s="89"/>
    </row>
    <row r="9137" spans="3:13" x14ac:dyDescent="0.3">
      <c r="C9137" s="87"/>
      <c r="H9137" s="86" t="e">
        <f>IF(I9137="fora",0%,G9137/QUÓRUM!$C$6)</f>
        <v>#DIV/0!</v>
      </c>
      <c r="I9137" s="87"/>
      <c r="J9137" s="88"/>
      <c r="K9137" s="88"/>
      <c r="L9137" s="89"/>
      <c r="M9137" s="89"/>
    </row>
    <row r="9138" spans="3:13" x14ac:dyDescent="0.3">
      <c r="C9138" s="87"/>
      <c r="H9138" s="86" t="e">
        <f>IF(I9138="fora",0%,G9138/QUÓRUM!$C$6)</f>
        <v>#DIV/0!</v>
      </c>
      <c r="I9138" s="87"/>
      <c r="J9138" s="88"/>
      <c r="K9138" s="88"/>
      <c r="L9138" s="89"/>
      <c r="M9138" s="89"/>
    </row>
    <row r="9139" spans="3:13" x14ac:dyDescent="0.3">
      <c r="C9139" s="87"/>
      <c r="H9139" s="86" t="e">
        <f>IF(I9139="fora",0%,G9139/QUÓRUM!$C$6)</f>
        <v>#DIV/0!</v>
      </c>
      <c r="I9139" s="87"/>
      <c r="J9139" s="88"/>
      <c r="K9139" s="88"/>
      <c r="L9139" s="89"/>
      <c r="M9139" s="89"/>
    </row>
    <row r="9140" spans="3:13" x14ac:dyDescent="0.3">
      <c r="C9140" s="87"/>
      <c r="H9140" s="86" t="e">
        <f>IF(I9140="fora",0%,G9140/QUÓRUM!$C$6)</f>
        <v>#DIV/0!</v>
      </c>
      <c r="I9140" s="87"/>
      <c r="J9140" s="88"/>
      <c r="K9140" s="88"/>
      <c r="L9140" s="89"/>
      <c r="M9140" s="89"/>
    </row>
    <row r="9141" spans="3:13" x14ac:dyDescent="0.3">
      <c r="C9141" s="87"/>
      <c r="H9141" s="86" t="e">
        <f>IF(I9141="fora",0%,G9141/QUÓRUM!$C$6)</f>
        <v>#DIV/0!</v>
      </c>
      <c r="I9141" s="87"/>
      <c r="J9141" s="88"/>
      <c r="K9141" s="88"/>
      <c r="L9141" s="89"/>
      <c r="M9141" s="89"/>
    </row>
    <row r="9142" spans="3:13" x14ac:dyDescent="0.3">
      <c r="C9142" s="87"/>
      <c r="H9142" s="86" t="e">
        <f>IF(I9142="fora",0%,G9142/QUÓRUM!$C$6)</f>
        <v>#DIV/0!</v>
      </c>
      <c r="I9142" s="87"/>
      <c r="J9142" s="88"/>
      <c r="K9142" s="88"/>
      <c r="L9142" s="89"/>
      <c r="M9142" s="89"/>
    </row>
    <row r="9143" spans="3:13" x14ac:dyDescent="0.3">
      <c r="C9143" s="87"/>
      <c r="H9143" s="86" t="e">
        <f>IF(I9143="fora",0%,G9143/QUÓRUM!$C$6)</f>
        <v>#DIV/0!</v>
      </c>
      <c r="I9143" s="87"/>
      <c r="J9143" s="88"/>
      <c r="K9143" s="88"/>
      <c r="L9143" s="89"/>
      <c r="M9143" s="89"/>
    </row>
    <row r="9144" spans="3:13" x14ac:dyDescent="0.3">
      <c r="C9144" s="87"/>
      <c r="H9144" s="86" t="e">
        <f>IF(I9144="fora",0%,G9144/QUÓRUM!$C$6)</f>
        <v>#DIV/0!</v>
      </c>
      <c r="I9144" s="87"/>
      <c r="J9144" s="88"/>
      <c r="K9144" s="88"/>
      <c r="L9144" s="89"/>
      <c r="M9144" s="89"/>
    </row>
    <row r="9145" spans="3:13" x14ac:dyDescent="0.3">
      <c r="C9145" s="87"/>
      <c r="H9145" s="86" t="e">
        <f>IF(I9145="fora",0%,G9145/QUÓRUM!$C$6)</f>
        <v>#DIV/0!</v>
      </c>
      <c r="I9145" s="87"/>
      <c r="J9145" s="88"/>
      <c r="K9145" s="88"/>
      <c r="L9145" s="89"/>
      <c r="M9145" s="89"/>
    </row>
    <row r="9146" spans="3:13" x14ac:dyDescent="0.3">
      <c r="C9146" s="87"/>
      <c r="H9146" s="86" t="e">
        <f>IF(I9146="fora",0%,G9146/QUÓRUM!$C$6)</f>
        <v>#DIV/0!</v>
      </c>
      <c r="I9146" s="87"/>
      <c r="J9146" s="88"/>
      <c r="K9146" s="88"/>
      <c r="L9146" s="89"/>
      <c r="M9146" s="89"/>
    </row>
    <row r="9147" spans="3:13" x14ac:dyDescent="0.3">
      <c r="C9147" s="87"/>
      <c r="H9147" s="86" t="e">
        <f>IF(I9147="fora",0%,G9147/QUÓRUM!$C$6)</f>
        <v>#DIV/0!</v>
      </c>
      <c r="I9147" s="87"/>
      <c r="J9147" s="88"/>
      <c r="K9147" s="88"/>
      <c r="L9147" s="89"/>
      <c r="M9147" s="89"/>
    </row>
    <row r="9148" spans="3:13" x14ac:dyDescent="0.3">
      <c r="C9148" s="87"/>
      <c r="H9148" s="86" t="e">
        <f>IF(I9148="fora",0%,G9148/QUÓRUM!$C$6)</f>
        <v>#DIV/0!</v>
      </c>
      <c r="I9148" s="87"/>
      <c r="J9148" s="88"/>
      <c r="K9148" s="88"/>
      <c r="L9148" s="89"/>
      <c r="M9148" s="89"/>
    </row>
    <row r="9149" spans="3:13" x14ac:dyDescent="0.3">
      <c r="C9149" s="87"/>
      <c r="H9149" s="86" t="e">
        <f>IF(I9149="fora",0%,G9149/QUÓRUM!$C$6)</f>
        <v>#DIV/0!</v>
      </c>
      <c r="I9149" s="87"/>
      <c r="J9149" s="88"/>
      <c r="K9149" s="88"/>
      <c r="L9149" s="89"/>
      <c r="M9149" s="89"/>
    </row>
    <row r="9150" spans="3:13" x14ac:dyDescent="0.3">
      <c r="C9150" s="87"/>
      <c r="H9150" s="86" t="e">
        <f>IF(I9150="fora",0%,G9150/QUÓRUM!$C$6)</f>
        <v>#DIV/0!</v>
      </c>
      <c r="I9150" s="87"/>
      <c r="J9150" s="88"/>
      <c r="K9150" s="88"/>
      <c r="L9150" s="89"/>
      <c r="M9150" s="89"/>
    </row>
    <row r="9151" spans="3:13" x14ac:dyDescent="0.3">
      <c r="C9151" s="87"/>
      <c r="H9151" s="86" t="e">
        <f>IF(I9151="fora",0%,G9151/QUÓRUM!$C$6)</f>
        <v>#DIV/0!</v>
      </c>
      <c r="I9151" s="87"/>
      <c r="J9151" s="88"/>
      <c r="K9151" s="88"/>
      <c r="L9151" s="89"/>
      <c r="M9151" s="89"/>
    </row>
    <row r="9152" spans="3:13" x14ac:dyDescent="0.3">
      <c r="C9152" s="87"/>
      <c r="H9152" s="86" t="e">
        <f>IF(I9152="fora",0%,G9152/QUÓRUM!$C$6)</f>
        <v>#DIV/0!</v>
      </c>
      <c r="I9152" s="87"/>
      <c r="J9152" s="88"/>
      <c r="K9152" s="88"/>
      <c r="L9152" s="89"/>
      <c r="M9152" s="89"/>
    </row>
    <row r="9153" spans="3:13" x14ac:dyDescent="0.3">
      <c r="C9153" s="87"/>
      <c r="H9153" s="86" t="e">
        <f>IF(I9153="fora",0%,G9153/QUÓRUM!$C$6)</f>
        <v>#DIV/0!</v>
      </c>
      <c r="I9153" s="87"/>
      <c r="J9153" s="88"/>
      <c r="K9153" s="88"/>
      <c r="L9153" s="89"/>
      <c r="M9153" s="89"/>
    </row>
    <row r="9154" spans="3:13" x14ac:dyDescent="0.3">
      <c r="C9154" s="87"/>
      <c r="H9154" s="86" t="e">
        <f>IF(I9154="fora",0%,G9154/QUÓRUM!$C$6)</f>
        <v>#DIV/0!</v>
      </c>
      <c r="I9154" s="87"/>
      <c r="J9154" s="88"/>
      <c r="K9154" s="88"/>
      <c r="L9154" s="89"/>
      <c r="M9154" s="89"/>
    </row>
    <row r="9155" spans="3:13" x14ac:dyDescent="0.3">
      <c r="C9155" s="87"/>
      <c r="H9155" s="86" t="e">
        <f>IF(I9155="fora",0%,G9155/QUÓRUM!$C$6)</f>
        <v>#DIV/0!</v>
      </c>
      <c r="I9155" s="87"/>
      <c r="J9155" s="88"/>
      <c r="K9155" s="88"/>
      <c r="L9155" s="89"/>
      <c r="M9155" s="89"/>
    </row>
    <row r="9156" spans="3:13" x14ac:dyDescent="0.3">
      <c r="C9156" s="87"/>
      <c r="H9156" s="86" t="e">
        <f>IF(I9156="fora",0%,G9156/QUÓRUM!$C$6)</f>
        <v>#DIV/0!</v>
      </c>
      <c r="I9156" s="87"/>
      <c r="J9156" s="88"/>
      <c r="K9156" s="88"/>
      <c r="L9156" s="89"/>
      <c r="M9156" s="89"/>
    </row>
    <row r="9157" spans="3:13" x14ac:dyDescent="0.3">
      <c r="C9157" s="87"/>
      <c r="H9157" s="86" t="e">
        <f>IF(I9157="fora",0%,G9157/QUÓRUM!$C$6)</f>
        <v>#DIV/0!</v>
      </c>
      <c r="I9157" s="87"/>
      <c r="J9157" s="88"/>
      <c r="K9157" s="88"/>
      <c r="L9157" s="89"/>
      <c r="M9157" s="89"/>
    </row>
    <row r="9158" spans="3:13" x14ac:dyDescent="0.3">
      <c r="C9158" s="87"/>
      <c r="H9158" s="86" t="e">
        <f>IF(I9158="fora",0%,G9158/QUÓRUM!$C$6)</f>
        <v>#DIV/0!</v>
      </c>
      <c r="I9158" s="87"/>
      <c r="J9158" s="88"/>
      <c r="K9158" s="88"/>
      <c r="L9158" s="89"/>
      <c r="M9158" s="89"/>
    </row>
    <row r="9159" spans="3:13" x14ac:dyDescent="0.3">
      <c r="C9159" s="87"/>
      <c r="H9159" s="86" t="e">
        <f>IF(I9159="fora",0%,G9159/QUÓRUM!$C$6)</f>
        <v>#DIV/0!</v>
      </c>
      <c r="I9159" s="87"/>
      <c r="J9159" s="88"/>
      <c r="K9159" s="88"/>
      <c r="L9159" s="89"/>
      <c r="M9159" s="89"/>
    </row>
    <row r="9160" spans="3:13" x14ac:dyDescent="0.3">
      <c r="C9160" s="87"/>
      <c r="H9160" s="86" t="e">
        <f>IF(I9160="fora",0%,G9160/QUÓRUM!$C$6)</f>
        <v>#DIV/0!</v>
      </c>
      <c r="I9160" s="87"/>
      <c r="J9160" s="88"/>
      <c r="K9160" s="88"/>
      <c r="L9160" s="89"/>
      <c r="M9160" s="89"/>
    </row>
    <row r="9161" spans="3:13" x14ac:dyDescent="0.3">
      <c r="C9161" s="87"/>
      <c r="H9161" s="86" t="e">
        <f>IF(I9161="fora",0%,G9161/QUÓRUM!$C$6)</f>
        <v>#DIV/0!</v>
      </c>
      <c r="I9161" s="87"/>
      <c r="J9161" s="88"/>
      <c r="K9161" s="88"/>
      <c r="L9161" s="89"/>
      <c r="M9161" s="89"/>
    </row>
    <row r="9162" spans="3:13" x14ac:dyDescent="0.3">
      <c r="C9162" s="87"/>
      <c r="H9162" s="86" t="e">
        <f>IF(I9162="fora",0%,G9162/QUÓRUM!$C$6)</f>
        <v>#DIV/0!</v>
      </c>
      <c r="I9162" s="87"/>
      <c r="J9162" s="88"/>
      <c r="K9162" s="88"/>
      <c r="L9162" s="89"/>
      <c r="M9162" s="89"/>
    </row>
    <row r="9163" spans="3:13" x14ac:dyDescent="0.3">
      <c r="C9163" s="87"/>
      <c r="H9163" s="86" t="e">
        <f>IF(I9163="fora",0%,G9163/QUÓRUM!$C$6)</f>
        <v>#DIV/0!</v>
      </c>
      <c r="I9163" s="87"/>
      <c r="J9163" s="88"/>
      <c r="K9163" s="88"/>
      <c r="L9163" s="89"/>
      <c r="M9163" s="89"/>
    </row>
    <row r="9164" spans="3:13" x14ac:dyDescent="0.3">
      <c r="C9164" s="87"/>
      <c r="H9164" s="86" t="e">
        <f>IF(I9164="fora",0%,G9164/QUÓRUM!$C$6)</f>
        <v>#DIV/0!</v>
      </c>
      <c r="I9164" s="87"/>
      <c r="J9164" s="88"/>
      <c r="K9164" s="88"/>
      <c r="L9164" s="89"/>
      <c r="M9164" s="89"/>
    </row>
    <row r="9165" spans="3:13" x14ac:dyDescent="0.3">
      <c r="C9165" s="87"/>
      <c r="H9165" s="86" t="e">
        <f>IF(I9165="fora",0%,G9165/QUÓRUM!$C$6)</f>
        <v>#DIV/0!</v>
      </c>
      <c r="I9165" s="87"/>
      <c r="J9165" s="88"/>
      <c r="K9165" s="88"/>
      <c r="L9165" s="89"/>
      <c r="M9165" s="89"/>
    </row>
    <row r="9166" spans="3:13" x14ac:dyDescent="0.3">
      <c r="C9166" s="87"/>
      <c r="H9166" s="86" t="e">
        <f>IF(I9166="fora",0%,G9166/QUÓRUM!$C$6)</f>
        <v>#DIV/0!</v>
      </c>
      <c r="I9166" s="87"/>
      <c r="J9166" s="88"/>
      <c r="K9166" s="88"/>
      <c r="L9166" s="89"/>
      <c r="M9166" s="89"/>
    </row>
    <row r="9167" spans="3:13" x14ac:dyDescent="0.3">
      <c r="C9167" s="87"/>
      <c r="H9167" s="86" t="e">
        <f>IF(I9167="fora",0%,G9167/QUÓRUM!$C$6)</f>
        <v>#DIV/0!</v>
      </c>
      <c r="I9167" s="87"/>
      <c r="J9167" s="88"/>
      <c r="K9167" s="88"/>
      <c r="L9167" s="89"/>
      <c r="M9167" s="89"/>
    </row>
    <row r="9168" spans="3:13" x14ac:dyDescent="0.3">
      <c r="C9168" s="87"/>
      <c r="H9168" s="86" t="e">
        <f>IF(I9168="fora",0%,G9168/QUÓRUM!$C$6)</f>
        <v>#DIV/0!</v>
      </c>
      <c r="I9168" s="87"/>
      <c r="J9168" s="88"/>
      <c r="K9168" s="88"/>
      <c r="L9168" s="89"/>
      <c r="M9168" s="89"/>
    </row>
    <row r="9169" spans="3:13" x14ac:dyDescent="0.3">
      <c r="C9169" s="87"/>
      <c r="H9169" s="86" t="e">
        <f>IF(I9169="fora",0%,G9169/QUÓRUM!$C$6)</f>
        <v>#DIV/0!</v>
      </c>
      <c r="I9169" s="87"/>
      <c r="J9169" s="88"/>
      <c r="K9169" s="88"/>
      <c r="L9169" s="89"/>
      <c r="M9169" s="89"/>
    </row>
    <row r="9170" spans="3:13" x14ac:dyDescent="0.3">
      <c r="C9170" s="87"/>
      <c r="H9170" s="86" t="e">
        <f>IF(I9170="fora",0%,G9170/QUÓRUM!$C$6)</f>
        <v>#DIV/0!</v>
      </c>
      <c r="I9170" s="87"/>
      <c r="J9170" s="88"/>
      <c r="K9170" s="88"/>
      <c r="L9170" s="89"/>
      <c r="M9170" s="89"/>
    </row>
    <row r="9171" spans="3:13" x14ac:dyDescent="0.3">
      <c r="C9171" s="87"/>
      <c r="H9171" s="86" t="e">
        <f>IF(I9171="fora",0%,G9171/QUÓRUM!$C$6)</f>
        <v>#DIV/0!</v>
      </c>
      <c r="I9171" s="87"/>
      <c r="J9171" s="88"/>
      <c r="K9171" s="88"/>
      <c r="L9171" s="89"/>
      <c r="M9171" s="89"/>
    </row>
    <row r="9172" spans="3:13" x14ac:dyDescent="0.3">
      <c r="C9172" s="87"/>
      <c r="H9172" s="86" t="e">
        <f>IF(I9172="fora",0%,G9172/QUÓRUM!$C$6)</f>
        <v>#DIV/0!</v>
      </c>
      <c r="I9172" s="87"/>
      <c r="J9172" s="88"/>
      <c r="K9172" s="88"/>
      <c r="L9172" s="89"/>
      <c r="M9172" s="89"/>
    </row>
    <row r="9173" spans="3:13" x14ac:dyDescent="0.3">
      <c r="C9173" s="87"/>
      <c r="H9173" s="86" t="e">
        <f>IF(I9173="fora",0%,G9173/QUÓRUM!$C$6)</f>
        <v>#DIV/0!</v>
      </c>
      <c r="I9173" s="87"/>
      <c r="J9173" s="88"/>
      <c r="K9173" s="88"/>
      <c r="L9173" s="89"/>
      <c r="M9173" s="89"/>
    </row>
    <row r="9174" spans="3:13" x14ac:dyDescent="0.3">
      <c r="C9174" s="87"/>
      <c r="H9174" s="86" t="e">
        <f>IF(I9174="fora",0%,G9174/QUÓRUM!$C$6)</f>
        <v>#DIV/0!</v>
      </c>
      <c r="I9174" s="87"/>
      <c r="J9174" s="88"/>
      <c r="K9174" s="88"/>
      <c r="L9174" s="89"/>
      <c r="M9174" s="89"/>
    </row>
    <row r="9175" spans="3:13" x14ac:dyDescent="0.3">
      <c r="C9175" s="87"/>
      <c r="H9175" s="86" t="e">
        <f>IF(I9175="fora",0%,G9175/QUÓRUM!$C$6)</f>
        <v>#DIV/0!</v>
      </c>
      <c r="I9175" s="87"/>
      <c r="J9175" s="88"/>
      <c r="K9175" s="88"/>
      <c r="L9175" s="89"/>
      <c r="M9175" s="89"/>
    </row>
    <row r="9176" spans="3:13" x14ac:dyDescent="0.3">
      <c r="C9176" s="87"/>
      <c r="H9176" s="86" t="e">
        <f>IF(I9176="fora",0%,G9176/QUÓRUM!$C$6)</f>
        <v>#DIV/0!</v>
      </c>
      <c r="I9176" s="87"/>
      <c r="J9176" s="88"/>
      <c r="K9176" s="88"/>
      <c r="L9176" s="89"/>
      <c r="M9176" s="89"/>
    </row>
    <row r="9177" spans="3:13" x14ac:dyDescent="0.3">
      <c r="C9177" s="87"/>
      <c r="H9177" s="86" t="e">
        <f>IF(I9177="fora",0%,G9177/QUÓRUM!$C$6)</f>
        <v>#DIV/0!</v>
      </c>
      <c r="I9177" s="87"/>
      <c r="J9177" s="88"/>
      <c r="K9177" s="88"/>
      <c r="L9177" s="89"/>
      <c r="M9177" s="89"/>
    </row>
    <row r="9178" spans="3:13" x14ac:dyDescent="0.3">
      <c r="C9178" s="87"/>
      <c r="H9178" s="86" t="e">
        <f>IF(I9178="fora",0%,G9178/QUÓRUM!$C$6)</f>
        <v>#DIV/0!</v>
      </c>
      <c r="I9178" s="87"/>
      <c r="J9178" s="88"/>
      <c r="K9178" s="88"/>
      <c r="L9178" s="89"/>
      <c r="M9178" s="89"/>
    </row>
    <row r="9179" spans="3:13" x14ac:dyDescent="0.3">
      <c r="C9179" s="87"/>
      <c r="H9179" s="86" t="e">
        <f>IF(I9179="fora",0%,G9179/QUÓRUM!$C$6)</f>
        <v>#DIV/0!</v>
      </c>
      <c r="I9179" s="87"/>
      <c r="J9179" s="88"/>
      <c r="K9179" s="88"/>
      <c r="L9179" s="89"/>
      <c r="M9179" s="89"/>
    </row>
    <row r="9180" spans="3:13" x14ac:dyDescent="0.3">
      <c r="C9180" s="87"/>
      <c r="H9180" s="86" t="e">
        <f>IF(I9180="fora",0%,G9180/QUÓRUM!$C$6)</f>
        <v>#DIV/0!</v>
      </c>
      <c r="I9180" s="87"/>
      <c r="J9180" s="88"/>
      <c r="K9180" s="88"/>
      <c r="L9180" s="89"/>
      <c r="M9180" s="89"/>
    </row>
    <row r="9181" spans="3:13" x14ac:dyDescent="0.3">
      <c r="C9181" s="87"/>
      <c r="H9181" s="86" t="e">
        <f>IF(I9181="fora",0%,G9181/QUÓRUM!$C$6)</f>
        <v>#DIV/0!</v>
      </c>
      <c r="I9181" s="87"/>
      <c r="J9181" s="88"/>
      <c r="K9181" s="88"/>
      <c r="L9181" s="89"/>
      <c r="M9181" s="89"/>
    </row>
    <row r="9182" spans="3:13" x14ac:dyDescent="0.3">
      <c r="C9182" s="87"/>
      <c r="H9182" s="86" t="e">
        <f>IF(I9182="fora",0%,G9182/QUÓRUM!$C$6)</f>
        <v>#DIV/0!</v>
      </c>
      <c r="I9182" s="87"/>
      <c r="J9182" s="88"/>
      <c r="K9182" s="88"/>
      <c r="L9182" s="89"/>
      <c r="M9182" s="89"/>
    </row>
    <row r="9183" spans="3:13" x14ac:dyDescent="0.3">
      <c r="C9183" s="87"/>
      <c r="H9183" s="86" t="e">
        <f>IF(I9183="fora",0%,G9183/QUÓRUM!$C$6)</f>
        <v>#DIV/0!</v>
      </c>
      <c r="I9183" s="87"/>
      <c r="J9183" s="88"/>
      <c r="K9183" s="88"/>
      <c r="L9183" s="89"/>
      <c r="M9183" s="89"/>
    </row>
    <row r="9184" spans="3:13" x14ac:dyDescent="0.3">
      <c r="C9184" s="87"/>
      <c r="H9184" s="86" t="e">
        <f>IF(I9184="fora",0%,G9184/QUÓRUM!$C$6)</f>
        <v>#DIV/0!</v>
      </c>
      <c r="I9184" s="87"/>
      <c r="J9184" s="88"/>
      <c r="K9184" s="88"/>
      <c r="L9184" s="89"/>
      <c r="M9184" s="89"/>
    </row>
    <row r="9185" spans="3:13" x14ac:dyDescent="0.3">
      <c r="C9185" s="87"/>
      <c r="H9185" s="86" t="e">
        <f>IF(I9185="fora",0%,G9185/QUÓRUM!$C$6)</f>
        <v>#DIV/0!</v>
      </c>
      <c r="I9185" s="87"/>
      <c r="J9185" s="88"/>
      <c r="K9185" s="88"/>
      <c r="L9185" s="89"/>
      <c r="M9185" s="89"/>
    </row>
    <row r="9186" spans="3:13" x14ac:dyDescent="0.3">
      <c r="C9186" s="87"/>
      <c r="H9186" s="86" t="e">
        <f>IF(I9186="fora",0%,G9186/QUÓRUM!$C$6)</f>
        <v>#DIV/0!</v>
      </c>
      <c r="I9186" s="87"/>
      <c r="J9186" s="88"/>
      <c r="K9186" s="88"/>
      <c r="L9186" s="89"/>
      <c r="M9186" s="89"/>
    </row>
    <row r="9187" spans="3:13" x14ac:dyDescent="0.3">
      <c r="C9187" s="87"/>
      <c r="H9187" s="86" t="e">
        <f>IF(I9187="fora",0%,G9187/QUÓRUM!$C$6)</f>
        <v>#DIV/0!</v>
      </c>
      <c r="I9187" s="87"/>
      <c r="J9187" s="88"/>
      <c r="K9187" s="88"/>
      <c r="L9187" s="89"/>
      <c r="M9187" s="89"/>
    </row>
    <row r="9188" spans="3:13" x14ac:dyDescent="0.3">
      <c r="C9188" s="87"/>
      <c r="H9188" s="86" t="e">
        <f>IF(I9188="fora",0%,G9188/QUÓRUM!$C$6)</f>
        <v>#DIV/0!</v>
      </c>
      <c r="I9188" s="87"/>
      <c r="J9188" s="88"/>
      <c r="K9188" s="88"/>
      <c r="L9188" s="89"/>
      <c r="M9188" s="89"/>
    </row>
    <row r="9189" spans="3:13" x14ac:dyDescent="0.3">
      <c r="C9189" s="87"/>
      <c r="H9189" s="86" t="e">
        <f>IF(I9189="fora",0%,G9189/QUÓRUM!$C$6)</f>
        <v>#DIV/0!</v>
      </c>
      <c r="I9189" s="87"/>
      <c r="J9189" s="88"/>
      <c r="K9189" s="88"/>
      <c r="L9189" s="89"/>
      <c r="M9189" s="89"/>
    </row>
    <row r="9190" spans="3:13" x14ac:dyDescent="0.3">
      <c r="C9190" s="87"/>
      <c r="H9190" s="86" t="e">
        <f>IF(I9190="fora",0%,G9190/QUÓRUM!$C$6)</f>
        <v>#DIV/0!</v>
      </c>
      <c r="I9190" s="87"/>
      <c r="J9190" s="88"/>
      <c r="K9190" s="88"/>
      <c r="L9190" s="89"/>
      <c r="M9190" s="89"/>
    </row>
    <row r="9191" spans="3:13" x14ac:dyDescent="0.3">
      <c r="C9191" s="87"/>
      <c r="H9191" s="86" t="e">
        <f>IF(I9191="fora",0%,G9191/QUÓRUM!$C$6)</f>
        <v>#DIV/0!</v>
      </c>
      <c r="I9191" s="87"/>
      <c r="J9191" s="88"/>
      <c r="K9191" s="88"/>
      <c r="L9191" s="89"/>
      <c r="M9191" s="89"/>
    </row>
    <row r="9192" spans="3:13" x14ac:dyDescent="0.3">
      <c r="C9192" s="87"/>
      <c r="H9192" s="86" t="e">
        <f>IF(I9192="fora",0%,G9192/QUÓRUM!$C$6)</f>
        <v>#DIV/0!</v>
      </c>
      <c r="I9192" s="87"/>
      <c r="J9192" s="88"/>
      <c r="K9192" s="88"/>
      <c r="L9192" s="89"/>
      <c r="M9192" s="89"/>
    </row>
    <row r="9193" spans="3:13" x14ac:dyDescent="0.3">
      <c r="C9193" s="87"/>
      <c r="H9193" s="86" t="e">
        <f>IF(I9193="fora",0%,G9193/QUÓRUM!$C$6)</f>
        <v>#DIV/0!</v>
      </c>
      <c r="I9193" s="87"/>
      <c r="J9193" s="88"/>
      <c r="K9193" s="88"/>
      <c r="L9193" s="89"/>
      <c r="M9193" s="89"/>
    </row>
    <row r="9194" spans="3:13" x14ac:dyDescent="0.3">
      <c r="C9194" s="87"/>
      <c r="H9194" s="86" t="e">
        <f>IF(I9194="fora",0%,G9194/QUÓRUM!$C$6)</f>
        <v>#DIV/0!</v>
      </c>
      <c r="I9194" s="87"/>
      <c r="J9194" s="88"/>
      <c r="K9194" s="88"/>
      <c r="L9194" s="89"/>
      <c r="M9194" s="89"/>
    </row>
    <row r="9195" spans="3:13" x14ac:dyDescent="0.3">
      <c r="C9195" s="87"/>
      <c r="H9195" s="86" t="e">
        <f>IF(I9195="fora",0%,G9195/QUÓRUM!$C$6)</f>
        <v>#DIV/0!</v>
      </c>
      <c r="I9195" s="87"/>
      <c r="J9195" s="88"/>
      <c r="K9195" s="88"/>
      <c r="L9195" s="89"/>
      <c r="M9195" s="89"/>
    </row>
    <row r="9196" spans="3:13" x14ac:dyDescent="0.3">
      <c r="C9196" s="87"/>
      <c r="H9196" s="86" t="e">
        <f>IF(I9196="fora",0%,G9196/QUÓRUM!$C$6)</f>
        <v>#DIV/0!</v>
      </c>
      <c r="I9196" s="87"/>
      <c r="J9196" s="88"/>
      <c r="K9196" s="88"/>
      <c r="L9196" s="89"/>
      <c r="M9196" s="89"/>
    </row>
    <row r="9197" spans="3:13" x14ac:dyDescent="0.3">
      <c r="C9197" s="87"/>
      <c r="H9197" s="86" t="e">
        <f>IF(I9197="fora",0%,G9197/QUÓRUM!$C$6)</f>
        <v>#DIV/0!</v>
      </c>
      <c r="I9197" s="87"/>
      <c r="J9197" s="88"/>
      <c r="K9197" s="88"/>
      <c r="L9197" s="89"/>
      <c r="M9197" s="89"/>
    </row>
    <row r="9198" spans="3:13" x14ac:dyDescent="0.3">
      <c r="C9198" s="87"/>
      <c r="H9198" s="86" t="e">
        <f>IF(I9198="fora",0%,G9198/QUÓRUM!$C$6)</f>
        <v>#DIV/0!</v>
      </c>
      <c r="I9198" s="87"/>
      <c r="J9198" s="88"/>
      <c r="K9198" s="88"/>
      <c r="L9198" s="89"/>
      <c r="M9198" s="89"/>
    </row>
    <row r="9199" spans="3:13" x14ac:dyDescent="0.3">
      <c r="C9199" s="87"/>
      <c r="H9199" s="86" t="e">
        <f>IF(I9199="fora",0%,G9199/QUÓRUM!$C$6)</f>
        <v>#DIV/0!</v>
      </c>
      <c r="I9199" s="87"/>
      <c r="J9199" s="88"/>
      <c r="K9199" s="88"/>
      <c r="L9199" s="89"/>
      <c r="M9199" s="89"/>
    </row>
    <row r="9200" spans="3:13" x14ac:dyDescent="0.3">
      <c r="C9200" s="87"/>
      <c r="H9200" s="86" t="e">
        <f>IF(I9200="fora",0%,G9200/QUÓRUM!$C$6)</f>
        <v>#DIV/0!</v>
      </c>
      <c r="I9200" s="87"/>
      <c r="J9200" s="88"/>
      <c r="K9200" s="88"/>
      <c r="L9200" s="89"/>
      <c r="M9200" s="89"/>
    </row>
    <row r="9201" spans="3:13" x14ac:dyDescent="0.3">
      <c r="C9201" s="87"/>
      <c r="H9201" s="86" t="e">
        <f>IF(I9201="fora",0%,G9201/QUÓRUM!$C$6)</f>
        <v>#DIV/0!</v>
      </c>
      <c r="I9201" s="87"/>
      <c r="J9201" s="88"/>
      <c r="K9201" s="88"/>
      <c r="L9201" s="89"/>
      <c r="M9201" s="89"/>
    </row>
    <row r="9202" spans="3:13" x14ac:dyDescent="0.3">
      <c r="C9202" s="87"/>
      <c r="H9202" s="86" t="e">
        <f>IF(I9202="fora",0%,G9202/QUÓRUM!$C$6)</f>
        <v>#DIV/0!</v>
      </c>
      <c r="I9202" s="87"/>
      <c r="J9202" s="88"/>
      <c r="K9202" s="88"/>
      <c r="L9202" s="89"/>
      <c r="M9202" s="89"/>
    </row>
    <row r="9203" spans="3:13" x14ac:dyDescent="0.3">
      <c r="C9203" s="87"/>
      <c r="H9203" s="86" t="e">
        <f>IF(I9203="fora",0%,G9203/QUÓRUM!$C$6)</f>
        <v>#DIV/0!</v>
      </c>
      <c r="I9203" s="87"/>
      <c r="J9203" s="88"/>
      <c r="K9203" s="88"/>
      <c r="L9203" s="89"/>
      <c r="M9203" s="89"/>
    </row>
    <row r="9204" spans="3:13" x14ac:dyDescent="0.3">
      <c r="C9204" s="87"/>
      <c r="H9204" s="86" t="e">
        <f>IF(I9204="fora",0%,G9204/QUÓRUM!$C$6)</f>
        <v>#DIV/0!</v>
      </c>
      <c r="I9204" s="87"/>
      <c r="J9204" s="88"/>
      <c r="K9204" s="88"/>
      <c r="L9204" s="89"/>
      <c r="M9204" s="89"/>
    </row>
    <row r="9205" spans="3:13" x14ac:dyDescent="0.3">
      <c r="C9205" s="87"/>
      <c r="H9205" s="86" t="e">
        <f>IF(I9205="fora",0%,G9205/QUÓRUM!$C$6)</f>
        <v>#DIV/0!</v>
      </c>
      <c r="I9205" s="87"/>
      <c r="J9205" s="88"/>
      <c r="K9205" s="88"/>
      <c r="L9205" s="89"/>
      <c r="M9205" s="89"/>
    </row>
    <row r="9206" spans="3:13" x14ac:dyDescent="0.3">
      <c r="C9206" s="87"/>
      <c r="H9206" s="86" t="e">
        <f>IF(I9206="fora",0%,G9206/QUÓRUM!$C$6)</f>
        <v>#DIV/0!</v>
      </c>
      <c r="I9206" s="87"/>
      <c r="J9206" s="88"/>
      <c r="K9206" s="88"/>
      <c r="L9206" s="89"/>
      <c r="M9206" s="89"/>
    </row>
    <row r="9207" spans="3:13" x14ac:dyDescent="0.3">
      <c r="C9207" s="87"/>
      <c r="H9207" s="86" t="e">
        <f>IF(I9207="fora",0%,G9207/QUÓRUM!$C$6)</f>
        <v>#DIV/0!</v>
      </c>
      <c r="I9207" s="87"/>
      <c r="J9207" s="88"/>
      <c r="K9207" s="88"/>
      <c r="L9207" s="89"/>
      <c r="M9207" s="89"/>
    </row>
    <row r="9208" spans="3:13" x14ac:dyDescent="0.3">
      <c r="C9208" s="87"/>
      <c r="H9208" s="86" t="e">
        <f>IF(I9208="fora",0%,G9208/QUÓRUM!$C$6)</f>
        <v>#DIV/0!</v>
      </c>
      <c r="I9208" s="87"/>
      <c r="J9208" s="88"/>
      <c r="K9208" s="88"/>
      <c r="L9208" s="89"/>
      <c r="M9208" s="89"/>
    </row>
    <row r="9209" spans="3:13" x14ac:dyDescent="0.3">
      <c r="C9209" s="87"/>
      <c r="H9209" s="86" t="e">
        <f>IF(I9209="fora",0%,G9209/QUÓRUM!$C$6)</f>
        <v>#DIV/0!</v>
      </c>
      <c r="I9209" s="87"/>
      <c r="J9209" s="88"/>
      <c r="K9209" s="88"/>
      <c r="L9209" s="89"/>
      <c r="M9209" s="89"/>
    </row>
    <row r="9210" spans="3:13" x14ac:dyDescent="0.3">
      <c r="C9210" s="87"/>
      <c r="H9210" s="86" t="e">
        <f>IF(I9210="fora",0%,G9210/QUÓRUM!$C$6)</f>
        <v>#DIV/0!</v>
      </c>
      <c r="I9210" s="87"/>
      <c r="J9210" s="88"/>
      <c r="K9210" s="88"/>
      <c r="L9210" s="89"/>
      <c r="M9210" s="89"/>
    </row>
    <row r="9211" spans="3:13" x14ac:dyDescent="0.3">
      <c r="C9211" s="87"/>
      <c r="H9211" s="86" t="e">
        <f>IF(I9211="fora",0%,G9211/QUÓRUM!$C$6)</f>
        <v>#DIV/0!</v>
      </c>
      <c r="I9211" s="87"/>
      <c r="J9211" s="88"/>
      <c r="K9211" s="88"/>
      <c r="L9211" s="89"/>
      <c r="M9211" s="89"/>
    </row>
    <row r="9212" spans="3:13" x14ac:dyDescent="0.3">
      <c r="C9212" s="87"/>
      <c r="H9212" s="86" t="e">
        <f>IF(I9212="fora",0%,G9212/QUÓRUM!$C$6)</f>
        <v>#DIV/0!</v>
      </c>
      <c r="I9212" s="87"/>
      <c r="J9212" s="88"/>
      <c r="K9212" s="88"/>
      <c r="L9212" s="89"/>
      <c r="M9212" s="89"/>
    </row>
    <row r="9213" spans="3:13" x14ac:dyDescent="0.3">
      <c r="C9213" s="87"/>
      <c r="H9213" s="86" t="e">
        <f>IF(I9213="fora",0%,G9213/QUÓRUM!$C$6)</f>
        <v>#DIV/0!</v>
      </c>
      <c r="I9213" s="87"/>
      <c r="J9213" s="88"/>
      <c r="K9213" s="88"/>
      <c r="L9213" s="89"/>
      <c r="M9213" s="89"/>
    </row>
    <row r="9214" spans="3:13" x14ac:dyDescent="0.3">
      <c r="C9214" s="87"/>
      <c r="H9214" s="86" t="e">
        <f>IF(I9214="fora",0%,G9214/QUÓRUM!$C$6)</f>
        <v>#DIV/0!</v>
      </c>
      <c r="I9214" s="87"/>
      <c r="J9214" s="88"/>
      <c r="K9214" s="88"/>
      <c r="L9214" s="89"/>
      <c r="M9214" s="89"/>
    </row>
    <row r="9215" spans="3:13" x14ac:dyDescent="0.3">
      <c r="C9215" s="87"/>
      <c r="H9215" s="86" t="e">
        <f>IF(I9215="fora",0%,G9215/QUÓRUM!$C$6)</f>
        <v>#DIV/0!</v>
      </c>
      <c r="I9215" s="87"/>
      <c r="J9215" s="88"/>
      <c r="K9215" s="88"/>
      <c r="L9215" s="89"/>
      <c r="M9215" s="89"/>
    </row>
    <row r="9216" spans="3:13" x14ac:dyDescent="0.3">
      <c r="C9216" s="87"/>
      <c r="H9216" s="86" t="e">
        <f>IF(I9216="fora",0%,G9216/QUÓRUM!$C$6)</f>
        <v>#DIV/0!</v>
      </c>
      <c r="I9216" s="87"/>
      <c r="J9216" s="88"/>
      <c r="K9216" s="88"/>
      <c r="L9216" s="89"/>
      <c r="M9216" s="89"/>
    </row>
    <row r="9217" spans="3:13" x14ac:dyDescent="0.3">
      <c r="C9217" s="87"/>
      <c r="H9217" s="86" t="e">
        <f>IF(I9217="fora",0%,G9217/QUÓRUM!$C$6)</f>
        <v>#DIV/0!</v>
      </c>
      <c r="I9217" s="87"/>
      <c r="J9217" s="88"/>
      <c r="K9217" s="88"/>
      <c r="L9217" s="89"/>
      <c r="M9217" s="89"/>
    </row>
    <row r="9218" spans="3:13" x14ac:dyDescent="0.3">
      <c r="C9218" s="87"/>
      <c r="H9218" s="86" t="e">
        <f>IF(I9218="fora",0%,G9218/QUÓRUM!$C$6)</f>
        <v>#DIV/0!</v>
      </c>
      <c r="I9218" s="87"/>
      <c r="J9218" s="88"/>
      <c r="K9218" s="88"/>
      <c r="L9218" s="89"/>
      <c r="M9218" s="89"/>
    </row>
    <row r="9219" spans="3:13" x14ac:dyDescent="0.3">
      <c r="C9219" s="87"/>
      <c r="H9219" s="86" t="e">
        <f>IF(I9219="fora",0%,G9219/QUÓRUM!$C$6)</f>
        <v>#DIV/0!</v>
      </c>
      <c r="I9219" s="87"/>
      <c r="J9219" s="88"/>
      <c r="K9219" s="88"/>
      <c r="L9219" s="89"/>
      <c r="M9219" s="89"/>
    </row>
    <row r="9220" spans="3:13" x14ac:dyDescent="0.3">
      <c r="C9220" s="87"/>
      <c r="H9220" s="86" t="e">
        <f>IF(I9220="fora",0%,G9220/QUÓRUM!$C$6)</f>
        <v>#DIV/0!</v>
      </c>
      <c r="I9220" s="87"/>
      <c r="J9220" s="88"/>
      <c r="K9220" s="88"/>
      <c r="L9220" s="89"/>
      <c r="M9220" s="89"/>
    </row>
    <row r="9221" spans="3:13" x14ac:dyDescent="0.3">
      <c r="C9221" s="87"/>
      <c r="H9221" s="86" t="e">
        <f>IF(I9221="fora",0%,G9221/QUÓRUM!$C$6)</f>
        <v>#DIV/0!</v>
      </c>
      <c r="I9221" s="87"/>
      <c r="J9221" s="88"/>
      <c r="K9221" s="88"/>
      <c r="L9221" s="89"/>
      <c r="M9221" s="89"/>
    </row>
    <row r="9222" spans="3:13" x14ac:dyDescent="0.3">
      <c r="C9222" s="87"/>
      <c r="H9222" s="86" t="e">
        <f>IF(I9222="fora",0%,G9222/QUÓRUM!$C$6)</f>
        <v>#DIV/0!</v>
      </c>
      <c r="I9222" s="87"/>
      <c r="J9222" s="88"/>
      <c r="K9222" s="88"/>
      <c r="L9222" s="89"/>
      <c r="M9222" s="89"/>
    </row>
    <row r="9223" spans="3:13" x14ac:dyDescent="0.3">
      <c r="C9223" s="87"/>
      <c r="H9223" s="86" t="e">
        <f>IF(I9223="fora",0%,G9223/QUÓRUM!$C$6)</f>
        <v>#DIV/0!</v>
      </c>
      <c r="I9223" s="87"/>
      <c r="J9223" s="88"/>
      <c r="K9223" s="88"/>
      <c r="L9223" s="89"/>
      <c r="M9223" s="89"/>
    </row>
    <row r="9224" spans="3:13" x14ac:dyDescent="0.3">
      <c r="C9224" s="87"/>
      <c r="H9224" s="86" t="e">
        <f>IF(I9224="fora",0%,G9224/QUÓRUM!$C$6)</f>
        <v>#DIV/0!</v>
      </c>
      <c r="I9224" s="87"/>
      <c r="J9224" s="88"/>
      <c r="K9224" s="88"/>
      <c r="L9224" s="89"/>
      <c r="M9224" s="89"/>
    </row>
    <row r="9225" spans="3:13" x14ac:dyDescent="0.3">
      <c r="C9225" s="87"/>
      <c r="H9225" s="86" t="e">
        <f>IF(I9225="fora",0%,G9225/QUÓRUM!$C$6)</f>
        <v>#DIV/0!</v>
      </c>
      <c r="I9225" s="87"/>
      <c r="J9225" s="88"/>
      <c r="K9225" s="88"/>
      <c r="L9225" s="89"/>
      <c r="M9225" s="89"/>
    </row>
    <row r="9226" spans="3:13" x14ac:dyDescent="0.3">
      <c r="C9226" s="87"/>
      <c r="H9226" s="86" t="e">
        <f>IF(I9226="fora",0%,G9226/QUÓRUM!$C$6)</f>
        <v>#DIV/0!</v>
      </c>
      <c r="I9226" s="87"/>
      <c r="J9226" s="88"/>
      <c r="K9226" s="88"/>
      <c r="L9226" s="89"/>
      <c r="M9226" s="89"/>
    </row>
    <row r="9227" spans="3:13" x14ac:dyDescent="0.3">
      <c r="C9227" s="87"/>
      <c r="H9227" s="86" t="e">
        <f>IF(I9227="fora",0%,G9227/QUÓRUM!$C$6)</f>
        <v>#DIV/0!</v>
      </c>
      <c r="I9227" s="87"/>
      <c r="J9227" s="88"/>
      <c r="K9227" s="88"/>
      <c r="L9227" s="89"/>
      <c r="M9227" s="89"/>
    </row>
    <row r="9228" spans="3:13" x14ac:dyDescent="0.3">
      <c r="C9228" s="87"/>
      <c r="H9228" s="86" t="e">
        <f>IF(I9228="fora",0%,G9228/QUÓRUM!$C$6)</f>
        <v>#DIV/0!</v>
      </c>
      <c r="I9228" s="87"/>
      <c r="J9228" s="88"/>
      <c r="K9228" s="88"/>
      <c r="L9228" s="89"/>
      <c r="M9228" s="89"/>
    </row>
    <row r="9229" spans="3:13" x14ac:dyDescent="0.3">
      <c r="C9229" s="87"/>
      <c r="H9229" s="86" t="e">
        <f>IF(I9229="fora",0%,G9229/QUÓRUM!$C$6)</f>
        <v>#DIV/0!</v>
      </c>
      <c r="I9229" s="87"/>
      <c r="J9229" s="88"/>
      <c r="K9229" s="88"/>
      <c r="L9229" s="89"/>
      <c r="M9229" s="89"/>
    </row>
    <row r="9230" spans="3:13" x14ac:dyDescent="0.3">
      <c r="C9230" s="87"/>
      <c r="H9230" s="86" t="e">
        <f>IF(I9230="fora",0%,G9230/QUÓRUM!$C$6)</f>
        <v>#DIV/0!</v>
      </c>
      <c r="I9230" s="87"/>
      <c r="J9230" s="88"/>
      <c r="K9230" s="88"/>
      <c r="L9230" s="89"/>
      <c r="M9230" s="89"/>
    </row>
    <row r="9231" spans="3:13" x14ac:dyDescent="0.3">
      <c r="C9231" s="87"/>
      <c r="H9231" s="86" t="e">
        <f>IF(I9231="fora",0%,G9231/QUÓRUM!$C$6)</f>
        <v>#DIV/0!</v>
      </c>
      <c r="I9231" s="87"/>
      <c r="J9231" s="88"/>
      <c r="K9231" s="88"/>
      <c r="L9231" s="89"/>
      <c r="M9231" s="89"/>
    </row>
    <row r="9232" spans="3:13" x14ac:dyDescent="0.3">
      <c r="C9232" s="87"/>
      <c r="H9232" s="86" t="e">
        <f>IF(I9232="fora",0%,G9232/QUÓRUM!$C$6)</f>
        <v>#DIV/0!</v>
      </c>
      <c r="I9232" s="87"/>
      <c r="J9232" s="88"/>
      <c r="K9232" s="88"/>
      <c r="L9232" s="89"/>
      <c r="M9232" s="89"/>
    </row>
    <row r="9233" spans="3:13" x14ac:dyDescent="0.3">
      <c r="C9233" s="87"/>
      <c r="H9233" s="86" t="e">
        <f>IF(I9233="fora",0%,G9233/QUÓRUM!$C$6)</f>
        <v>#DIV/0!</v>
      </c>
      <c r="I9233" s="87"/>
      <c r="J9233" s="88"/>
      <c r="K9233" s="88"/>
      <c r="L9233" s="89"/>
      <c r="M9233" s="89"/>
    </row>
    <row r="9234" spans="3:13" x14ac:dyDescent="0.3">
      <c r="C9234" s="87"/>
      <c r="H9234" s="86" t="e">
        <f>IF(I9234="fora",0%,G9234/QUÓRUM!$C$6)</f>
        <v>#DIV/0!</v>
      </c>
      <c r="I9234" s="87"/>
      <c r="J9234" s="88"/>
      <c r="K9234" s="88"/>
      <c r="L9234" s="89"/>
      <c r="M9234" s="89"/>
    </row>
    <row r="9235" spans="3:13" x14ac:dyDescent="0.3">
      <c r="C9235" s="87"/>
      <c r="H9235" s="86" t="e">
        <f>IF(I9235="fora",0%,G9235/QUÓRUM!$C$6)</f>
        <v>#DIV/0!</v>
      </c>
      <c r="I9235" s="87"/>
      <c r="J9235" s="88"/>
      <c r="K9235" s="88"/>
      <c r="L9235" s="89"/>
      <c r="M9235" s="89"/>
    </row>
    <row r="9236" spans="3:13" x14ac:dyDescent="0.3">
      <c r="C9236" s="87"/>
      <c r="H9236" s="86" t="e">
        <f>IF(I9236="fora",0%,G9236/QUÓRUM!$C$6)</f>
        <v>#DIV/0!</v>
      </c>
      <c r="I9236" s="87"/>
      <c r="J9236" s="88"/>
      <c r="K9236" s="88"/>
      <c r="L9236" s="89"/>
      <c r="M9236" s="89"/>
    </row>
    <row r="9237" spans="3:13" x14ac:dyDescent="0.3">
      <c r="C9237" s="87"/>
      <c r="H9237" s="86" t="e">
        <f>IF(I9237="fora",0%,G9237/QUÓRUM!$C$6)</f>
        <v>#DIV/0!</v>
      </c>
      <c r="I9237" s="87"/>
      <c r="J9237" s="88"/>
      <c r="K9237" s="88"/>
      <c r="L9237" s="89"/>
      <c r="M9237" s="89"/>
    </row>
    <row r="9238" spans="3:13" x14ac:dyDescent="0.3">
      <c r="C9238" s="87"/>
      <c r="H9238" s="86" t="e">
        <f>IF(I9238="fora",0%,G9238/QUÓRUM!$C$6)</f>
        <v>#DIV/0!</v>
      </c>
      <c r="I9238" s="87"/>
      <c r="J9238" s="88"/>
      <c r="K9238" s="88"/>
      <c r="L9238" s="89"/>
      <c r="M9238" s="89"/>
    </row>
    <row r="9239" spans="3:13" x14ac:dyDescent="0.3">
      <c r="C9239" s="87"/>
      <c r="H9239" s="86" t="e">
        <f>IF(I9239="fora",0%,G9239/QUÓRUM!$C$6)</f>
        <v>#DIV/0!</v>
      </c>
      <c r="I9239" s="87"/>
      <c r="J9239" s="88"/>
      <c r="K9239" s="88"/>
      <c r="L9239" s="89"/>
      <c r="M9239" s="89"/>
    </row>
    <row r="9240" spans="3:13" x14ac:dyDescent="0.3">
      <c r="C9240" s="87"/>
      <c r="H9240" s="86" t="e">
        <f>IF(I9240="fora",0%,G9240/QUÓRUM!$C$6)</f>
        <v>#DIV/0!</v>
      </c>
      <c r="I9240" s="87"/>
      <c r="J9240" s="88"/>
      <c r="K9240" s="88"/>
      <c r="L9240" s="89"/>
      <c r="M9240" s="89"/>
    </row>
    <row r="9241" spans="3:13" x14ac:dyDescent="0.3">
      <c r="C9241" s="87"/>
      <c r="H9241" s="86" t="e">
        <f>IF(I9241="fora",0%,G9241/QUÓRUM!$C$6)</f>
        <v>#DIV/0!</v>
      </c>
      <c r="I9241" s="87"/>
      <c r="J9241" s="88"/>
      <c r="K9241" s="88"/>
      <c r="L9241" s="89"/>
      <c r="M9241" s="89"/>
    </row>
    <row r="9242" spans="3:13" x14ac:dyDescent="0.3">
      <c r="C9242" s="87"/>
      <c r="H9242" s="86" t="e">
        <f>IF(I9242="fora",0%,G9242/QUÓRUM!$C$6)</f>
        <v>#DIV/0!</v>
      </c>
      <c r="I9242" s="87"/>
      <c r="J9242" s="88"/>
      <c r="K9242" s="88"/>
      <c r="L9242" s="89"/>
      <c r="M9242" s="89"/>
    </row>
    <row r="9243" spans="3:13" x14ac:dyDescent="0.3">
      <c r="C9243" s="87"/>
      <c r="H9243" s="86" t="e">
        <f>IF(I9243="fora",0%,G9243/QUÓRUM!$C$6)</f>
        <v>#DIV/0!</v>
      </c>
      <c r="I9243" s="87"/>
      <c r="J9243" s="88"/>
      <c r="K9243" s="88"/>
      <c r="L9243" s="89"/>
      <c r="M9243" s="89"/>
    </row>
    <row r="9244" spans="3:13" x14ac:dyDescent="0.3">
      <c r="C9244" s="87"/>
      <c r="H9244" s="86" t="e">
        <f>IF(I9244="fora",0%,G9244/QUÓRUM!$C$6)</f>
        <v>#DIV/0!</v>
      </c>
      <c r="I9244" s="87"/>
      <c r="J9244" s="88"/>
      <c r="K9244" s="88"/>
      <c r="L9244" s="89"/>
      <c r="M9244" s="89"/>
    </row>
    <row r="9245" spans="3:13" x14ac:dyDescent="0.3">
      <c r="C9245" s="87"/>
      <c r="H9245" s="86" t="e">
        <f>IF(I9245="fora",0%,G9245/QUÓRUM!$C$6)</f>
        <v>#DIV/0!</v>
      </c>
      <c r="I9245" s="87"/>
      <c r="J9245" s="88"/>
      <c r="K9245" s="88"/>
      <c r="L9245" s="89"/>
      <c r="M9245" s="89"/>
    </row>
    <row r="9246" spans="3:13" x14ac:dyDescent="0.3">
      <c r="C9246" s="87"/>
      <c r="H9246" s="86" t="e">
        <f>IF(I9246="fora",0%,G9246/QUÓRUM!$C$6)</f>
        <v>#DIV/0!</v>
      </c>
      <c r="I9246" s="87"/>
      <c r="J9246" s="88"/>
      <c r="K9246" s="88"/>
      <c r="L9246" s="89"/>
      <c r="M9246" s="89"/>
    </row>
    <row r="9247" spans="3:13" x14ac:dyDescent="0.3">
      <c r="C9247" s="87"/>
      <c r="H9247" s="86" t="e">
        <f>IF(I9247="fora",0%,G9247/QUÓRUM!$C$6)</f>
        <v>#DIV/0!</v>
      </c>
      <c r="I9247" s="87"/>
      <c r="J9247" s="88"/>
      <c r="K9247" s="88"/>
      <c r="L9247" s="89"/>
      <c r="M9247" s="89"/>
    </row>
    <row r="9248" spans="3:13" x14ac:dyDescent="0.3">
      <c r="C9248" s="87"/>
      <c r="H9248" s="86" t="e">
        <f>IF(I9248="fora",0%,G9248/QUÓRUM!$C$6)</f>
        <v>#DIV/0!</v>
      </c>
      <c r="I9248" s="87"/>
      <c r="J9248" s="88"/>
      <c r="K9248" s="88"/>
      <c r="L9248" s="89"/>
      <c r="M9248" s="89"/>
    </row>
    <row r="9249" spans="3:13" x14ac:dyDescent="0.3">
      <c r="C9249" s="87"/>
      <c r="H9249" s="86" t="e">
        <f>IF(I9249="fora",0%,G9249/QUÓRUM!$C$6)</f>
        <v>#DIV/0!</v>
      </c>
      <c r="I9249" s="87"/>
      <c r="J9249" s="88"/>
      <c r="K9249" s="88"/>
      <c r="L9249" s="89"/>
      <c r="M9249" s="89"/>
    </row>
    <row r="9250" spans="3:13" x14ac:dyDescent="0.3">
      <c r="C9250" s="87"/>
      <c r="H9250" s="86" t="e">
        <f>IF(I9250="fora",0%,G9250/QUÓRUM!$C$6)</f>
        <v>#DIV/0!</v>
      </c>
      <c r="I9250" s="87"/>
      <c r="J9250" s="88"/>
      <c r="K9250" s="88"/>
      <c r="L9250" s="89"/>
      <c r="M9250" s="89"/>
    </row>
    <row r="9251" spans="3:13" x14ac:dyDescent="0.3">
      <c r="C9251" s="87"/>
      <c r="H9251" s="86" t="e">
        <f>IF(I9251="fora",0%,G9251/QUÓRUM!$C$6)</f>
        <v>#DIV/0!</v>
      </c>
      <c r="I9251" s="87"/>
      <c r="J9251" s="88"/>
      <c r="K9251" s="88"/>
      <c r="L9251" s="89"/>
      <c r="M9251" s="89"/>
    </row>
    <row r="9252" spans="3:13" x14ac:dyDescent="0.3">
      <c r="C9252" s="87"/>
      <c r="H9252" s="86" t="e">
        <f>IF(I9252="fora",0%,G9252/QUÓRUM!$C$6)</f>
        <v>#DIV/0!</v>
      </c>
      <c r="I9252" s="87"/>
      <c r="J9252" s="88"/>
      <c r="K9252" s="88"/>
      <c r="L9252" s="89"/>
      <c r="M9252" s="89"/>
    </row>
    <row r="9253" spans="3:13" x14ac:dyDescent="0.3">
      <c r="C9253" s="87"/>
      <c r="H9253" s="86" t="e">
        <f>IF(I9253="fora",0%,G9253/QUÓRUM!$C$6)</f>
        <v>#DIV/0!</v>
      </c>
      <c r="I9253" s="87"/>
      <c r="J9253" s="88"/>
      <c r="K9253" s="88"/>
      <c r="L9253" s="89"/>
      <c r="M9253" s="89"/>
    </row>
    <row r="9254" spans="3:13" x14ac:dyDescent="0.3">
      <c r="C9254" s="87"/>
      <c r="H9254" s="86" t="e">
        <f>IF(I9254="fora",0%,G9254/QUÓRUM!$C$6)</f>
        <v>#DIV/0!</v>
      </c>
      <c r="I9254" s="87"/>
      <c r="J9254" s="88"/>
      <c r="K9254" s="88"/>
      <c r="L9254" s="89"/>
      <c r="M9254" s="89"/>
    </row>
    <row r="9255" spans="3:13" x14ac:dyDescent="0.3">
      <c r="C9255" s="87"/>
      <c r="H9255" s="86" t="e">
        <f>IF(I9255="fora",0%,G9255/QUÓRUM!$C$6)</f>
        <v>#DIV/0!</v>
      </c>
      <c r="I9255" s="87"/>
      <c r="J9255" s="88"/>
      <c r="K9255" s="88"/>
      <c r="L9255" s="89"/>
      <c r="M9255" s="89"/>
    </row>
    <row r="9256" spans="3:13" x14ac:dyDescent="0.3">
      <c r="C9256" s="87"/>
      <c r="H9256" s="86" t="e">
        <f>IF(I9256="fora",0%,G9256/QUÓRUM!$C$6)</f>
        <v>#DIV/0!</v>
      </c>
      <c r="I9256" s="87"/>
      <c r="J9256" s="88"/>
      <c r="K9256" s="88"/>
      <c r="L9256" s="89"/>
      <c r="M9256" s="89"/>
    </row>
    <row r="9257" spans="3:13" x14ac:dyDescent="0.3">
      <c r="C9257" s="87"/>
      <c r="H9257" s="86" t="e">
        <f>IF(I9257="fora",0%,G9257/QUÓRUM!$C$6)</f>
        <v>#DIV/0!</v>
      </c>
      <c r="I9257" s="87"/>
      <c r="J9257" s="88"/>
      <c r="K9257" s="88"/>
      <c r="L9257" s="89"/>
      <c r="M9257" s="89"/>
    </row>
    <row r="9258" spans="3:13" x14ac:dyDescent="0.3">
      <c r="C9258" s="87"/>
      <c r="H9258" s="86" t="e">
        <f>IF(I9258="fora",0%,G9258/QUÓRUM!$C$6)</f>
        <v>#DIV/0!</v>
      </c>
      <c r="I9258" s="87"/>
      <c r="J9258" s="88"/>
      <c r="K9258" s="88"/>
      <c r="L9258" s="89"/>
      <c r="M9258" s="89"/>
    </row>
    <row r="9259" spans="3:13" x14ac:dyDescent="0.3">
      <c r="C9259" s="87"/>
      <c r="H9259" s="86" t="e">
        <f>IF(I9259="fora",0%,G9259/QUÓRUM!$C$6)</f>
        <v>#DIV/0!</v>
      </c>
      <c r="I9259" s="87"/>
      <c r="J9259" s="88"/>
      <c r="K9259" s="88"/>
      <c r="L9259" s="89"/>
      <c r="M9259" s="89"/>
    </row>
    <row r="9260" spans="3:13" x14ac:dyDescent="0.3">
      <c r="C9260" s="87"/>
      <c r="H9260" s="86" t="e">
        <f>IF(I9260="fora",0%,G9260/QUÓRUM!$C$6)</f>
        <v>#DIV/0!</v>
      </c>
      <c r="I9260" s="87"/>
      <c r="J9260" s="88"/>
      <c r="K9260" s="88"/>
      <c r="L9260" s="89"/>
      <c r="M9260" s="89"/>
    </row>
    <row r="9261" spans="3:13" x14ac:dyDescent="0.3">
      <c r="C9261" s="87"/>
      <c r="H9261" s="86" t="e">
        <f>IF(I9261="fora",0%,G9261/QUÓRUM!$C$6)</f>
        <v>#DIV/0!</v>
      </c>
      <c r="I9261" s="87"/>
      <c r="J9261" s="88"/>
      <c r="K9261" s="88"/>
      <c r="L9261" s="89"/>
      <c r="M9261" s="89"/>
    </row>
    <row r="9262" spans="3:13" x14ac:dyDescent="0.3">
      <c r="C9262" s="87"/>
      <c r="H9262" s="86" t="e">
        <f>IF(I9262="fora",0%,G9262/QUÓRUM!$C$6)</f>
        <v>#DIV/0!</v>
      </c>
      <c r="I9262" s="87"/>
      <c r="J9262" s="88"/>
      <c r="K9262" s="88"/>
      <c r="L9262" s="89"/>
      <c r="M9262" s="89"/>
    </row>
    <row r="9263" spans="3:13" x14ac:dyDescent="0.3">
      <c r="C9263" s="87"/>
      <c r="H9263" s="86" t="e">
        <f>IF(I9263="fora",0%,G9263/QUÓRUM!$C$6)</f>
        <v>#DIV/0!</v>
      </c>
      <c r="I9263" s="87"/>
      <c r="J9263" s="88"/>
      <c r="K9263" s="88"/>
      <c r="L9263" s="89"/>
      <c r="M9263" s="89"/>
    </row>
    <row r="9264" spans="3:13" x14ac:dyDescent="0.3">
      <c r="C9264" s="87"/>
      <c r="H9264" s="86" t="e">
        <f>IF(I9264="fora",0%,G9264/QUÓRUM!$C$6)</f>
        <v>#DIV/0!</v>
      </c>
      <c r="I9264" s="87"/>
      <c r="J9264" s="88"/>
      <c r="K9264" s="88"/>
      <c r="L9264" s="89"/>
      <c r="M9264" s="89"/>
    </row>
    <row r="9265" spans="3:13" x14ac:dyDescent="0.3">
      <c r="C9265" s="87"/>
      <c r="H9265" s="86" t="e">
        <f>IF(I9265="fora",0%,G9265/QUÓRUM!$C$6)</f>
        <v>#DIV/0!</v>
      </c>
      <c r="I9265" s="87"/>
      <c r="J9265" s="88"/>
      <c r="K9265" s="88"/>
      <c r="L9265" s="89"/>
      <c r="M9265" s="89"/>
    </row>
    <row r="9266" spans="3:13" x14ac:dyDescent="0.3">
      <c r="C9266" s="87"/>
      <c r="H9266" s="86" t="e">
        <f>IF(I9266="fora",0%,G9266/QUÓRUM!$C$6)</f>
        <v>#DIV/0!</v>
      </c>
      <c r="I9266" s="87"/>
      <c r="J9266" s="88"/>
      <c r="K9266" s="88"/>
      <c r="L9266" s="89"/>
      <c r="M9266" s="89"/>
    </row>
    <row r="9267" spans="3:13" x14ac:dyDescent="0.3">
      <c r="C9267" s="87"/>
      <c r="H9267" s="86" t="e">
        <f>IF(I9267="fora",0%,G9267/QUÓRUM!$C$6)</f>
        <v>#DIV/0!</v>
      </c>
      <c r="I9267" s="87"/>
      <c r="J9267" s="88"/>
      <c r="K9267" s="88"/>
      <c r="L9267" s="89"/>
      <c r="M9267" s="89"/>
    </row>
    <row r="9268" spans="3:13" x14ac:dyDescent="0.3">
      <c r="C9268" s="87"/>
      <c r="H9268" s="86" t="e">
        <f>IF(I9268="fora",0%,G9268/QUÓRUM!$C$6)</f>
        <v>#DIV/0!</v>
      </c>
      <c r="I9268" s="87"/>
      <c r="J9268" s="88"/>
      <c r="K9268" s="88"/>
      <c r="L9268" s="89"/>
      <c r="M9268" s="89"/>
    </row>
    <row r="9269" spans="3:13" x14ac:dyDescent="0.3">
      <c r="C9269" s="87"/>
      <c r="H9269" s="86" t="e">
        <f>IF(I9269="fora",0%,G9269/QUÓRUM!$C$6)</f>
        <v>#DIV/0!</v>
      </c>
      <c r="I9269" s="87"/>
      <c r="J9269" s="88"/>
      <c r="K9269" s="88"/>
      <c r="L9269" s="89"/>
      <c r="M9269" s="89"/>
    </row>
    <row r="9270" spans="3:13" x14ac:dyDescent="0.3">
      <c r="C9270" s="87"/>
      <c r="H9270" s="86" t="e">
        <f>IF(I9270="fora",0%,G9270/QUÓRUM!$C$6)</f>
        <v>#DIV/0!</v>
      </c>
      <c r="I9270" s="87"/>
      <c r="J9270" s="88"/>
      <c r="K9270" s="88"/>
      <c r="L9270" s="89"/>
      <c r="M9270" s="89"/>
    </row>
    <row r="9271" spans="3:13" x14ac:dyDescent="0.3">
      <c r="C9271" s="87"/>
      <c r="H9271" s="86" t="e">
        <f>IF(I9271="fora",0%,G9271/QUÓRUM!$C$6)</f>
        <v>#DIV/0!</v>
      </c>
      <c r="I9271" s="87"/>
      <c r="J9271" s="88"/>
      <c r="K9271" s="88"/>
      <c r="L9271" s="89"/>
      <c r="M9271" s="89"/>
    </row>
    <row r="9272" spans="3:13" x14ac:dyDescent="0.3">
      <c r="C9272" s="87"/>
      <c r="H9272" s="86" t="e">
        <f>IF(I9272="fora",0%,G9272/QUÓRUM!$C$6)</f>
        <v>#DIV/0!</v>
      </c>
      <c r="I9272" s="87"/>
      <c r="J9272" s="88"/>
      <c r="K9272" s="88"/>
      <c r="L9272" s="89"/>
      <c r="M9272" s="89"/>
    </row>
    <row r="9273" spans="3:13" x14ac:dyDescent="0.3">
      <c r="C9273" s="87"/>
      <c r="H9273" s="86" t="e">
        <f>IF(I9273="fora",0%,G9273/QUÓRUM!$C$6)</f>
        <v>#DIV/0!</v>
      </c>
      <c r="I9273" s="87"/>
      <c r="J9273" s="88"/>
      <c r="K9273" s="88"/>
      <c r="L9273" s="89"/>
      <c r="M9273" s="89"/>
    </row>
    <row r="9274" spans="3:13" x14ac:dyDescent="0.3">
      <c r="C9274" s="87"/>
      <c r="H9274" s="86" t="e">
        <f>IF(I9274="fora",0%,G9274/QUÓRUM!$C$6)</f>
        <v>#DIV/0!</v>
      </c>
      <c r="I9274" s="87"/>
      <c r="J9274" s="88"/>
      <c r="K9274" s="88"/>
      <c r="L9274" s="89"/>
      <c r="M9274" s="89"/>
    </row>
    <row r="9275" spans="3:13" x14ac:dyDescent="0.3">
      <c r="C9275" s="87"/>
      <c r="H9275" s="86" t="e">
        <f>IF(I9275="fora",0%,G9275/QUÓRUM!$C$6)</f>
        <v>#DIV/0!</v>
      </c>
      <c r="I9275" s="87"/>
      <c r="J9275" s="88"/>
      <c r="K9275" s="88"/>
      <c r="L9275" s="89"/>
      <c r="M9275" s="89"/>
    </row>
    <row r="9276" spans="3:13" x14ac:dyDescent="0.3">
      <c r="C9276" s="87"/>
      <c r="H9276" s="86" t="e">
        <f>IF(I9276="fora",0%,G9276/QUÓRUM!$C$6)</f>
        <v>#DIV/0!</v>
      </c>
      <c r="I9276" s="87"/>
      <c r="J9276" s="88"/>
      <c r="K9276" s="88"/>
      <c r="L9276" s="89"/>
      <c r="M9276" s="89"/>
    </row>
    <row r="9277" spans="3:13" x14ac:dyDescent="0.3">
      <c r="C9277" s="87"/>
      <c r="H9277" s="86" t="e">
        <f>IF(I9277="fora",0%,G9277/QUÓRUM!$C$6)</f>
        <v>#DIV/0!</v>
      </c>
      <c r="I9277" s="87"/>
      <c r="J9277" s="88"/>
      <c r="K9277" s="88"/>
      <c r="L9277" s="89"/>
      <c r="M9277" s="89"/>
    </row>
    <row r="9278" spans="3:13" x14ac:dyDescent="0.3">
      <c r="C9278" s="87"/>
      <c r="H9278" s="86" t="e">
        <f>IF(I9278="fora",0%,G9278/QUÓRUM!$C$6)</f>
        <v>#DIV/0!</v>
      </c>
      <c r="I9278" s="87"/>
      <c r="J9278" s="88"/>
      <c r="K9278" s="88"/>
      <c r="L9278" s="89"/>
      <c r="M9278" s="89"/>
    </row>
    <row r="9279" spans="3:13" x14ac:dyDescent="0.3">
      <c r="C9279" s="87"/>
      <c r="H9279" s="86" t="e">
        <f>IF(I9279="fora",0%,G9279/QUÓRUM!$C$6)</f>
        <v>#DIV/0!</v>
      </c>
      <c r="I9279" s="87"/>
      <c r="J9279" s="88"/>
      <c r="K9279" s="88"/>
      <c r="L9279" s="89"/>
      <c r="M9279" s="89"/>
    </row>
    <row r="9280" spans="3:13" x14ac:dyDescent="0.3">
      <c r="C9280" s="87"/>
      <c r="H9280" s="86" t="e">
        <f>IF(I9280="fora",0%,G9280/QUÓRUM!$C$6)</f>
        <v>#DIV/0!</v>
      </c>
      <c r="I9280" s="87"/>
      <c r="J9280" s="88"/>
      <c r="K9280" s="88"/>
      <c r="L9280" s="89"/>
      <c r="M9280" s="89"/>
    </row>
    <row r="9281" spans="3:13" x14ac:dyDescent="0.3">
      <c r="C9281" s="87"/>
      <c r="H9281" s="86" t="e">
        <f>IF(I9281="fora",0%,G9281/QUÓRUM!$C$6)</f>
        <v>#DIV/0!</v>
      </c>
      <c r="I9281" s="87"/>
      <c r="J9281" s="88"/>
      <c r="K9281" s="88"/>
      <c r="L9281" s="89"/>
      <c r="M9281" s="89"/>
    </row>
    <row r="9282" spans="3:13" x14ac:dyDescent="0.3">
      <c r="C9282" s="87"/>
      <c r="H9282" s="86" t="e">
        <f>IF(I9282="fora",0%,G9282/QUÓRUM!$C$6)</f>
        <v>#DIV/0!</v>
      </c>
      <c r="I9282" s="87"/>
      <c r="J9282" s="88"/>
      <c r="K9282" s="88"/>
      <c r="L9282" s="89"/>
      <c r="M9282" s="89"/>
    </row>
    <row r="9283" spans="3:13" x14ac:dyDescent="0.3">
      <c r="C9283" s="87"/>
      <c r="H9283" s="86" t="e">
        <f>IF(I9283="fora",0%,G9283/QUÓRUM!$C$6)</f>
        <v>#DIV/0!</v>
      </c>
      <c r="I9283" s="87"/>
      <c r="J9283" s="88"/>
      <c r="K9283" s="88"/>
      <c r="L9283" s="89"/>
      <c r="M9283" s="89"/>
    </row>
    <row r="9284" spans="3:13" x14ac:dyDescent="0.3">
      <c r="C9284" s="87"/>
      <c r="H9284" s="86" t="e">
        <f>IF(I9284="fora",0%,G9284/QUÓRUM!$C$6)</f>
        <v>#DIV/0!</v>
      </c>
      <c r="I9284" s="87"/>
      <c r="J9284" s="88"/>
      <c r="K9284" s="88"/>
      <c r="L9284" s="89"/>
      <c r="M9284" s="89"/>
    </row>
    <row r="9285" spans="3:13" x14ac:dyDescent="0.3">
      <c r="C9285" s="87"/>
      <c r="H9285" s="86" t="e">
        <f>IF(I9285="fora",0%,G9285/QUÓRUM!$C$6)</f>
        <v>#DIV/0!</v>
      </c>
      <c r="I9285" s="87"/>
      <c r="J9285" s="88"/>
      <c r="K9285" s="88"/>
      <c r="L9285" s="89"/>
      <c r="M9285" s="89"/>
    </row>
    <row r="9286" spans="3:13" x14ac:dyDescent="0.3">
      <c r="C9286" s="87"/>
      <c r="H9286" s="86" t="e">
        <f>IF(I9286="fora",0%,G9286/QUÓRUM!$C$6)</f>
        <v>#DIV/0!</v>
      </c>
      <c r="I9286" s="87"/>
      <c r="J9286" s="88"/>
      <c r="K9286" s="88"/>
      <c r="L9286" s="89"/>
      <c r="M9286" s="89"/>
    </row>
    <row r="9287" spans="3:13" x14ac:dyDescent="0.3">
      <c r="C9287" s="87"/>
      <c r="H9287" s="86" t="e">
        <f>IF(I9287="fora",0%,G9287/QUÓRUM!$C$6)</f>
        <v>#DIV/0!</v>
      </c>
      <c r="I9287" s="87"/>
      <c r="J9287" s="88"/>
      <c r="K9287" s="88"/>
      <c r="L9287" s="89"/>
      <c r="M9287" s="89"/>
    </row>
    <row r="9288" spans="3:13" x14ac:dyDescent="0.3">
      <c r="C9288" s="87"/>
      <c r="H9288" s="86" t="e">
        <f>IF(I9288="fora",0%,G9288/QUÓRUM!$C$6)</f>
        <v>#DIV/0!</v>
      </c>
      <c r="I9288" s="87"/>
      <c r="J9288" s="88"/>
      <c r="K9288" s="88"/>
      <c r="L9288" s="89"/>
      <c r="M9288" s="89"/>
    </row>
    <row r="9289" spans="3:13" x14ac:dyDescent="0.3">
      <c r="C9289" s="87"/>
      <c r="H9289" s="86" t="e">
        <f>IF(I9289="fora",0%,G9289/QUÓRUM!$C$6)</f>
        <v>#DIV/0!</v>
      </c>
      <c r="I9289" s="87"/>
      <c r="J9289" s="88"/>
      <c r="K9289" s="88"/>
      <c r="L9289" s="89"/>
      <c r="M9289" s="89"/>
    </row>
    <row r="9290" spans="3:13" x14ac:dyDescent="0.3">
      <c r="C9290" s="87"/>
      <c r="H9290" s="86" t="e">
        <f>IF(I9290="fora",0%,G9290/QUÓRUM!$C$6)</f>
        <v>#DIV/0!</v>
      </c>
      <c r="I9290" s="87"/>
      <c r="J9290" s="88"/>
      <c r="K9290" s="88"/>
      <c r="L9290" s="89"/>
      <c r="M9290" s="89"/>
    </row>
    <row r="9291" spans="3:13" x14ac:dyDescent="0.3">
      <c r="C9291" s="87"/>
      <c r="H9291" s="86" t="e">
        <f>IF(I9291="fora",0%,G9291/QUÓRUM!$C$6)</f>
        <v>#DIV/0!</v>
      </c>
      <c r="I9291" s="87"/>
      <c r="J9291" s="88"/>
      <c r="K9291" s="88"/>
      <c r="L9291" s="89"/>
      <c r="M9291" s="89"/>
    </row>
    <row r="9292" spans="3:13" x14ac:dyDescent="0.3">
      <c r="C9292" s="87"/>
      <c r="H9292" s="86" t="e">
        <f>IF(I9292="fora",0%,G9292/QUÓRUM!$C$6)</f>
        <v>#DIV/0!</v>
      </c>
      <c r="I9292" s="87"/>
      <c r="J9292" s="88"/>
      <c r="K9292" s="88"/>
      <c r="L9292" s="89"/>
      <c r="M9292" s="89"/>
    </row>
    <row r="9293" spans="3:13" x14ac:dyDescent="0.3">
      <c r="C9293" s="87"/>
      <c r="H9293" s="86" t="e">
        <f>IF(I9293="fora",0%,G9293/QUÓRUM!$C$6)</f>
        <v>#DIV/0!</v>
      </c>
      <c r="I9293" s="87"/>
      <c r="J9293" s="88"/>
      <c r="K9293" s="88"/>
      <c r="L9293" s="89"/>
      <c r="M9293" s="89"/>
    </row>
    <row r="9294" spans="3:13" x14ac:dyDescent="0.3">
      <c r="C9294" s="87"/>
      <c r="H9294" s="86" t="e">
        <f>IF(I9294="fora",0%,G9294/QUÓRUM!$C$6)</f>
        <v>#DIV/0!</v>
      </c>
      <c r="I9294" s="87"/>
      <c r="J9294" s="88"/>
      <c r="K9294" s="88"/>
      <c r="L9294" s="89"/>
      <c r="M9294" s="89"/>
    </row>
    <row r="9295" spans="3:13" x14ac:dyDescent="0.3">
      <c r="C9295" s="87"/>
      <c r="H9295" s="86" t="e">
        <f>IF(I9295="fora",0%,G9295/QUÓRUM!$C$6)</f>
        <v>#DIV/0!</v>
      </c>
      <c r="I9295" s="87"/>
      <c r="J9295" s="88"/>
      <c r="K9295" s="88"/>
      <c r="L9295" s="89"/>
      <c r="M9295" s="89"/>
    </row>
    <row r="9296" spans="3:13" x14ac:dyDescent="0.3">
      <c r="C9296" s="87"/>
      <c r="H9296" s="86" t="e">
        <f>IF(I9296="fora",0%,G9296/QUÓRUM!$C$6)</f>
        <v>#DIV/0!</v>
      </c>
      <c r="I9296" s="87"/>
      <c r="J9296" s="88"/>
      <c r="K9296" s="88"/>
      <c r="L9296" s="89"/>
      <c r="M9296" s="89"/>
    </row>
    <row r="9297" spans="3:13" x14ac:dyDescent="0.3">
      <c r="C9297" s="87"/>
      <c r="H9297" s="86" t="e">
        <f>IF(I9297="fora",0%,G9297/QUÓRUM!$C$6)</f>
        <v>#DIV/0!</v>
      </c>
      <c r="I9297" s="87"/>
      <c r="J9297" s="88"/>
      <c r="K9297" s="88"/>
      <c r="L9297" s="89"/>
      <c r="M9297" s="89"/>
    </row>
    <row r="9298" spans="3:13" x14ac:dyDescent="0.3">
      <c r="C9298" s="87"/>
      <c r="H9298" s="86" t="e">
        <f>IF(I9298="fora",0%,G9298/QUÓRUM!$C$6)</f>
        <v>#DIV/0!</v>
      </c>
      <c r="I9298" s="87"/>
      <c r="J9298" s="88"/>
      <c r="K9298" s="88"/>
      <c r="L9298" s="89"/>
      <c r="M9298" s="89"/>
    </row>
    <row r="9299" spans="3:13" x14ac:dyDescent="0.3">
      <c r="C9299" s="87"/>
      <c r="H9299" s="86" t="e">
        <f>IF(I9299="fora",0%,G9299/QUÓRUM!$C$6)</f>
        <v>#DIV/0!</v>
      </c>
      <c r="I9299" s="87"/>
      <c r="J9299" s="88"/>
      <c r="K9299" s="88"/>
      <c r="L9299" s="89"/>
      <c r="M9299" s="89"/>
    </row>
    <row r="9300" spans="3:13" x14ac:dyDescent="0.3">
      <c r="C9300" s="87"/>
      <c r="H9300" s="86" t="e">
        <f>IF(I9300="fora",0%,G9300/QUÓRUM!$C$6)</f>
        <v>#DIV/0!</v>
      </c>
      <c r="I9300" s="87"/>
      <c r="J9300" s="88"/>
      <c r="K9300" s="88"/>
      <c r="L9300" s="89"/>
      <c r="M9300" s="89"/>
    </row>
    <row r="9301" spans="3:13" x14ac:dyDescent="0.3">
      <c r="C9301" s="87"/>
      <c r="H9301" s="86" t="e">
        <f>IF(I9301="fora",0%,G9301/QUÓRUM!$C$6)</f>
        <v>#DIV/0!</v>
      </c>
      <c r="I9301" s="87"/>
      <c r="J9301" s="88"/>
      <c r="K9301" s="88"/>
      <c r="L9301" s="89"/>
      <c r="M9301" s="89"/>
    </row>
    <row r="9302" spans="3:13" x14ac:dyDescent="0.3">
      <c r="C9302" s="87"/>
      <c r="H9302" s="86" t="e">
        <f>IF(I9302="fora",0%,G9302/QUÓRUM!$C$6)</f>
        <v>#DIV/0!</v>
      </c>
      <c r="I9302" s="87"/>
      <c r="J9302" s="88"/>
      <c r="K9302" s="88"/>
      <c r="L9302" s="89"/>
      <c r="M9302" s="89"/>
    </row>
    <row r="9303" spans="3:13" x14ac:dyDescent="0.3">
      <c r="C9303" s="87"/>
      <c r="H9303" s="86" t="e">
        <f>IF(I9303="fora",0%,G9303/QUÓRUM!$C$6)</f>
        <v>#DIV/0!</v>
      </c>
      <c r="I9303" s="87"/>
      <c r="J9303" s="88"/>
      <c r="K9303" s="88"/>
      <c r="L9303" s="89"/>
      <c r="M9303" s="89"/>
    </row>
    <row r="9304" spans="3:13" x14ac:dyDescent="0.3">
      <c r="C9304" s="87"/>
      <c r="H9304" s="86" t="e">
        <f>IF(I9304="fora",0%,G9304/QUÓRUM!$C$6)</f>
        <v>#DIV/0!</v>
      </c>
      <c r="I9304" s="87"/>
      <c r="J9304" s="88"/>
      <c r="K9304" s="88"/>
      <c r="L9304" s="89"/>
      <c r="M9304" s="89"/>
    </row>
    <row r="9305" spans="3:13" x14ac:dyDescent="0.3">
      <c r="C9305" s="87"/>
      <c r="H9305" s="86" t="e">
        <f>IF(I9305="fora",0%,G9305/QUÓRUM!$C$6)</f>
        <v>#DIV/0!</v>
      </c>
      <c r="I9305" s="87"/>
      <c r="J9305" s="88"/>
      <c r="K9305" s="88"/>
      <c r="L9305" s="89"/>
      <c r="M9305" s="89"/>
    </row>
    <row r="9306" spans="3:13" x14ac:dyDescent="0.3">
      <c r="C9306" s="87"/>
      <c r="H9306" s="86" t="e">
        <f>IF(I9306="fora",0%,G9306/QUÓRUM!$C$6)</f>
        <v>#DIV/0!</v>
      </c>
      <c r="I9306" s="87"/>
      <c r="J9306" s="88"/>
      <c r="K9306" s="88"/>
      <c r="L9306" s="89"/>
      <c r="M9306" s="89"/>
    </row>
    <row r="9307" spans="3:13" x14ac:dyDescent="0.3">
      <c r="C9307" s="87"/>
      <c r="H9307" s="86" t="e">
        <f>IF(I9307="fora",0%,G9307/QUÓRUM!$C$6)</f>
        <v>#DIV/0!</v>
      </c>
      <c r="I9307" s="87"/>
      <c r="J9307" s="88"/>
      <c r="K9307" s="88"/>
      <c r="L9307" s="89"/>
      <c r="M9307" s="89"/>
    </row>
    <row r="9308" spans="3:13" x14ac:dyDescent="0.3">
      <c r="C9308" s="87"/>
      <c r="H9308" s="86" t="e">
        <f>IF(I9308="fora",0%,G9308/QUÓRUM!$C$6)</f>
        <v>#DIV/0!</v>
      </c>
      <c r="I9308" s="87"/>
      <c r="J9308" s="88"/>
      <c r="K9308" s="88"/>
      <c r="L9308" s="89"/>
      <c r="M9308" s="89"/>
    </row>
    <row r="9309" spans="3:13" x14ac:dyDescent="0.3">
      <c r="C9309" s="87"/>
      <c r="H9309" s="86" t="e">
        <f>IF(I9309="fora",0%,G9309/QUÓRUM!$C$6)</f>
        <v>#DIV/0!</v>
      </c>
      <c r="I9309" s="87"/>
      <c r="J9309" s="88"/>
      <c r="K9309" s="88"/>
      <c r="L9309" s="89"/>
      <c r="M9309" s="89"/>
    </row>
    <row r="9310" spans="3:13" x14ac:dyDescent="0.3">
      <c r="C9310" s="87"/>
      <c r="H9310" s="86" t="e">
        <f>IF(I9310="fora",0%,G9310/QUÓRUM!$C$6)</f>
        <v>#DIV/0!</v>
      </c>
      <c r="I9310" s="87"/>
      <c r="J9310" s="88"/>
      <c r="K9310" s="88"/>
      <c r="L9310" s="89"/>
      <c r="M9310" s="89"/>
    </row>
    <row r="9311" spans="3:13" x14ac:dyDescent="0.3">
      <c r="C9311" s="87"/>
      <c r="H9311" s="86" t="e">
        <f>IF(I9311="fora",0%,G9311/QUÓRUM!$C$6)</f>
        <v>#DIV/0!</v>
      </c>
      <c r="I9311" s="87"/>
      <c r="J9311" s="88"/>
      <c r="K9311" s="88"/>
      <c r="L9311" s="89"/>
      <c r="M9311" s="89"/>
    </row>
    <row r="9312" spans="3:13" x14ac:dyDescent="0.3">
      <c r="C9312" s="87"/>
      <c r="H9312" s="86" t="e">
        <f>IF(I9312="fora",0%,G9312/QUÓRUM!$C$6)</f>
        <v>#DIV/0!</v>
      </c>
      <c r="I9312" s="87"/>
      <c r="J9312" s="88"/>
      <c r="K9312" s="88"/>
      <c r="L9312" s="89"/>
      <c r="M9312" s="89"/>
    </row>
    <row r="9313" spans="3:13" x14ac:dyDescent="0.3">
      <c r="C9313" s="87"/>
      <c r="H9313" s="86" t="e">
        <f>IF(I9313="fora",0%,G9313/QUÓRUM!$C$6)</f>
        <v>#DIV/0!</v>
      </c>
      <c r="I9313" s="87"/>
      <c r="J9313" s="88"/>
      <c r="K9313" s="88"/>
      <c r="L9313" s="89"/>
      <c r="M9313" s="89"/>
    </row>
    <row r="9314" spans="3:13" x14ac:dyDescent="0.3">
      <c r="C9314" s="87"/>
      <c r="H9314" s="86" t="e">
        <f>IF(I9314="fora",0%,G9314/QUÓRUM!$C$6)</f>
        <v>#DIV/0!</v>
      </c>
      <c r="I9314" s="87"/>
      <c r="J9314" s="88"/>
      <c r="K9314" s="88"/>
      <c r="L9314" s="89"/>
      <c r="M9314" s="89"/>
    </row>
    <row r="9315" spans="3:13" x14ac:dyDescent="0.3">
      <c r="C9315" s="87"/>
      <c r="H9315" s="86" t="e">
        <f>IF(I9315="fora",0%,G9315/QUÓRUM!$C$6)</f>
        <v>#DIV/0!</v>
      </c>
      <c r="I9315" s="87"/>
      <c r="J9315" s="88"/>
      <c r="K9315" s="88"/>
      <c r="L9315" s="89"/>
      <c r="M9315" s="89"/>
    </row>
    <row r="9316" spans="3:13" x14ac:dyDescent="0.3">
      <c r="C9316" s="87"/>
      <c r="H9316" s="86" t="e">
        <f>IF(I9316="fora",0%,G9316/QUÓRUM!$C$6)</f>
        <v>#DIV/0!</v>
      </c>
      <c r="I9316" s="87"/>
      <c r="J9316" s="88"/>
      <c r="K9316" s="88"/>
      <c r="L9316" s="89"/>
      <c r="M9316" s="89"/>
    </row>
    <row r="9317" spans="3:13" x14ac:dyDescent="0.3">
      <c r="C9317" s="87"/>
      <c r="H9317" s="86" t="e">
        <f>IF(I9317="fora",0%,G9317/QUÓRUM!$C$6)</f>
        <v>#DIV/0!</v>
      </c>
      <c r="I9317" s="87"/>
      <c r="J9317" s="88"/>
      <c r="K9317" s="88"/>
      <c r="L9317" s="89"/>
      <c r="M9317" s="89"/>
    </row>
    <row r="9318" spans="3:13" x14ac:dyDescent="0.3">
      <c r="C9318" s="87"/>
      <c r="H9318" s="86" t="e">
        <f>IF(I9318="fora",0%,G9318/QUÓRUM!$C$6)</f>
        <v>#DIV/0!</v>
      </c>
      <c r="I9318" s="87"/>
      <c r="J9318" s="88"/>
      <c r="K9318" s="88"/>
      <c r="L9318" s="89"/>
      <c r="M9318" s="89"/>
    </row>
    <row r="9319" spans="3:13" x14ac:dyDescent="0.3">
      <c r="C9319" s="87"/>
      <c r="H9319" s="86" t="e">
        <f>IF(I9319="fora",0%,G9319/QUÓRUM!$C$6)</f>
        <v>#DIV/0!</v>
      </c>
      <c r="I9319" s="87"/>
      <c r="J9319" s="88"/>
      <c r="K9319" s="88"/>
      <c r="L9319" s="89"/>
      <c r="M9319" s="89"/>
    </row>
    <row r="9320" spans="3:13" x14ac:dyDescent="0.3">
      <c r="C9320" s="87"/>
      <c r="H9320" s="86" t="e">
        <f>IF(I9320="fora",0%,G9320/QUÓRUM!$C$6)</f>
        <v>#DIV/0!</v>
      </c>
      <c r="I9320" s="87"/>
      <c r="J9320" s="88"/>
      <c r="K9320" s="88"/>
      <c r="L9320" s="89"/>
      <c r="M9320" s="89"/>
    </row>
    <row r="9321" spans="3:13" x14ac:dyDescent="0.3">
      <c r="C9321" s="87"/>
      <c r="H9321" s="86" t="e">
        <f>IF(I9321="fora",0%,G9321/QUÓRUM!$C$6)</f>
        <v>#DIV/0!</v>
      </c>
      <c r="I9321" s="87"/>
      <c r="J9321" s="88"/>
      <c r="K9321" s="88"/>
      <c r="L9321" s="89"/>
      <c r="M9321" s="89"/>
    </row>
    <row r="9322" spans="3:13" x14ac:dyDescent="0.3">
      <c r="C9322" s="87"/>
      <c r="H9322" s="86" t="e">
        <f>IF(I9322="fora",0%,G9322/QUÓRUM!$C$6)</f>
        <v>#DIV/0!</v>
      </c>
      <c r="I9322" s="87"/>
      <c r="J9322" s="88"/>
      <c r="K9322" s="88"/>
      <c r="L9322" s="89"/>
      <c r="M9322" s="89"/>
    </row>
    <row r="9323" spans="3:13" x14ac:dyDescent="0.3">
      <c r="C9323" s="87"/>
      <c r="H9323" s="86" t="e">
        <f>IF(I9323="fora",0%,G9323/QUÓRUM!$C$6)</f>
        <v>#DIV/0!</v>
      </c>
      <c r="I9323" s="87"/>
      <c r="J9323" s="88"/>
      <c r="K9323" s="88"/>
      <c r="L9323" s="89"/>
      <c r="M9323" s="89"/>
    </row>
    <row r="9324" spans="3:13" x14ac:dyDescent="0.3">
      <c r="C9324" s="87"/>
      <c r="H9324" s="86" t="e">
        <f>IF(I9324="fora",0%,G9324/QUÓRUM!$C$6)</f>
        <v>#DIV/0!</v>
      </c>
      <c r="I9324" s="87"/>
      <c r="J9324" s="88"/>
      <c r="K9324" s="88"/>
      <c r="L9324" s="89"/>
      <c r="M9324" s="89"/>
    </row>
    <row r="9325" spans="3:13" x14ac:dyDescent="0.3">
      <c r="C9325" s="87"/>
      <c r="H9325" s="86" t="e">
        <f>IF(I9325="fora",0%,G9325/QUÓRUM!$C$6)</f>
        <v>#DIV/0!</v>
      </c>
      <c r="I9325" s="87"/>
      <c r="J9325" s="88"/>
      <c r="K9325" s="88"/>
      <c r="L9325" s="89"/>
      <c r="M9325" s="89"/>
    </row>
    <row r="9326" spans="3:13" x14ac:dyDescent="0.3">
      <c r="C9326" s="87"/>
      <c r="H9326" s="86" t="e">
        <f>IF(I9326="fora",0%,G9326/QUÓRUM!$C$6)</f>
        <v>#DIV/0!</v>
      </c>
      <c r="I9326" s="87"/>
      <c r="J9326" s="88"/>
      <c r="K9326" s="88"/>
      <c r="L9326" s="89"/>
      <c r="M9326" s="89"/>
    </row>
    <row r="9327" spans="3:13" x14ac:dyDescent="0.3">
      <c r="C9327" s="87"/>
      <c r="H9327" s="86" t="e">
        <f>IF(I9327="fora",0%,G9327/QUÓRUM!$C$6)</f>
        <v>#DIV/0!</v>
      </c>
      <c r="I9327" s="87"/>
      <c r="J9327" s="88"/>
      <c r="K9327" s="88"/>
      <c r="L9327" s="89"/>
      <c r="M9327" s="89"/>
    </row>
    <row r="9328" spans="3:13" x14ac:dyDescent="0.3">
      <c r="C9328" s="87"/>
      <c r="H9328" s="86" t="e">
        <f>IF(I9328="fora",0%,G9328/QUÓRUM!$C$6)</f>
        <v>#DIV/0!</v>
      </c>
      <c r="I9328" s="87"/>
      <c r="J9328" s="88"/>
      <c r="K9328" s="88"/>
      <c r="L9328" s="89"/>
      <c r="M9328" s="89"/>
    </row>
    <row r="9329" spans="3:13" x14ac:dyDescent="0.3">
      <c r="C9329" s="87"/>
      <c r="H9329" s="86" t="e">
        <f>IF(I9329="fora",0%,G9329/QUÓRUM!$C$6)</f>
        <v>#DIV/0!</v>
      </c>
      <c r="I9329" s="87"/>
      <c r="J9329" s="88"/>
      <c r="K9329" s="88"/>
      <c r="L9329" s="89"/>
      <c r="M9329" s="89"/>
    </row>
    <row r="9330" spans="3:13" x14ac:dyDescent="0.3">
      <c r="C9330" s="87"/>
      <c r="H9330" s="86" t="e">
        <f>IF(I9330="fora",0%,G9330/QUÓRUM!$C$6)</f>
        <v>#DIV/0!</v>
      </c>
      <c r="I9330" s="87"/>
      <c r="J9330" s="88"/>
      <c r="K9330" s="88"/>
      <c r="L9330" s="89"/>
      <c r="M9330" s="89"/>
    </row>
    <row r="9331" spans="3:13" x14ac:dyDescent="0.3">
      <c r="C9331" s="87"/>
      <c r="H9331" s="86" t="e">
        <f>IF(I9331="fora",0%,G9331/QUÓRUM!$C$6)</f>
        <v>#DIV/0!</v>
      </c>
      <c r="I9331" s="87"/>
      <c r="J9331" s="88"/>
      <c r="K9331" s="88"/>
      <c r="L9331" s="89"/>
      <c r="M9331" s="89"/>
    </row>
    <row r="9332" spans="3:13" x14ac:dyDescent="0.3">
      <c r="C9332" s="87"/>
      <c r="H9332" s="86" t="e">
        <f>IF(I9332="fora",0%,G9332/QUÓRUM!$C$6)</f>
        <v>#DIV/0!</v>
      </c>
      <c r="I9332" s="87"/>
      <c r="J9332" s="88"/>
      <c r="K9332" s="88"/>
      <c r="L9332" s="89"/>
      <c r="M9332" s="89"/>
    </row>
    <row r="9333" spans="3:13" x14ac:dyDescent="0.3">
      <c r="C9333" s="87"/>
      <c r="H9333" s="86" t="e">
        <f>IF(I9333="fora",0%,G9333/QUÓRUM!$C$6)</f>
        <v>#DIV/0!</v>
      </c>
      <c r="I9333" s="87"/>
      <c r="J9333" s="88"/>
      <c r="K9333" s="88"/>
      <c r="L9333" s="89"/>
      <c r="M9333" s="89"/>
    </row>
    <row r="9334" spans="3:13" x14ac:dyDescent="0.3">
      <c r="C9334" s="87"/>
      <c r="H9334" s="86" t="e">
        <f>IF(I9334="fora",0%,G9334/QUÓRUM!$C$6)</f>
        <v>#DIV/0!</v>
      </c>
      <c r="I9334" s="87"/>
      <c r="J9334" s="88"/>
      <c r="K9334" s="88"/>
      <c r="L9334" s="89"/>
      <c r="M9334" s="89"/>
    </row>
    <row r="9335" spans="3:13" x14ac:dyDescent="0.3">
      <c r="C9335" s="87"/>
      <c r="H9335" s="86" t="e">
        <f>IF(I9335="fora",0%,G9335/QUÓRUM!$C$6)</f>
        <v>#DIV/0!</v>
      </c>
      <c r="I9335" s="87"/>
      <c r="J9335" s="88"/>
      <c r="K9335" s="88"/>
      <c r="L9335" s="89"/>
      <c r="M9335" s="89"/>
    </row>
    <row r="9336" spans="3:13" x14ac:dyDescent="0.3">
      <c r="C9336" s="87"/>
      <c r="H9336" s="86" t="e">
        <f>IF(I9336="fora",0%,G9336/QUÓRUM!$C$6)</f>
        <v>#DIV/0!</v>
      </c>
      <c r="I9336" s="87"/>
      <c r="J9336" s="88"/>
      <c r="K9336" s="88"/>
      <c r="L9336" s="89"/>
      <c r="M9336" s="89"/>
    </row>
    <row r="9337" spans="3:13" x14ac:dyDescent="0.3">
      <c r="C9337" s="87"/>
      <c r="H9337" s="86" t="e">
        <f>IF(I9337="fora",0%,G9337/QUÓRUM!$C$6)</f>
        <v>#DIV/0!</v>
      </c>
      <c r="I9337" s="87"/>
      <c r="J9337" s="88"/>
      <c r="K9337" s="88"/>
      <c r="L9337" s="89"/>
      <c r="M9337" s="89"/>
    </row>
    <row r="9338" spans="3:13" x14ac:dyDescent="0.3">
      <c r="C9338" s="87"/>
      <c r="H9338" s="86" t="e">
        <f>IF(I9338="fora",0%,G9338/QUÓRUM!$C$6)</f>
        <v>#DIV/0!</v>
      </c>
      <c r="I9338" s="87"/>
      <c r="J9338" s="88"/>
      <c r="K9338" s="88"/>
      <c r="L9338" s="89"/>
      <c r="M9338" s="89"/>
    </row>
    <row r="9339" spans="3:13" x14ac:dyDescent="0.3">
      <c r="C9339" s="87"/>
      <c r="H9339" s="86" t="e">
        <f>IF(I9339="fora",0%,G9339/QUÓRUM!$C$6)</f>
        <v>#DIV/0!</v>
      </c>
      <c r="I9339" s="87"/>
      <c r="J9339" s="88"/>
      <c r="K9339" s="88"/>
      <c r="L9339" s="89"/>
      <c r="M9339" s="89"/>
    </row>
    <row r="9340" spans="3:13" x14ac:dyDescent="0.3">
      <c r="C9340" s="87"/>
      <c r="H9340" s="86" t="e">
        <f>IF(I9340="fora",0%,G9340/QUÓRUM!$C$6)</f>
        <v>#DIV/0!</v>
      </c>
      <c r="I9340" s="87"/>
      <c r="J9340" s="88"/>
      <c r="K9340" s="88"/>
      <c r="L9340" s="89"/>
      <c r="M9340" s="89"/>
    </row>
    <row r="9341" spans="3:13" x14ac:dyDescent="0.3">
      <c r="C9341" s="87"/>
      <c r="H9341" s="86" t="e">
        <f>IF(I9341="fora",0%,G9341/QUÓRUM!$C$6)</f>
        <v>#DIV/0!</v>
      </c>
      <c r="I9341" s="87"/>
      <c r="J9341" s="88"/>
      <c r="K9341" s="88"/>
      <c r="L9341" s="89"/>
      <c r="M9341" s="89"/>
    </row>
    <row r="9342" spans="3:13" x14ac:dyDescent="0.3">
      <c r="C9342" s="87"/>
      <c r="H9342" s="86" t="e">
        <f>IF(I9342="fora",0%,G9342/QUÓRUM!$C$6)</f>
        <v>#DIV/0!</v>
      </c>
      <c r="I9342" s="87"/>
      <c r="J9342" s="88"/>
      <c r="K9342" s="88"/>
      <c r="L9342" s="89"/>
      <c r="M9342" s="89"/>
    </row>
    <row r="9343" spans="3:13" x14ac:dyDescent="0.3">
      <c r="C9343" s="87"/>
      <c r="H9343" s="86" t="e">
        <f>IF(I9343="fora",0%,G9343/QUÓRUM!$C$6)</f>
        <v>#DIV/0!</v>
      </c>
      <c r="I9343" s="87"/>
      <c r="J9343" s="88"/>
      <c r="K9343" s="88"/>
      <c r="L9343" s="89"/>
      <c r="M9343" s="89"/>
    </row>
    <row r="9344" spans="3:13" x14ac:dyDescent="0.3">
      <c r="C9344" s="87"/>
      <c r="H9344" s="86" t="e">
        <f>IF(I9344="fora",0%,G9344/QUÓRUM!$C$6)</f>
        <v>#DIV/0!</v>
      </c>
      <c r="I9344" s="87"/>
      <c r="J9344" s="88"/>
      <c r="K9344" s="88"/>
      <c r="L9344" s="89"/>
      <c r="M9344" s="89"/>
    </row>
    <row r="9345" spans="3:13" x14ac:dyDescent="0.3">
      <c r="C9345" s="87"/>
      <c r="H9345" s="86" t="e">
        <f>IF(I9345="fora",0%,G9345/QUÓRUM!$C$6)</f>
        <v>#DIV/0!</v>
      </c>
      <c r="I9345" s="87"/>
      <c r="J9345" s="88"/>
      <c r="K9345" s="88"/>
      <c r="L9345" s="89"/>
      <c r="M9345" s="89"/>
    </row>
    <row r="9346" spans="3:13" x14ac:dyDescent="0.3">
      <c r="C9346" s="87"/>
      <c r="H9346" s="86" t="e">
        <f>IF(I9346="fora",0%,G9346/QUÓRUM!$C$6)</f>
        <v>#DIV/0!</v>
      </c>
      <c r="I9346" s="87"/>
      <c r="J9346" s="88"/>
      <c r="K9346" s="88"/>
      <c r="L9346" s="89"/>
      <c r="M9346" s="89"/>
    </row>
    <row r="9347" spans="3:13" x14ac:dyDescent="0.3">
      <c r="C9347" s="87"/>
      <c r="H9347" s="86" t="e">
        <f>IF(I9347="fora",0%,G9347/QUÓRUM!$C$6)</f>
        <v>#DIV/0!</v>
      </c>
      <c r="I9347" s="87"/>
      <c r="J9347" s="88"/>
      <c r="K9347" s="88"/>
      <c r="L9347" s="89"/>
      <c r="M9347" s="89"/>
    </row>
    <row r="9348" spans="3:13" x14ac:dyDescent="0.3">
      <c r="C9348" s="87"/>
      <c r="H9348" s="86" t="e">
        <f>IF(I9348="fora",0%,G9348/QUÓRUM!$C$6)</f>
        <v>#DIV/0!</v>
      </c>
      <c r="I9348" s="87"/>
      <c r="J9348" s="88"/>
      <c r="K9348" s="88"/>
      <c r="L9348" s="89"/>
      <c r="M9348" s="89"/>
    </row>
    <row r="9349" spans="3:13" x14ac:dyDescent="0.3">
      <c r="C9349" s="87"/>
      <c r="H9349" s="86" t="e">
        <f>IF(I9349="fora",0%,G9349/QUÓRUM!$C$6)</f>
        <v>#DIV/0!</v>
      </c>
      <c r="I9349" s="87"/>
      <c r="J9349" s="88"/>
      <c r="K9349" s="88"/>
      <c r="L9349" s="89"/>
      <c r="M9349" s="89"/>
    </row>
    <row r="9350" spans="3:13" x14ac:dyDescent="0.3">
      <c r="C9350" s="87"/>
      <c r="H9350" s="86" t="e">
        <f>IF(I9350="fora",0%,G9350/QUÓRUM!$C$6)</f>
        <v>#DIV/0!</v>
      </c>
      <c r="I9350" s="87"/>
      <c r="J9350" s="88"/>
      <c r="K9350" s="88"/>
      <c r="L9350" s="89"/>
      <c r="M9350" s="89"/>
    </row>
    <row r="9351" spans="3:13" x14ac:dyDescent="0.3">
      <c r="C9351" s="87"/>
      <c r="H9351" s="86" t="e">
        <f>IF(I9351="fora",0%,G9351/QUÓRUM!$C$6)</f>
        <v>#DIV/0!</v>
      </c>
      <c r="I9351" s="87"/>
      <c r="J9351" s="88"/>
      <c r="K9351" s="88"/>
      <c r="L9351" s="89"/>
      <c r="M9351" s="89"/>
    </row>
    <row r="9352" spans="3:13" x14ac:dyDescent="0.3">
      <c r="C9352" s="87"/>
      <c r="H9352" s="86" t="e">
        <f>IF(I9352="fora",0%,G9352/QUÓRUM!$C$6)</f>
        <v>#DIV/0!</v>
      </c>
      <c r="I9352" s="87"/>
      <c r="J9352" s="88"/>
      <c r="K9352" s="88"/>
      <c r="L9352" s="89"/>
      <c r="M9352" s="89"/>
    </row>
    <row r="9353" spans="3:13" x14ac:dyDescent="0.3">
      <c r="C9353" s="87"/>
      <c r="H9353" s="86" t="e">
        <f>IF(I9353="fora",0%,G9353/QUÓRUM!$C$6)</f>
        <v>#DIV/0!</v>
      </c>
      <c r="I9353" s="87"/>
      <c r="J9353" s="88"/>
      <c r="K9353" s="88"/>
      <c r="L9353" s="89"/>
      <c r="M9353" s="89"/>
    </row>
    <row r="9354" spans="3:13" x14ac:dyDescent="0.3">
      <c r="C9354" s="87"/>
      <c r="H9354" s="86" t="e">
        <f>IF(I9354="fora",0%,G9354/QUÓRUM!$C$6)</f>
        <v>#DIV/0!</v>
      </c>
      <c r="I9354" s="87"/>
      <c r="J9354" s="88"/>
      <c r="K9354" s="88"/>
      <c r="L9354" s="89"/>
      <c r="M9354" s="89"/>
    </row>
    <row r="9355" spans="3:13" x14ac:dyDescent="0.3">
      <c r="C9355" s="87"/>
      <c r="H9355" s="86" t="e">
        <f>IF(I9355="fora",0%,G9355/QUÓRUM!$C$6)</f>
        <v>#DIV/0!</v>
      </c>
      <c r="I9355" s="87"/>
      <c r="J9355" s="88"/>
      <c r="K9355" s="88"/>
      <c r="L9355" s="89"/>
      <c r="M9355" s="89"/>
    </row>
    <row r="9356" spans="3:13" x14ac:dyDescent="0.3">
      <c r="C9356" s="87"/>
      <c r="H9356" s="86" t="e">
        <f>IF(I9356="fora",0%,G9356/QUÓRUM!$C$6)</f>
        <v>#DIV/0!</v>
      </c>
      <c r="I9356" s="87"/>
      <c r="J9356" s="88"/>
      <c r="K9356" s="88"/>
      <c r="L9356" s="89"/>
      <c r="M9356" s="89"/>
    </row>
    <row r="9357" spans="3:13" x14ac:dyDescent="0.3">
      <c r="C9357" s="87"/>
      <c r="H9357" s="86" t="e">
        <f>IF(I9357="fora",0%,G9357/QUÓRUM!$C$6)</f>
        <v>#DIV/0!</v>
      </c>
      <c r="I9357" s="87"/>
      <c r="J9357" s="88"/>
      <c r="K9357" s="88"/>
      <c r="L9357" s="89"/>
      <c r="M9357" s="89"/>
    </row>
    <row r="9358" spans="3:13" x14ac:dyDescent="0.3">
      <c r="C9358" s="87"/>
      <c r="H9358" s="86" t="e">
        <f>IF(I9358="fora",0%,G9358/QUÓRUM!$C$6)</f>
        <v>#DIV/0!</v>
      </c>
      <c r="I9358" s="87"/>
      <c r="J9358" s="88"/>
      <c r="K9358" s="88"/>
      <c r="L9358" s="89"/>
      <c r="M9358" s="89"/>
    </row>
    <row r="9359" spans="3:13" x14ac:dyDescent="0.3">
      <c r="C9359" s="87"/>
      <c r="H9359" s="86" t="e">
        <f>IF(I9359="fora",0%,G9359/QUÓRUM!$C$6)</f>
        <v>#DIV/0!</v>
      </c>
      <c r="I9359" s="87"/>
      <c r="J9359" s="88"/>
      <c r="K9359" s="88"/>
      <c r="L9359" s="89"/>
      <c r="M9359" s="89"/>
    </row>
    <row r="9360" spans="3:13" x14ac:dyDescent="0.3">
      <c r="C9360" s="87"/>
      <c r="H9360" s="86" t="e">
        <f>IF(I9360="fora",0%,G9360/QUÓRUM!$C$6)</f>
        <v>#DIV/0!</v>
      </c>
      <c r="I9360" s="87"/>
      <c r="J9360" s="88"/>
      <c r="K9360" s="88"/>
      <c r="L9360" s="89"/>
      <c r="M9360" s="89"/>
    </row>
    <row r="9361" spans="3:13" x14ac:dyDescent="0.3">
      <c r="C9361" s="87"/>
      <c r="H9361" s="86" t="e">
        <f>IF(I9361="fora",0%,G9361/QUÓRUM!$C$6)</f>
        <v>#DIV/0!</v>
      </c>
      <c r="I9361" s="87"/>
      <c r="J9361" s="88"/>
      <c r="K9361" s="88"/>
      <c r="L9361" s="89"/>
      <c r="M9361" s="89"/>
    </row>
    <row r="9362" spans="3:13" x14ac:dyDescent="0.3">
      <c r="C9362" s="87"/>
      <c r="H9362" s="86" t="e">
        <f>IF(I9362="fora",0%,G9362/QUÓRUM!$C$6)</f>
        <v>#DIV/0!</v>
      </c>
      <c r="I9362" s="87"/>
      <c r="J9362" s="88"/>
      <c r="K9362" s="88"/>
      <c r="L9362" s="89"/>
      <c r="M9362" s="89"/>
    </row>
    <row r="9363" spans="3:13" x14ac:dyDescent="0.3">
      <c r="C9363" s="87"/>
      <c r="H9363" s="86" t="e">
        <f>IF(I9363="fora",0%,G9363/QUÓRUM!$C$6)</f>
        <v>#DIV/0!</v>
      </c>
      <c r="I9363" s="87"/>
      <c r="J9363" s="88"/>
      <c r="K9363" s="88"/>
      <c r="L9363" s="89"/>
      <c r="M9363" s="89"/>
    </row>
    <row r="9364" spans="3:13" x14ac:dyDescent="0.3">
      <c r="C9364" s="87"/>
      <c r="H9364" s="86" t="e">
        <f>IF(I9364="fora",0%,G9364/QUÓRUM!$C$6)</f>
        <v>#DIV/0!</v>
      </c>
      <c r="I9364" s="87"/>
      <c r="J9364" s="88"/>
      <c r="K9364" s="88"/>
      <c r="L9364" s="89"/>
      <c r="M9364" s="89"/>
    </row>
    <row r="9365" spans="3:13" x14ac:dyDescent="0.3">
      <c r="C9365" s="87"/>
      <c r="H9365" s="86" t="e">
        <f>IF(I9365="fora",0%,G9365/QUÓRUM!$C$6)</f>
        <v>#DIV/0!</v>
      </c>
      <c r="I9365" s="87"/>
      <c r="J9365" s="88"/>
      <c r="K9365" s="88"/>
      <c r="L9365" s="89"/>
      <c r="M9365" s="89"/>
    </row>
    <row r="9366" spans="3:13" x14ac:dyDescent="0.3">
      <c r="C9366" s="87"/>
      <c r="H9366" s="86" t="e">
        <f>IF(I9366="fora",0%,G9366/QUÓRUM!$C$6)</f>
        <v>#DIV/0!</v>
      </c>
      <c r="I9366" s="87"/>
      <c r="J9366" s="88"/>
      <c r="K9366" s="88"/>
      <c r="L9366" s="89"/>
      <c r="M9366" s="89"/>
    </row>
    <row r="9367" spans="3:13" x14ac:dyDescent="0.3">
      <c r="C9367" s="87"/>
      <c r="H9367" s="86" t="e">
        <f>IF(I9367="fora",0%,G9367/QUÓRUM!$C$6)</f>
        <v>#DIV/0!</v>
      </c>
      <c r="I9367" s="87"/>
      <c r="J9367" s="88"/>
      <c r="K9367" s="88"/>
      <c r="L9367" s="89"/>
      <c r="M9367" s="89"/>
    </row>
    <row r="9368" spans="3:13" x14ac:dyDescent="0.3">
      <c r="C9368" s="87"/>
      <c r="H9368" s="86" t="e">
        <f>IF(I9368="fora",0%,G9368/QUÓRUM!$C$6)</f>
        <v>#DIV/0!</v>
      </c>
      <c r="I9368" s="87"/>
      <c r="J9368" s="88"/>
      <c r="K9368" s="88"/>
      <c r="L9368" s="89"/>
      <c r="M9368" s="89"/>
    </row>
    <row r="9369" spans="3:13" x14ac:dyDescent="0.3">
      <c r="C9369" s="87"/>
      <c r="H9369" s="86" t="e">
        <f>IF(I9369="fora",0%,G9369/QUÓRUM!$C$6)</f>
        <v>#DIV/0!</v>
      </c>
      <c r="I9369" s="87"/>
      <c r="J9369" s="88"/>
      <c r="K9369" s="88"/>
      <c r="L9369" s="89"/>
      <c r="M9369" s="89"/>
    </row>
    <row r="9370" spans="3:13" x14ac:dyDescent="0.3">
      <c r="C9370" s="87"/>
      <c r="H9370" s="86" t="e">
        <f>IF(I9370="fora",0%,G9370/QUÓRUM!$C$6)</f>
        <v>#DIV/0!</v>
      </c>
      <c r="I9370" s="87"/>
      <c r="J9370" s="88"/>
      <c r="K9370" s="88"/>
      <c r="L9370" s="89"/>
      <c r="M9370" s="89"/>
    </row>
    <row r="9371" spans="3:13" x14ac:dyDescent="0.3">
      <c r="C9371" s="87"/>
      <c r="H9371" s="86" t="e">
        <f>IF(I9371="fora",0%,G9371/QUÓRUM!$C$6)</f>
        <v>#DIV/0!</v>
      </c>
      <c r="I9371" s="87"/>
      <c r="J9371" s="88"/>
      <c r="K9371" s="88"/>
      <c r="L9371" s="89"/>
      <c r="M9371" s="89"/>
    </row>
    <row r="9372" spans="3:13" x14ac:dyDescent="0.3">
      <c r="C9372" s="87"/>
      <c r="H9372" s="86" t="e">
        <f>IF(I9372="fora",0%,G9372/QUÓRUM!$C$6)</f>
        <v>#DIV/0!</v>
      </c>
      <c r="I9372" s="87"/>
      <c r="J9372" s="88"/>
      <c r="K9372" s="88"/>
      <c r="L9372" s="89"/>
      <c r="M9372" s="89"/>
    </row>
    <row r="9373" spans="3:13" x14ac:dyDescent="0.3">
      <c r="C9373" s="87"/>
      <c r="H9373" s="86" t="e">
        <f>IF(I9373="fora",0%,G9373/QUÓRUM!$C$6)</f>
        <v>#DIV/0!</v>
      </c>
      <c r="I9373" s="87"/>
      <c r="J9373" s="88"/>
      <c r="K9373" s="88"/>
      <c r="L9373" s="89"/>
      <c r="M9373" s="89"/>
    </row>
    <row r="9374" spans="3:13" x14ac:dyDescent="0.3">
      <c r="C9374" s="87"/>
      <c r="H9374" s="86" t="e">
        <f>IF(I9374="fora",0%,G9374/QUÓRUM!$C$6)</f>
        <v>#DIV/0!</v>
      </c>
      <c r="I9374" s="87"/>
      <c r="J9374" s="88"/>
      <c r="K9374" s="88"/>
      <c r="L9374" s="89"/>
      <c r="M9374" s="89"/>
    </row>
    <row r="9375" spans="3:13" x14ac:dyDescent="0.3">
      <c r="C9375" s="87"/>
      <c r="H9375" s="86" t="e">
        <f>IF(I9375="fora",0%,G9375/QUÓRUM!$C$6)</f>
        <v>#DIV/0!</v>
      </c>
      <c r="I9375" s="87"/>
      <c r="J9375" s="88"/>
      <c r="K9375" s="88"/>
      <c r="L9375" s="89"/>
      <c r="M9375" s="89"/>
    </row>
    <row r="9376" spans="3:13" x14ac:dyDescent="0.3">
      <c r="C9376" s="87"/>
      <c r="H9376" s="86" t="e">
        <f>IF(I9376="fora",0%,G9376/QUÓRUM!$C$6)</f>
        <v>#DIV/0!</v>
      </c>
      <c r="I9376" s="87"/>
      <c r="J9376" s="88"/>
      <c r="K9376" s="88"/>
      <c r="L9376" s="89"/>
      <c r="M9376" s="89"/>
    </row>
    <row r="9377" spans="3:13" x14ac:dyDescent="0.3">
      <c r="C9377" s="87"/>
      <c r="H9377" s="86" t="e">
        <f>IF(I9377="fora",0%,G9377/QUÓRUM!$C$6)</f>
        <v>#DIV/0!</v>
      </c>
      <c r="I9377" s="87"/>
      <c r="J9377" s="88"/>
      <c r="K9377" s="88"/>
      <c r="L9377" s="89"/>
      <c r="M9377" s="89"/>
    </row>
    <row r="9378" spans="3:13" x14ac:dyDescent="0.3">
      <c r="C9378" s="87"/>
      <c r="H9378" s="86" t="e">
        <f>IF(I9378="fora",0%,G9378/QUÓRUM!$C$6)</f>
        <v>#DIV/0!</v>
      </c>
      <c r="I9378" s="87"/>
      <c r="J9378" s="88"/>
      <c r="K9378" s="88"/>
      <c r="L9378" s="89"/>
      <c r="M9378" s="89"/>
    </row>
    <row r="9379" spans="3:13" x14ac:dyDescent="0.3">
      <c r="C9379" s="87"/>
      <c r="H9379" s="86" t="e">
        <f>IF(I9379="fora",0%,G9379/QUÓRUM!$C$6)</f>
        <v>#DIV/0!</v>
      </c>
      <c r="I9379" s="87"/>
      <c r="J9379" s="88"/>
      <c r="K9379" s="88"/>
      <c r="L9379" s="89"/>
      <c r="M9379" s="89"/>
    </row>
    <row r="9380" spans="3:13" x14ac:dyDescent="0.3">
      <c r="C9380" s="87"/>
      <c r="H9380" s="86" t="e">
        <f>IF(I9380="fora",0%,G9380/QUÓRUM!$C$6)</f>
        <v>#DIV/0!</v>
      </c>
      <c r="I9380" s="87"/>
      <c r="J9380" s="88"/>
      <c r="K9380" s="88"/>
      <c r="L9380" s="89"/>
      <c r="M9380" s="89"/>
    </row>
    <row r="9381" spans="3:13" x14ac:dyDescent="0.3">
      <c r="C9381" s="87"/>
      <c r="H9381" s="86" t="e">
        <f>IF(I9381="fora",0%,G9381/QUÓRUM!$C$6)</f>
        <v>#DIV/0!</v>
      </c>
      <c r="I9381" s="87"/>
      <c r="J9381" s="88"/>
      <c r="K9381" s="88"/>
      <c r="L9381" s="89"/>
      <c r="M9381" s="89"/>
    </row>
    <row r="9382" spans="3:13" x14ac:dyDescent="0.3">
      <c r="C9382" s="87"/>
      <c r="H9382" s="86" t="e">
        <f>IF(I9382="fora",0%,G9382/QUÓRUM!$C$6)</f>
        <v>#DIV/0!</v>
      </c>
      <c r="I9382" s="87"/>
      <c r="J9382" s="88"/>
      <c r="K9382" s="88"/>
      <c r="L9382" s="89"/>
      <c r="M9382" s="89"/>
    </row>
    <row r="9383" spans="3:13" x14ac:dyDescent="0.3">
      <c r="C9383" s="87"/>
      <c r="H9383" s="86" t="e">
        <f>IF(I9383="fora",0%,G9383/QUÓRUM!$C$6)</f>
        <v>#DIV/0!</v>
      </c>
      <c r="I9383" s="87"/>
      <c r="J9383" s="88"/>
      <c r="K9383" s="88"/>
      <c r="L9383" s="89"/>
      <c r="M9383" s="89"/>
    </row>
    <row r="9384" spans="3:13" x14ac:dyDescent="0.3">
      <c r="C9384" s="87"/>
      <c r="H9384" s="86" t="e">
        <f>IF(I9384="fora",0%,G9384/QUÓRUM!$C$6)</f>
        <v>#DIV/0!</v>
      </c>
      <c r="I9384" s="87"/>
      <c r="J9384" s="88"/>
      <c r="K9384" s="88"/>
      <c r="L9384" s="89"/>
      <c r="M9384" s="89"/>
    </row>
    <row r="9385" spans="3:13" x14ac:dyDescent="0.3">
      <c r="C9385" s="87"/>
      <c r="H9385" s="86" t="e">
        <f>IF(I9385="fora",0%,G9385/QUÓRUM!$C$6)</f>
        <v>#DIV/0!</v>
      </c>
      <c r="I9385" s="87"/>
      <c r="J9385" s="88"/>
      <c r="K9385" s="88"/>
      <c r="L9385" s="89"/>
      <c r="M9385" s="89"/>
    </row>
    <row r="9386" spans="3:13" x14ac:dyDescent="0.3">
      <c r="C9386" s="87"/>
      <c r="H9386" s="86" t="e">
        <f>IF(I9386="fora",0%,G9386/QUÓRUM!$C$6)</f>
        <v>#DIV/0!</v>
      </c>
      <c r="I9386" s="87"/>
      <c r="J9386" s="88"/>
      <c r="K9386" s="88"/>
      <c r="L9386" s="89"/>
      <c r="M9386" s="89"/>
    </row>
    <row r="9387" spans="3:13" x14ac:dyDescent="0.3">
      <c r="C9387" s="87"/>
      <c r="H9387" s="86" t="e">
        <f>IF(I9387="fora",0%,G9387/QUÓRUM!$C$6)</f>
        <v>#DIV/0!</v>
      </c>
      <c r="I9387" s="87"/>
      <c r="J9387" s="88"/>
      <c r="K9387" s="88"/>
      <c r="L9387" s="89"/>
      <c r="M9387" s="89"/>
    </row>
    <row r="9388" spans="3:13" x14ac:dyDescent="0.3">
      <c r="C9388" s="87"/>
      <c r="H9388" s="86" t="e">
        <f>IF(I9388="fora",0%,G9388/QUÓRUM!$C$6)</f>
        <v>#DIV/0!</v>
      </c>
      <c r="I9388" s="87"/>
      <c r="J9388" s="88"/>
      <c r="K9388" s="88"/>
      <c r="L9388" s="89"/>
      <c r="M9388" s="89"/>
    </row>
    <row r="9389" spans="3:13" x14ac:dyDescent="0.3">
      <c r="C9389" s="87"/>
      <c r="H9389" s="86" t="e">
        <f>IF(I9389="fora",0%,G9389/QUÓRUM!$C$6)</f>
        <v>#DIV/0!</v>
      </c>
      <c r="I9389" s="87"/>
      <c r="J9389" s="88"/>
      <c r="K9389" s="88"/>
      <c r="L9389" s="89"/>
      <c r="M9389" s="89"/>
    </row>
    <row r="9390" spans="3:13" x14ac:dyDescent="0.3">
      <c r="C9390" s="87"/>
      <c r="H9390" s="86" t="e">
        <f>IF(I9390="fora",0%,G9390/QUÓRUM!$C$6)</f>
        <v>#DIV/0!</v>
      </c>
      <c r="I9390" s="87"/>
      <c r="J9390" s="88"/>
      <c r="K9390" s="88"/>
      <c r="L9390" s="89"/>
      <c r="M9390" s="89"/>
    </row>
    <row r="9391" spans="3:13" x14ac:dyDescent="0.3">
      <c r="C9391" s="87"/>
      <c r="H9391" s="86" t="e">
        <f>IF(I9391="fora",0%,G9391/QUÓRUM!$C$6)</f>
        <v>#DIV/0!</v>
      </c>
      <c r="I9391" s="87"/>
      <c r="J9391" s="88"/>
      <c r="K9391" s="88"/>
      <c r="L9391" s="89"/>
      <c r="M9391" s="89"/>
    </row>
    <row r="9392" spans="3:13" x14ac:dyDescent="0.3">
      <c r="C9392" s="87"/>
      <c r="H9392" s="86" t="e">
        <f>IF(I9392="fora",0%,G9392/QUÓRUM!$C$6)</f>
        <v>#DIV/0!</v>
      </c>
      <c r="I9392" s="87"/>
      <c r="J9392" s="88"/>
      <c r="K9392" s="88"/>
      <c r="L9392" s="89"/>
      <c r="M9392" s="89"/>
    </row>
    <row r="9393" spans="3:13" x14ac:dyDescent="0.3">
      <c r="C9393" s="87"/>
      <c r="H9393" s="86" t="e">
        <f>IF(I9393="fora",0%,G9393/QUÓRUM!$C$6)</f>
        <v>#DIV/0!</v>
      </c>
      <c r="I9393" s="87"/>
      <c r="J9393" s="88"/>
      <c r="K9393" s="88"/>
      <c r="L9393" s="89"/>
      <c r="M9393" s="89"/>
    </row>
    <row r="9394" spans="3:13" x14ac:dyDescent="0.3">
      <c r="C9394" s="87"/>
      <c r="H9394" s="86" t="e">
        <f>IF(I9394="fora",0%,G9394/QUÓRUM!$C$6)</f>
        <v>#DIV/0!</v>
      </c>
      <c r="I9394" s="87"/>
      <c r="J9394" s="88"/>
      <c r="K9394" s="88"/>
      <c r="L9394" s="89"/>
      <c r="M9394" s="89"/>
    </row>
    <row r="9395" spans="3:13" x14ac:dyDescent="0.3">
      <c r="C9395" s="87"/>
      <c r="H9395" s="86" t="e">
        <f>IF(I9395="fora",0%,G9395/QUÓRUM!$C$6)</f>
        <v>#DIV/0!</v>
      </c>
      <c r="I9395" s="87"/>
      <c r="J9395" s="88"/>
      <c r="K9395" s="88"/>
      <c r="L9395" s="89"/>
      <c r="M9395" s="89"/>
    </row>
    <row r="9396" spans="3:13" x14ac:dyDescent="0.3">
      <c r="C9396" s="87"/>
      <c r="H9396" s="86" t="e">
        <f>IF(I9396="fora",0%,G9396/QUÓRUM!$C$6)</f>
        <v>#DIV/0!</v>
      </c>
      <c r="I9396" s="87"/>
      <c r="J9396" s="88"/>
      <c r="K9396" s="88"/>
      <c r="L9396" s="89"/>
      <c r="M9396" s="89"/>
    </row>
    <row r="9397" spans="3:13" x14ac:dyDescent="0.3">
      <c r="C9397" s="87"/>
      <c r="H9397" s="86" t="e">
        <f>IF(I9397="fora",0%,G9397/QUÓRUM!$C$6)</f>
        <v>#DIV/0!</v>
      </c>
      <c r="I9397" s="87"/>
      <c r="J9397" s="88"/>
      <c r="K9397" s="88"/>
      <c r="L9397" s="89"/>
      <c r="M9397" s="89"/>
    </row>
    <row r="9398" spans="3:13" x14ac:dyDescent="0.3">
      <c r="C9398" s="87"/>
      <c r="H9398" s="86" t="e">
        <f>IF(I9398="fora",0%,G9398/QUÓRUM!$C$6)</f>
        <v>#DIV/0!</v>
      </c>
      <c r="I9398" s="87"/>
      <c r="J9398" s="88"/>
      <c r="K9398" s="88"/>
      <c r="L9398" s="89"/>
      <c r="M9398" s="89"/>
    </row>
    <row r="9399" spans="3:13" x14ac:dyDescent="0.3">
      <c r="C9399" s="87"/>
      <c r="H9399" s="86" t="e">
        <f>IF(I9399="fora",0%,G9399/QUÓRUM!$C$6)</f>
        <v>#DIV/0!</v>
      </c>
      <c r="I9399" s="87"/>
      <c r="J9399" s="88"/>
      <c r="K9399" s="88"/>
      <c r="L9399" s="89"/>
      <c r="M9399" s="89"/>
    </row>
    <row r="9400" spans="3:13" x14ac:dyDescent="0.3">
      <c r="C9400" s="87"/>
      <c r="H9400" s="86" t="e">
        <f>IF(I9400="fora",0%,G9400/QUÓRUM!$C$6)</f>
        <v>#DIV/0!</v>
      </c>
      <c r="I9400" s="87"/>
      <c r="J9400" s="88"/>
      <c r="K9400" s="88"/>
      <c r="L9400" s="89"/>
      <c r="M9400" s="89"/>
    </row>
    <row r="9401" spans="3:13" x14ac:dyDescent="0.3">
      <c r="C9401" s="87"/>
      <c r="H9401" s="86" t="e">
        <f>IF(I9401="fora",0%,G9401/QUÓRUM!$C$6)</f>
        <v>#DIV/0!</v>
      </c>
      <c r="I9401" s="87"/>
      <c r="J9401" s="88"/>
      <c r="K9401" s="88"/>
      <c r="L9401" s="89"/>
      <c r="M9401" s="89"/>
    </row>
    <row r="9402" spans="3:13" x14ac:dyDescent="0.3">
      <c r="C9402" s="87"/>
      <c r="H9402" s="86" t="e">
        <f>IF(I9402="fora",0%,G9402/QUÓRUM!$C$6)</f>
        <v>#DIV/0!</v>
      </c>
      <c r="I9402" s="87"/>
      <c r="J9402" s="88"/>
      <c r="K9402" s="88"/>
      <c r="L9402" s="89"/>
      <c r="M9402" s="89"/>
    </row>
    <row r="9403" spans="3:13" x14ac:dyDescent="0.3">
      <c r="C9403" s="87"/>
      <c r="H9403" s="86" t="e">
        <f>IF(I9403="fora",0%,G9403/QUÓRUM!$C$6)</f>
        <v>#DIV/0!</v>
      </c>
      <c r="I9403" s="87"/>
      <c r="J9403" s="88"/>
      <c r="K9403" s="88"/>
      <c r="L9403" s="89"/>
      <c r="M9403" s="89"/>
    </row>
    <row r="9404" spans="3:13" x14ac:dyDescent="0.3">
      <c r="C9404" s="87"/>
      <c r="H9404" s="86" t="e">
        <f>IF(I9404="fora",0%,G9404/QUÓRUM!$C$6)</f>
        <v>#DIV/0!</v>
      </c>
      <c r="I9404" s="87"/>
      <c r="J9404" s="88"/>
      <c r="K9404" s="88"/>
      <c r="L9404" s="89"/>
      <c r="M9404" s="89"/>
    </row>
    <row r="9405" spans="3:13" x14ac:dyDescent="0.3">
      <c r="C9405" s="87"/>
      <c r="H9405" s="86" t="e">
        <f>IF(I9405="fora",0%,G9405/QUÓRUM!$C$6)</f>
        <v>#DIV/0!</v>
      </c>
      <c r="I9405" s="87"/>
      <c r="J9405" s="88"/>
      <c r="K9405" s="88"/>
      <c r="L9405" s="89"/>
      <c r="M9405" s="89"/>
    </row>
    <row r="9406" spans="3:13" x14ac:dyDescent="0.3">
      <c r="C9406" s="87"/>
      <c r="H9406" s="86" t="e">
        <f>IF(I9406="fora",0%,G9406/QUÓRUM!$C$6)</f>
        <v>#DIV/0!</v>
      </c>
      <c r="I9406" s="87"/>
      <c r="J9406" s="88"/>
      <c r="K9406" s="88"/>
      <c r="L9406" s="89"/>
      <c r="M9406" s="89"/>
    </row>
    <row r="9407" spans="3:13" x14ac:dyDescent="0.3">
      <c r="C9407" s="87"/>
      <c r="H9407" s="86" t="e">
        <f>IF(I9407="fora",0%,G9407/QUÓRUM!$C$6)</f>
        <v>#DIV/0!</v>
      </c>
      <c r="I9407" s="87"/>
      <c r="J9407" s="88"/>
      <c r="K9407" s="88"/>
      <c r="L9407" s="89"/>
      <c r="M9407" s="89"/>
    </row>
    <row r="9408" spans="3:13" x14ac:dyDescent="0.3">
      <c r="C9408" s="87"/>
      <c r="H9408" s="86" t="e">
        <f>IF(I9408="fora",0%,G9408/QUÓRUM!$C$6)</f>
        <v>#DIV/0!</v>
      </c>
      <c r="I9408" s="87"/>
      <c r="J9408" s="88"/>
      <c r="K9408" s="88"/>
      <c r="L9408" s="89"/>
      <c r="M9408" s="89"/>
    </row>
    <row r="9409" spans="3:13" x14ac:dyDescent="0.3">
      <c r="C9409" s="87"/>
      <c r="H9409" s="86" t="e">
        <f>IF(I9409="fora",0%,G9409/QUÓRUM!$C$6)</f>
        <v>#DIV/0!</v>
      </c>
      <c r="I9409" s="87"/>
      <c r="J9409" s="88"/>
      <c r="K9409" s="88"/>
      <c r="L9409" s="89"/>
      <c r="M9409" s="89"/>
    </row>
    <row r="9410" spans="3:13" x14ac:dyDescent="0.3">
      <c r="C9410" s="87"/>
      <c r="H9410" s="86" t="e">
        <f>IF(I9410="fora",0%,G9410/QUÓRUM!$C$6)</f>
        <v>#DIV/0!</v>
      </c>
      <c r="I9410" s="87"/>
      <c r="J9410" s="88"/>
      <c r="K9410" s="88"/>
      <c r="L9410" s="89"/>
      <c r="M9410" s="89"/>
    </row>
    <row r="9411" spans="3:13" x14ac:dyDescent="0.3">
      <c r="C9411" s="87"/>
      <c r="H9411" s="86" t="e">
        <f>IF(I9411="fora",0%,G9411/QUÓRUM!$C$6)</f>
        <v>#DIV/0!</v>
      </c>
      <c r="I9411" s="87"/>
      <c r="J9411" s="88"/>
      <c r="K9411" s="88"/>
      <c r="L9411" s="89"/>
      <c r="M9411" s="89"/>
    </row>
    <row r="9412" spans="3:13" x14ac:dyDescent="0.3">
      <c r="C9412" s="87"/>
      <c r="H9412" s="86" t="e">
        <f>IF(I9412="fora",0%,G9412/QUÓRUM!$C$6)</f>
        <v>#DIV/0!</v>
      </c>
      <c r="I9412" s="87"/>
      <c r="J9412" s="88"/>
      <c r="K9412" s="88"/>
      <c r="L9412" s="89"/>
      <c r="M9412" s="89"/>
    </row>
    <row r="9413" spans="3:13" x14ac:dyDescent="0.3">
      <c r="C9413" s="87"/>
      <c r="H9413" s="86" t="e">
        <f>IF(I9413="fora",0%,G9413/QUÓRUM!$C$6)</f>
        <v>#DIV/0!</v>
      </c>
      <c r="I9413" s="87"/>
      <c r="J9413" s="88"/>
      <c r="K9413" s="88"/>
      <c r="L9413" s="89"/>
      <c r="M9413" s="89"/>
    </row>
    <row r="9414" spans="3:13" x14ac:dyDescent="0.3">
      <c r="C9414" s="87"/>
      <c r="H9414" s="86" t="e">
        <f>IF(I9414="fora",0%,G9414/QUÓRUM!$C$6)</f>
        <v>#DIV/0!</v>
      </c>
      <c r="I9414" s="87"/>
      <c r="J9414" s="88"/>
      <c r="K9414" s="88"/>
      <c r="L9414" s="89"/>
      <c r="M9414" s="89"/>
    </row>
    <row r="9415" spans="3:13" x14ac:dyDescent="0.3">
      <c r="C9415" s="87"/>
      <c r="H9415" s="86" t="e">
        <f>IF(I9415="fora",0%,G9415/QUÓRUM!$C$6)</f>
        <v>#DIV/0!</v>
      </c>
      <c r="I9415" s="87"/>
      <c r="J9415" s="88"/>
      <c r="K9415" s="88"/>
      <c r="L9415" s="89"/>
      <c r="M9415" s="89"/>
    </row>
    <row r="9416" spans="3:13" x14ac:dyDescent="0.3">
      <c r="C9416" s="87"/>
      <c r="H9416" s="86" t="e">
        <f>IF(I9416="fora",0%,G9416/QUÓRUM!$C$6)</f>
        <v>#DIV/0!</v>
      </c>
      <c r="I9416" s="87"/>
      <c r="J9416" s="88"/>
      <c r="K9416" s="88"/>
      <c r="L9416" s="89"/>
      <c r="M9416" s="89"/>
    </row>
    <row r="9417" spans="3:13" x14ac:dyDescent="0.3">
      <c r="C9417" s="87"/>
      <c r="H9417" s="86" t="e">
        <f>IF(I9417="fora",0%,G9417/QUÓRUM!$C$6)</f>
        <v>#DIV/0!</v>
      </c>
      <c r="I9417" s="87"/>
      <c r="J9417" s="88"/>
      <c r="K9417" s="88"/>
      <c r="L9417" s="89"/>
      <c r="M9417" s="89"/>
    </row>
    <row r="9418" spans="3:13" x14ac:dyDescent="0.3">
      <c r="C9418" s="87"/>
      <c r="H9418" s="86" t="e">
        <f>IF(I9418="fora",0%,G9418/QUÓRUM!$C$6)</f>
        <v>#DIV/0!</v>
      </c>
      <c r="I9418" s="87"/>
      <c r="J9418" s="88"/>
      <c r="K9418" s="88"/>
      <c r="L9418" s="89"/>
      <c r="M9418" s="89"/>
    </row>
    <row r="9419" spans="3:13" x14ac:dyDescent="0.3">
      <c r="C9419" s="87"/>
      <c r="H9419" s="86" t="e">
        <f>IF(I9419="fora",0%,G9419/QUÓRUM!$C$6)</f>
        <v>#DIV/0!</v>
      </c>
      <c r="I9419" s="87"/>
      <c r="J9419" s="88"/>
      <c r="K9419" s="88"/>
      <c r="L9419" s="89"/>
      <c r="M9419" s="89"/>
    </row>
    <row r="9420" spans="3:13" x14ac:dyDescent="0.3">
      <c r="C9420" s="87"/>
      <c r="H9420" s="86" t="e">
        <f>IF(I9420="fora",0%,G9420/QUÓRUM!$C$6)</f>
        <v>#DIV/0!</v>
      </c>
      <c r="I9420" s="87"/>
      <c r="J9420" s="88"/>
      <c r="K9420" s="88"/>
      <c r="L9420" s="89"/>
      <c r="M9420" s="89"/>
    </row>
    <row r="9421" spans="3:13" x14ac:dyDescent="0.3">
      <c r="C9421" s="87"/>
      <c r="H9421" s="86" t="e">
        <f>IF(I9421="fora",0%,G9421/QUÓRUM!$C$6)</f>
        <v>#DIV/0!</v>
      </c>
      <c r="I9421" s="87"/>
      <c r="J9421" s="88"/>
      <c r="K9421" s="88"/>
      <c r="L9421" s="89"/>
      <c r="M9421" s="89"/>
    </row>
    <row r="9422" spans="3:13" x14ac:dyDescent="0.3">
      <c r="C9422" s="87"/>
      <c r="H9422" s="86" t="e">
        <f>IF(I9422="fora",0%,G9422/QUÓRUM!$C$6)</f>
        <v>#DIV/0!</v>
      </c>
      <c r="I9422" s="87"/>
      <c r="J9422" s="88"/>
      <c r="K9422" s="88"/>
      <c r="L9422" s="89"/>
      <c r="M9422" s="89"/>
    </row>
    <row r="9423" spans="3:13" x14ac:dyDescent="0.3">
      <c r="C9423" s="87"/>
      <c r="H9423" s="86" t="e">
        <f>IF(I9423="fora",0%,G9423/QUÓRUM!$C$6)</f>
        <v>#DIV/0!</v>
      </c>
      <c r="I9423" s="87"/>
      <c r="J9423" s="88"/>
      <c r="K9423" s="88"/>
      <c r="L9423" s="89"/>
      <c r="M9423" s="89"/>
    </row>
    <row r="9424" spans="3:13" x14ac:dyDescent="0.3">
      <c r="C9424" s="87"/>
      <c r="H9424" s="86" t="e">
        <f>IF(I9424="fora",0%,G9424/QUÓRUM!$C$6)</f>
        <v>#DIV/0!</v>
      </c>
      <c r="I9424" s="87"/>
      <c r="J9424" s="88"/>
      <c r="K9424" s="88"/>
      <c r="L9424" s="89"/>
      <c r="M9424" s="89"/>
    </row>
    <row r="9425" spans="3:13" x14ac:dyDescent="0.3">
      <c r="C9425" s="87"/>
      <c r="H9425" s="86" t="e">
        <f>IF(I9425="fora",0%,G9425/QUÓRUM!$C$6)</f>
        <v>#DIV/0!</v>
      </c>
      <c r="I9425" s="87"/>
      <c r="J9425" s="88"/>
      <c r="K9425" s="88"/>
      <c r="L9425" s="89"/>
      <c r="M9425" s="89"/>
    </row>
    <row r="9426" spans="3:13" x14ac:dyDescent="0.3">
      <c r="C9426" s="87"/>
      <c r="H9426" s="86" t="e">
        <f>IF(I9426="fora",0%,G9426/QUÓRUM!$C$6)</f>
        <v>#DIV/0!</v>
      </c>
      <c r="I9426" s="87"/>
      <c r="J9426" s="88"/>
      <c r="K9426" s="88"/>
      <c r="L9426" s="89"/>
      <c r="M9426" s="89"/>
    </row>
    <row r="9427" spans="3:13" x14ac:dyDescent="0.3">
      <c r="C9427" s="87"/>
      <c r="H9427" s="86" t="e">
        <f>IF(I9427="fora",0%,G9427/QUÓRUM!$C$6)</f>
        <v>#DIV/0!</v>
      </c>
      <c r="I9427" s="87"/>
      <c r="J9427" s="88"/>
      <c r="K9427" s="88"/>
      <c r="L9427" s="89"/>
      <c r="M9427" s="89"/>
    </row>
    <row r="9428" spans="3:13" x14ac:dyDescent="0.3">
      <c r="C9428" s="87"/>
      <c r="H9428" s="86" t="e">
        <f>IF(I9428="fora",0%,G9428/QUÓRUM!$C$6)</f>
        <v>#DIV/0!</v>
      </c>
      <c r="I9428" s="87"/>
      <c r="J9428" s="88"/>
      <c r="K9428" s="88"/>
      <c r="L9428" s="89"/>
      <c r="M9428" s="89"/>
    </row>
    <row r="9429" spans="3:13" x14ac:dyDescent="0.3">
      <c r="C9429" s="87"/>
      <c r="H9429" s="86" t="e">
        <f>IF(I9429="fora",0%,G9429/QUÓRUM!$C$6)</f>
        <v>#DIV/0!</v>
      </c>
      <c r="I9429" s="87"/>
      <c r="J9429" s="88"/>
      <c r="K9429" s="88"/>
      <c r="L9429" s="89"/>
      <c r="M9429" s="89"/>
    </row>
    <row r="9430" spans="3:13" x14ac:dyDescent="0.3">
      <c r="C9430" s="87"/>
      <c r="H9430" s="86" t="e">
        <f>IF(I9430="fora",0%,G9430/QUÓRUM!$C$6)</f>
        <v>#DIV/0!</v>
      </c>
      <c r="I9430" s="87"/>
      <c r="J9430" s="88"/>
      <c r="K9430" s="88"/>
      <c r="L9430" s="89"/>
      <c r="M9430" s="89"/>
    </row>
    <row r="9431" spans="3:13" x14ac:dyDescent="0.3">
      <c r="C9431" s="87"/>
      <c r="H9431" s="86" t="e">
        <f>IF(I9431="fora",0%,G9431/QUÓRUM!$C$6)</f>
        <v>#DIV/0!</v>
      </c>
      <c r="I9431" s="87"/>
      <c r="J9431" s="88"/>
      <c r="K9431" s="88"/>
      <c r="L9431" s="89"/>
      <c r="M9431" s="89"/>
    </row>
    <row r="9432" spans="3:13" x14ac:dyDescent="0.3">
      <c r="C9432" s="87"/>
      <c r="H9432" s="86" t="e">
        <f>IF(I9432="fora",0%,G9432/QUÓRUM!$C$6)</f>
        <v>#DIV/0!</v>
      </c>
      <c r="I9432" s="87"/>
      <c r="J9432" s="88"/>
      <c r="K9432" s="88"/>
      <c r="L9432" s="89"/>
      <c r="M9432" s="89"/>
    </row>
    <row r="9433" spans="3:13" x14ac:dyDescent="0.3">
      <c r="C9433" s="87"/>
      <c r="H9433" s="86" t="e">
        <f>IF(I9433="fora",0%,G9433/QUÓRUM!$C$6)</f>
        <v>#DIV/0!</v>
      </c>
      <c r="I9433" s="87"/>
      <c r="J9433" s="88"/>
      <c r="K9433" s="88"/>
      <c r="L9433" s="89"/>
      <c r="M9433" s="89"/>
    </row>
    <row r="9434" spans="3:13" x14ac:dyDescent="0.3">
      <c r="C9434" s="87"/>
      <c r="H9434" s="86" t="e">
        <f>IF(I9434="fora",0%,G9434/QUÓRUM!$C$6)</f>
        <v>#DIV/0!</v>
      </c>
      <c r="I9434" s="87"/>
      <c r="J9434" s="88"/>
      <c r="K9434" s="88"/>
      <c r="L9434" s="89"/>
      <c r="M9434" s="89"/>
    </row>
    <row r="9435" spans="3:13" x14ac:dyDescent="0.3">
      <c r="C9435" s="87"/>
      <c r="H9435" s="86" t="e">
        <f>IF(I9435="fora",0%,G9435/QUÓRUM!$C$6)</f>
        <v>#DIV/0!</v>
      </c>
      <c r="I9435" s="87"/>
      <c r="J9435" s="88"/>
      <c r="K9435" s="88"/>
      <c r="L9435" s="89"/>
      <c r="M9435" s="89"/>
    </row>
    <row r="9436" spans="3:13" x14ac:dyDescent="0.3">
      <c r="C9436" s="87"/>
      <c r="H9436" s="86" t="e">
        <f>IF(I9436="fora",0%,G9436/QUÓRUM!$C$6)</f>
        <v>#DIV/0!</v>
      </c>
      <c r="I9436" s="87"/>
      <c r="J9436" s="88"/>
      <c r="K9436" s="88"/>
      <c r="L9436" s="89"/>
      <c r="M9436" s="89"/>
    </row>
    <row r="9437" spans="3:13" x14ac:dyDescent="0.3">
      <c r="C9437" s="87"/>
      <c r="G9437" s="115"/>
      <c r="H9437" s="86" t="e">
        <f>IF(I9437="fora",0%,G9437/QUÓRUM!$C$6)</f>
        <v>#DIV/0!</v>
      </c>
      <c r="I9437" s="87"/>
      <c r="J9437" s="88"/>
      <c r="K9437" s="88"/>
      <c r="L9437" s="89"/>
      <c r="M9437" s="89"/>
    </row>
    <row r="9438" spans="3:13" x14ac:dyDescent="0.3">
      <c r="C9438" s="87"/>
      <c r="H9438" s="86" t="e">
        <f>IF(I9438="fora",0%,G9438/QUÓRUM!$C$6)</f>
        <v>#DIV/0!</v>
      </c>
      <c r="I9438" s="87"/>
      <c r="J9438" s="88"/>
      <c r="K9438" s="88"/>
      <c r="L9438" s="89"/>
      <c r="M9438" s="89"/>
    </row>
    <row r="9439" spans="3:13" x14ac:dyDescent="0.3">
      <c r="C9439" s="87"/>
      <c r="H9439" s="86" t="e">
        <f>IF(I9439="fora",0%,G9439/QUÓRUM!$C$6)</f>
        <v>#DIV/0!</v>
      </c>
      <c r="I9439" s="87"/>
      <c r="J9439" s="88"/>
      <c r="K9439" s="88"/>
      <c r="L9439" s="89"/>
      <c r="M9439" s="89"/>
    </row>
    <row r="9440" spans="3:13" x14ac:dyDescent="0.3">
      <c r="C9440" s="87"/>
      <c r="H9440" s="86" t="e">
        <f>IF(I9440="fora",0%,G9440/QUÓRUM!$C$6)</f>
        <v>#DIV/0!</v>
      </c>
      <c r="I9440" s="87"/>
      <c r="J9440" s="88"/>
      <c r="K9440" s="88"/>
      <c r="L9440" s="89"/>
      <c r="M9440" s="89"/>
    </row>
    <row r="9441" spans="3:13" x14ac:dyDescent="0.3">
      <c r="C9441" s="87"/>
      <c r="H9441" s="86" t="e">
        <f>IF(I9441="fora",0%,G9441/QUÓRUM!$C$6)</f>
        <v>#DIV/0!</v>
      </c>
      <c r="I9441" s="87"/>
      <c r="J9441" s="88"/>
      <c r="K9441" s="88"/>
      <c r="L9441" s="89"/>
      <c r="M9441" s="89"/>
    </row>
    <row r="9442" spans="3:13" x14ac:dyDescent="0.3">
      <c r="C9442" s="87"/>
      <c r="H9442" s="86" t="e">
        <f>IF(I9442="fora",0%,G9442/QUÓRUM!$C$6)</f>
        <v>#DIV/0!</v>
      </c>
      <c r="I9442" s="87"/>
      <c r="J9442" s="88"/>
      <c r="K9442" s="88"/>
      <c r="L9442" s="89"/>
      <c r="M9442" s="89"/>
    </row>
    <row r="9443" spans="3:13" x14ac:dyDescent="0.3">
      <c r="C9443" s="87"/>
      <c r="H9443" s="86" t="e">
        <f>IF(I9443="fora",0%,G9443/QUÓRUM!$C$6)</f>
        <v>#DIV/0!</v>
      </c>
      <c r="I9443" s="87"/>
      <c r="J9443" s="88"/>
      <c r="K9443" s="88"/>
      <c r="L9443" s="89"/>
      <c r="M9443" s="89"/>
    </row>
    <row r="9444" spans="3:13" x14ac:dyDescent="0.3">
      <c r="C9444" s="87"/>
      <c r="H9444" s="86" t="e">
        <f>IF(I9444="fora",0%,G9444/QUÓRUM!$C$6)</f>
        <v>#DIV/0!</v>
      </c>
      <c r="I9444" s="87"/>
      <c r="J9444" s="88"/>
      <c r="K9444" s="88"/>
      <c r="L9444" s="89"/>
      <c r="M9444" s="89"/>
    </row>
    <row r="9445" spans="3:13" x14ac:dyDescent="0.3">
      <c r="C9445" s="87"/>
      <c r="H9445" s="86" t="e">
        <f>IF(I9445="fora",0%,G9445/QUÓRUM!$C$6)</f>
        <v>#DIV/0!</v>
      </c>
      <c r="I9445" s="87"/>
      <c r="J9445" s="88"/>
      <c r="K9445" s="88"/>
      <c r="L9445" s="89"/>
      <c r="M9445" s="89"/>
    </row>
    <row r="9446" spans="3:13" x14ac:dyDescent="0.3">
      <c r="C9446" s="87"/>
      <c r="H9446" s="86" t="e">
        <f>IF(I9446="fora",0%,G9446/QUÓRUM!$C$6)</f>
        <v>#DIV/0!</v>
      </c>
      <c r="I9446" s="87"/>
      <c r="J9446" s="88"/>
      <c r="K9446" s="88"/>
      <c r="L9446" s="89"/>
      <c r="M9446" s="89"/>
    </row>
    <row r="9447" spans="3:13" x14ac:dyDescent="0.3">
      <c r="C9447" s="87"/>
      <c r="H9447" s="86" t="e">
        <f>IF(I9447="fora",0%,G9447/QUÓRUM!$C$6)</f>
        <v>#DIV/0!</v>
      </c>
      <c r="I9447" s="87"/>
      <c r="J9447" s="88"/>
      <c r="K9447" s="88"/>
      <c r="L9447" s="89"/>
      <c r="M9447" s="89"/>
    </row>
    <row r="9448" spans="3:13" x14ac:dyDescent="0.3">
      <c r="C9448" s="87"/>
      <c r="H9448" s="86" t="e">
        <f>IF(I9448="fora",0%,G9448/QUÓRUM!$C$6)</f>
        <v>#DIV/0!</v>
      </c>
      <c r="I9448" s="87"/>
      <c r="J9448" s="88"/>
      <c r="K9448" s="88"/>
      <c r="L9448" s="89"/>
      <c r="M9448" s="89"/>
    </row>
    <row r="9449" spans="3:13" x14ac:dyDescent="0.3">
      <c r="C9449" s="87"/>
      <c r="H9449" s="86" t="e">
        <f>IF(I9449="fora",0%,G9449/QUÓRUM!$C$6)</f>
        <v>#DIV/0!</v>
      </c>
      <c r="I9449" s="87"/>
      <c r="J9449" s="88"/>
      <c r="K9449" s="88"/>
      <c r="L9449" s="89"/>
      <c r="M9449" s="89"/>
    </row>
    <row r="9450" spans="3:13" x14ac:dyDescent="0.3">
      <c r="C9450" s="87"/>
      <c r="H9450" s="86" t="e">
        <f>IF(I9450="fora",0%,G9450/QUÓRUM!$C$6)</f>
        <v>#DIV/0!</v>
      </c>
      <c r="I9450" s="87"/>
      <c r="J9450" s="88"/>
      <c r="K9450" s="88"/>
      <c r="L9450" s="89"/>
      <c r="M9450" s="89"/>
    </row>
    <row r="9451" spans="3:13" x14ac:dyDescent="0.3">
      <c r="C9451" s="87"/>
      <c r="G9451" s="115"/>
      <c r="H9451" s="86" t="e">
        <f>IF(I9451="fora",0%,G9451/QUÓRUM!$C$6)</f>
        <v>#DIV/0!</v>
      </c>
      <c r="I9451" s="87"/>
      <c r="J9451" s="88"/>
      <c r="K9451" s="88"/>
      <c r="L9451" s="89"/>
      <c r="M9451" s="89"/>
    </row>
    <row r="9452" spans="3:13" x14ac:dyDescent="0.3">
      <c r="C9452" s="87"/>
      <c r="H9452" s="86" t="e">
        <f>IF(I9452="fora",0%,G9452/QUÓRUM!$C$6)</f>
        <v>#DIV/0!</v>
      </c>
      <c r="I9452" s="87"/>
      <c r="J9452" s="88"/>
      <c r="K9452" s="88"/>
      <c r="L9452" s="89"/>
      <c r="M9452" s="89"/>
    </row>
    <row r="9453" spans="3:13" x14ac:dyDescent="0.3">
      <c r="C9453" s="87"/>
      <c r="H9453" s="86" t="e">
        <f>IF(I9453="fora",0%,G9453/QUÓRUM!$C$6)</f>
        <v>#DIV/0!</v>
      </c>
      <c r="I9453" s="87"/>
      <c r="J9453" s="88"/>
      <c r="K9453" s="88"/>
      <c r="L9453" s="89"/>
      <c r="M9453" s="89"/>
    </row>
    <row r="9454" spans="3:13" x14ac:dyDescent="0.3">
      <c r="C9454" s="87"/>
      <c r="H9454" s="86" t="e">
        <f>IF(I9454="fora",0%,G9454/QUÓRUM!$C$6)</f>
        <v>#DIV/0!</v>
      </c>
      <c r="I9454" s="87"/>
      <c r="J9454" s="88"/>
      <c r="K9454" s="88"/>
      <c r="L9454" s="89"/>
      <c r="M9454" s="89"/>
    </row>
    <row r="9455" spans="3:13" x14ac:dyDescent="0.3">
      <c r="C9455" s="87"/>
      <c r="H9455" s="86" t="e">
        <f>IF(I9455="fora",0%,G9455/QUÓRUM!$C$6)</f>
        <v>#DIV/0!</v>
      </c>
      <c r="I9455" s="87"/>
      <c r="J9455" s="88"/>
      <c r="K9455" s="88"/>
      <c r="L9455" s="89"/>
      <c r="M9455" s="89"/>
    </row>
    <row r="9456" spans="3:13" x14ac:dyDescent="0.3">
      <c r="C9456" s="87"/>
      <c r="H9456" s="86" t="e">
        <f>IF(I9456="fora",0%,G9456/QUÓRUM!$C$6)</f>
        <v>#DIV/0!</v>
      </c>
      <c r="I9456" s="87"/>
      <c r="J9456" s="88"/>
      <c r="K9456" s="88"/>
      <c r="L9456" s="89"/>
      <c r="M9456" s="89"/>
    </row>
    <row r="9457" spans="3:13" x14ac:dyDescent="0.3">
      <c r="C9457" s="87"/>
      <c r="H9457" s="86" t="e">
        <f>IF(I9457="fora",0%,G9457/QUÓRUM!$C$6)</f>
        <v>#DIV/0!</v>
      </c>
      <c r="I9457" s="87"/>
      <c r="J9457" s="88"/>
      <c r="K9457" s="88"/>
      <c r="L9457" s="89"/>
      <c r="M9457" s="89"/>
    </row>
    <row r="9458" spans="3:13" x14ac:dyDescent="0.3">
      <c r="C9458" s="87"/>
      <c r="H9458" s="86" t="e">
        <f>IF(I9458="fora",0%,G9458/QUÓRUM!$C$6)</f>
        <v>#DIV/0!</v>
      </c>
      <c r="I9458" s="87"/>
      <c r="J9458" s="88"/>
      <c r="K9458" s="88"/>
      <c r="L9458" s="89"/>
      <c r="M9458" s="89"/>
    </row>
    <row r="9459" spans="3:13" x14ac:dyDescent="0.3">
      <c r="C9459" s="87"/>
      <c r="H9459" s="86" t="e">
        <f>IF(I9459="fora",0%,G9459/QUÓRUM!$C$6)</f>
        <v>#DIV/0!</v>
      </c>
      <c r="I9459" s="87"/>
      <c r="J9459" s="88"/>
      <c r="K9459" s="88"/>
      <c r="L9459" s="89"/>
      <c r="M9459" s="89"/>
    </row>
    <row r="9460" spans="3:13" x14ac:dyDescent="0.3">
      <c r="C9460" s="87"/>
      <c r="G9460" s="115"/>
      <c r="H9460" s="86" t="e">
        <f>IF(I9460="fora",0%,G9460/QUÓRUM!$C$6)</f>
        <v>#DIV/0!</v>
      </c>
      <c r="I9460" s="87"/>
      <c r="J9460" s="88"/>
      <c r="K9460" s="88"/>
      <c r="L9460" s="89"/>
      <c r="M9460" s="89"/>
    </row>
    <row r="9461" spans="3:13" x14ac:dyDescent="0.3">
      <c r="C9461" s="87"/>
      <c r="H9461" s="86" t="e">
        <f>IF(I9461="fora",0%,G9461/QUÓRUM!$C$6)</f>
        <v>#DIV/0!</v>
      </c>
      <c r="I9461" s="87"/>
      <c r="J9461" s="88"/>
      <c r="K9461" s="88"/>
      <c r="L9461" s="89"/>
      <c r="M9461" s="89"/>
    </row>
    <row r="9462" spans="3:13" x14ac:dyDescent="0.3">
      <c r="C9462" s="87"/>
      <c r="H9462" s="86" t="e">
        <f>IF(I9462="fora",0%,G9462/QUÓRUM!$C$6)</f>
        <v>#DIV/0!</v>
      </c>
      <c r="I9462" s="87"/>
      <c r="J9462" s="88"/>
      <c r="K9462" s="88"/>
      <c r="L9462" s="89"/>
      <c r="M9462" s="89"/>
    </row>
    <row r="9463" spans="3:13" x14ac:dyDescent="0.3">
      <c r="C9463" s="87"/>
      <c r="H9463" s="86" t="e">
        <f>IF(I9463="fora",0%,G9463/QUÓRUM!$C$6)</f>
        <v>#DIV/0!</v>
      </c>
      <c r="I9463" s="87"/>
      <c r="J9463" s="88"/>
      <c r="K9463" s="88"/>
      <c r="L9463" s="89"/>
      <c r="M9463" s="89"/>
    </row>
    <row r="9464" spans="3:13" x14ac:dyDescent="0.3">
      <c r="C9464" s="87"/>
      <c r="H9464" s="86" t="e">
        <f>IF(I9464="fora",0%,G9464/QUÓRUM!$C$6)</f>
        <v>#DIV/0!</v>
      </c>
      <c r="I9464" s="87"/>
      <c r="J9464" s="88"/>
      <c r="K9464" s="88"/>
      <c r="L9464" s="89"/>
      <c r="M9464" s="89"/>
    </row>
    <row r="9465" spans="3:13" x14ac:dyDescent="0.3">
      <c r="C9465" s="87"/>
      <c r="H9465" s="86" t="e">
        <f>IF(I9465="fora",0%,G9465/QUÓRUM!$C$6)</f>
        <v>#DIV/0!</v>
      </c>
      <c r="I9465" s="87"/>
      <c r="J9465" s="88"/>
      <c r="K9465" s="88"/>
      <c r="L9465" s="89"/>
      <c r="M9465" s="89"/>
    </row>
    <row r="9466" spans="3:13" x14ac:dyDescent="0.3">
      <c r="C9466" s="87"/>
      <c r="H9466" s="86" t="e">
        <f>IF(I9466="fora",0%,G9466/QUÓRUM!$C$6)</f>
        <v>#DIV/0!</v>
      </c>
      <c r="I9466" s="87"/>
      <c r="J9466" s="88"/>
      <c r="K9466" s="88"/>
      <c r="L9466" s="89"/>
      <c r="M9466" s="89"/>
    </row>
    <row r="9467" spans="3:13" x14ac:dyDescent="0.3">
      <c r="C9467" s="87"/>
      <c r="G9467" s="115"/>
      <c r="H9467" s="86" t="e">
        <f>IF(I9467="fora",0%,G9467/QUÓRUM!$C$6)</f>
        <v>#DIV/0!</v>
      </c>
      <c r="I9467" s="87"/>
      <c r="J9467" s="88"/>
      <c r="K9467" s="88"/>
      <c r="L9467" s="89"/>
      <c r="M9467" s="89"/>
    </row>
    <row r="9468" spans="3:13" x14ac:dyDescent="0.3">
      <c r="C9468" s="87"/>
      <c r="G9468" s="115"/>
      <c r="H9468" s="86" t="e">
        <f>IF(I9468="fora",0%,G9468/QUÓRUM!$C$6)</f>
        <v>#DIV/0!</v>
      </c>
      <c r="I9468" s="87"/>
      <c r="J9468" s="88"/>
      <c r="K9468" s="88"/>
      <c r="L9468" s="89"/>
      <c r="M9468" s="89"/>
    </row>
    <row r="9469" spans="3:13" x14ac:dyDescent="0.3">
      <c r="C9469" s="87"/>
      <c r="H9469" s="86" t="e">
        <f>IF(I9469="fora",0%,G9469/QUÓRUM!$C$6)</f>
        <v>#DIV/0!</v>
      </c>
      <c r="I9469" s="87"/>
      <c r="J9469" s="88"/>
      <c r="K9469" s="88"/>
      <c r="L9469" s="89"/>
      <c r="M9469" s="89"/>
    </row>
    <row r="9470" spans="3:13" x14ac:dyDescent="0.3">
      <c r="C9470" s="87"/>
      <c r="G9470" s="115"/>
      <c r="H9470" s="86" t="e">
        <f>IF(I9470="fora",0%,G9470/QUÓRUM!$C$6)</f>
        <v>#DIV/0!</v>
      </c>
      <c r="I9470" s="87"/>
      <c r="J9470" s="88"/>
      <c r="K9470" s="88"/>
      <c r="L9470" s="89"/>
      <c r="M9470" s="89"/>
    </row>
    <row r="9471" spans="3:13" x14ac:dyDescent="0.3">
      <c r="C9471" s="87"/>
      <c r="H9471" s="86" t="e">
        <f>IF(I9471="fora",0%,G9471/QUÓRUM!$C$6)</f>
        <v>#DIV/0!</v>
      </c>
      <c r="I9471" s="87"/>
      <c r="J9471" s="88"/>
      <c r="K9471" s="88"/>
      <c r="L9471" s="89"/>
      <c r="M9471" s="89"/>
    </row>
    <row r="9472" spans="3:13" x14ac:dyDescent="0.3">
      <c r="C9472" s="87"/>
      <c r="H9472" s="86" t="e">
        <f>IF(I9472="fora",0%,G9472/QUÓRUM!$C$6)</f>
        <v>#DIV/0!</v>
      </c>
      <c r="I9472" s="87"/>
      <c r="J9472" s="88"/>
      <c r="K9472" s="88"/>
      <c r="L9472" s="89"/>
      <c r="M9472" s="89"/>
    </row>
    <row r="9473" spans="3:13" x14ac:dyDescent="0.3">
      <c r="C9473" s="87"/>
      <c r="H9473" s="86" t="e">
        <f>IF(I9473="fora",0%,G9473/QUÓRUM!$C$6)</f>
        <v>#DIV/0!</v>
      </c>
      <c r="I9473" s="87"/>
      <c r="J9473" s="88"/>
      <c r="K9473" s="88"/>
      <c r="L9473" s="89"/>
      <c r="M9473" s="89"/>
    </row>
    <row r="9474" spans="3:13" x14ac:dyDescent="0.3">
      <c r="C9474" s="87"/>
      <c r="H9474" s="86" t="e">
        <f>IF(I9474="fora",0%,G9474/QUÓRUM!$C$6)</f>
        <v>#DIV/0!</v>
      </c>
      <c r="I9474" s="87"/>
      <c r="J9474" s="88"/>
      <c r="K9474" s="88"/>
      <c r="L9474" s="89"/>
      <c r="M9474" s="89"/>
    </row>
    <row r="9475" spans="3:13" x14ac:dyDescent="0.3">
      <c r="C9475" s="87"/>
      <c r="H9475" s="86" t="e">
        <f>IF(I9475="fora",0%,G9475/QUÓRUM!$C$6)</f>
        <v>#DIV/0!</v>
      </c>
      <c r="I9475" s="87"/>
      <c r="J9475" s="88"/>
      <c r="K9475" s="88"/>
      <c r="L9475" s="89"/>
      <c r="M9475" s="89"/>
    </row>
    <row r="9476" spans="3:13" x14ac:dyDescent="0.3">
      <c r="C9476" s="87"/>
      <c r="H9476" s="86" t="e">
        <f>IF(I9476="fora",0%,G9476/QUÓRUM!$C$6)</f>
        <v>#DIV/0!</v>
      </c>
      <c r="I9476" s="87"/>
      <c r="J9476" s="88"/>
      <c r="K9476" s="88"/>
      <c r="L9476" s="89"/>
      <c r="M9476" s="89"/>
    </row>
    <row r="9477" spans="3:13" x14ac:dyDescent="0.3">
      <c r="C9477" s="87"/>
      <c r="H9477" s="86" t="e">
        <f>IF(I9477="fora",0%,G9477/QUÓRUM!$C$6)</f>
        <v>#DIV/0!</v>
      </c>
      <c r="I9477" s="87"/>
      <c r="J9477" s="88"/>
      <c r="K9477" s="88"/>
      <c r="L9477" s="89"/>
      <c r="M9477" s="89"/>
    </row>
    <row r="9478" spans="3:13" x14ac:dyDescent="0.3">
      <c r="C9478" s="87"/>
      <c r="H9478" s="86" t="e">
        <f>IF(I9478="fora",0%,G9478/QUÓRUM!$C$6)</f>
        <v>#DIV/0!</v>
      </c>
      <c r="I9478" s="87"/>
      <c r="J9478" s="88"/>
      <c r="K9478" s="88"/>
      <c r="L9478" s="89"/>
      <c r="M9478" s="89"/>
    </row>
    <row r="9479" spans="3:13" x14ac:dyDescent="0.3">
      <c r="C9479" s="87"/>
      <c r="H9479" s="86" t="e">
        <f>IF(I9479="fora",0%,G9479/QUÓRUM!$C$6)</f>
        <v>#DIV/0!</v>
      </c>
      <c r="I9479" s="87"/>
      <c r="J9479" s="88"/>
      <c r="K9479" s="88"/>
      <c r="L9479" s="89"/>
      <c r="M9479" s="89"/>
    </row>
    <row r="9480" spans="3:13" x14ac:dyDescent="0.3">
      <c r="C9480" s="87"/>
      <c r="H9480" s="86" t="e">
        <f>IF(I9480="fora",0%,G9480/QUÓRUM!$C$6)</f>
        <v>#DIV/0!</v>
      </c>
      <c r="I9480" s="87"/>
      <c r="J9480" s="88"/>
      <c r="K9480" s="88"/>
      <c r="L9480" s="89"/>
      <c r="M9480" s="89"/>
    </row>
    <row r="9481" spans="3:13" x14ac:dyDescent="0.3">
      <c r="C9481" s="87"/>
      <c r="H9481" s="86" t="e">
        <f>IF(I9481="fora",0%,G9481/QUÓRUM!$C$6)</f>
        <v>#DIV/0!</v>
      </c>
      <c r="I9481" s="87"/>
      <c r="J9481" s="88"/>
      <c r="K9481" s="88"/>
      <c r="L9481" s="89"/>
      <c r="M9481" s="89"/>
    </row>
    <row r="9482" spans="3:13" x14ac:dyDescent="0.3">
      <c r="C9482" s="87"/>
      <c r="H9482" s="86" t="e">
        <f>IF(I9482="fora",0%,G9482/QUÓRUM!$C$6)</f>
        <v>#DIV/0!</v>
      </c>
      <c r="I9482" s="87"/>
      <c r="J9482" s="88"/>
      <c r="K9482" s="88"/>
      <c r="L9482" s="89"/>
      <c r="M9482" s="89"/>
    </row>
    <row r="9483" spans="3:13" x14ac:dyDescent="0.3">
      <c r="C9483" s="87"/>
      <c r="H9483" s="86" t="e">
        <f>IF(I9483="fora",0%,G9483/QUÓRUM!$C$6)</f>
        <v>#DIV/0!</v>
      </c>
      <c r="I9483" s="87"/>
      <c r="J9483" s="88"/>
      <c r="K9483" s="88"/>
      <c r="L9483" s="89"/>
      <c r="M9483" s="89"/>
    </row>
    <row r="9484" spans="3:13" x14ac:dyDescent="0.3">
      <c r="C9484" s="87"/>
      <c r="H9484" s="86" t="e">
        <f>IF(I9484="fora",0%,G9484/QUÓRUM!$C$6)</f>
        <v>#DIV/0!</v>
      </c>
      <c r="I9484" s="87"/>
      <c r="J9484" s="88"/>
      <c r="K9484" s="88"/>
      <c r="L9484" s="89"/>
      <c r="M9484" s="89"/>
    </row>
    <row r="9485" spans="3:13" x14ac:dyDescent="0.3">
      <c r="C9485" s="87"/>
      <c r="G9485" s="115"/>
      <c r="H9485" s="86" t="e">
        <f>IF(I9485="fora",0%,G9485/QUÓRUM!$C$6)</f>
        <v>#DIV/0!</v>
      </c>
      <c r="I9485" s="87"/>
      <c r="J9485" s="88"/>
      <c r="K9485" s="88"/>
      <c r="L9485" s="89"/>
      <c r="M9485" s="89"/>
    </row>
    <row r="9486" spans="3:13" x14ac:dyDescent="0.3">
      <c r="C9486" s="87"/>
      <c r="H9486" s="86" t="e">
        <f>IF(I9486="fora",0%,G9486/QUÓRUM!$C$6)</f>
        <v>#DIV/0!</v>
      </c>
      <c r="I9486" s="87"/>
      <c r="J9486" s="88"/>
      <c r="K9486" s="88"/>
      <c r="L9486" s="89"/>
      <c r="M9486" s="89"/>
    </row>
    <row r="9487" spans="3:13" x14ac:dyDescent="0.3">
      <c r="C9487" s="87"/>
      <c r="H9487" s="86" t="e">
        <f>IF(I9487="fora",0%,G9487/QUÓRUM!$C$6)</f>
        <v>#DIV/0!</v>
      </c>
      <c r="I9487" s="87"/>
      <c r="J9487" s="88"/>
      <c r="K9487" s="88"/>
      <c r="L9487" s="89"/>
      <c r="M9487" s="89"/>
    </row>
    <row r="9488" spans="3:13" x14ac:dyDescent="0.3">
      <c r="C9488" s="87"/>
      <c r="H9488" s="86" t="e">
        <f>IF(I9488="fora",0%,G9488/QUÓRUM!$C$6)</f>
        <v>#DIV/0!</v>
      </c>
      <c r="I9488" s="87"/>
      <c r="J9488" s="88"/>
      <c r="K9488" s="88"/>
      <c r="L9488" s="89"/>
      <c r="M9488" s="89"/>
    </row>
    <row r="9489" spans="3:13" x14ac:dyDescent="0.3">
      <c r="C9489" s="87"/>
      <c r="G9489" s="115"/>
      <c r="H9489" s="86" t="e">
        <f>IF(I9489="fora",0%,G9489/QUÓRUM!$C$6)</f>
        <v>#DIV/0!</v>
      </c>
      <c r="I9489" s="87"/>
      <c r="J9489" s="88"/>
      <c r="K9489" s="88"/>
      <c r="L9489" s="89"/>
      <c r="M9489" s="89"/>
    </row>
    <row r="9490" spans="3:13" x14ac:dyDescent="0.3">
      <c r="C9490" s="87"/>
      <c r="H9490" s="86" t="e">
        <f>IF(I9490="fora",0%,G9490/QUÓRUM!$C$6)</f>
        <v>#DIV/0!</v>
      </c>
      <c r="I9490" s="87"/>
      <c r="J9490" s="88"/>
      <c r="K9490" s="88"/>
      <c r="L9490" s="89"/>
      <c r="M9490" s="89"/>
    </row>
    <row r="9491" spans="3:13" x14ac:dyDescent="0.3">
      <c r="C9491" s="87"/>
      <c r="H9491" s="86" t="e">
        <f>IF(I9491="fora",0%,G9491/QUÓRUM!$C$6)</f>
        <v>#DIV/0!</v>
      </c>
      <c r="I9491" s="87"/>
      <c r="J9491" s="88"/>
      <c r="K9491" s="88"/>
      <c r="L9491" s="89"/>
      <c r="M9491" s="89"/>
    </row>
    <row r="9492" spans="3:13" x14ac:dyDescent="0.3">
      <c r="C9492" s="87"/>
      <c r="G9492" s="115"/>
      <c r="H9492" s="86" t="e">
        <f>IF(I9492="fora",0%,G9492/QUÓRUM!$C$6)</f>
        <v>#DIV/0!</v>
      </c>
      <c r="I9492" s="87"/>
      <c r="J9492" s="88"/>
      <c r="K9492" s="88"/>
      <c r="L9492" s="89"/>
      <c r="M9492" s="89"/>
    </row>
    <row r="9493" spans="3:13" x14ac:dyDescent="0.3">
      <c r="C9493" s="87"/>
      <c r="H9493" s="86" t="e">
        <f>IF(I9493="fora",0%,G9493/QUÓRUM!$C$6)</f>
        <v>#DIV/0!</v>
      </c>
      <c r="I9493" s="87"/>
      <c r="J9493" s="88"/>
      <c r="K9493" s="88"/>
      <c r="L9493" s="89"/>
      <c r="M9493" s="89"/>
    </row>
    <row r="9494" spans="3:13" x14ac:dyDescent="0.3">
      <c r="C9494" s="87"/>
      <c r="H9494" s="86" t="e">
        <f>IF(I9494="fora",0%,G9494/QUÓRUM!$C$6)</f>
        <v>#DIV/0!</v>
      </c>
      <c r="I9494" s="87"/>
      <c r="J9494" s="88"/>
      <c r="K9494" s="88"/>
      <c r="L9494" s="89"/>
      <c r="M9494" s="89"/>
    </row>
    <row r="9495" spans="3:13" x14ac:dyDescent="0.3">
      <c r="C9495" s="87"/>
      <c r="H9495" s="86" t="e">
        <f>IF(I9495="fora",0%,G9495/QUÓRUM!$C$6)</f>
        <v>#DIV/0!</v>
      </c>
      <c r="I9495" s="87"/>
      <c r="J9495" s="88"/>
      <c r="K9495" s="88"/>
      <c r="L9495" s="89"/>
      <c r="M9495" s="89"/>
    </row>
    <row r="9496" spans="3:13" x14ac:dyDescent="0.3">
      <c r="C9496" s="87"/>
      <c r="H9496" s="86" t="e">
        <f>IF(I9496="fora",0%,G9496/QUÓRUM!$C$6)</f>
        <v>#DIV/0!</v>
      </c>
      <c r="I9496" s="87"/>
      <c r="J9496" s="88"/>
      <c r="K9496" s="88"/>
      <c r="L9496" s="89"/>
      <c r="M9496" s="89"/>
    </row>
    <row r="9497" spans="3:13" x14ac:dyDescent="0.3">
      <c r="C9497" s="87"/>
      <c r="G9497" s="115"/>
      <c r="H9497" s="86" t="e">
        <f>IF(I9497="fora",0%,G9497/QUÓRUM!$C$6)</f>
        <v>#DIV/0!</v>
      </c>
      <c r="I9497" s="87"/>
      <c r="J9497" s="88"/>
      <c r="K9497" s="88"/>
      <c r="L9497" s="89"/>
      <c r="M9497" s="89"/>
    </row>
    <row r="9498" spans="3:13" x14ac:dyDescent="0.3">
      <c r="C9498" s="87"/>
      <c r="G9498" s="115"/>
      <c r="H9498" s="86" t="e">
        <f>IF(I9498="fora",0%,G9498/QUÓRUM!$C$6)</f>
        <v>#DIV/0!</v>
      </c>
      <c r="I9498" s="87"/>
      <c r="J9498" s="88"/>
      <c r="K9498" s="88"/>
      <c r="L9498" s="89"/>
      <c r="M9498" s="89"/>
    </row>
    <row r="9499" spans="3:13" x14ac:dyDescent="0.3">
      <c r="C9499" s="87"/>
      <c r="H9499" s="86" t="e">
        <f>IF(I9499="fora",0%,G9499/QUÓRUM!$C$6)</f>
        <v>#DIV/0!</v>
      </c>
      <c r="I9499" s="87"/>
      <c r="J9499" s="88"/>
      <c r="K9499" s="88"/>
      <c r="L9499" s="89"/>
      <c r="M9499" s="89"/>
    </row>
    <row r="9500" spans="3:13" x14ac:dyDescent="0.3">
      <c r="C9500" s="87"/>
      <c r="H9500" s="86" t="e">
        <f>IF(I9500="fora",0%,G9500/QUÓRUM!$C$6)</f>
        <v>#DIV/0!</v>
      </c>
      <c r="I9500" s="87"/>
      <c r="J9500" s="88"/>
      <c r="K9500" s="88"/>
      <c r="L9500" s="89"/>
      <c r="M9500" s="89"/>
    </row>
    <row r="9501" spans="3:13" x14ac:dyDescent="0.3">
      <c r="C9501" s="87"/>
      <c r="H9501" s="86" t="e">
        <f>IF(I9501="fora",0%,G9501/QUÓRUM!$C$6)</f>
        <v>#DIV/0!</v>
      </c>
      <c r="I9501" s="87"/>
      <c r="J9501" s="88"/>
      <c r="K9501" s="88"/>
      <c r="L9501" s="89"/>
      <c r="M9501" s="89"/>
    </row>
    <row r="9502" spans="3:13" x14ac:dyDescent="0.3">
      <c r="C9502" s="87"/>
      <c r="H9502" s="86" t="e">
        <f>IF(I9502="fora",0%,G9502/QUÓRUM!$C$6)</f>
        <v>#DIV/0!</v>
      </c>
      <c r="I9502" s="87"/>
      <c r="J9502" s="88"/>
      <c r="K9502" s="88"/>
      <c r="L9502" s="89"/>
      <c r="M9502" s="89"/>
    </row>
    <row r="9503" spans="3:13" x14ac:dyDescent="0.3">
      <c r="C9503" s="87"/>
      <c r="G9503" s="115"/>
      <c r="H9503" s="86" t="e">
        <f>IF(I9503="fora",0%,G9503/QUÓRUM!$C$6)</f>
        <v>#DIV/0!</v>
      </c>
      <c r="I9503" s="87"/>
      <c r="J9503" s="88"/>
      <c r="K9503" s="88"/>
      <c r="L9503" s="89"/>
      <c r="M9503" s="89"/>
    </row>
    <row r="9504" spans="3:13" x14ac:dyDescent="0.3">
      <c r="C9504" s="87"/>
      <c r="G9504" s="115"/>
      <c r="H9504" s="86" t="e">
        <f>IF(I9504="fora",0%,G9504/QUÓRUM!$C$6)</f>
        <v>#DIV/0!</v>
      </c>
      <c r="I9504" s="87"/>
      <c r="J9504" s="88"/>
      <c r="K9504" s="88"/>
      <c r="L9504" s="89"/>
      <c r="M9504" s="89"/>
    </row>
    <row r="9505" spans="3:17" x14ac:dyDescent="0.3">
      <c r="C9505" s="87"/>
      <c r="H9505" s="86" t="e">
        <f>IF(I9505="fora",0%,G9505/QUÓRUM!$C$6)</f>
        <v>#DIV/0!</v>
      </c>
      <c r="I9505" s="87"/>
      <c r="J9505" s="88"/>
      <c r="K9505" s="88"/>
      <c r="L9505" s="89"/>
      <c r="M9505" s="89"/>
    </row>
    <row r="9506" spans="3:17" x14ac:dyDescent="0.3">
      <c r="C9506" s="87"/>
      <c r="H9506" s="86" t="e">
        <f>IF(I9506="fora",0%,G9506/QUÓRUM!$C$6)</f>
        <v>#DIV/0!</v>
      </c>
      <c r="I9506" s="87"/>
      <c r="J9506" s="88"/>
      <c r="K9506" s="88"/>
      <c r="L9506" s="89"/>
      <c r="M9506" s="89"/>
    </row>
    <row r="9507" spans="3:17" x14ac:dyDescent="0.3">
      <c r="C9507" s="87"/>
      <c r="G9507" s="115"/>
      <c r="H9507" s="86" t="e">
        <f>IF(I9507="fora",0%,G9507/QUÓRUM!$C$6)</f>
        <v>#DIV/0!</v>
      </c>
      <c r="I9507" s="87"/>
      <c r="J9507" s="88"/>
      <c r="K9507" s="88"/>
      <c r="L9507" s="89"/>
      <c r="M9507" s="89"/>
    </row>
    <row r="9508" spans="3:17" x14ac:dyDescent="0.3">
      <c r="C9508" s="87"/>
      <c r="G9508" s="115"/>
      <c r="H9508" s="86" t="e">
        <f>IF(I9508="fora",0%,G9508/QUÓRUM!$C$6)</f>
        <v>#DIV/0!</v>
      </c>
      <c r="I9508" s="87"/>
      <c r="J9508" s="88"/>
      <c r="K9508" s="88"/>
      <c r="L9508" s="89"/>
      <c r="M9508" s="89"/>
    </row>
    <row r="9509" spans="3:17" x14ac:dyDescent="0.3">
      <c r="C9509" s="87"/>
      <c r="H9509" s="86" t="e">
        <f>IF(I9509="fora",0%,G9509/QUÓRUM!$C$6)</f>
        <v>#DIV/0!</v>
      </c>
      <c r="I9509" s="87"/>
      <c r="J9509" s="88"/>
      <c r="K9509" s="88"/>
      <c r="L9509" s="89"/>
      <c r="M9509" s="89"/>
    </row>
    <row r="9510" spans="3:17" x14ac:dyDescent="0.3">
      <c r="C9510" s="87"/>
      <c r="H9510" s="86" t="e">
        <f>IF(I9510="fora",0%,G9510/QUÓRUM!$C$6)</f>
        <v>#DIV/0!</v>
      </c>
      <c r="I9510" s="87"/>
      <c r="J9510" s="88"/>
      <c r="K9510" s="88"/>
      <c r="L9510" s="89"/>
      <c r="M9510" s="89"/>
    </row>
    <row r="9511" spans="3:17" x14ac:dyDescent="0.3">
      <c r="C9511" s="87"/>
      <c r="H9511" s="86" t="e">
        <f>IF(I9511="fora",0%,G9511/QUÓRUM!$C$6)</f>
        <v>#DIV/0!</v>
      </c>
      <c r="I9511" s="87"/>
      <c r="J9511" s="88"/>
      <c r="K9511" s="88"/>
      <c r="L9511" s="89"/>
      <c r="M9511" s="89"/>
    </row>
    <row r="9512" spans="3:17" x14ac:dyDescent="0.3">
      <c r="C9512" s="87"/>
      <c r="H9512" s="86" t="e">
        <f>IF(I9512="fora",0%,G9512/QUÓRUM!$C$6)</f>
        <v>#DIV/0!</v>
      </c>
      <c r="I9512" s="87"/>
      <c r="J9512" s="88"/>
      <c r="K9512" s="88"/>
      <c r="L9512" s="89"/>
      <c r="M9512" s="89"/>
    </row>
    <row r="9513" spans="3:17" x14ac:dyDescent="0.3">
      <c r="C9513" s="87"/>
      <c r="H9513" s="86" t="e">
        <f>IF(I9513="fora",0%,G9513/QUÓRUM!$C$6)</f>
        <v>#DIV/0!</v>
      </c>
      <c r="I9513" s="87"/>
      <c r="J9513" s="88"/>
      <c r="K9513" s="88"/>
      <c r="L9513" s="89"/>
      <c r="M9513" s="89"/>
    </row>
    <row r="9514" spans="3:17" x14ac:dyDescent="0.3">
      <c r="C9514" s="87"/>
      <c r="G9514" s="115"/>
      <c r="H9514" s="86" t="e">
        <f>IF(I9514="fora",0%,G9514/QUÓRUM!$C$6)</f>
        <v>#DIV/0!</v>
      </c>
      <c r="I9514" s="87"/>
      <c r="J9514" s="88"/>
      <c r="K9514" s="88"/>
      <c r="L9514" s="89"/>
      <c r="M9514" s="89"/>
    </row>
    <row r="9515" spans="3:17" x14ac:dyDescent="0.3">
      <c r="C9515" s="87"/>
      <c r="H9515" s="86" t="e">
        <f>IF(I9515="fora",0%,G9515/QUÓRUM!$C$6)</f>
        <v>#DIV/0!</v>
      </c>
      <c r="I9515" s="87"/>
      <c r="J9515" s="88"/>
      <c r="K9515" s="88"/>
      <c r="L9515" s="89"/>
      <c r="M9515" s="89"/>
    </row>
    <row r="9516" spans="3:17" x14ac:dyDescent="0.3">
      <c r="C9516" s="87"/>
      <c r="H9516" s="86" t="e">
        <f>IF(I9516="fora",0%,G9516/QUÓRUM!$C$6)</f>
        <v>#DIV/0!</v>
      </c>
      <c r="I9516" s="87"/>
      <c r="J9516" s="88"/>
      <c r="K9516" s="88"/>
      <c r="L9516" s="89"/>
      <c r="M9516" s="89"/>
      <c r="Q9516" s="105"/>
    </row>
    <row r="9517" spans="3:17" x14ac:dyDescent="0.3">
      <c r="C9517" s="87"/>
      <c r="H9517" s="86" t="e">
        <f>IF(I9517="fora",0%,G9517/QUÓRUM!$C$6)</f>
        <v>#DIV/0!</v>
      </c>
      <c r="I9517" s="87"/>
      <c r="J9517" s="88"/>
      <c r="K9517" s="88"/>
      <c r="L9517" s="89"/>
      <c r="M9517" s="89"/>
      <c r="Q9517" s="105"/>
    </row>
    <row r="9518" spans="3:17" x14ac:dyDescent="0.3">
      <c r="C9518" s="87"/>
      <c r="H9518" s="86" t="e">
        <f>IF(I9518="fora",0%,G9518/QUÓRUM!$C$6)</f>
        <v>#DIV/0!</v>
      </c>
      <c r="I9518" s="87"/>
      <c r="J9518" s="88"/>
      <c r="K9518" s="88"/>
      <c r="L9518" s="89"/>
      <c r="M9518" s="89"/>
      <c r="Q9518" s="105"/>
    </row>
    <row r="9519" spans="3:17" x14ac:dyDescent="0.3">
      <c r="C9519" s="87"/>
      <c r="H9519" s="86" t="e">
        <f>IF(I9519="fora",0%,G9519/QUÓRUM!$C$6)</f>
        <v>#DIV/0!</v>
      </c>
      <c r="I9519" s="87"/>
      <c r="J9519" s="88"/>
      <c r="K9519" s="88"/>
      <c r="L9519" s="89"/>
      <c r="M9519" s="89"/>
      <c r="Q9519" s="105"/>
    </row>
    <row r="9520" spans="3:17" x14ac:dyDescent="0.3">
      <c r="C9520" s="87"/>
      <c r="H9520" s="86" t="e">
        <f>IF(I9520="fora",0%,G9520/QUÓRUM!$C$6)</f>
        <v>#DIV/0!</v>
      </c>
      <c r="I9520" s="87"/>
      <c r="J9520" s="88"/>
      <c r="K9520" s="88"/>
      <c r="L9520" s="89"/>
      <c r="M9520" s="89"/>
      <c r="Q9520" s="105"/>
    </row>
    <row r="9521" spans="3:17" x14ac:dyDescent="0.3">
      <c r="C9521" s="87"/>
      <c r="H9521" s="86" t="e">
        <f>IF(I9521="fora",0%,G9521/QUÓRUM!$C$6)</f>
        <v>#DIV/0!</v>
      </c>
      <c r="I9521" s="87"/>
      <c r="J9521" s="88"/>
      <c r="K9521" s="88"/>
      <c r="L9521" s="89"/>
      <c r="M9521" s="89"/>
      <c r="Q9521" s="105"/>
    </row>
    <row r="9522" spans="3:17" x14ac:dyDescent="0.3">
      <c r="C9522" s="87"/>
      <c r="H9522" s="86" t="e">
        <f>IF(I9522="fora",0%,G9522/QUÓRUM!$C$6)</f>
        <v>#DIV/0!</v>
      </c>
      <c r="I9522" s="87"/>
      <c r="J9522" s="88"/>
      <c r="K9522" s="88"/>
      <c r="L9522" s="89"/>
      <c r="M9522" s="89"/>
      <c r="Q9522" s="105"/>
    </row>
    <row r="9523" spans="3:17" x14ac:dyDescent="0.3">
      <c r="C9523" s="87"/>
      <c r="H9523" s="86" t="e">
        <f>IF(I9523="fora",0%,G9523/QUÓRUM!$C$6)</f>
        <v>#DIV/0!</v>
      </c>
      <c r="I9523" s="87"/>
      <c r="J9523" s="88"/>
      <c r="K9523" s="88"/>
      <c r="L9523" s="89"/>
      <c r="M9523" s="89"/>
      <c r="Q9523" s="105"/>
    </row>
    <row r="9524" spans="3:17" x14ac:dyDescent="0.3">
      <c r="C9524" s="87"/>
      <c r="H9524" s="86" t="e">
        <f>IF(I9524="fora",0%,G9524/QUÓRUM!$C$6)</f>
        <v>#DIV/0!</v>
      </c>
      <c r="I9524" s="87"/>
      <c r="J9524" s="88"/>
      <c r="K9524" s="88"/>
      <c r="L9524" s="89"/>
      <c r="M9524" s="89"/>
      <c r="Q9524" s="105"/>
    </row>
    <row r="9525" spans="3:17" x14ac:dyDescent="0.3">
      <c r="C9525" s="87"/>
      <c r="H9525" s="86" t="e">
        <f>IF(I9525="fora",0%,G9525/QUÓRUM!$C$6)</f>
        <v>#DIV/0!</v>
      </c>
      <c r="I9525" s="87"/>
      <c r="J9525" s="88"/>
      <c r="K9525" s="88"/>
      <c r="L9525" s="89"/>
      <c r="M9525" s="89"/>
      <c r="Q9525" s="105"/>
    </row>
    <row r="9526" spans="3:17" x14ac:dyDescent="0.3">
      <c r="C9526" s="87"/>
      <c r="H9526" s="86" t="e">
        <f>IF(I9526="fora",0%,G9526/QUÓRUM!$C$6)</f>
        <v>#DIV/0!</v>
      </c>
      <c r="I9526" s="87"/>
      <c r="J9526" s="88"/>
      <c r="K9526" s="88"/>
      <c r="L9526" s="89"/>
      <c r="M9526" s="89"/>
      <c r="Q9526" s="105"/>
    </row>
    <row r="9527" spans="3:17" x14ac:dyDescent="0.3">
      <c r="C9527" s="87"/>
      <c r="H9527" s="86" t="e">
        <f>IF(I9527="fora",0%,G9527/QUÓRUM!$C$6)</f>
        <v>#DIV/0!</v>
      </c>
      <c r="I9527" s="87"/>
      <c r="J9527" s="88"/>
      <c r="K9527" s="88"/>
      <c r="L9527" s="89"/>
      <c r="M9527" s="89"/>
      <c r="Q9527" s="105"/>
    </row>
    <row r="9528" spans="3:17" x14ac:dyDescent="0.3">
      <c r="C9528" s="87"/>
      <c r="H9528" s="86" t="e">
        <f>IF(I9528="fora",0%,G9528/QUÓRUM!$C$6)</f>
        <v>#DIV/0!</v>
      </c>
      <c r="I9528" s="87"/>
      <c r="J9528" s="88"/>
      <c r="K9528" s="88"/>
      <c r="L9528" s="89"/>
      <c r="M9528" s="89"/>
      <c r="Q9528" s="105"/>
    </row>
    <row r="9529" spans="3:17" x14ac:dyDescent="0.3">
      <c r="C9529" s="87"/>
      <c r="H9529" s="86" t="e">
        <f>IF(I9529="fora",0%,G9529/QUÓRUM!$C$6)</f>
        <v>#DIV/0!</v>
      </c>
      <c r="I9529" s="87"/>
      <c r="J9529" s="88"/>
      <c r="K9529" s="88"/>
      <c r="L9529" s="89"/>
      <c r="M9529" s="89"/>
      <c r="Q9529" s="105"/>
    </row>
    <row r="9530" spans="3:17" x14ac:dyDescent="0.3">
      <c r="C9530" s="87"/>
      <c r="H9530" s="86" t="e">
        <f>IF(I9530="fora",0%,G9530/QUÓRUM!$C$6)</f>
        <v>#DIV/0!</v>
      </c>
      <c r="I9530" s="87"/>
      <c r="J9530" s="88"/>
      <c r="K9530" s="88"/>
      <c r="L9530" s="89"/>
      <c r="M9530" s="89"/>
      <c r="Q9530" s="105"/>
    </row>
    <row r="9531" spans="3:17" x14ac:dyDescent="0.3">
      <c r="C9531" s="87"/>
      <c r="H9531" s="86" t="e">
        <f>IF(I9531="fora",0%,G9531/QUÓRUM!$C$6)</f>
        <v>#DIV/0!</v>
      </c>
      <c r="I9531" s="87"/>
      <c r="J9531" s="88"/>
      <c r="K9531" s="88"/>
      <c r="L9531" s="89"/>
      <c r="M9531" s="89"/>
      <c r="Q9531" s="105"/>
    </row>
    <row r="9532" spans="3:17" x14ac:dyDescent="0.3">
      <c r="C9532" s="87"/>
      <c r="H9532" s="86" t="e">
        <f>IF(I9532="fora",0%,G9532/QUÓRUM!$C$6)</f>
        <v>#DIV/0!</v>
      </c>
      <c r="I9532" s="87"/>
      <c r="J9532" s="88"/>
      <c r="K9532" s="88"/>
      <c r="L9532" s="89"/>
      <c r="M9532" s="89"/>
      <c r="Q9532" s="105"/>
    </row>
    <row r="9533" spans="3:17" x14ac:dyDescent="0.3">
      <c r="C9533" s="87"/>
      <c r="H9533" s="86" t="e">
        <f>IF(I9533="fora",0%,G9533/QUÓRUM!$C$6)</f>
        <v>#DIV/0!</v>
      </c>
      <c r="I9533" s="87"/>
      <c r="J9533" s="88"/>
      <c r="K9533" s="88"/>
      <c r="L9533" s="89"/>
      <c r="M9533" s="89"/>
      <c r="Q9533" s="105"/>
    </row>
    <row r="9534" spans="3:17" x14ac:dyDescent="0.3">
      <c r="C9534" s="87"/>
      <c r="H9534" s="86" t="e">
        <f>IF(I9534="fora",0%,G9534/QUÓRUM!$C$6)</f>
        <v>#DIV/0!</v>
      </c>
      <c r="I9534" s="87"/>
      <c r="J9534" s="88"/>
      <c r="K9534" s="88"/>
      <c r="L9534" s="89"/>
      <c r="M9534" s="89"/>
      <c r="Q9534" s="105"/>
    </row>
    <row r="9535" spans="3:17" x14ac:dyDescent="0.3">
      <c r="C9535" s="87"/>
      <c r="H9535" s="86" t="e">
        <f>IF(I9535="fora",0%,G9535/QUÓRUM!$C$6)</f>
        <v>#DIV/0!</v>
      </c>
      <c r="I9535" s="87"/>
      <c r="J9535" s="88"/>
      <c r="K9535" s="88"/>
      <c r="L9535" s="89"/>
      <c r="M9535" s="89"/>
      <c r="Q9535" s="105"/>
    </row>
    <row r="9536" spans="3:17" x14ac:dyDescent="0.3">
      <c r="C9536" s="87"/>
      <c r="H9536" s="86" t="e">
        <f>IF(I9536="fora",0%,G9536/QUÓRUM!$C$6)</f>
        <v>#DIV/0!</v>
      </c>
      <c r="I9536" s="87"/>
      <c r="J9536" s="88"/>
      <c r="K9536" s="88"/>
      <c r="L9536" s="89"/>
      <c r="M9536" s="89"/>
      <c r="Q9536" s="105"/>
    </row>
    <row r="9537" spans="3:17" x14ac:dyDescent="0.3">
      <c r="C9537" s="87"/>
      <c r="H9537" s="86" t="e">
        <f>IF(I9537="fora",0%,G9537/QUÓRUM!$C$6)</f>
        <v>#DIV/0!</v>
      </c>
      <c r="I9537" s="87"/>
      <c r="J9537" s="88"/>
      <c r="K9537" s="88"/>
      <c r="L9537" s="89"/>
      <c r="M9537" s="89"/>
      <c r="Q9537" s="105"/>
    </row>
    <row r="9538" spans="3:17" x14ac:dyDescent="0.3">
      <c r="C9538" s="87"/>
      <c r="H9538" s="86" t="e">
        <f>IF(I9538="fora",0%,G9538/QUÓRUM!$C$6)</f>
        <v>#DIV/0!</v>
      </c>
      <c r="I9538" s="87"/>
      <c r="J9538" s="88"/>
      <c r="K9538" s="88"/>
      <c r="L9538" s="89"/>
      <c r="M9538" s="89"/>
      <c r="Q9538" s="105"/>
    </row>
    <row r="9539" spans="3:17" x14ac:dyDescent="0.3">
      <c r="C9539" s="87"/>
      <c r="H9539" s="86" t="e">
        <f>IF(I9539="fora",0%,G9539/QUÓRUM!$C$6)</f>
        <v>#DIV/0!</v>
      </c>
      <c r="I9539" s="87"/>
      <c r="J9539" s="88"/>
      <c r="K9539" s="88"/>
      <c r="L9539" s="89"/>
      <c r="M9539" s="89"/>
      <c r="Q9539" s="105"/>
    </row>
    <row r="9540" spans="3:17" x14ac:dyDescent="0.3">
      <c r="C9540" s="87"/>
      <c r="H9540" s="86" t="e">
        <f>IF(I9540="fora",0%,G9540/QUÓRUM!$C$6)</f>
        <v>#DIV/0!</v>
      </c>
      <c r="I9540" s="87"/>
      <c r="J9540" s="88"/>
      <c r="K9540" s="88"/>
      <c r="L9540" s="89"/>
      <c r="M9540" s="89"/>
      <c r="Q9540" s="105"/>
    </row>
    <row r="9541" spans="3:17" x14ac:dyDescent="0.3">
      <c r="C9541" s="87"/>
      <c r="H9541" s="86" t="e">
        <f>IF(I9541="fora",0%,G9541/QUÓRUM!$C$6)</f>
        <v>#DIV/0!</v>
      </c>
      <c r="I9541" s="87"/>
      <c r="J9541" s="88"/>
      <c r="K9541" s="88"/>
      <c r="L9541" s="89"/>
      <c r="M9541" s="89"/>
      <c r="Q9541" s="105"/>
    </row>
    <row r="9542" spans="3:17" x14ac:dyDescent="0.3">
      <c r="C9542" s="87"/>
      <c r="H9542" s="86" t="e">
        <f>IF(I9542="fora",0%,G9542/QUÓRUM!$C$6)</f>
        <v>#DIV/0!</v>
      </c>
      <c r="I9542" s="87"/>
      <c r="J9542" s="88"/>
      <c r="K9542" s="88"/>
      <c r="L9542" s="89"/>
      <c r="M9542" s="89"/>
      <c r="Q9542" s="105"/>
    </row>
    <row r="9543" spans="3:17" x14ac:dyDescent="0.3">
      <c r="C9543" s="87"/>
      <c r="H9543" s="86" t="e">
        <f>IF(I9543="fora",0%,G9543/QUÓRUM!$C$6)</f>
        <v>#DIV/0!</v>
      </c>
      <c r="I9543" s="87"/>
      <c r="J9543" s="88"/>
      <c r="K9543" s="88"/>
      <c r="L9543" s="89"/>
      <c r="M9543" s="89"/>
      <c r="Q9543" s="105"/>
    </row>
    <row r="9544" spans="3:17" x14ac:dyDescent="0.3">
      <c r="C9544" s="87"/>
      <c r="H9544" s="86" t="e">
        <f>IF(I9544="fora",0%,G9544/QUÓRUM!$C$6)</f>
        <v>#DIV/0!</v>
      </c>
      <c r="I9544" s="87"/>
      <c r="J9544" s="88"/>
      <c r="K9544" s="88"/>
      <c r="L9544" s="89"/>
      <c r="M9544" s="89"/>
      <c r="Q9544" s="105"/>
    </row>
    <row r="9545" spans="3:17" x14ac:dyDescent="0.3">
      <c r="C9545" s="87"/>
      <c r="H9545" s="86" t="e">
        <f>IF(I9545="fora",0%,G9545/QUÓRUM!$C$6)</f>
        <v>#DIV/0!</v>
      </c>
      <c r="I9545" s="87"/>
      <c r="J9545" s="88"/>
      <c r="K9545" s="88"/>
      <c r="L9545" s="89"/>
      <c r="M9545" s="89"/>
      <c r="Q9545" s="105"/>
    </row>
    <row r="9546" spans="3:17" x14ac:dyDescent="0.3">
      <c r="C9546" s="87"/>
      <c r="H9546" s="86" t="e">
        <f>IF(I9546="fora",0%,G9546/QUÓRUM!$C$6)</f>
        <v>#DIV/0!</v>
      </c>
      <c r="I9546" s="87"/>
      <c r="J9546" s="88"/>
      <c r="K9546" s="88"/>
      <c r="L9546" s="89"/>
      <c r="M9546" s="89"/>
      <c r="Q9546" s="105"/>
    </row>
    <row r="9547" spans="3:17" x14ac:dyDescent="0.3">
      <c r="C9547" s="87"/>
      <c r="H9547" s="86" t="e">
        <f>IF(I9547="fora",0%,G9547/QUÓRUM!$C$6)</f>
        <v>#DIV/0!</v>
      </c>
      <c r="I9547" s="87"/>
      <c r="J9547" s="88"/>
      <c r="K9547" s="88"/>
      <c r="L9547" s="89"/>
      <c r="M9547" s="89"/>
      <c r="Q9547" s="105"/>
    </row>
    <row r="9548" spans="3:17" x14ac:dyDescent="0.3">
      <c r="C9548" s="87"/>
      <c r="H9548" s="86" t="e">
        <f>IF(I9548="fora",0%,G9548/QUÓRUM!$C$6)</f>
        <v>#DIV/0!</v>
      </c>
      <c r="I9548" s="87"/>
      <c r="J9548" s="88"/>
      <c r="K9548" s="88"/>
      <c r="L9548" s="89"/>
      <c r="M9548" s="89"/>
      <c r="Q9548" s="105"/>
    </row>
    <row r="9549" spans="3:17" x14ac:dyDescent="0.3">
      <c r="C9549" s="87"/>
      <c r="H9549" s="86" t="e">
        <f>IF(I9549="fora",0%,G9549/QUÓRUM!$C$6)</f>
        <v>#DIV/0!</v>
      </c>
      <c r="I9549" s="87"/>
      <c r="J9549" s="88"/>
      <c r="K9549" s="88"/>
      <c r="L9549" s="89"/>
      <c r="M9549" s="89"/>
      <c r="Q9549" s="105"/>
    </row>
    <row r="9550" spans="3:17" x14ac:dyDescent="0.3">
      <c r="C9550" s="87"/>
      <c r="H9550" s="86" t="e">
        <f>IF(I9550="fora",0%,G9550/QUÓRUM!$C$6)</f>
        <v>#DIV/0!</v>
      </c>
      <c r="I9550" s="87"/>
      <c r="J9550" s="88"/>
      <c r="K9550" s="88"/>
      <c r="L9550" s="89"/>
      <c r="M9550" s="89"/>
      <c r="Q9550" s="105"/>
    </row>
    <row r="9551" spans="3:17" x14ac:dyDescent="0.3">
      <c r="C9551" s="87"/>
      <c r="H9551" s="86" t="e">
        <f>IF(I9551="fora",0%,G9551/QUÓRUM!$C$6)</f>
        <v>#DIV/0!</v>
      </c>
      <c r="I9551" s="87"/>
      <c r="J9551" s="88"/>
      <c r="K9551" s="88"/>
      <c r="L9551" s="89"/>
      <c r="M9551" s="89"/>
      <c r="Q9551" s="105"/>
    </row>
    <row r="9552" spans="3:17" x14ac:dyDescent="0.3">
      <c r="C9552" s="87"/>
      <c r="H9552" s="86" t="e">
        <f>IF(I9552="fora",0%,G9552/QUÓRUM!$C$6)</f>
        <v>#DIV/0!</v>
      </c>
      <c r="I9552" s="87"/>
      <c r="J9552" s="88"/>
      <c r="K9552" s="88"/>
      <c r="L9552" s="89"/>
      <c r="M9552" s="89"/>
      <c r="Q9552" s="105"/>
    </row>
    <row r="9553" spans="3:17" x14ac:dyDescent="0.3">
      <c r="C9553" s="87"/>
      <c r="H9553" s="86" t="e">
        <f>IF(I9553="fora",0%,G9553/QUÓRUM!$C$6)</f>
        <v>#DIV/0!</v>
      </c>
      <c r="I9553" s="87"/>
      <c r="J9553" s="88"/>
      <c r="K9553" s="88"/>
      <c r="L9553" s="89"/>
      <c r="M9553" s="89"/>
      <c r="Q9553" s="105"/>
    </row>
    <row r="9554" spans="3:17" x14ac:dyDescent="0.3">
      <c r="C9554" s="87"/>
      <c r="H9554" s="86" t="e">
        <f>IF(I9554="fora",0%,G9554/QUÓRUM!$C$6)</f>
        <v>#DIV/0!</v>
      </c>
      <c r="I9554" s="87"/>
      <c r="J9554" s="88"/>
      <c r="K9554" s="88"/>
      <c r="L9554" s="89"/>
      <c r="M9554" s="89"/>
      <c r="Q9554" s="105"/>
    </row>
    <row r="9555" spans="3:17" x14ac:dyDescent="0.3">
      <c r="C9555" s="87"/>
      <c r="H9555" s="86" t="e">
        <f>IF(I9555="fora",0%,G9555/QUÓRUM!$C$6)</f>
        <v>#DIV/0!</v>
      </c>
      <c r="I9555" s="87"/>
      <c r="J9555" s="88"/>
      <c r="K9555" s="88"/>
      <c r="L9555" s="89"/>
      <c r="M9555" s="89"/>
      <c r="Q9555" s="105"/>
    </row>
    <row r="9556" spans="3:17" x14ac:dyDescent="0.3">
      <c r="C9556" s="87"/>
      <c r="H9556" s="86" t="e">
        <f>IF(I9556="fora",0%,G9556/QUÓRUM!$C$6)</f>
        <v>#DIV/0!</v>
      </c>
      <c r="I9556" s="87"/>
      <c r="J9556" s="88"/>
      <c r="K9556" s="88"/>
      <c r="L9556" s="89"/>
      <c r="M9556" s="89"/>
      <c r="Q9556" s="105"/>
    </row>
    <row r="9557" spans="3:17" x14ac:dyDescent="0.3">
      <c r="C9557" s="87"/>
      <c r="H9557" s="86" t="e">
        <f>IF(I9557="fora",0%,G9557/QUÓRUM!$C$6)</f>
        <v>#DIV/0!</v>
      </c>
      <c r="I9557" s="87"/>
      <c r="J9557" s="88"/>
      <c r="K9557" s="88"/>
      <c r="L9557" s="89"/>
      <c r="M9557" s="89"/>
      <c r="Q9557" s="105"/>
    </row>
    <row r="9558" spans="3:17" x14ac:dyDescent="0.3">
      <c r="C9558" s="87"/>
      <c r="H9558" s="86" t="e">
        <f>IF(I9558="fora",0%,G9558/QUÓRUM!$C$6)</f>
        <v>#DIV/0!</v>
      </c>
      <c r="I9558" s="87"/>
      <c r="J9558" s="88"/>
      <c r="K9558" s="88"/>
      <c r="L9558" s="89"/>
      <c r="M9558" s="89"/>
      <c r="Q9558" s="105"/>
    </row>
    <row r="9559" spans="3:17" x14ac:dyDescent="0.3">
      <c r="C9559" s="87"/>
      <c r="H9559" s="86" t="e">
        <f>IF(I9559="fora",0%,G9559/QUÓRUM!$C$6)</f>
        <v>#DIV/0!</v>
      </c>
      <c r="I9559" s="87"/>
      <c r="J9559" s="88"/>
      <c r="K9559" s="88"/>
      <c r="L9559" s="89"/>
      <c r="M9559" s="89"/>
      <c r="Q9559" s="105"/>
    </row>
    <row r="9560" spans="3:17" x14ac:dyDescent="0.3">
      <c r="C9560" s="87"/>
      <c r="H9560" s="86" t="e">
        <f>IF(I9560="fora",0%,G9560/QUÓRUM!$C$6)</f>
        <v>#DIV/0!</v>
      </c>
      <c r="I9560" s="87"/>
      <c r="J9560" s="88"/>
      <c r="K9560" s="88"/>
      <c r="L9560" s="89"/>
      <c r="M9560" s="89"/>
      <c r="Q9560" s="105"/>
    </row>
    <row r="9561" spans="3:17" x14ac:dyDescent="0.3">
      <c r="C9561" s="87"/>
      <c r="H9561" s="86" t="e">
        <f>IF(I9561="fora",0%,G9561/QUÓRUM!$C$6)</f>
        <v>#DIV/0!</v>
      </c>
      <c r="I9561" s="87"/>
      <c r="J9561" s="88"/>
      <c r="K9561" s="88"/>
      <c r="L9561" s="89"/>
      <c r="M9561" s="89"/>
      <c r="Q9561" s="105"/>
    </row>
    <row r="9562" spans="3:17" x14ac:dyDescent="0.3">
      <c r="C9562" s="87"/>
      <c r="H9562" s="86" t="e">
        <f>IF(I9562="fora",0%,G9562/QUÓRUM!$C$6)</f>
        <v>#DIV/0!</v>
      </c>
      <c r="I9562" s="87"/>
      <c r="J9562" s="88"/>
      <c r="K9562" s="88"/>
      <c r="L9562" s="89"/>
      <c r="M9562" s="89"/>
      <c r="Q9562" s="105"/>
    </row>
    <row r="9563" spans="3:17" x14ac:dyDescent="0.3">
      <c r="C9563" s="87"/>
      <c r="H9563" s="86" t="e">
        <f>IF(I9563="fora",0%,G9563/QUÓRUM!$C$6)</f>
        <v>#DIV/0!</v>
      </c>
      <c r="I9563" s="87"/>
      <c r="J9563" s="88"/>
      <c r="K9563" s="88"/>
      <c r="L9563" s="89"/>
      <c r="M9563" s="89"/>
      <c r="Q9563" s="105"/>
    </row>
    <row r="9564" spans="3:17" x14ac:dyDescent="0.3">
      <c r="C9564" s="87"/>
      <c r="H9564" s="86" t="e">
        <f>IF(I9564="fora",0%,G9564/QUÓRUM!$C$6)</f>
        <v>#DIV/0!</v>
      </c>
      <c r="I9564" s="87"/>
      <c r="J9564" s="88"/>
      <c r="K9564" s="88"/>
      <c r="L9564" s="89"/>
      <c r="M9564" s="89"/>
      <c r="Q9564" s="105"/>
    </row>
    <row r="9565" spans="3:17" x14ac:dyDescent="0.3">
      <c r="C9565" s="87"/>
      <c r="H9565" s="86" t="e">
        <f>IF(I9565="fora",0%,G9565/QUÓRUM!$C$6)</f>
        <v>#DIV/0!</v>
      </c>
      <c r="I9565" s="87"/>
      <c r="J9565" s="88"/>
      <c r="K9565" s="88"/>
      <c r="L9565" s="89"/>
      <c r="M9565" s="89"/>
      <c r="Q9565" s="105"/>
    </row>
    <row r="9566" spans="3:17" x14ac:dyDescent="0.3">
      <c r="C9566" s="87"/>
      <c r="H9566" s="86" t="e">
        <f>IF(I9566="fora",0%,G9566/QUÓRUM!$C$6)</f>
        <v>#DIV/0!</v>
      </c>
      <c r="I9566" s="87"/>
      <c r="J9566" s="88"/>
      <c r="K9566" s="88"/>
      <c r="L9566" s="89"/>
      <c r="M9566" s="89"/>
      <c r="Q9566" s="105"/>
    </row>
    <row r="9567" spans="3:17" x14ac:dyDescent="0.3">
      <c r="C9567" s="87"/>
      <c r="H9567" s="86" t="e">
        <f>IF(I9567="fora",0%,G9567/QUÓRUM!$C$6)</f>
        <v>#DIV/0!</v>
      </c>
      <c r="I9567" s="87"/>
      <c r="J9567" s="88"/>
      <c r="K9567" s="88"/>
      <c r="L9567" s="89"/>
      <c r="M9567" s="89"/>
      <c r="Q9567" s="105"/>
    </row>
    <row r="9568" spans="3:17" x14ac:dyDescent="0.3">
      <c r="C9568" s="87"/>
      <c r="H9568" s="86" t="e">
        <f>IF(I9568="fora",0%,G9568/QUÓRUM!$C$6)</f>
        <v>#DIV/0!</v>
      </c>
      <c r="I9568" s="87"/>
      <c r="J9568" s="88"/>
      <c r="K9568" s="88"/>
      <c r="L9568" s="89"/>
      <c r="M9568" s="89"/>
      <c r="Q9568" s="105"/>
    </row>
    <row r="9569" spans="3:17" x14ac:dyDescent="0.3">
      <c r="C9569" s="87"/>
      <c r="H9569" s="86" t="e">
        <f>IF(I9569="fora",0%,G9569/QUÓRUM!$C$6)</f>
        <v>#DIV/0!</v>
      </c>
      <c r="I9569" s="87"/>
      <c r="J9569" s="88"/>
      <c r="K9569" s="88"/>
      <c r="L9569" s="89"/>
      <c r="M9569" s="89"/>
      <c r="Q9569" s="105"/>
    </row>
    <row r="9570" spans="3:17" x14ac:dyDescent="0.3">
      <c r="C9570" s="87"/>
      <c r="H9570" s="86" t="e">
        <f>IF(I9570="fora",0%,G9570/QUÓRUM!$C$6)</f>
        <v>#DIV/0!</v>
      </c>
      <c r="I9570" s="87"/>
      <c r="J9570" s="88"/>
      <c r="K9570" s="88"/>
      <c r="L9570" s="89"/>
      <c r="M9570" s="89"/>
      <c r="Q9570" s="105"/>
    </row>
    <row r="9571" spans="3:17" x14ac:dyDescent="0.3">
      <c r="C9571" s="87"/>
      <c r="H9571" s="86" t="e">
        <f>IF(I9571="fora",0%,G9571/QUÓRUM!$C$6)</f>
        <v>#DIV/0!</v>
      </c>
      <c r="I9571" s="87"/>
      <c r="J9571" s="88"/>
      <c r="K9571" s="88"/>
      <c r="L9571" s="89"/>
      <c r="M9571" s="89"/>
      <c r="Q9571" s="105"/>
    </row>
    <row r="9572" spans="3:17" x14ac:dyDescent="0.3">
      <c r="C9572" s="87"/>
      <c r="H9572" s="86" t="e">
        <f>IF(I9572="fora",0%,G9572/QUÓRUM!$C$6)</f>
        <v>#DIV/0!</v>
      </c>
      <c r="I9572" s="87"/>
      <c r="J9572" s="88"/>
      <c r="K9572" s="88"/>
      <c r="L9572" s="89"/>
      <c r="M9572" s="89"/>
      <c r="Q9572" s="105"/>
    </row>
    <row r="9573" spans="3:17" x14ac:dyDescent="0.3">
      <c r="C9573" s="87"/>
      <c r="H9573" s="86" t="e">
        <f>IF(I9573="fora",0%,G9573/QUÓRUM!$C$6)</f>
        <v>#DIV/0!</v>
      </c>
      <c r="I9573" s="87"/>
      <c r="J9573" s="88"/>
      <c r="K9573" s="88"/>
      <c r="L9573" s="89"/>
      <c r="M9573" s="89"/>
      <c r="Q9573" s="105"/>
    </row>
    <row r="9574" spans="3:17" x14ac:dyDescent="0.3">
      <c r="C9574" s="87"/>
      <c r="H9574" s="86" t="e">
        <f>IF(I9574="fora",0%,G9574/QUÓRUM!$C$6)</f>
        <v>#DIV/0!</v>
      </c>
      <c r="I9574" s="87"/>
      <c r="J9574" s="88"/>
      <c r="K9574" s="88"/>
      <c r="L9574" s="89"/>
      <c r="M9574" s="89"/>
      <c r="Q9574" s="105"/>
    </row>
    <row r="9575" spans="3:17" x14ac:dyDescent="0.3">
      <c r="C9575" s="87"/>
      <c r="H9575" s="86" t="e">
        <f>IF(I9575="fora",0%,G9575/QUÓRUM!$C$6)</f>
        <v>#DIV/0!</v>
      </c>
      <c r="I9575" s="87"/>
      <c r="J9575" s="88"/>
      <c r="K9575" s="88"/>
      <c r="L9575" s="89"/>
      <c r="M9575" s="89"/>
      <c r="Q9575" s="105"/>
    </row>
    <row r="9576" spans="3:17" x14ac:dyDescent="0.3">
      <c r="C9576" s="87"/>
      <c r="H9576" s="86" t="e">
        <f>IF(I9576="fora",0%,G9576/QUÓRUM!$C$6)</f>
        <v>#DIV/0!</v>
      </c>
      <c r="I9576" s="87"/>
      <c r="J9576" s="88"/>
      <c r="K9576" s="88"/>
      <c r="L9576" s="89"/>
      <c r="M9576" s="89"/>
      <c r="Q9576" s="105"/>
    </row>
    <row r="9577" spans="3:17" x14ac:dyDescent="0.3">
      <c r="C9577" s="87"/>
      <c r="H9577" s="86" t="e">
        <f>IF(I9577="fora",0%,G9577/QUÓRUM!$C$6)</f>
        <v>#DIV/0!</v>
      </c>
      <c r="I9577" s="87"/>
      <c r="J9577" s="88"/>
      <c r="K9577" s="88"/>
      <c r="L9577" s="89"/>
      <c r="M9577" s="89"/>
      <c r="Q9577" s="105"/>
    </row>
    <row r="9578" spans="3:17" x14ac:dyDescent="0.3">
      <c r="C9578" s="87"/>
      <c r="H9578" s="86" t="e">
        <f>IF(I9578="fora",0%,G9578/QUÓRUM!$C$6)</f>
        <v>#DIV/0!</v>
      </c>
      <c r="I9578" s="87"/>
      <c r="J9578" s="88"/>
      <c r="K9578" s="88"/>
      <c r="L9578" s="89"/>
      <c r="M9578" s="89"/>
      <c r="Q9578" s="105"/>
    </row>
    <row r="9579" spans="3:17" x14ac:dyDescent="0.3">
      <c r="C9579" s="87"/>
      <c r="H9579" s="86" t="e">
        <f>IF(I9579="fora",0%,G9579/QUÓRUM!$C$6)</f>
        <v>#DIV/0!</v>
      </c>
      <c r="I9579" s="87"/>
      <c r="J9579" s="88"/>
      <c r="K9579" s="88"/>
      <c r="L9579" s="89"/>
      <c r="M9579" s="89"/>
      <c r="Q9579" s="105"/>
    </row>
    <row r="9580" spans="3:17" x14ac:dyDescent="0.3">
      <c r="C9580" s="87"/>
      <c r="H9580" s="86" t="e">
        <f>IF(I9580="fora",0%,G9580/QUÓRUM!$C$6)</f>
        <v>#DIV/0!</v>
      </c>
      <c r="I9580" s="87"/>
      <c r="J9580" s="88"/>
      <c r="K9580" s="88"/>
      <c r="L9580" s="89"/>
      <c r="M9580" s="89"/>
      <c r="Q9580" s="105"/>
    </row>
    <row r="9581" spans="3:17" x14ac:dyDescent="0.3">
      <c r="C9581" s="87"/>
      <c r="H9581" s="86" t="e">
        <f>IF(I9581="fora",0%,G9581/QUÓRUM!$C$6)</f>
        <v>#DIV/0!</v>
      </c>
      <c r="I9581" s="87"/>
      <c r="J9581" s="88"/>
      <c r="K9581" s="88"/>
      <c r="L9581" s="89"/>
      <c r="M9581" s="89"/>
      <c r="Q9581" s="105"/>
    </row>
    <row r="9582" spans="3:17" x14ac:dyDescent="0.3">
      <c r="C9582" s="87"/>
      <c r="H9582" s="86" t="e">
        <f>IF(I9582="fora",0%,G9582/QUÓRUM!$C$6)</f>
        <v>#DIV/0!</v>
      </c>
      <c r="I9582" s="87"/>
      <c r="J9582" s="88"/>
      <c r="K9582" s="88"/>
      <c r="L9582" s="89"/>
      <c r="M9582" s="89"/>
      <c r="Q9582" s="105"/>
    </row>
    <row r="9583" spans="3:17" x14ac:dyDescent="0.3">
      <c r="C9583" s="87"/>
      <c r="H9583" s="86" t="e">
        <f>IF(I9583="fora",0%,G9583/QUÓRUM!$C$6)</f>
        <v>#DIV/0!</v>
      </c>
      <c r="I9583" s="87"/>
      <c r="J9583" s="88"/>
      <c r="K9583" s="88"/>
      <c r="L9583" s="89"/>
      <c r="M9583" s="89"/>
      <c r="Q9583" s="105"/>
    </row>
    <row r="9584" spans="3:17" x14ac:dyDescent="0.3">
      <c r="C9584" s="87"/>
      <c r="H9584" s="86" t="e">
        <f>IF(I9584="fora",0%,G9584/QUÓRUM!$C$6)</f>
        <v>#DIV/0!</v>
      </c>
      <c r="I9584" s="87"/>
      <c r="J9584" s="88"/>
      <c r="K9584" s="88"/>
      <c r="L9584" s="89"/>
      <c r="M9584" s="89"/>
      <c r="Q9584" s="105"/>
    </row>
    <row r="9585" spans="3:17" x14ac:dyDescent="0.3">
      <c r="C9585" s="87"/>
      <c r="H9585" s="86" t="e">
        <f>IF(I9585="fora",0%,G9585/QUÓRUM!$C$6)</f>
        <v>#DIV/0!</v>
      </c>
      <c r="I9585" s="87"/>
      <c r="J9585" s="88"/>
      <c r="K9585" s="88"/>
      <c r="L9585" s="89"/>
      <c r="M9585" s="89"/>
      <c r="Q9585" s="105"/>
    </row>
    <row r="9586" spans="3:17" x14ac:dyDescent="0.3">
      <c r="C9586" s="87"/>
      <c r="G9586" s="115"/>
      <c r="H9586" s="86" t="e">
        <f>IF(I9586="fora",0%,G9586/QUÓRUM!$C$6)</f>
        <v>#DIV/0!</v>
      </c>
      <c r="I9586" s="87"/>
      <c r="J9586" s="88"/>
      <c r="K9586" s="88"/>
      <c r="L9586" s="89"/>
      <c r="M9586" s="89"/>
      <c r="Q9586" s="105"/>
    </row>
    <row r="9587" spans="3:17" x14ac:dyDescent="0.3">
      <c r="C9587" s="87"/>
      <c r="H9587" s="86" t="e">
        <f>IF(I9587="fora",0%,G9587/QUÓRUM!$C$6)</f>
        <v>#DIV/0!</v>
      </c>
      <c r="I9587" s="87"/>
      <c r="J9587" s="88"/>
      <c r="K9587" s="88"/>
      <c r="L9587" s="89"/>
      <c r="M9587" s="89"/>
      <c r="Q9587" s="105"/>
    </row>
    <row r="9588" spans="3:17" x14ac:dyDescent="0.3">
      <c r="C9588" s="87"/>
      <c r="H9588" s="86" t="e">
        <f>IF(I9588="fora",0%,G9588/QUÓRUM!$C$6)</f>
        <v>#DIV/0!</v>
      </c>
      <c r="I9588" s="87"/>
      <c r="J9588" s="88"/>
      <c r="K9588" s="88"/>
      <c r="L9588" s="89"/>
      <c r="M9588" s="89"/>
      <c r="Q9588" s="105"/>
    </row>
    <row r="9589" spans="3:17" x14ac:dyDescent="0.3">
      <c r="C9589" s="87"/>
      <c r="H9589" s="86" t="e">
        <f>IF(I9589="fora",0%,G9589/QUÓRUM!$C$6)</f>
        <v>#DIV/0!</v>
      </c>
      <c r="I9589" s="87"/>
      <c r="J9589" s="88"/>
      <c r="K9589" s="88"/>
      <c r="L9589" s="89"/>
      <c r="M9589" s="89"/>
      <c r="Q9589" s="105"/>
    </row>
    <row r="9590" spans="3:17" x14ac:dyDescent="0.3">
      <c r="C9590" s="87"/>
      <c r="H9590" s="86" t="e">
        <f>IF(I9590="fora",0%,G9590/QUÓRUM!$C$6)</f>
        <v>#DIV/0!</v>
      </c>
      <c r="I9590" s="87"/>
      <c r="J9590" s="88"/>
      <c r="K9590" s="88"/>
      <c r="L9590" s="89"/>
      <c r="M9590" s="89"/>
      <c r="Q9590" s="105"/>
    </row>
    <row r="9591" spans="3:17" x14ac:dyDescent="0.3">
      <c r="C9591" s="87"/>
      <c r="H9591" s="86" t="e">
        <f>IF(I9591="fora",0%,G9591/QUÓRUM!$C$6)</f>
        <v>#DIV/0!</v>
      </c>
      <c r="I9591" s="87"/>
      <c r="J9591" s="88"/>
      <c r="K9591" s="88"/>
      <c r="L9591" s="89"/>
      <c r="M9591" s="89"/>
      <c r="Q9591" s="105"/>
    </row>
    <row r="9592" spans="3:17" x14ac:dyDescent="0.3">
      <c r="C9592" s="87"/>
      <c r="H9592" s="86" t="e">
        <f>IF(I9592="fora",0%,G9592/QUÓRUM!$C$6)</f>
        <v>#DIV/0!</v>
      </c>
      <c r="I9592" s="87"/>
      <c r="J9592" s="88"/>
      <c r="K9592" s="88"/>
      <c r="L9592" s="89"/>
      <c r="M9592" s="89"/>
      <c r="Q9592" s="105"/>
    </row>
    <row r="9593" spans="3:17" x14ac:dyDescent="0.3">
      <c r="C9593" s="87"/>
      <c r="H9593" s="86" t="e">
        <f>IF(I9593="fora",0%,G9593/QUÓRUM!$C$6)</f>
        <v>#DIV/0!</v>
      </c>
      <c r="I9593" s="87"/>
      <c r="J9593" s="88"/>
      <c r="K9593" s="88"/>
      <c r="L9593" s="89"/>
      <c r="M9593" s="89"/>
      <c r="Q9593" s="105"/>
    </row>
    <row r="9594" spans="3:17" x14ac:dyDescent="0.3">
      <c r="C9594" s="87"/>
      <c r="H9594" s="86" t="e">
        <f>IF(I9594="fora",0%,G9594/QUÓRUM!$C$6)</f>
        <v>#DIV/0!</v>
      </c>
      <c r="I9594" s="87"/>
      <c r="J9594" s="88"/>
      <c r="K9594" s="88"/>
      <c r="L9594" s="89"/>
      <c r="M9594" s="89"/>
      <c r="Q9594" s="105"/>
    </row>
    <row r="9595" spans="3:17" x14ac:dyDescent="0.3">
      <c r="C9595" s="87"/>
      <c r="H9595" s="86" t="e">
        <f>IF(I9595="fora",0%,G9595/QUÓRUM!$C$6)</f>
        <v>#DIV/0!</v>
      </c>
      <c r="I9595" s="87"/>
      <c r="J9595" s="88"/>
      <c r="K9595" s="88"/>
      <c r="L9595" s="89"/>
      <c r="M9595" s="89"/>
      <c r="Q9595" s="105"/>
    </row>
    <row r="9596" spans="3:17" x14ac:dyDescent="0.3">
      <c r="C9596" s="87"/>
      <c r="H9596" s="86" t="e">
        <f>IF(I9596="fora",0%,G9596/QUÓRUM!$C$6)</f>
        <v>#DIV/0!</v>
      </c>
      <c r="I9596" s="87"/>
      <c r="J9596" s="88"/>
      <c r="K9596" s="88"/>
      <c r="L9596" s="89"/>
      <c r="M9596" s="89"/>
      <c r="Q9596" s="105"/>
    </row>
    <row r="9597" spans="3:17" x14ac:dyDescent="0.3">
      <c r="C9597" s="87"/>
      <c r="H9597" s="86" t="e">
        <f>IF(I9597="fora",0%,G9597/QUÓRUM!$C$6)</f>
        <v>#DIV/0!</v>
      </c>
      <c r="I9597" s="87"/>
      <c r="J9597" s="88"/>
      <c r="K9597" s="88"/>
      <c r="L9597" s="89"/>
      <c r="M9597" s="89"/>
      <c r="Q9597" s="105"/>
    </row>
    <row r="9598" spans="3:17" x14ac:dyDescent="0.3">
      <c r="C9598" s="87"/>
      <c r="H9598" s="86" t="e">
        <f>IF(I9598="fora",0%,G9598/QUÓRUM!$C$6)</f>
        <v>#DIV/0!</v>
      </c>
      <c r="I9598" s="87"/>
      <c r="J9598" s="88"/>
      <c r="K9598" s="88"/>
      <c r="L9598" s="89"/>
      <c r="M9598" s="89"/>
      <c r="Q9598" s="105"/>
    </row>
    <row r="9599" spans="3:17" x14ac:dyDescent="0.3">
      <c r="C9599" s="87"/>
      <c r="H9599" s="86" t="e">
        <f>IF(I9599="fora",0%,G9599/QUÓRUM!$C$6)</f>
        <v>#DIV/0!</v>
      </c>
      <c r="I9599" s="87"/>
      <c r="J9599" s="88"/>
      <c r="K9599" s="88"/>
      <c r="L9599" s="89"/>
      <c r="M9599" s="89"/>
      <c r="Q9599" s="105"/>
    </row>
    <row r="9600" spans="3:17" x14ac:dyDescent="0.3">
      <c r="C9600" s="87"/>
      <c r="H9600" s="86" t="e">
        <f>IF(I9600="fora",0%,G9600/QUÓRUM!$C$6)</f>
        <v>#DIV/0!</v>
      </c>
      <c r="I9600" s="87"/>
      <c r="J9600" s="88"/>
      <c r="K9600" s="88"/>
      <c r="L9600" s="89"/>
      <c r="M9600" s="89"/>
      <c r="Q9600" s="105"/>
    </row>
    <row r="9601" spans="3:17" x14ac:dyDescent="0.3">
      <c r="C9601" s="87"/>
      <c r="H9601" s="86" t="e">
        <f>IF(I9601="fora",0%,G9601/QUÓRUM!$C$6)</f>
        <v>#DIV/0!</v>
      </c>
      <c r="I9601" s="87"/>
      <c r="J9601" s="88"/>
      <c r="K9601" s="88"/>
      <c r="L9601" s="89"/>
      <c r="M9601" s="89"/>
      <c r="Q9601" s="105"/>
    </row>
    <row r="9602" spans="3:17" x14ac:dyDescent="0.3">
      <c r="C9602" s="87"/>
      <c r="H9602" s="86" t="e">
        <f>IF(I9602="fora",0%,G9602/QUÓRUM!$C$6)</f>
        <v>#DIV/0!</v>
      </c>
      <c r="I9602" s="87"/>
      <c r="J9602" s="88"/>
      <c r="K9602" s="88"/>
      <c r="L9602" s="89"/>
      <c r="M9602" s="89"/>
      <c r="Q9602" s="105"/>
    </row>
    <row r="9603" spans="3:17" x14ac:dyDescent="0.3">
      <c r="C9603" s="87"/>
      <c r="H9603" s="86" t="e">
        <f>IF(I9603="fora",0%,G9603/QUÓRUM!$C$6)</f>
        <v>#DIV/0!</v>
      </c>
      <c r="I9603" s="87"/>
      <c r="J9603" s="88"/>
      <c r="K9603" s="88"/>
      <c r="L9603" s="89"/>
      <c r="M9603" s="89"/>
      <c r="Q9603" s="105"/>
    </row>
    <row r="9604" spans="3:17" x14ac:dyDescent="0.3">
      <c r="C9604" s="87"/>
      <c r="H9604" s="86" t="e">
        <f>IF(I9604="fora",0%,G9604/QUÓRUM!$C$6)</f>
        <v>#DIV/0!</v>
      </c>
      <c r="I9604" s="87"/>
      <c r="J9604" s="88"/>
      <c r="K9604" s="88"/>
      <c r="L9604" s="89"/>
      <c r="M9604" s="89"/>
      <c r="Q9604" s="105"/>
    </row>
    <row r="9605" spans="3:17" x14ac:dyDescent="0.3">
      <c r="C9605" s="87"/>
      <c r="H9605" s="86" t="e">
        <f>IF(I9605="fora",0%,G9605/QUÓRUM!$C$6)</f>
        <v>#DIV/0!</v>
      </c>
      <c r="I9605" s="87"/>
      <c r="J9605" s="88"/>
      <c r="K9605" s="88"/>
      <c r="L9605" s="89"/>
      <c r="M9605" s="89"/>
      <c r="Q9605" s="105"/>
    </row>
    <row r="9606" spans="3:17" x14ac:dyDescent="0.3">
      <c r="C9606" s="87"/>
      <c r="H9606" s="86" t="e">
        <f>IF(I9606="fora",0%,G9606/QUÓRUM!$C$6)</f>
        <v>#DIV/0!</v>
      </c>
      <c r="I9606" s="87"/>
      <c r="J9606" s="88"/>
      <c r="K9606" s="88"/>
      <c r="L9606" s="89"/>
      <c r="M9606" s="89"/>
      <c r="Q9606" s="105"/>
    </row>
    <row r="9607" spans="3:17" x14ac:dyDescent="0.3">
      <c r="C9607" s="87"/>
      <c r="H9607" s="86" t="e">
        <f>IF(I9607="fora",0%,G9607/QUÓRUM!$C$6)</f>
        <v>#DIV/0!</v>
      </c>
      <c r="I9607" s="87"/>
      <c r="J9607" s="88"/>
      <c r="K9607" s="88"/>
      <c r="L9607" s="89"/>
      <c r="M9607" s="89"/>
      <c r="Q9607" s="105"/>
    </row>
    <row r="9608" spans="3:17" x14ac:dyDescent="0.3">
      <c r="C9608" s="87"/>
      <c r="H9608" s="86" t="e">
        <f>IF(I9608="fora",0%,G9608/QUÓRUM!$C$6)</f>
        <v>#DIV/0!</v>
      </c>
      <c r="I9608" s="87"/>
      <c r="J9608" s="88"/>
      <c r="K9608" s="88"/>
      <c r="L9608" s="89"/>
      <c r="M9608" s="89"/>
      <c r="Q9608" s="105"/>
    </row>
    <row r="9609" spans="3:17" x14ac:dyDescent="0.3">
      <c r="C9609" s="87"/>
      <c r="H9609" s="86" t="e">
        <f>IF(I9609="fora",0%,G9609/QUÓRUM!$C$6)</f>
        <v>#DIV/0!</v>
      </c>
      <c r="I9609" s="87"/>
      <c r="J9609" s="88"/>
      <c r="K9609" s="88"/>
      <c r="L9609" s="89"/>
      <c r="M9609" s="89"/>
      <c r="Q9609" s="105"/>
    </row>
    <row r="9610" spans="3:17" x14ac:dyDescent="0.3">
      <c r="C9610" s="87"/>
      <c r="H9610" s="86" t="e">
        <f>IF(I9610="fora",0%,G9610/QUÓRUM!$C$6)</f>
        <v>#DIV/0!</v>
      </c>
      <c r="I9610" s="87"/>
      <c r="J9610" s="88"/>
      <c r="K9610" s="88"/>
      <c r="L9610" s="89"/>
      <c r="M9610" s="89"/>
      <c r="Q9610" s="105"/>
    </row>
    <row r="9611" spans="3:17" x14ac:dyDescent="0.3">
      <c r="C9611" s="87"/>
      <c r="H9611" s="86" t="e">
        <f>IF(I9611="fora",0%,G9611/QUÓRUM!$C$6)</f>
        <v>#DIV/0!</v>
      </c>
      <c r="I9611" s="87"/>
      <c r="J9611" s="88"/>
      <c r="K9611" s="88"/>
      <c r="L9611" s="89"/>
      <c r="M9611" s="89"/>
      <c r="Q9611" s="105"/>
    </row>
    <row r="9612" spans="3:17" x14ac:dyDescent="0.3">
      <c r="C9612" s="87"/>
      <c r="H9612" s="86" t="e">
        <f>IF(I9612="fora",0%,G9612/QUÓRUM!$C$6)</f>
        <v>#DIV/0!</v>
      </c>
      <c r="I9612" s="87"/>
      <c r="J9612" s="88"/>
      <c r="K9612" s="88"/>
      <c r="L9612" s="89"/>
      <c r="M9612" s="89"/>
      <c r="Q9612" s="105"/>
    </row>
    <row r="9613" spans="3:17" x14ac:dyDescent="0.3">
      <c r="C9613" s="87"/>
      <c r="H9613" s="86" t="e">
        <f>IF(I9613="fora",0%,G9613/QUÓRUM!$C$6)</f>
        <v>#DIV/0!</v>
      </c>
      <c r="I9613" s="87"/>
      <c r="J9613" s="88"/>
      <c r="K9613" s="88"/>
      <c r="L9613" s="89"/>
      <c r="M9613" s="89"/>
      <c r="Q9613" s="105"/>
    </row>
    <row r="9614" spans="3:17" x14ac:dyDescent="0.3">
      <c r="C9614" s="87"/>
      <c r="H9614" s="86" t="e">
        <f>IF(I9614="fora",0%,G9614/QUÓRUM!$C$6)</f>
        <v>#DIV/0!</v>
      </c>
      <c r="I9614" s="87"/>
      <c r="J9614" s="88"/>
      <c r="K9614" s="88"/>
      <c r="L9614" s="89"/>
      <c r="M9614" s="89"/>
      <c r="Q9614" s="105"/>
    </row>
    <row r="9615" spans="3:17" x14ac:dyDescent="0.3">
      <c r="C9615" s="87"/>
      <c r="H9615" s="86" t="e">
        <f>IF(I9615="fora",0%,G9615/QUÓRUM!$C$6)</f>
        <v>#DIV/0!</v>
      </c>
      <c r="I9615" s="87"/>
      <c r="J9615" s="88"/>
      <c r="K9615" s="88"/>
      <c r="L9615" s="89"/>
      <c r="M9615" s="89"/>
      <c r="Q9615" s="105"/>
    </row>
    <row r="9616" spans="3:17" x14ac:dyDescent="0.3">
      <c r="C9616" s="87"/>
      <c r="H9616" s="86" t="e">
        <f>IF(I9616="fora",0%,G9616/QUÓRUM!$C$6)</f>
        <v>#DIV/0!</v>
      </c>
      <c r="I9616" s="87"/>
      <c r="J9616" s="88"/>
      <c r="K9616" s="88"/>
      <c r="L9616" s="89"/>
      <c r="M9616" s="89"/>
      <c r="Q9616" s="105"/>
    </row>
    <row r="9617" spans="3:17" x14ac:dyDescent="0.3">
      <c r="C9617" s="87"/>
      <c r="H9617" s="86" t="e">
        <f>IF(I9617="fora",0%,G9617/QUÓRUM!$C$6)</f>
        <v>#DIV/0!</v>
      </c>
      <c r="I9617" s="87"/>
      <c r="J9617" s="88"/>
      <c r="K9617" s="88"/>
      <c r="L9617" s="89"/>
      <c r="M9617" s="89"/>
      <c r="Q9617" s="105"/>
    </row>
    <row r="9618" spans="3:17" x14ac:dyDescent="0.3">
      <c r="C9618" s="87"/>
      <c r="H9618" s="86" t="e">
        <f>IF(I9618="fora",0%,G9618/QUÓRUM!$C$6)</f>
        <v>#DIV/0!</v>
      </c>
      <c r="I9618" s="87"/>
      <c r="J9618" s="88"/>
      <c r="K9618" s="88"/>
      <c r="L9618" s="89"/>
      <c r="M9618" s="89"/>
      <c r="Q9618" s="105"/>
    </row>
    <row r="9619" spans="3:17" x14ac:dyDescent="0.3">
      <c r="C9619" s="87"/>
      <c r="H9619" s="86" t="e">
        <f>IF(I9619="fora",0%,G9619/QUÓRUM!$C$6)</f>
        <v>#DIV/0!</v>
      </c>
      <c r="I9619" s="87"/>
      <c r="J9619" s="88"/>
      <c r="K9619" s="88"/>
      <c r="L9619" s="89"/>
      <c r="M9619" s="89"/>
      <c r="Q9619" s="105"/>
    </row>
    <row r="9620" spans="3:17" x14ac:dyDescent="0.3">
      <c r="C9620" s="87"/>
      <c r="H9620" s="86" t="e">
        <f>IF(I9620="fora",0%,G9620/QUÓRUM!$C$6)</f>
        <v>#DIV/0!</v>
      </c>
      <c r="I9620" s="87"/>
      <c r="J9620" s="88"/>
      <c r="K9620" s="88"/>
      <c r="L9620" s="89"/>
      <c r="M9620" s="89"/>
      <c r="Q9620" s="105"/>
    </row>
    <row r="9621" spans="3:17" x14ac:dyDescent="0.3">
      <c r="C9621" s="87"/>
      <c r="H9621" s="86" t="e">
        <f>IF(I9621="fora",0%,G9621/QUÓRUM!$C$6)</f>
        <v>#DIV/0!</v>
      </c>
      <c r="I9621" s="87"/>
      <c r="J9621" s="88"/>
      <c r="K9621" s="88"/>
      <c r="L9621" s="89"/>
      <c r="M9621" s="89"/>
      <c r="Q9621" s="105"/>
    </row>
    <row r="9622" spans="3:17" x14ac:dyDescent="0.3">
      <c r="C9622" s="87"/>
      <c r="H9622" s="86" t="e">
        <f>IF(I9622="fora",0%,G9622/QUÓRUM!$C$6)</f>
        <v>#DIV/0!</v>
      </c>
      <c r="I9622" s="87"/>
      <c r="J9622" s="88"/>
      <c r="K9622" s="88"/>
      <c r="L9622" s="89"/>
      <c r="M9622" s="89"/>
      <c r="Q9622" s="105"/>
    </row>
    <row r="9623" spans="3:17" x14ac:dyDescent="0.3">
      <c r="C9623" s="87"/>
      <c r="H9623" s="86" t="e">
        <f>IF(I9623="fora",0%,G9623/QUÓRUM!$C$6)</f>
        <v>#DIV/0!</v>
      </c>
      <c r="I9623" s="87"/>
      <c r="J9623" s="88"/>
      <c r="K9623" s="88"/>
      <c r="L9623" s="89"/>
      <c r="M9623" s="89"/>
      <c r="Q9623" s="105"/>
    </row>
    <row r="9624" spans="3:17" x14ac:dyDescent="0.3">
      <c r="C9624" s="87"/>
      <c r="H9624" s="86" t="e">
        <f>IF(I9624="fora",0%,G9624/QUÓRUM!$C$6)</f>
        <v>#DIV/0!</v>
      </c>
      <c r="I9624" s="87"/>
      <c r="J9624" s="88"/>
      <c r="K9624" s="88"/>
      <c r="L9624" s="89"/>
      <c r="M9624" s="89"/>
      <c r="Q9624" s="105"/>
    </row>
    <row r="9625" spans="3:17" x14ac:dyDescent="0.3">
      <c r="C9625" s="87"/>
      <c r="H9625" s="86" t="e">
        <f>IF(I9625="fora",0%,G9625/QUÓRUM!$C$6)</f>
        <v>#DIV/0!</v>
      </c>
      <c r="I9625" s="87"/>
      <c r="J9625" s="88"/>
      <c r="K9625" s="88"/>
      <c r="L9625" s="89"/>
      <c r="M9625" s="89"/>
      <c r="Q9625" s="105"/>
    </row>
    <row r="9626" spans="3:17" x14ac:dyDescent="0.3">
      <c r="C9626" s="87"/>
      <c r="H9626" s="86" t="e">
        <f>IF(I9626="fora",0%,G9626/QUÓRUM!$C$6)</f>
        <v>#DIV/0!</v>
      </c>
      <c r="I9626" s="87"/>
      <c r="J9626" s="88"/>
      <c r="K9626" s="88"/>
      <c r="L9626" s="89"/>
      <c r="M9626" s="89"/>
      <c r="Q9626" s="105"/>
    </row>
    <row r="9627" spans="3:17" x14ac:dyDescent="0.3">
      <c r="C9627" s="87"/>
      <c r="H9627" s="86" t="e">
        <f>IF(I9627="fora",0%,G9627/QUÓRUM!$C$6)</f>
        <v>#DIV/0!</v>
      </c>
      <c r="I9627" s="87"/>
      <c r="J9627" s="88"/>
      <c r="K9627" s="88"/>
      <c r="L9627" s="89"/>
      <c r="M9627" s="89"/>
      <c r="Q9627" s="105"/>
    </row>
    <row r="9628" spans="3:17" x14ac:dyDescent="0.3">
      <c r="C9628" s="87"/>
      <c r="H9628" s="86" t="e">
        <f>IF(I9628="fora",0%,G9628/QUÓRUM!$C$6)</f>
        <v>#DIV/0!</v>
      </c>
      <c r="I9628" s="87"/>
      <c r="J9628" s="88"/>
      <c r="K9628" s="88"/>
      <c r="L9628" s="89"/>
      <c r="M9628" s="89"/>
      <c r="Q9628" s="105"/>
    </row>
    <row r="9629" spans="3:17" x14ac:dyDescent="0.3">
      <c r="C9629" s="87"/>
      <c r="H9629" s="86" t="e">
        <f>IF(I9629="fora",0%,G9629/QUÓRUM!$C$6)</f>
        <v>#DIV/0!</v>
      </c>
      <c r="I9629" s="87"/>
      <c r="J9629" s="88"/>
      <c r="K9629" s="88"/>
      <c r="L9629" s="89"/>
      <c r="M9629" s="89"/>
      <c r="Q9629" s="105"/>
    </row>
    <row r="9630" spans="3:17" x14ac:dyDescent="0.3">
      <c r="C9630" s="87"/>
      <c r="H9630" s="86" t="e">
        <f>IF(I9630="fora",0%,G9630/QUÓRUM!$C$6)</f>
        <v>#DIV/0!</v>
      </c>
      <c r="I9630" s="87"/>
      <c r="J9630" s="88"/>
      <c r="K9630" s="88"/>
      <c r="L9630" s="89"/>
      <c r="M9630" s="89"/>
      <c r="Q9630" s="105"/>
    </row>
    <row r="9631" spans="3:17" x14ac:dyDescent="0.3">
      <c r="C9631" s="87"/>
      <c r="H9631" s="86" t="e">
        <f>IF(I9631="fora",0%,G9631/QUÓRUM!$C$6)</f>
        <v>#DIV/0!</v>
      </c>
      <c r="I9631" s="87"/>
      <c r="J9631" s="88"/>
      <c r="K9631" s="88"/>
      <c r="L9631" s="89"/>
      <c r="M9631" s="89"/>
      <c r="Q9631" s="105"/>
    </row>
    <row r="9632" spans="3:17" x14ac:dyDescent="0.3">
      <c r="C9632" s="87"/>
      <c r="H9632" s="86" t="e">
        <f>IF(I9632="fora",0%,G9632/QUÓRUM!$C$6)</f>
        <v>#DIV/0!</v>
      </c>
      <c r="I9632" s="87"/>
      <c r="J9632" s="88"/>
      <c r="K9632" s="88"/>
      <c r="L9632" s="89"/>
      <c r="M9632" s="89"/>
      <c r="Q9632" s="105"/>
    </row>
    <row r="9633" spans="3:17" x14ac:dyDescent="0.3">
      <c r="C9633" s="87"/>
      <c r="H9633" s="86" t="e">
        <f>IF(I9633="fora",0%,G9633/QUÓRUM!$C$6)</f>
        <v>#DIV/0!</v>
      </c>
      <c r="I9633" s="87"/>
      <c r="J9633" s="88"/>
      <c r="K9633" s="88"/>
      <c r="L9633" s="89"/>
      <c r="M9633" s="89"/>
      <c r="Q9633" s="105"/>
    </row>
    <row r="9634" spans="3:17" x14ac:dyDescent="0.3">
      <c r="C9634" s="87"/>
      <c r="H9634" s="86" t="e">
        <f>IF(I9634="fora",0%,G9634/QUÓRUM!$C$6)</f>
        <v>#DIV/0!</v>
      </c>
      <c r="I9634" s="87"/>
      <c r="J9634" s="88"/>
      <c r="K9634" s="88"/>
      <c r="L9634" s="89"/>
      <c r="M9634" s="89"/>
      <c r="Q9634" s="105"/>
    </row>
    <row r="9635" spans="3:17" x14ac:dyDescent="0.3">
      <c r="C9635" s="87"/>
      <c r="H9635" s="86" t="e">
        <f>IF(I9635="fora",0%,G9635/QUÓRUM!$C$6)</f>
        <v>#DIV/0!</v>
      </c>
      <c r="I9635" s="87"/>
      <c r="J9635" s="88"/>
      <c r="K9635" s="88"/>
      <c r="L9635" s="89"/>
      <c r="M9635" s="89"/>
      <c r="Q9635" s="105"/>
    </row>
    <row r="9636" spans="3:17" x14ac:dyDescent="0.3">
      <c r="C9636" s="87"/>
      <c r="H9636" s="86" t="e">
        <f>IF(I9636="fora",0%,G9636/QUÓRUM!$C$6)</f>
        <v>#DIV/0!</v>
      </c>
      <c r="I9636" s="87"/>
      <c r="J9636" s="88"/>
      <c r="K9636" s="88"/>
      <c r="L9636" s="89"/>
      <c r="M9636" s="89"/>
      <c r="Q9636" s="105"/>
    </row>
    <row r="9637" spans="3:17" x14ac:dyDescent="0.3">
      <c r="C9637" s="87"/>
      <c r="H9637" s="86" t="e">
        <f>IF(I9637="fora",0%,G9637/QUÓRUM!$C$6)</f>
        <v>#DIV/0!</v>
      </c>
      <c r="I9637" s="87"/>
      <c r="J9637" s="88"/>
      <c r="K9637" s="88"/>
      <c r="L9637" s="89"/>
      <c r="M9637" s="89"/>
      <c r="Q9637" s="105"/>
    </row>
    <row r="9638" spans="3:17" x14ac:dyDescent="0.3">
      <c r="C9638" s="87"/>
      <c r="G9638" s="115"/>
      <c r="H9638" s="86" t="e">
        <f>IF(I9638="fora",0%,G9638/QUÓRUM!$C$6)</f>
        <v>#DIV/0!</v>
      </c>
      <c r="I9638" s="87"/>
      <c r="J9638" s="88"/>
      <c r="K9638" s="88"/>
      <c r="L9638" s="89"/>
      <c r="M9638" s="89"/>
      <c r="Q9638" s="105"/>
    </row>
    <row r="9639" spans="3:17" x14ac:dyDescent="0.3">
      <c r="C9639" s="87"/>
      <c r="H9639" s="86" t="e">
        <f>IF(I9639="fora",0%,G9639/QUÓRUM!$C$6)</f>
        <v>#DIV/0!</v>
      </c>
      <c r="I9639" s="87"/>
      <c r="J9639" s="88"/>
      <c r="K9639" s="88"/>
      <c r="L9639" s="89"/>
      <c r="M9639" s="89"/>
      <c r="Q9639" s="105"/>
    </row>
    <row r="9640" spans="3:17" x14ac:dyDescent="0.3">
      <c r="C9640" s="87"/>
      <c r="H9640" s="86" t="e">
        <f>IF(I9640="fora",0%,G9640/QUÓRUM!$C$6)</f>
        <v>#DIV/0!</v>
      </c>
      <c r="I9640" s="87"/>
      <c r="J9640" s="88"/>
      <c r="K9640" s="88"/>
      <c r="L9640" s="89"/>
      <c r="M9640" s="89"/>
      <c r="Q9640" s="105"/>
    </row>
    <row r="9641" spans="3:17" x14ac:dyDescent="0.3">
      <c r="C9641" s="87"/>
      <c r="H9641" s="86" t="e">
        <f>IF(I9641="fora",0%,G9641/QUÓRUM!$C$6)</f>
        <v>#DIV/0!</v>
      </c>
      <c r="I9641" s="87"/>
      <c r="J9641" s="88"/>
      <c r="K9641" s="88"/>
      <c r="L9641" s="89"/>
      <c r="M9641" s="89"/>
      <c r="Q9641" s="105"/>
    </row>
    <row r="9642" spans="3:17" x14ac:dyDescent="0.3">
      <c r="C9642" s="87"/>
      <c r="H9642" s="86" t="e">
        <f>IF(I9642="fora",0%,G9642/QUÓRUM!$C$6)</f>
        <v>#DIV/0!</v>
      </c>
      <c r="I9642" s="87"/>
      <c r="J9642" s="88"/>
      <c r="K9642" s="88"/>
      <c r="L9642" s="89"/>
      <c r="M9642" s="89"/>
      <c r="Q9642" s="105"/>
    </row>
    <row r="9643" spans="3:17" x14ac:dyDescent="0.3">
      <c r="C9643" s="87"/>
      <c r="H9643" s="86" t="e">
        <f>IF(I9643="fora",0%,G9643/QUÓRUM!$C$6)</f>
        <v>#DIV/0!</v>
      </c>
      <c r="I9643" s="87"/>
      <c r="J9643" s="88"/>
      <c r="K9643" s="88"/>
      <c r="L9643" s="89"/>
      <c r="M9643" s="89"/>
      <c r="Q9643" s="105"/>
    </row>
    <row r="9644" spans="3:17" x14ac:dyDescent="0.3">
      <c r="C9644" s="87"/>
      <c r="H9644" s="86" t="e">
        <f>IF(I9644="fora",0%,G9644/QUÓRUM!$C$6)</f>
        <v>#DIV/0!</v>
      </c>
      <c r="I9644" s="87"/>
      <c r="J9644" s="88"/>
      <c r="K9644" s="88"/>
      <c r="L9644" s="89"/>
      <c r="M9644" s="89"/>
      <c r="Q9644" s="105"/>
    </row>
    <row r="9645" spans="3:17" x14ac:dyDescent="0.3">
      <c r="C9645" s="87"/>
      <c r="H9645" s="86" t="e">
        <f>IF(I9645="fora",0%,G9645/QUÓRUM!$C$6)</f>
        <v>#DIV/0!</v>
      </c>
      <c r="I9645" s="87"/>
      <c r="J9645" s="88"/>
      <c r="K9645" s="88"/>
      <c r="L9645" s="89"/>
      <c r="M9645" s="89"/>
      <c r="Q9645" s="105"/>
    </row>
    <row r="9646" spans="3:17" x14ac:dyDescent="0.3">
      <c r="C9646" s="87"/>
      <c r="H9646" s="86" t="e">
        <f>IF(I9646="fora",0%,G9646/QUÓRUM!$C$6)</f>
        <v>#DIV/0!</v>
      </c>
      <c r="I9646" s="87"/>
      <c r="J9646" s="88"/>
      <c r="K9646" s="88"/>
      <c r="L9646" s="89"/>
      <c r="M9646" s="89"/>
      <c r="Q9646" s="105"/>
    </row>
    <row r="9647" spans="3:17" x14ac:dyDescent="0.3">
      <c r="C9647" s="87"/>
      <c r="H9647" s="86" t="e">
        <f>IF(I9647="fora",0%,G9647/QUÓRUM!$C$6)</f>
        <v>#DIV/0!</v>
      </c>
      <c r="I9647" s="87"/>
      <c r="J9647" s="88"/>
      <c r="K9647" s="88"/>
      <c r="L9647" s="89"/>
      <c r="M9647" s="89"/>
      <c r="Q9647" s="105"/>
    </row>
    <row r="9648" spans="3:17" x14ac:dyDescent="0.3">
      <c r="C9648" s="87"/>
      <c r="H9648" s="86" t="e">
        <f>IF(I9648="fora",0%,G9648/QUÓRUM!$C$6)</f>
        <v>#DIV/0!</v>
      </c>
      <c r="I9648" s="87"/>
      <c r="J9648" s="88"/>
      <c r="K9648" s="88"/>
      <c r="L9648" s="89"/>
      <c r="M9648" s="89"/>
      <c r="Q9648" s="105"/>
    </row>
    <row r="9649" spans="1:20" x14ac:dyDescent="0.3">
      <c r="C9649" s="87"/>
      <c r="H9649" s="86" t="e">
        <f>IF(I9649="fora",0%,G9649/QUÓRUM!$C$6)</f>
        <v>#DIV/0!</v>
      </c>
      <c r="I9649" s="87"/>
      <c r="J9649" s="88"/>
      <c r="K9649" s="88"/>
      <c r="L9649" s="89"/>
      <c r="M9649" s="89"/>
      <c r="Q9649" s="105"/>
    </row>
    <row r="9650" spans="1:20" x14ac:dyDescent="0.3">
      <c r="C9650" s="87"/>
      <c r="H9650" s="86" t="e">
        <f>IF(I9650="fora",0%,G9650/QUÓRUM!$C$6)</f>
        <v>#DIV/0!</v>
      </c>
      <c r="I9650" s="87"/>
      <c r="J9650" s="88"/>
      <c r="K9650" s="88"/>
      <c r="L9650" s="89"/>
      <c r="M9650" s="89"/>
      <c r="Q9650" s="105"/>
    </row>
    <row r="9651" spans="1:20" x14ac:dyDescent="0.3">
      <c r="C9651" s="87"/>
      <c r="H9651" s="86" t="e">
        <f>IF(I9651="fora",0%,G9651/QUÓRUM!$C$6)</f>
        <v>#DIV/0!</v>
      </c>
      <c r="I9651" s="87"/>
      <c r="J9651" s="88"/>
      <c r="K9651" s="88"/>
      <c r="L9651" s="89"/>
      <c r="M9651" s="89"/>
      <c r="Q9651" s="105"/>
    </row>
    <row r="9652" spans="1:20" x14ac:dyDescent="0.3">
      <c r="C9652" s="87"/>
      <c r="H9652" s="86" t="e">
        <f>IF(I9652="fora",0%,G9652/QUÓRUM!$C$6)</f>
        <v>#DIV/0!</v>
      </c>
      <c r="I9652" s="87"/>
      <c r="J9652" s="88"/>
      <c r="K9652" s="88"/>
      <c r="L9652" s="89"/>
      <c r="M9652" s="89"/>
      <c r="Q9652" s="105"/>
    </row>
    <row r="9653" spans="1:20" x14ac:dyDescent="0.3">
      <c r="C9653" s="87"/>
      <c r="G9653" s="115"/>
      <c r="H9653" s="86" t="e">
        <f>IF(I9653="fora",0%,G9653/QUÓRUM!$C$6)</f>
        <v>#DIV/0!</v>
      </c>
      <c r="I9653" s="87"/>
      <c r="J9653" s="88"/>
      <c r="K9653" s="88"/>
      <c r="L9653" s="89"/>
      <c r="M9653" s="89"/>
      <c r="Q9653" s="105"/>
    </row>
    <row r="9654" spans="1:20" x14ac:dyDescent="0.3">
      <c r="A9654" s="101"/>
      <c r="B9654" s="102"/>
      <c r="C9654" s="87"/>
      <c r="D9654" s="103"/>
      <c r="F9654" s="101"/>
      <c r="G9654" s="104"/>
      <c r="H9654" s="86" t="e">
        <f>IF(I9654="fora",0%,G9654/QUÓRUM!$C$6)</f>
        <v>#DIV/0!</v>
      </c>
      <c r="I9654" s="87"/>
      <c r="J9654" s="88"/>
      <c r="K9654" s="88"/>
      <c r="L9654" s="89"/>
      <c r="M9654" s="89"/>
      <c r="O9654" s="105"/>
      <c r="P9654" s="105"/>
      <c r="Q9654" s="105"/>
      <c r="R9654" s="106"/>
      <c r="S9654" s="127"/>
      <c r="T9654" s="107"/>
    </row>
    <row r="9655" spans="1:20" x14ac:dyDescent="0.3">
      <c r="A9655" s="101"/>
      <c r="B9655" s="102"/>
      <c r="C9655" s="87"/>
      <c r="D9655" s="103"/>
      <c r="F9655" s="101"/>
      <c r="G9655" s="104"/>
      <c r="H9655" s="86" t="e">
        <f>IF(I9655="fora",0%,G9655/QUÓRUM!$C$6)</f>
        <v>#DIV/0!</v>
      </c>
      <c r="I9655" s="87"/>
      <c r="J9655" s="88"/>
      <c r="K9655" s="88"/>
      <c r="L9655" s="89"/>
      <c r="M9655" s="89"/>
      <c r="O9655" s="105"/>
      <c r="P9655" s="105"/>
      <c r="Q9655" s="105"/>
      <c r="R9655" s="106"/>
      <c r="S9655" s="127">
        <f>R9655*G9655</f>
        <v>0</v>
      </c>
      <c r="T9655" s="107" t="e">
        <f>IF(I9655="fora",0%,S9655/QUÓRUM!$M$7)</f>
        <v>#DIV/0!</v>
      </c>
    </row>
    <row r="9656" spans="1:20" x14ac:dyDescent="0.3">
      <c r="A9656" s="101"/>
      <c r="B9656" s="102"/>
      <c r="C9656" s="87"/>
      <c r="D9656" s="103"/>
      <c r="F9656" s="101"/>
      <c r="G9656" s="104"/>
      <c r="H9656" s="86" t="e">
        <f>IF(I9656="fora",0%,G9656/QUÓRUM!$C$6)</f>
        <v>#DIV/0!</v>
      </c>
      <c r="I9656" s="87"/>
      <c r="J9656" s="88"/>
      <c r="K9656" s="88"/>
      <c r="L9656" s="89"/>
      <c r="M9656" s="89"/>
      <c r="O9656" s="105"/>
      <c r="P9656" s="105"/>
      <c r="Q9656" s="105"/>
      <c r="R9656" s="106"/>
      <c r="S9656" s="127"/>
      <c r="T9656" s="107"/>
    </row>
    <row r="9657" spans="1:20" x14ac:dyDescent="0.3">
      <c r="A9657" s="101"/>
      <c r="B9657" s="102"/>
      <c r="C9657" s="87"/>
      <c r="D9657" s="122"/>
      <c r="E9657" s="124"/>
      <c r="F9657" s="125"/>
      <c r="G9657" s="126"/>
      <c r="H9657" s="86" t="e">
        <f>IF(I9657="fora",0%,G9657/QUÓRUM!$C$6)</f>
        <v>#DIV/0!</v>
      </c>
      <c r="I9657" s="87"/>
      <c r="J9657" s="88"/>
      <c r="K9657" s="88"/>
      <c r="L9657" s="89"/>
      <c r="M9657" s="89"/>
      <c r="O9657" s="105"/>
      <c r="P9657" s="105"/>
      <c r="Q9657" s="105"/>
      <c r="R9657" s="106"/>
      <c r="S9657" s="127"/>
      <c r="T9657" s="107"/>
    </row>
    <row r="9658" spans="1:20" x14ac:dyDescent="0.3">
      <c r="A9658" s="101"/>
      <c r="B9658" s="102"/>
      <c r="C9658" s="87"/>
      <c r="D9658" s="103"/>
      <c r="F9658" s="101"/>
      <c r="G9658" s="104"/>
      <c r="H9658" s="86" t="e">
        <f>IF(I9658="fora",0%,G9658/QUÓRUM!$C$6)</f>
        <v>#DIV/0!</v>
      </c>
      <c r="I9658" s="87"/>
      <c r="J9658" s="88"/>
      <c r="K9658" s="88"/>
      <c r="L9658" s="89"/>
      <c r="M9658" s="89"/>
      <c r="O9658" s="105"/>
      <c r="P9658" s="105"/>
      <c r="Q9658" s="105"/>
      <c r="R9658" s="106"/>
      <c r="S9658" s="127"/>
      <c r="T9658" s="107"/>
    </row>
    <row r="9659" spans="1:20" x14ac:dyDescent="0.3">
      <c r="A9659" s="101"/>
      <c r="B9659" s="102"/>
      <c r="C9659" s="87"/>
      <c r="D9659" s="103"/>
      <c r="F9659" s="101"/>
      <c r="G9659" s="104"/>
      <c r="H9659" s="86" t="e">
        <f>IF(I9659="fora",0%,G9659/QUÓRUM!$C$6)</f>
        <v>#DIV/0!</v>
      </c>
      <c r="I9659" s="87"/>
      <c r="J9659" s="88"/>
      <c r="K9659" s="88"/>
      <c r="L9659" s="89"/>
      <c r="M9659" s="89"/>
      <c r="O9659" s="105"/>
      <c r="P9659" s="105"/>
      <c r="Q9659" s="105"/>
      <c r="R9659" s="106"/>
      <c r="S9659" s="127"/>
      <c r="T9659" s="107"/>
    </row>
    <row r="9660" spans="1:20" x14ac:dyDescent="0.3">
      <c r="A9660" s="101"/>
      <c r="B9660" s="102"/>
      <c r="C9660" s="87"/>
      <c r="D9660" s="103"/>
      <c r="F9660" s="101"/>
      <c r="G9660" s="104"/>
      <c r="H9660" s="86" t="e">
        <f>IF(I9660="fora",0%,G9660/QUÓRUM!$C$6)</f>
        <v>#DIV/0!</v>
      </c>
      <c r="I9660" s="87"/>
      <c r="J9660" s="88"/>
      <c r="K9660" s="88"/>
      <c r="L9660" s="89"/>
      <c r="M9660" s="89"/>
      <c r="O9660" s="105"/>
      <c r="P9660" s="105"/>
      <c r="Q9660" s="105"/>
      <c r="R9660" s="106"/>
      <c r="S9660" s="127"/>
      <c r="T9660" s="107"/>
    </row>
    <row r="9661" spans="1:20" x14ac:dyDescent="0.3">
      <c r="A9661" s="101"/>
      <c r="B9661" s="102"/>
      <c r="C9661" s="87"/>
      <c r="D9661" s="103"/>
      <c r="F9661" s="101"/>
      <c r="G9661" s="104"/>
      <c r="H9661" s="86" t="e">
        <f>IF(I9661="fora",0%,G9661/QUÓRUM!$C$6)</f>
        <v>#DIV/0!</v>
      </c>
      <c r="I9661" s="87"/>
      <c r="J9661" s="88"/>
      <c r="K9661" s="88"/>
      <c r="L9661" s="89"/>
      <c r="M9661" s="89"/>
      <c r="O9661" s="105"/>
      <c r="P9661" s="105"/>
      <c r="Q9661" s="105"/>
      <c r="R9661" s="106"/>
      <c r="S9661" s="127"/>
      <c r="T9661" s="107"/>
    </row>
    <row r="9662" spans="1:20" x14ac:dyDescent="0.3">
      <c r="A9662" s="101"/>
      <c r="B9662" s="102"/>
      <c r="C9662" s="87"/>
      <c r="D9662" s="103"/>
      <c r="F9662" s="101"/>
      <c r="G9662" s="104"/>
      <c r="H9662" s="86" t="e">
        <f>IF(I9662="fora",0%,G9662/QUÓRUM!$C$6)</f>
        <v>#DIV/0!</v>
      </c>
      <c r="I9662" s="87"/>
      <c r="J9662" s="88"/>
      <c r="K9662" s="88"/>
      <c r="L9662" s="89"/>
      <c r="M9662" s="89"/>
      <c r="O9662" s="105"/>
      <c r="P9662" s="105"/>
      <c r="Q9662" s="105"/>
      <c r="R9662" s="106"/>
      <c r="S9662" s="127"/>
      <c r="T9662" s="107"/>
    </row>
    <row r="9663" spans="1:20" x14ac:dyDescent="0.3">
      <c r="A9663" s="101"/>
      <c r="B9663" s="102"/>
      <c r="C9663" s="87"/>
      <c r="D9663" s="103"/>
      <c r="F9663" s="101"/>
      <c r="G9663" s="104"/>
      <c r="H9663" s="86" t="e">
        <f>IF(I9663="fora",0%,G9663/QUÓRUM!$C$6)</f>
        <v>#DIV/0!</v>
      </c>
      <c r="I9663" s="87"/>
      <c r="J9663" s="88"/>
      <c r="K9663" s="88"/>
      <c r="L9663" s="89"/>
      <c r="M9663" s="89"/>
      <c r="O9663" s="105"/>
      <c r="P9663" s="105"/>
      <c r="Q9663" s="105"/>
      <c r="R9663" s="106"/>
      <c r="S9663" s="127"/>
      <c r="T9663" s="107"/>
    </row>
    <row r="9664" spans="1:20" x14ac:dyDescent="0.3">
      <c r="A9664" s="101"/>
      <c r="B9664" s="102"/>
      <c r="C9664" s="87"/>
      <c r="D9664" s="103"/>
      <c r="F9664" s="101"/>
      <c r="G9664" s="104"/>
      <c r="H9664" s="86" t="e">
        <f>IF(I9664="fora",0%,G9664/QUÓRUM!$C$6)</f>
        <v>#DIV/0!</v>
      </c>
      <c r="I9664" s="87"/>
      <c r="J9664" s="88"/>
      <c r="K9664" s="88"/>
      <c r="L9664" s="89"/>
      <c r="M9664" s="89"/>
      <c r="O9664" s="105"/>
      <c r="P9664" s="105"/>
      <c r="Q9664" s="105"/>
      <c r="R9664" s="106"/>
      <c r="S9664" s="127"/>
      <c r="T9664" s="107"/>
    </row>
    <row r="9665" spans="1:20" x14ac:dyDescent="0.3">
      <c r="A9665" s="101"/>
      <c r="B9665" s="102"/>
      <c r="C9665" s="87"/>
      <c r="D9665" s="103"/>
      <c r="F9665" s="101"/>
      <c r="G9665" s="104"/>
      <c r="H9665" s="86" t="e">
        <f>IF(I9665="fora",0%,G9665/QUÓRUM!$C$6)</f>
        <v>#DIV/0!</v>
      </c>
      <c r="I9665" s="87"/>
      <c r="J9665" s="88"/>
      <c r="K9665" s="88"/>
      <c r="L9665" s="89"/>
      <c r="M9665" s="89"/>
      <c r="O9665" s="105"/>
      <c r="P9665" s="105"/>
      <c r="Q9665" s="105"/>
      <c r="R9665" s="106"/>
      <c r="S9665" s="127"/>
      <c r="T9665" s="107"/>
    </row>
    <row r="9666" spans="1:20" x14ac:dyDescent="0.3">
      <c r="A9666" s="101"/>
      <c r="B9666" s="102"/>
      <c r="C9666" s="87"/>
      <c r="D9666" s="103"/>
      <c r="F9666" s="101"/>
      <c r="G9666" s="104"/>
      <c r="H9666" s="86" t="e">
        <f>IF(I9666="fora",0%,G9666/QUÓRUM!$C$6)</f>
        <v>#DIV/0!</v>
      </c>
      <c r="I9666" s="87"/>
      <c r="J9666" s="88"/>
      <c r="K9666" s="88"/>
      <c r="L9666" s="89"/>
      <c r="M9666" s="89"/>
      <c r="O9666" s="105"/>
      <c r="P9666" s="105"/>
      <c r="Q9666" s="105"/>
      <c r="R9666" s="106"/>
      <c r="S9666" s="127"/>
      <c r="T9666" s="107"/>
    </row>
    <row r="9667" spans="1:20" x14ac:dyDescent="0.3">
      <c r="A9667" s="101"/>
      <c r="B9667" s="102"/>
      <c r="C9667" s="87"/>
      <c r="D9667" s="103"/>
      <c r="F9667" s="101"/>
      <c r="G9667" s="104"/>
      <c r="H9667" s="86" t="e">
        <f>IF(I9667="fora",0%,G9667/QUÓRUM!$C$6)</f>
        <v>#DIV/0!</v>
      </c>
      <c r="I9667" s="87"/>
      <c r="J9667" s="88"/>
      <c r="K9667" s="88"/>
      <c r="L9667" s="89"/>
      <c r="M9667" s="89"/>
      <c r="O9667" s="105"/>
      <c r="P9667" s="105"/>
      <c r="Q9667" s="105"/>
      <c r="R9667" s="106"/>
      <c r="S9667" s="127"/>
      <c r="T9667" s="107"/>
    </row>
    <row r="9668" spans="1:20" x14ac:dyDescent="0.3">
      <c r="C9668" s="87"/>
      <c r="H9668" s="86" t="e">
        <f>IF(I9668="fora",0%,G9668/QUÓRUM!$C$6)</f>
        <v>#DIV/0!</v>
      </c>
      <c r="I9668" s="87"/>
      <c r="J9668" s="88"/>
      <c r="K9668" s="88"/>
      <c r="L9668" s="89"/>
      <c r="M9668" s="89"/>
      <c r="Q9668" s="105"/>
    </row>
    <row r="9669" spans="1:20" x14ac:dyDescent="0.3">
      <c r="A9669" s="101"/>
      <c r="B9669" s="102"/>
      <c r="C9669" s="87"/>
      <c r="D9669" s="103"/>
      <c r="F9669" s="101"/>
      <c r="G9669" s="104"/>
      <c r="H9669" s="86" t="e">
        <f>IF(I9669="fora",0%,G9669/QUÓRUM!$C$6)</f>
        <v>#DIV/0!</v>
      </c>
      <c r="I9669" s="87"/>
      <c r="J9669" s="88"/>
      <c r="K9669" s="88"/>
      <c r="L9669" s="89"/>
      <c r="M9669" s="89"/>
      <c r="O9669" s="105"/>
      <c r="P9669" s="105"/>
      <c r="Q9669" s="105"/>
      <c r="R9669" s="106"/>
      <c r="S9669" s="127"/>
      <c r="T9669" s="107"/>
    </row>
    <row r="9670" spans="1:20" x14ac:dyDescent="0.3">
      <c r="A9670" s="101"/>
      <c r="B9670" s="102"/>
      <c r="C9670" s="87"/>
      <c r="D9670" s="103"/>
      <c r="F9670" s="101"/>
      <c r="G9670" s="104"/>
      <c r="H9670" s="86" t="e">
        <f>IF(I9670="fora",0%,G9670/QUÓRUM!$C$6)</f>
        <v>#DIV/0!</v>
      </c>
      <c r="I9670" s="87"/>
      <c r="J9670" s="88"/>
      <c r="K9670" s="88"/>
      <c r="L9670" s="89"/>
      <c r="M9670" s="89"/>
      <c r="O9670" s="105"/>
      <c r="P9670" s="105"/>
      <c r="Q9670" s="105"/>
      <c r="R9670" s="106"/>
      <c r="S9670" s="127"/>
      <c r="T9670" s="107"/>
    </row>
    <row r="9671" spans="1:20" x14ac:dyDescent="0.3">
      <c r="A9671" s="101"/>
      <c r="B9671" s="102"/>
      <c r="C9671" s="87"/>
      <c r="D9671" s="103"/>
      <c r="F9671" s="101"/>
      <c r="G9671" s="104"/>
      <c r="H9671" s="86" t="e">
        <f>IF(I9671="fora",0%,G9671/QUÓRUM!$C$6)</f>
        <v>#DIV/0!</v>
      </c>
      <c r="I9671" s="87"/>
      <c r="J9671" s="88"/>
      <c r="K9671" s="88"/>
      <c r="L9671" s="89"/>
      <c r="M9671" s="89"/>
      <c r="O9671" s="105"/>
      <c r="P9671" s="105"/>
      <c r="Q9671" s="105"/>
      <c r="R9671" s="106"/>
      <c r="S9671" s="127"/>
      <c r="T9671" s="107"/>
    </row>
    <row r="9672" spans="1:20" x14ac:dyDescent="0.3">
      <c r="A9672" s="101"/>
      <c r="B9672" s="102"/>
      <c r="C9672" s="87"/>
      <c r="D9672" s="103"/>
      <c r="F9672" s="101"/>
      <c r="G9672" s="104"/>
      <c r="H9672" s="86" t="e">
        <f>IF(I9672="fora",0%,G9672/QUÓRUM!$C$6)</f>
        <v>#DIV/0!</v>
      </c>
      <c r="I9672" s="87"/>
      <c r="J9672" s="88"/>
      <c r="K9672" s="88"/>
      <c r="L9672" s="89"/>
      <c r="M9672" s="89"/>
      <c r="O9672" s="105"/>
      <c r="P9672" s="105"/>
      <c r="Q9672" s="105"/>
      <c r="R9672" s="106"/>
      <c r="S9672" s="127"/>
      <c r="T9672" s="107"/>
    </row>
    <row r="9673" spans="1:20" x14ac:dyDescent="0.3">
      <c r="A9673" s="101"/>
      <c r="B9673" s="102"/>
      <c r="C9673" s="87"/>
      <c r="D9673" s="122"/>
      <c r="E9673" s="124"/>
      <c r="F9673" s="125"/>
      <c r="G9673" s="126"/>
      <c r="H9673" s="86" t="e">
        <f>IF(I9673="fora",0%,G9673/QUÓRUM!$C$6)</f>
        <v>#DIV/0!</v>
      </c>
      <c r="I9673" s="87"/>
      <c r="J9673" s="88"/>
      <c r="K9673" s="88"/>
      <c r="L9673" s="89"/>
      <c r="M9673" s="89"/>
      <c r="O9673" s="105"/>
      <c r="P9673" s="105"/>
      <c r="Q9673" s="105"/>
      <c r="R9673" s="106"/>
      <c r="S9673" s="127"/>
      <c r="T9673" s="107"/>
    </row>
    <row r="9674" spans="1:20" x14ac:dyDescent="0.3">
      <c r="C9674" s="87"/>
      <c r="H9674" s="86" t="e">
        <f>IF(I9674="fora",0%,G9674/QUÓRUM!$C$6)</f>
        <v>#DIV/0!</v>
      </c>
      <c r="I9674" s="87"/>
      <c r="J9674" s="88"/>
      <c r="K9674" s="88"/>
      <c r="L9674" s="89"/>
      <c r="M9674" s="89"/>
      <c r="Q9674" s="105"/>
    </row>
    <row r="9675" spans="1:20" x14ac:dyDescent="0.3">
      <c r="C9675" s="87"/>
      <c r="H9675" s="86" t="e">
        <f>IF(I9675="fora",0%,G9675/QUÓRUM!$C$6)</f>
        <v>#DIV/0!</v>
      </c>
      <c r="I9675" s="87"/>
      <c r="J9675" s="88"/>
      <c r="K9675" s="88"/>
      <c r="L9675" s="89"/>
      <c r="M9675" s="89"/>
      <c r="Q9675" s="105"/>
    </row>
    <row r="9676" spans="1:20" x14ac:dyDescent="0.3">
      <c r="A9676" s="101"/>
      <c r="B9676" s="102"/>
      <c r="C9676" s="87"/>
      <c r="D9676" s="103"/>
      <c r="F9676" s="101"/>
      <c r="G9676" s="104"/>
      <c r="H9676" s="86" t="e">
        <f>IF(I9676="fora",0%,G9676/QUÓRUM!$C$6)</f>
        <v>#DIV/0!</v>
      </c>
      <c r="I9676" s="87"/>
      <c r="J9676" s="88"/>
      <c r="K9676" s="88"/>
      <c r="L9676" s="89"/>
      <c r="M9676" s="89"/>
      <c r="O9676" s="105"/>
      <c r="P9676" s="105"/>
      <c r="Q9676" s="105"/>
      <c r="R9676" s="106"/>
      <c r="S9676" s="127"/>
      <c r="T9676" s="107"/>
    </row>
    <row r="9677" spans="1:20" x14ac:dyDescent="0.3">
      <c r="A9677" s="101"/>
      <c r="B9677" s="102"/>
      <c r="C9677" s="87"/>
      <c r="D9677" s="103"/>
      <c r="F9677" s="101"/>
      <c r="G9677" s="104"/>
      <c r="H9677" s="86" t="e">
        <f>IF(I9677="fora",0%,G9677/QUÓRUM!$C$6)</f>
        <v>#DIV/0!</v>
      </c>
      <c r="I9677" s="87"/>
      <c r="J9677" s="88"/>
      <c r="K9677" s="88"/>
      <c r="L9677" s="89"/>
      <c r="M9677" s="89"/>
      <c r="O9677" s="105"/>
      <c r="P9677" s="105"/>
      <c r="Q9677" s="105"/>
      <c r="R9677" s="106"/>
      <c r="S9677" s="127"/>
      <c r="T9677" s="107"/>
    </row>
    <row r="9678" spans="1:20" x14ac:dyDescent="0.3">
      <c r="A9678" s="101"/>
      <c r="B9678" s="102"/>
      <c r="C9678" s="87"/>
      <c r="D9678" s="103"/>
      <c r="F9678" s="101"/>
      <c r="G9678" s="104"/>
      <c r="H9678" s="86" t="e">
        <f>IF(I9678="fora",0%,G9678/QUÓRUM!$C$6)</f>
        <v>#DIV/0!</v>
      </c>
      <c r="I9678" s="87"/>
      <c r="J9678" s="88"/>
      <c r="K9678" s="88"/>
      <c r="L9678" s="89"/>
      <c r="M9678" s="89"/>
      <c r="O9678" s="105"/>
      <c r="P9678" s="105"/>
      <c r="Q9678" s="105"/>
      <c r="R9678" s="106"/>
      <c r="S9678" s="127"/>
      <c r="T9678" s="107"/>
    </row>
    <row r="9679" spans="1:20" x14ac:dyDescent="0.3">
      <c r="A9679" s="101"/>
      <c r="B9679" s="102"/>
      <c r="C9679" s="87"/>
      <c r="D9679" s="103"/>
      <c r="F9679" s="101"/>
      <c r="G9679" s="104"/>
      <c r="H9679" s="86" t="e">
        <f>IF(I9679="fora",0%,G9679/QUÓRUM!$C$6)</f>
        <v>#DIV/0!</v>
      </c>
      <c r="I9679" s="87"/>
      <c r="J9679" s="88"/>
      <c r="K9679" s="88"/>
      <c r="L9679" s="89"/>
      <c r="M9679" s="89"/>
      <c r="O9679" s="105"/>
      <c r="P9679" s="105"/>
      <c r="Q9679" s="105"/>
      <c r="R9679" s="106"/>
      <c r="S9679" s="127"/>
      <c r="T9679" s="107"/>
    </row>
    <row r="9680" spans="1:20" x14ac:dyDescent="0.3">
      <c r="C9680" s="87"/>
      <c r="H9680" s="86" t="e">
        <f>IF(I9680="fora",0%,G9680/QUÓRUM!$C$6)</f>
        <v>#DIV/0!</v>
      </c>
      <c r="I9680" s="87"/>
      <c r="J9680" s="88"/>
      <c r="K9680" s="88"/>
      <c r="L9680" s="89"/>
      <c r="M9680" s="89"/>
      <c r="Q9680" s="105"/>
    </row>
    <row r="9681" spans="1:20" x14ac:dyDescent="0.3">
      <c r="A9681" s="101"/>
      <c r="B9681" s="102"/>
      <c r="C9681" s="87"/>
      <c r="D9681" s="103"/>
      <c r="F9681" s="101"/>
      <c r="G9681" s="104"/>
      <c r="H9681" s="86" t="e">
        <f>IF(I9681="fora",0%,G9681/QUÓRUM!$C$6)</f>
        <v>#DIV/0!</v>
      </c>
      <c r="I9681" s="87"/>
      <c r="J9681" s="88"/>
      <c r="K9681" s="88"/>
      <c r="L9681" s="89"/>
      <c r="M9681" s="89"/>
      <c r="O9681" s="105"/>
      <c r="P9681" s="105"/>
      <c r="Q9681" s="105"/>
      <c r="R9681" s="106"/>
      <c r="S9681" s="127"/>
      <c r="T9681" s="107"/>
    </row>
    <row r="9682" spans="1:20" x14ac:dyDescent="0.3">
      <c r="A9682" s="101"/>
      <c r="B9682" s="102"/>
      <c r="C9682" s="87"/>
      <c r="D9682" s="103"/>
      <c r="F9682" s="101"/>
      <c r="G9682" s="104"/>
      <c r="H9682" s="86" t="e">
        <f>IF(I9682="fora",0%,G9682/QUÓRUM!$C$6)</f>
        <v>#DIV/0!</v>
      </c>
      <c r="I9682" s="87"/>
      <c r="J9682" s="88"/>
      <c r="K9682" s="88"/>
      <c r="L9682" s="89"/>
      <c r="M9682" s="89"/>
      <c r="O9682" s="105"/>
      <c r="P9682" s="105"/>
      <c r="Q9682" s="105"/>
      <c r="R9682" s="106"/>
      <c r="S9682" s="127"/>
      <c r="T9682" s="107"/>
    </row>
    <row r="9683" spans="1:20" x14ac:dyDescent="0.3">
      <c r="A9683" s="101"/>
      <c r="B9683" s="102"/>
      <c r="C9683" s="87"/>
      <c r="D9683" s="103"/>
      <c r="F9683" s="101"/>
      <c r="G9683" s="104"/>
      <c r="H9683" s="86" t="e">
        <f>IF(I9683="fora",0%,G9683/QUÓRUM!$C$6)</f>
        <v>#DIV/0!</v>
      </c>
      <c r="I9683" s="87"/>
      <c r="J9683" s="88"/>
      <c r="K9683" s="88"/>
      <c r="L9683" s="89"/>
      <c r="M9683" s="89"/>
      <c r="O9683" s="105"/>
      <c r="P9683" s="105"/>
      <c r="Q9683" s="105"/>
      <c r="R9683" s="106"/>
      <c r="S9683" s="127"/>
      <c r="T9683" s="107"/>
    </row>
    <row r="9684" spans="1:20" x14ac:dyDescent="0.3">
      <c r="A9684" s="101"/>
      <c r="B9684" s="102"/>
      <c r="C9684" s="87"/>
      <c r="D9684" s="103"/>
      <c r="F9684" s="101"/>
      <c r="G9684" s="104"/>
      <c r="H9684" s="86" t="e">
        <f>IF(I9684="fora",0%,G9684/QUÓRUM!$C$6)</f>
        <v>#DIV/0!</v>
      </c>
      <c r="I9684" s="87"/>
      <c r="J9684" s="88"/>
      <c r="K9684" s="88"/>
      <c r="L9684" s="89"/>
      <c r="M9684" s="89"/>
      <c r="O9684" s="105"/>
      <c r="P9684" s="105"/>
      <c r="Q9684" s="105"/>
      <c r="R9684" s="106"/>
      <c r="S9684" s="127"/>
      <c r="T9684" s="107"/>
    </row>
    <row r="9685" spans="1:20" x14ac:dyDescent="0.3">
      <c r="A9685" s="101"/>
      <c r="B9685" s="102"/>
      <c r="C9685" s="87"/>
      <c r="D9685" s="103"/>
      <c r="F9685" s="101"/>
      <c r="G9685" s="104"/>
      <c r="H9685" s="86" t="e">
        <f>IF(I9685="fora",0%,G9685/QUÓRUM!$C$6)</f>
        <v>#DIV/0!</v>
      </c>
      <c r="I9685" s="87"/>
      <c r="J9685" s="88"/>
      <c r="K9685" s="88"/>
      <c r="L9685" s="89"/>
      <c r="M9685" s="89"/>
      <c r="O9685" s="105"/>
      <c r="P9685" s="105"/>
      <c r="Q9685" s="105"/>
      <c r="R9685" s="106"/>
      <c r="S9685" s="127"/>
      <c r="T9685" s="107"/>
    </row>
    <row r="9686" spans="1:20" x14ac:dyDescent="0.3">
      <c r="A9686" s="101"/>
      <c r="B9686" s="102"/>
      <c r="C9686" s="87"/>
      <c r="D9686" s="103"/>
      <c r="F9686" s="101"/>
      <c r="G9686" s="104"/>
      <c r="H9686" s="86" t="e">
        <f>IF(I9686="fora",0%,G9686/QUÓRUM!$C$6)</f>
        <v>#DIV/0!</v>
      </c>
      <c r="I9686" s="87"/>
      <c r="J9686" s="88"/>
      <c r="K9686" s="88"/>
      <c r="L9686" s="89"/>
      <c r="M9686" s="89"/>
      <c r="O9686" s="105"/>
      <c r="P9686" s="105"/>
      <c r="Q9686" s="105"/>
      <c r="R9686" s="106"/>
      <c r="S9686" s="127"/>
      <c r="T9686" s="107"/>
    </row>
    <row r="9687" spans="1:20" x14ac:dyDescent="0.3">
      <c r="A9687" s="101"/>
      <c r="B9687" s="102"/>
      <c r="C9687" s="87"/>
      <c r="D9687" s="103"/>
      <c r="F9687" s="101"/>
      <c r="G9687" s="104"/>
      <c r="H9687" s="86" t="e">
        <f>IF(I9687="fora",0%,G9687/QUÓRUM!$C$6)</f>
        <v>#DIV/0!</v>
      </c>
      <c r="I9687" s="87"/>
      <c r="J9687" s="88"/>
      <c r="K9687" s="88"/>
      <c r="L9687" s="89"/>
      <c r="M9687" s="89"/>
      <c r="O9687" s="105"/>
      <c r="P9687" s="105"/>
      <c r="Q9687" s="105"/>
      <c r="R9687" s="106"/>
      <c r="S9687" s="127"/>
      <c r="T9687" s="107"/>
    </row>
    <row r="9688" spans="1:20" x14ac:dyDescent="0.3">
      <c r="A9688" s="101"/>
      <c r="B9688" s="102"/>
      <c r="C9688" s="87"/>
      <c r="D9688" s="103"/>
      <c r="F9688" s="101"/>
      <c r="G9688" s="104"/>
      <c r="H9688" s="86" t="e">
        <f>IF(I9688="fora",0%,G9688/QUÓRUM!$C$6)</f>
        <v>#DIV/0!</v>
      </c>
      <c r="I9688" s="87"/>
      <c r="J9688" s="88"/>
      <c r="K9688" s="88"/>
      <c r="L9688" s="89"/>
      <c r="M9688" s="89"/>
      <c r="O9688" s="105"/>
      <c r="P9688" s="105"/>
      <c r="Q9688" s="105"/>
      <c r="R9688" s="106"/>
      <c r="S9688" s="127"/>
      <c r="T9688" s="107"/>
    </row>
    <row r="9689" spans="1:20" x14ac:dyDescent="0.3">
      <c r="A9689" s="101"/>
      <c r="B9689" s="102"/>
      <c r="C9689" s="87"/>
      <c r="D9689" s="103"/>
      <c r="F9689" s="101"/>
      <c r="G9689" s="104"/>
      <c r="H9689" s="86" t="e">
        <f>IF(I9689="fora",0%,G9689/QUÓRUM!$C$6)</f>
        <v>#DIV/0!</v>
      </c>
      <c r="I9689" s="87"/>
      <c r="J9689" s="88"/>
      <c r="K9689" s="88"/>
      <c r="L9689" s="89"/>
      <c r="M9689" s="89"/>
      <c r="O9689" s="105"/>
      <c r="P9689" s="105"/>
      <c r="Q9689" s="105"/>
      <c r="R9689" s="106"/>
      <c r="S9689" s="127"/>
      <c r="T9689" s="107"/>
    </row>
    <row r="9690" spans="1:20" x14ac:dyDescent="0.3">
      <c r="C9690" s="87"/>
      <c r="H9690" s="86" t="e">
        <f>IF(I9690="fora",0%,G9690/QUÓRUM!$C$6)</f>
        <v>#DIV/0!</v>
      </c>
      <c r="I9690" s="87"/>
      <c r="J9690" s="88"/>
      <c r="K9690" s="88"/>
      <c r="L9690" s="89"/>
      <c r="M9690" s="89"/>
      <c r="Q9690" s="105"/>
    </row>
    <row r="9691" spans="1:20" x14ac:dyDescent="0.3">
      <c r="C9691" s="87"/>
      <c r="D9691" s="123"/>
      <c r="E9691" s="124"/>
      <c r="F9691" s="124"/>
      <c r="G9691" s="122"/>
      <c r="H9691" s="86" t="e">
        <f>IF(I9691="fora",0%,G9691/QUÓRUM!$C$6)</f>
        <v>#DIV/0!</v>
      </c>
      <c r="I9691" s="87"/>
      <c r="J9691" s="88"/>
      <c r="K9691" s="88"/>
      <c r="L9691" s="89"/>
      <c r="M9691" s="89"/>
      <c r="Q9691" s="105"/>
    </row>
    <row r="9692" spans="1:20" x14ac:dyDescent="0.3">
      <c r="A9692" s="101"/>
      <c r="B9692" s="102"/>
      <c r="C9692" s="87"/>
      <c r="D9692" s="103"/>
      <c r="F9692" s="101"/>
      <c r="G9692" s="104"/>
      <c r="H9692" s="86" t="e">
        <f>IF(I9692="fora",0%,G9692/QUÓRUM!$C$6)</f>
        <v>#DIV/0!</v>
      </c>
      <c r="I9692" s="87"/>
      <c r="J9692" s="88"/>
      <c r="K9692" s="88"/>
      <c r="L9692" s="89"/>
      <c r="M9692" s="89"/>
      <c r="O9692" s="105"/>
      <c r="P9692" s="105"/>
      <c r="Q9692" s="105"/>
      <c r="R9692" s="106"/>
      <c r="S9692" s="127"/>
      <c r="T9692" s="107"/>
    </row>
    <row r="9693" spans="1:20" x14ac:dyDescent="0.3">
      <c r="A9693" s="101"/>
      <c r="B9693" s="102"/>
      <c r="C9693" s="87"/>
      <c r="D9693" s="103"/>
      <c r="F9693" s="101"/>
      <c r="G9693" s="104"/>
      <c r="H9693" s="86" t="e">
        <f>IF(I9693="fora",0%,G9693/QUÓRUM!$C$6)</f>
        <v>#DIV/0!</v>
      </c>
      <c r="I9693" s="87"/>
      <c r="J9693" s="88"/>
      <c r="K9693" s="88"/>
      <c r="L9693" s="89"/>
      <c r="M9693" s="89"/>
      <c r="O9693" s="105"/>
      <c r="P9693" s="105"/>
      <c r="Q9693" s="105"/>
      <c r="R9693" s="106"/>
      <c r="S9693" s="127"/>
      <c r="T9693" s="107"/>
    </row>
    <row r="9694" spans="1:20" x14ac:dyDescent="0.3">
      <c r="A9694" s="101"/>
      <c r="B9694" s="102"/>
      <c r="C9694" s="87"/>
      <c r="D9694" s="103"/>
      <c r="F9694" s="101"/>
      <c r="G9694" s="104"/>
      <c r="H9694" s="86" t="e">
        <f>IF(I9694="fora",0%,G9694/QUÓRUM!$C$6)</f>
        <v>#DIV/0!</v>
      </c>
      <c r="I9694" s="87"/>
      <c r="J9694" s="88"/>
      <c r="K9694" s="88"/>
      <c r="L9694" s="89"/>
      <c r="M9694" s="89"/>
      <c r="O9694" s="105"/>
      <c r="P9694" s="105"/>
      <c r="Q9694" s="105"/>
      <c r="R9694" s="106"/>
      <c r="S9694" s="127"/>
      <c r="T9694" s="107"/>
    </row>
    <row r="9695" spans="1:20" x14ac:dyDescent="0.3">
      <c r="C9695" s="87"/>
      <c r="H9695" s="86" t="e">
        <f>IF(I9695="fora",0%,G9695/QUÓRUM!$C$6)</f>
        <v>#DIV/0!</v>
      </c>
      <c r="I9695" s="87"/>
      <c r="J9695" s="88"/>
      <c r="K9695" s="88"/>
      <c r="L9695" s="89"/>
      <c r="M9695" s="89"/>
      <c r="Q9695" s="105"/>
    </row>
    <row r="9696" spans="1:20" x14ac:dyDescent="0.3">
      <c r="A9696" s="101"/>
      <c r="B9696" s="102"/>
      <c r="C9696" s="87"/>
      <c r="D9696" s="103"/>
      <c r="F9696" s="101"/>
      <c r="G9696" s="104"/>
      <c r="H9696" s="86" t="e">
        <f>IF(I9696="fora",0%,G9696/QUÓRUM!$C$6)</f>
        <v>#DIV/0!</v>
      </c>
      <c r="I9696" s="87"/>
      <c r="J9696" s="88"/>
      <c r="K9696" s="88"/>
      <c r="L9696" s="89"/>
      <c r="M9696" s="89"/>
      <c r="O9696" s="105"/>
      <c r="P9696" s="105"/>
      <c r="Q9696" s="105"/>
      <c r="R9696" s="106"/>
      <c r="S9696" s="127">
        <f>R9696*G9696</f>
        <v>0</v>
      </c>
      <c r="T9696" s="107" t="e">
        <f>IF(I9696="fora",0%,S9696/QUÓRUM!$M$7)</f>
        <v>#DIV/0!</v>
      </c>
    </row>
    <row r="9697" spans="1:20" x14ac:dyDescent="0.3">
      <c r="C9697" s="87"/>
      <c r="H9697" s="86" t="e">
        <f>IF(I9697="fora",0%,G9697/QUÓRUM!$C$6)</f>
        <v>#DIV/0!</v>
      </c>
      <c r="I9697" s="87"/>
      <c r="J9697" s="88"/>
      <c r="K9697" s="88"/>
      <c r="L9697" s="89"/>
      <c r="M9697" s="89"/>
      <c r="Q9697" s="105"/>
    </row>
    <row r="9698" spans="1:20" x14ac:dyDescent="0.3">
      <c r="A9698" s="101"/>
      <c r="B9698" s="102"/>
      <c r="C9698" s="87"/>
      <c r="D9698" s="103"/>
      <c r="F9698" s="101"/>
      <c r="G9698" s="104"/>
      <c r="H9698" s="86" t="e">
        <f>IF(I9698="fora",0%,G9698/QUÓRUM!$C$6)</f>
        <v>#DIV/0!</v>
      </c>
      <c r="I9698" s="87"/>
      <c r="J9698" s="88"/>
      <c r="K9698" s="88"/>
      <c r="L9698" s="89"/>
      <c r="M9698" s="89"/>
      <c r="O9698" s="105"/>
      <c r="P9698" s="105"/>
      <c r="Q9698" s="105"/>
      <c r="R9698" s="106"/>
      <c r="S9698" s="127"/>
      <c r="T9698" s="107"/>
    </row>
    <row r="9699" spans="1:20" x14ac:dyDescent="0.3">
      <c r="A9699" s="101"/>
      <c r="B9699" s="102"/>
      <c r="C9699" s="87"/>
      <c r="D9699" s="103"/>
      <c r="F9699" s="101"/>
      <c r="G9699" s="104"/>
      <c r="H9699" s="86" t="e">
        <f>IF(I9699="fora",0%,G9699/QUÓRUM!$C$6)</f>
        <v>#DIV/0!</v>
      </c>
      <c r="I9699" s="87"/>
      <c r="J9699" s="88"/>
      <c r="K9699" s="88"/>
      <c r="L9699" s="89"/>
      <c r="M9699" s="89"/>
      <c r="O9699" s="105"/>
      <c r="P9699" s="105"/>
      <c r="Q9699" s="105"/>
      <c r="R9699" s="106"/>
      <c r="S9699" s="127"/>
      <c r="T9699" s="107"/>
    </row>
    <row r="9700" spans="1:20" x14ac:dyDescent="0.3">
      <c r="A9700" s="101"/>
      <c r="B9700" s="102"/>
      <c r="C9700" s="87"/>
      <c r="D9700" s="122"/>
      <c r="E9700" s="124"/>
      <c r="F9700" s="125"/>
      <c r="G9700" s="126"/>
      <c r="H9700" s="86" t="e">
        <f>IF(I9700="fora",0%,G9700/QUÓRUM!$C$6)</f>
        <v>#DIV/0!</v>
      </c>
      <c r="I9700" s="87"/>
      <c r="J9700" s="88"/>
      <c r="K9700" s="88"/>
      <c r="L9700" s="89"/>
      <c r="M9700" s="89"/>
      <c r="O9700" s="105"/>
      <c r="P9700" s="105"/>
      <c r="Q9700" s="105"/>
      <c r="R9700" s="106"/>
      <c r="S9700" s="127"/>
      <c r="T9700" s="107"/>
    </row>
    <row r="9701" spans="1:20" x14ac:dyDescent="0.3">
      <c r="A9701" s="101"/>
      <c r="B9701" s="102"/>
      <c r="C9701" s="87"/>
      <c r="D9701" s="103"/>
      <c r="F9701" s="101"/>
      <c r="G9701" s="104"/>
      <c r="H9701" s="86" t="e">
        <f>IF(I9701="fora",0%,G9701/QUÓRUM!$C$6)</f>
        <v>#DIV/0!</v>
      </c>
      <c r="I9701" s="87"/>
      <c r="J9701" s="88"/>
      <c r="K9701" s="88"/>
      <c r="L9701" s="89"/>
      <c r="M9701" s="89"/>
      <c r="O9701" s="105"/>
      <c r="P9701" s="105"/>
      <c r="Q9701" s="105"/>
      <c r="R9701" s="106"/>
      <c r="S9701" s="127"/>
      <c r="T9701" s="107"/>
    </row>
    <row r="9702" spans="1:20" x14ac:dyDescent="0.3">
      <c r="A9702" s="101"/>
      <c r="B9702" s="102"/>
      <c r="C9702" s="87"/>
      <c r="D9702" s="103"/>
      <c r="F9702" s="101"/>
      <c r="G9702" s="104"/>
      <c r="H9702" s="86" t="e">
        <f>IF(I9702="fora",0%,G9702/QUÓRUM!$C$6)</f>
        <v>#DIV/0!</v>
      </c>
      <c r="I9702" s="87"/>
      <c r="J9702" s="88"/>
      <c r="K9702" s="88"/>
      <c r="L9702" s="89"/>
      <c r="M9702" s="89"/>
      <c r="O9702" s="105"/>
      <c r="P9702" s="105"/>
      <c r="Q9702" s="105"/>
      <c r="R9702" s="106"/>
      <c r="S9702" s="127"/>
      <c r="T9702" s="107"/>
    </row>
    <row r="9703" spans="1:20" x14ac:dyDescent="0.3">
      <c r="A9703" s="101"/>
      <c r="B9703" s="102"/>
      <c r="C9703" s="87"/>
      <c r="D9703" s="103"/>
      <c r="F9703" s="101"/>
      <c r="G9703" s="104"/>
      <c r="H9703" s="86" t="e">
        <f>IF(I9703="fora",0%,G9703/QUÓRUM!$C$6)</f>
        <v>#DIV/0!</v>
      </c>
      <c r="I9703" s="87"/>
      <c r="J9703" s="88"/>
      <c r="K9703" s="88"/>
      <c r="L9703" s="89"/>
      <c r="M9703" s="89"/>
      <c r="O9703" s="105"/>
      <c r="P9703" s="105"/>
      <c r="Q9703" s="105"/>
      <c r="R9703" s="106"/>
      <c r="S9703" s="127"/>
      <c r="T9703" s="107"/>
    </row>
    <row r="9704" spans="1:20" x14ac:dyDescent="0.3">
      <c r="A9704" s="101"/>
      <c r="B9704" s="102"/>
      <c r="C9704" s="87"/>
      <c r="D9704" s="103"/>
      <c r="F9704" s="101"/>
      <c r="G9704" s="109"/>
      <c r="H9704" s="86" t="e">
        <f>IF(I9704="fora",0%,G9704/QUÓRUM!$C$6)</f>
        <v>#DIV/0!</v>
      </c>
      <c r="I9704" s="87"/>
      <c r="J9704" s="88"/>
      <c r="K9704" s="88"/>
      <c r="L9704" s="89"/>
      <c r="M9704" s="89"/>
      <c r="O9704" s="105"/>
      <c r="P9704" s="105"/>
      <c r="Q9704" s="105"/>
      <c r="R9704" s="106"/>
      <c r="S9704" s="127"/>
      <c r="T9704" s="107"/>
    </row>
    <row r="9705" spans="1:20" x14ac:dyDescent="0.3">
      <c r="A9705" s="101"/>
      <c r="B9705" s="102"/>
      <c r="C9705" s="87"/>
      <c r="D9705" s="103"/>
      <c r="F9705" s="101"/>
      <c r="G9705" s="104"/>
      <c r="H9705" s="86" t="e">
        <f>IF(I9705="fora",0%,G9705/QUÓRUM!$C$6)</f>
        <v>#DIV/0!</v>
      </c>
      <c r="I9705" s="87"/>
      <c r="J9705" s="88"/>
      <c r="K9705" s="88"/>
      <c r="L9705" s="89"/>
      <c r="M9705" s="89"/>
      <c r="O9705" s="105"/>
      <c r="P9705" s="105"/>
      <c r="Q9705" s="105"/>
      <c r="R9705" s="106"/>
      <c r="S9705" s="127"/>
      <c r="T9705" s="107"/>
    </row>
    <row r="9706" spans="1:20" x14ac:dyDescent="0.3">
      <c r="A9706" s="101"/>
      <c r="B9706" s="102"/>
      <c r="C9706" s="87"/>
      <c r="D9706" s="103"/>
      <c r="F9706" s="101"/>
      <c r="G9706" s="104"/>
      <c r="H9706" s="86" t="e">
        <f>IF(I9706="fora",0%,G9706/QUÓRUM!$C$6)</f>
        <v>#DIV/0!</v>
      </c>
      <c r="I9706" s="87"/>
      <c r="J9706" s="88"/>
      <c r="K9706" s="88"/>
      <c r="L9706" s="89"/>
      <c r="M9706" s="89"/>
      <c r="O9706" s="105"/>
      <c r="P9706" s="105"/>
      <c r="Q9706" s="105"/>
      <c r="R9706" s="106"/>
      <c r="S9706" s="127"/>
      <c r="T9706" s="107"/>
    </row>
    <row r="9707" spans="1:20" x14ac:dyDescent="0.3">
      <c r="C9707" s="87"/>
      <c r="H9707" s="86" t="e">
        <f>IF(I9707="fora",0%,G9707/QUÓRUM!$C$6)</f>
        <v>#DIV/0!</v>
      </c>
      <c r="I9707" s="87"/>
      <c r="J9707" s="88"/>
      <c r="K9707" s="88"/>
      <c r="L9707" s="89"/>
      <c r="M9707" s="89"/>
      <c r="Q9707" s="105"/>
    </row>
    <row r="9708" spans="1:20" x14ac:dyDescent="0.3">
      <c r="A9708" s="101"/>
      <c r="B9708" s="102"/>
      <c r="C9708" s="87"/>
      <c r="D9708" s="103"/>
      <c r="F9708" s="101"/>
      <c r="G9708" s="104"/>
      <c r="H9708" s="86" t="e">
        <f>IF(I9708="fora",0%,G9708/QUÓRUM!$C$6)</f>
        <v>#DIV/0!</v>
      </c>
      <c r="I9708" s="87"/>
      <c r="J9708" s="88"/>
      <c r="K9708" s="88"/>
      <c r="L9708" s="89"/>
      <c r="M9708" s="89"/>
      <c r="O9708" s="105"/>
      <c r="P9708" s="105"/>
      <c r="Q9708" s="105"/>
      <c r="R9708" s="106"/>
      <c r="S9708" s="127"/>
      <c r="T9708" s="107"/>
    </row>
    <row r="9709" spans="1:20" x14ac:dyDescent="0.3">
      <c r="A9709" s="101"/>
      <c r="B9709" s="102"/>
      <c r="C9709" s="87"/>
      <c r="D9709" s="103"/>
      <c r="F9709" s="101"/>
      <c r="G9709" s="104"/>
      <c r="H9709" s="86" t="e">
        <f>IF(I9709="fora",0%,G9709/QUÓRUM!$C$6)</f>
        <v>#DIV/0!</v>
      </c>
      <c r="I9709" s="87"/>
      <c r="J9709" s="88"/>
      <c r="K9709" s="88"/>
      <c r="L9709" s="89"/>
      <c r="M9709" s="89"/>
      <c r="O9709" s="105"/>
      <c r="P9709" s="105"/>
      <c r="Q9709" s="105"/>
      <c r="R9709" s="106"/>
      <c r="S9709" s="127"/>
      <c r="T9709" s="107"/>
    </row>
    <row r="9710" spans="1:20" x14ac:dyDescent="0.3">
      <c r="A9710" s="101"/>
      <c r="B9710" s="102"/>
      <c r="C9710" s="87"/>
      <c r="D9710" s="103"/>
      <c r="F9710" s="101"/>
      <c r="G9710" s="104"/>
      <c r="H9710" s="86" t="e">
        <f>IF(I9710="fora",0%,G9710/QUÓRUM!$C$6)</f>
        <v>#DIV/0!</v>
      </c>
      <c r="I9710" s="87"/>
      <c r="J9710" s="88"/>
      <c r="K9710" s="88"/>
      <c r="L9710" s="89"/>
      <c r="M9710" s="89"/>
      <c r="O9710" s="105"/>
      <c r="P9710" s="105"/>
      <c r="Q9710" s="105"/>
      <c r="R9710" s="106"/>
      <c r="S9710" s="127"/>
      <c r="T9710" s="107"/>
    </row>
    <row r="9711" spans="1:20" x14ac:dyDescent="0.3">
      <c r="A9711" s="101"/>
      <c r="B9711" s="102"/>
      <c r="C9711" s="87"/>
      <c r="D9711" s="122"/>
      <c r="E9711" s="124"/>
      <c r="F9711" s="125"/>
      <c r="G9711" s="126"/>
      <c r="H9711" s="86" t="e">
        <f>IF(I9711="fora",0%,G9711/QUÓRUM!$C$6)</f>
        <v>#DIV/0!</v>
      </c>
      <c r="I9711" s="87"/>
      <c r="J9711" s="88"/>
      <c r="K9711" s="88"/>
      <c r="L9711" s="89"/>
      <c r="M9711" s="89"/>
      <c r="O9711" s="105"/>
      <c r="P9711" s="105"/>
      <c r="Q9711" s="105"/>
      <c r="R9711" s="106"/>
      <c r="S9711" s="127"/>
      <c r="T9711" s="107"/>
    </row>
    <row r="9712" spans="1:20" x14ac:dyDescent="0.3">
      <c r="A9712" s="101"/>
      <c r="B9712" s="102"/>
      <c r="C9712" s="87"/>
      <c r="D9712" s="122"/>
      <c r="E9712" s="124"/>
      <c r="F9712" s="125"/>
      <c r="G9712" s="126"/>
      <c r="H9712" s="86" t="e">
        <f>IF(I9712="fora",0%,G9712/QUÓRUM!$C$6)</f>
        <v>#DIV/0!</v>
      </c>
      <c r="I9712" s="87"/>
      <c r="J9712" s="88"/>
      <c r="K9712" s="88"/>
      <c r="L9712" s="89"/>
      <c r="M9712" s="89"/>
      <c r="O9712" s="105"/>
      <c r="P9712" s="105"/>
      <c r="Q9712" s="105"/>
      <c r="R9712" s="106"/>
      <c r="S9712" s="127"/>
      <c r="T9712" s="107"/>
    </row>
    <row r="9713" spans="1:20" x14ac:dyDescent="0.3">
      <c r="A9713" s="101"/>
      <c r="B9713" s="102"/>
      <c r="C9713" s="87"/>
      <c r="D9713" s="103"/>
      <c r="F9713" s="101"/>
      <c r="G9713" s="104"/>
      <c r="H9713" s="86" t="e">
        <f>IF(I9713="fora",0%,G9713/QUÓRUM!$C$6)</f>
        <v>#DIV/0!</v>
      </c>
      <c r="I9713" s="87"/>
      <c r="J9713" s="88"/>
      <c r="K9713" s="88"/>
      <c r="L9713" s="89"/>
      <c r="M9713" s="89"/>
      <c r="O9713" s="105"/>
      <c r="P9713" s="105"/>
      <c r="Q9713" s="105"/>
      <c r="R9713" s="106"/>
      <c r="S9713" s="127"/>
      <c r="T9713" s="107"/>
    </row>
    <row r="9714" spans="1:20" x14ac:dyDescent="0.3">
      <c r="A9714" s="101"/>
      <c r="B9714" s="102"/>
      <c r="C9714" s="87"/>
      <c r="D9714" s="103"/>
      <c r="F9714" s="101"/>
      <c r="G9714" s="104"/>
      <c r="H9714" s="86" t="e">
        <f>IF(I9714="fora",0%,G9714/QUÓRUM!$C$6)</f>
        <v>#DIV/0!</v>
      </c>
      <c r="I9714" s="87"/>
      <c r="J9714" s="88"/>
      <c r="K9714" s="88"/>
      <c r="L9714" s="89"/>
      <c r="M9714" s="89"/>
      <c r="O9714" s="105"/>
      <c r="P9714" s="105"/>
      <c r="Q9714" s="105"/>
      <c r="R9714" s="106"/>
      <c r="S9714" s="127"/>
      <c r="T9714" s="107"/>
    </row>
    <row r="9715" spans="1:20" x14ac:dyDescent="0.3">
      <c r="C9715" s="87"/>
      <c r="H9715" s="86" t="e">
        <f>IF(I9715="fora",0%,G9715/QUÓRUM!$C$6)</f>
        <v>#DIV/0!</v>
      </c>
      <c r="I9715" s="87"/>
      <c r="J9715" s="88"/>
      <c r="K9715" s="88"/>
      <c r="L9715" s="89"/>
      <c r="M9715" s="89"/>
      <c r="Q9715" s="105"/>
    </row>
    <row r="9716" spans="1:20" x14ac:dyDescent="0.3">
      <c r="A9716" s="101"/>
      <c r="B9716" s="102"/>
      <c r="C9716" s="87"/>
      <c r="D9716" s="103"/>
      <c r="F9716" s="101"/>
      <c r="G9716" s="104"/>
      <c r="H9716" s="86" t="e">
        <f>IF(I9716="fora",0%,G9716/QUÓRUM!$C$6)</f>
        <v>#DIV/0!</v>
      </c>
      <c r="I9716" s="87"/>
      <c r="J9716" s="88"/>
      <c r="K9716" s="88"/>
      <c r="L9716" s="89"/>
      <c r="M9716" s="89"/>
      <c r="O9716" s="105"/>
      <c r="P9716" s="105"/>
      <c r="Q9716" s="105"/>
      <c r="R9716" s="106"/>
      <c r="S9716" s="127"/>
      <c r="T9716" s="107"/>
    </row>
    <row r="9717" spans="1:20" x14ac:dyDescent="0.3">
      <c r="C9717" s="87"/>
      <c r="H9717" s="86" t="e">
        <f>IF(I9717="fora",0%,G9717/QUÓRUM!$C$6)</f>
        <v>#DIV/0!</v>
      </c>
      <c r="I9717" s="87"/>
      <c r="J9717" s="88"/>
      <c r="K9717" s="88"/>
      <c r="L9717" s="89"/>
      <c r="M9717" s="89"/>
      <c r="Q9717" s="105"/>
    </row>
    <row r="9718" spans="1:20" x14ac:dyDescent="0.3">
      <c r="A9718" s="101"/>
      <c r="B9718" s="102"/>
      <c r="C9718" s="87"/>
      <c r="D9718" s="103"/>
      <c r="F9718" s="101"/>
      <c r="G9718" s="104"/>
      <c r="H9718" s="86" t="e">
        <f>IF(I9718="fora",0%,G9718/QUÓRUM!$C$6)</f>
        <v>#DIV/0!</v>
      </c>
      <c r="I9718" s="87"/>
      <c r="J9718" s="88"/>
      <c r="K9718" s="88"/>
      <c r="L9718" s="89"/>
      <c r="M9718" s="89"/>
      <c r="O9718" s="105"/>
      <c r="P9718" s="105"/>
      <c r="Q9718" s="105"/>
      <c r="R9718" s="106"/>
      <c r="S9718" s="127"/>
      <c r="T9718" s="107"/>
    </row>
    <row r="9719" spans="1:20" x14ac:dyDescent="0.3">
      <c r="C9719" s="87"/>
      <c r="H9719" s="86" t="e">
        <f>IF(I9719="fora",0%,G9719/QUÓRUM!$C$6)</f>
        <v>#DIV/0!</v>
      </c>
      <c r="I9719" s="87"/>
      <c r="J9719" s="88"/>
      <c r="K9719" s="88"/>
      <c r="L9719" s="89"/>
      <c r="M9719" s="89"/>
      <c r="Q9719" s="105"/>
    </row>
    <row r="9720" spans="1:20" x14ac:dyDescent="0.3">
      <c r="A9720" s="101"/>
      <c r="B9720" s="102"/>
      <c r="C9720" s="87"/>
      <c r="D9720" s="103"/>
      <c r="F9720" s="101"/>
      <c r="G9720" s="104"/>
      <c r="H9720" s="86" t="e">
        <f>IF(I9720="fora",0%,G9720/QUÓRUM!$C$6)</f>
        <v>#DIV/0!</v>
      </c>
      <c r="I9720" s="87"/>
      <c r="J9720" s="88"/>
      <c r="K9720" s="88"/>
      <c r="L9720" s="89"/>
      <c r="M9720" s="89"/>
      <c r="O9720" s="105"/>
      <c r="P9720" s="105"/>
      <c r="Q9720" s="105"/>
      <c r="R9720" s="106"/>
      <c r="S9720" s="127"/>
      <c r="T9720" s="107"/>
    </row>
    <row r="9721" spans="1:20" x14ac:dyDescent="0.3">
      <c r="A9721" s="101"/>
      <c r="B9721" s="102"/>
      <c r="C9721" s="87"/>
      <c r="D9721" s="103"/>
      <c r="F9721" s="101"/>
      <c r="G9721" s="104"/>
      <c r="H9721" s="86" t="e">
        <f>IF(I9721="fora",0%,G9721/QUÓRUM!$C$6)</f>
        <v>#DIV/0!</v>
      </c>
      <c r="I9721" s="87"/>
      <c r="J9721" s="88"/>
      <c r="K9721" s="88"/>
      <c r="L9721" s="89"/>
      <c r="M9721" s="89"/>
      <c r="O9721" s="105"/>
      <c r="P9721" s="105"/>
      <c r="Q9721" s="105"/>
      <c r="R9721" s="106"/>
      <c r="S9721" s="127"/>
      <c r="T9721" s="107"/>
    </row>
    <row r="9722" spans="1:20" x14ac:dyDescent="0.3">
      <c r="A9722" s="101"/>
      <c r="B9722" s="102"/>
      <c r="C9722" s="87"/>
      <c r="D9722" s="103"/>
      <c r="F9722" s="101"/>
      <c r="G9722" s="104"/>
      <c r="H9722" s="86" t="e">
        <f>IF(I9722="fora",0%,G9722/QUÓRUM!$C$6)</f>
        <v>#DIV/0!</v>
      </c>
      <c r="I9722" s="87"/>
      <c r="J9722" s="88"/>
      <c r="K9722" s="88"/>
      <c r="L9722" s="89"/>
      <c r="M9722" s="89"/>
      <c r="O9722" s="105"/>
      <c r="P9722" s="105"/>
      <c r="Q9722" s="105"/>
      <c r="R9722" s="106"/>
      <c r="S9722" s="127"/>
      <c r="T9722" s="107"/>
    </row>
    <row r="9723" spans="1:20" x14ac:dyDescent="0.3">
      <c r="A9723" s="101"/>
      <c r="B9723" s="102"/>
      <c r="C9723" s="87"/>
      <c r="D9723" s="103"/>
      <c r="F9723" s="101"/>
      <c r="G9723" s="104"/>
      <c r="H9723" s="86" t="e">
        <f>IF(I9723="fora",0%,G9723/QUÓRUM!$C$6)</f>
        <v>#DIV/0!</v>
      </c>
      <c r="I9723" s="87"/>
      <c r="J9723" s="88"/>
      <c r="K9723" s="88"/>
      <c r="L9723" s="89"/>
      <c r="M9723" s="89"/>
      <c r="O9723" s="105"/>
      <c r="P9723" s="105"/>
      <c r="Q9723" s="105"/>
      <c r="R9723" s="106"/>
      <c r="S9723" s="127"/>
      <c r="T9723" s="107"/>
    </row>
    <row r="9724" spans="1:20" x14ac:dyDescent="0.3">
      <c r="A9724" s="101"/>
      <c r="B9724" s="102"/>
      <c r="C9724" s="87"/>
      <c r="D9724" s="103"/>
      <c r="F9724" s="101"/>
      <c r="G9724" s="104"/>
      <c r="H9724" s="86" t="e">
        <f>IF(I9724="fora",0%,G9724/QUÓRUM!$C$6)</f>
        <v>#DIV/0!</v>
      </c>
      <c r="I9724" s="87"/>
      <c r="J9724" s="88"/>
      <c r="K9724" s="88"/>
      <c r="L9724" s="89"/>
      <c r="M9724" s="89"/>
      <c r="O9724" s="105"/>
      <c r="P9724" s="105"/>
      <c r="Q9724" s="105"/>
      <c r="R9724" s="106"/>
      <c r="S9724" s="127"/>
      <c r="T9724" s="107"/>
    </row>
    <row r="9725" spans="1:20" x14ac:dyDescent="0.3">
      <c r="A9725" s="101"/>
      <c r="B9725" s="102"/>
      <c r="C9725" s="87"/>
      <c r="D9725" s="103"/>
      <c r="F9725" s="101"/>
      <c r="G9725" s="104"/>
      <c r="H9725" s="86" t="e">
        <f>IF(I9725="fora",0%,G9725/QUÓRUM!$C$6)</f>
        <v>#DIV/0!</v>
      </c>
      <c r="I9725" s="87"/>
      <c r="J9725" s="88"/>
      <c r="K9725" s="88"/>
      <c r="L9725" s="89"/>
      <c r="M9725" s="89"/>
      <c r="O9725" s="105"/>
      <c r="P9725" s="105"/>
      <c r="Q9725" s="105"/>
      <c r="R9725" s="106"/>
      <c r="S9725" s="127"/>
      <c r="T9725" s="107"/>
    </row>
    <row r="9726" spans="1:20" x14ac:dyDescent="0.3">
      <c r="C9726" s="87"/>
      <c r="H9726" s="86" t="e">
        <f>IF(I9726="fora",0%,G9726/QUÓRUM!$C$6)</f>
        <v>#DIV/0!</v>
      </c>
      <c r="I9726" s="87"/>
      <c r="J9726" s="88"/>
      <c r="K9726" s="88"/>
      <c r="L9726" s="89"/>
      <c r="M9726" s="89"/>
      <c r="Q9726" s="105"/>
    </row>
    <row r="9727" spans="1:20" x14ac:dyDescent="0.3">
      <c r="C9727" s="87"/>
      <c r="H9727" s="86" t="e">
        <f>IF(I9727="fora",0%,G9727/QUÓRUM!$C$6)</f>
        <v>#DIV/0!</v>
      </c>
      <c r="I9727" s="87"/>
      <c r="J9727" s="88"/>
      <c r="K9727" s="88"/>
      <c r="L9727" s="89"/>
      <c r="M9727" s="89"/>
      <c r="Q9727" s="105"/>
    </row>
    <row r="9728" spans="1:20" x14ac:dyDescent="0.3">
      <c r="A9728" s="101"/>
      <c r="B9728" s="102"/>
      <c r="C9728" s="87"/>
      <c r="D9728" s="103"/>
      <c r="F9728" s="101"/>
      <c r="G9728" s="104"/>
      <c r="H9728" s="86" t="e">
        <f>IF(I9728="fora",0%,G9728/QUÓRUM!$C$6)</f>
        <v>#DIV/0!</v>
      </c>
      <c r="I9728" s="87"/>
      <c r="J9728" s="88"/>
      <c r="K9728" s="88"/>
      <c r="L9728" s="89"/>
      <c r="M9728" s="89"/>
      <c r="O9728" s="105"/>
      <c r="P9728" s="105"/>
      <c r="Q9728" s="105"/>
      <c r="R9728" s="106"/>
      <c r="S9728" s="127"/>
      <c r="T9728" s="107"/>
    </row>
    <row r="9729" spans="1:20" x14ac:dyDescent="0.3">
      <c r="A9729" s="101"/>
      <c r="B9729" s="102"/>
      <c r="C9729" s="87"/>
      <c r="D9729" s="103"/>
      <c r="F9729" s="101"/>
      <c r="G9729" s="104"/>
      <c r="H9729" s="86" t="e">
        <f>IF(I9729="fora",0%,G9729/QUÓRUM!$C$6)</f>
        <v>#DIV/0!</v>
      </c>
      <c r="I9729" s="87"/>
      <c r="J9729" s="88"/>
      <c r="K9729" s="88"/>
      <c r="L9729" s="89"/>
      <c r="M9729" s="89"/>
      <c r="O9729" s="105"/>
      <c r="P9729" s="105"/>
      <c r="Q9729" s="105"/>
      <c r="R9729" s="106"/>
      <c r="S9729" s="127">
        <f>R9729*G9729</f>
        <v>0</v>
      </c>
      <c r="T9729" s="107" t="e">
        <f>IF(I9729="fora",0%,S9729/QUÓRUM!$M$7)</f>
        <v>#DIV/0!</v>
      </c>
    </row>
    <row r="9730" spans="1:20" x14ac:dyDescent="0.3">
      <c r="C9730" s="87"/>
      <c r="H9730" s="86" t="e">
        <f>IF(I9730="fora",0%,G9730/QUÓRUM!$C$6)</f>
        <v>#DIV/0!</v>
      </c>
      <c r="I9730" s="87"/>
      <c r="J9730" s="88"/>
      <c r="K9730" s="88"/>
      <c r="L9730" s="89"/>
      <c r="M9730" s="89"/>
      <c r="Q9730" s="105"/>
    </row>
    <row r="9731" spans="1:20" x14ac:dyDescent="0.3">
      <c r="A9731" s="101"/>
      <c r="B9731" s="102"/>
      <c r="C9731" s="87"/>
      <c r="D9731" s="103"/>
      <c r="F9731" s="101"/>
      <c r="G9731" s="104"/>
      <c r="H9731" s="86" t="e">
        <f>IF(I9731="fora",0%,G9731/QUÓRUM!$C$6)</f>
        <v>#DIV/0!</v>
      </c>
      <c r="I9731" s="87"/>
      <c r="J9731" s="88"/>
      <c r="K9731" s="88"/>
      <c r="L9731" s="89"/>
      <c r="M9731" s="89"/>
      <c r="O9731" s="105"/>
      <c r="P9731" s="105"/>
      <c r="Q9731" s="105"/>
      <c r="R9731" s="106"/>
      <c r="S9731" s="127"/>
      <c r="T9731" s="107"/>
    </row>
    <row r="9732" spans="1:20" x14ac:dyDescent="0.3">
      <c r="A9732" s="101"/>
      <c r="B9732" s="102"/>
      <c r="C9732" s="87"/>
      <c r="D9732" s="103"/>
      <c r="F9732" s="101"/>
      <c r="G9732" s="104"/>
      <c r="H9732" s="86" t="e">
        <f>IF(I9732="fora",0%,G9732/QUÓRUM!$C$6)</f>
        <v>#DIV/0!</v>
      </c>
      <c r="I9732" s="87"/>
      <c r="J9732" s="88"/>
      <c r="K9732" s="88"/>
      <c r="L9732" s="89"/>
      <c r="M9732" s="89"/>
      <c r="O9732" s="105"/>
      <c r="P9732" s="105"/>
      <c r="Q9732" s="105"/>
      <c r="R9732" s="106"/>
      <c r="S9732" s="127"/>
      <c r="T9732" s="107"/>
    </row>
    <row r="9733" spans="1:20" x14ac:dyDescent="0.3">
      <c r="A9733" s="101"/>
      <c r="B9733" s="102"/>
      <c r="C9733" s="87"/>
      <c r="D9733" s="122"/>
      <c r="E9733" s="124"/>
      <c r="F9733" s="125"/>
      <c r="G9733" s="126"/>
      <c r="H9733" s="86" t="e">
        <f>IF(I9733="fora",0%,G9733/QUÓRUM!$C$6)</f>
        <v>#DIV/0!</v>
      </c>
      <c r="I9733" s="87"/>
      <c r="J9733" s="88"/>
      <c r="K9733" s="88"/>
      <c r="L9733" s="89"/>
      <c r="M9733" s="89"/>
      <c r="O9733" s="105"/>
      <c r="P9733" s="105"/>
      <c r="Q9733" s="105"/>
      <c r="R9733" s="106"/>
      <c r="S9733" s="127"/>
      <c r="T9733" s="107"/>
    </row>
    <row r="9734" spans="1:20" x14ac:dyDescent="0.3">
      <c r="A9734" s="101"/>
      <c r="B9734" s="102"/>
      <c r="C9734" s="87"/>
      <c r="D9734" s="103"/>
      <c r="F9734" s="101"/>
      <c r="G9734" s="104"/>
      <c r="H9734" s="86" t="e">
        <f>IF(I9734="fora",0%,G9734/QUÓRUM!$C$6)</f>
        <v>#DIV/0!</v>
      </c>
      <c r="I9734" s="87"/>
      <c r="J9734" s="88"/>
      <c r="K9734" s="88"/>
      <c r="L9734" s="89"/>
      <c r="M9734" s="89"/>
      <c r="O9734" s="105"/>
      <c r="P9734" s="105"/>
      <c r="Q9734" s="105"/>
      <c r="R9734" s="106"/>
      <c r="S9734" s="127"/>
      <c r="T9734" s="107"/>
    </row>
    <row r="9735" spans="1:20" x14ac:dyDescent="0.3">
      <c r="A9735" s="101"/>
      <c r="B9735" s="102"/>
      <c r="C9735" s="87"/>
      <c r="D9735" s="122"/>
      <c r="E9735" s="124"/>
      <c r="F9735" s="125"/>
      <c r="G9735" s="126"/>
      <c r="H9735" s="86" t="e">
        <f>IF(I9735="fora",0%,G9735/QUÓRUM!$C$6)</f>
        <v>#DIV/0!</v>
      </c>
      <c r="I9735" s="87"/>
      <c r="J9735" s="88"/>
      <c r="K9735" s="88"/>
      <c r="L9735" s="89"/>
      <c r="M9735" s="89"/>
      <c r="O9735" s="105"/>
      <c r="P9735" s="105"/>
      <c r="Q9735" s="105"/>
      <c r="R9735" s="106"/>
      <c r="S9735" s="127"/>
      <c r="T9735" s="107"/>
    </row>
    <row r="9736" spans="1:20" x14ac:dyDescent="0.3">
      <c r="A9736" s="101"/>
      <c r="B9736" s="102"/>
      <c r="C9736" s="87"/>
      <c r="D9736" s="103"/>
      <c r="F9736" s="101"/>
      <c r="G9736" s="104"/>
      <c r="H9736" s="86" t="e">
        <f>IF(I9736="fora",0%,G9736/QUÓRUM!$C$6)</f>
        <v>#DIV/0!</v>
      </c>
      <c r="I9736" s="87"/>
      <c r="J9736" s="88"/>
      <c r="K9736" s="88"/>
      <c r="L9736" s="89"/>
      <c r="M9736" s="89"/>
      <c r="O9736" s="105"/>
      <c r="P9736" s="105"/>
      <c r="Q9736" s="105"/>
      <c r="R9736" s="106"/>
      <c r="S9736" s="127"/>
      <c r="T9736" s="107"/>
    </row>
    <row r="9737" spans="1:20" x14ac:dyDescent="0.3">
      <c r="A9737" s="101"/>
      <c r="B9737" s="102"/>
      <c r="C9737" s="87"/>
      <c r="D9737" s="103"/>
      <c r="F9737" s="101"/>
      <c r="G9737" s="104"/>
      <c r="H9737" s="86" t="e">
        <f>IF(I9737="fora",0%,G9737/QUÓRUM!$C$6)</f>
        <v>#DIV/0!</v>
      </c>
      <c r="I9737" s="87"/>
      <c r="J9737" s="88"/>
      <c r="K9737" s="88"/>
      <c r="L9737" s="89"/>
      <c r="M9737" s="89"/>
      <c r="O9737" s="105"/>
      <c r="P9737" s="105"/>
      <c r="Q9737" s="105"/>
      <c r="R9737" s="106"/>
      <c r="S9737" s="127"/>
      <c r="T9737" s="107"/>
    </row>
    <row r="9738" spans="1:20" x14ac:dyDescent="0.3">
      <c r="A9738" s="101"/>
      <c r="B9738" s="102"/>
      <c r="C9738" s="87"/>
      <c r="D9738" s="122"/>
      <c r="E9738" s="124"/>
      <c r="F9738" s="125"/>
      <c r="G9738" s="126"/>
      <c r="H9738" s="86" t="e">
        <f>IF(I9738="fora",0%,G9738/QUÓRUM!$C$6)</f>
        <v>#DIV/0!</v>
      </c>
      <c r="I9738" s="87"/>
      <c r="J9738" s="88"/>
      <c r="K9738" s="88"/>
      <c r="L9738" s="89"/>
      <c r="M9738" s="89"/>
      <c r="O9738" s="105"/>
      <c r="P9738" s="105"/>
      <c r="Q9738" s="105"/>
      <c r="R9738" s="106"/>
      <c r="S9738" s="127"/>
      <c r="T9738" s="107"/>
    </row>
    <row r="9739" spans="1:20" x14ac:dyDescent="0.3">
      <c r="A9739" s="101"/>
      <c r="B9739" s="102"/>
      <c r="C9739" s="87"/>
      <c r="D9739" s="103"/>
      <c r="F9739" s="101"/>
      <c r="G9739" s="104"/>
      <c r="H9739" s="86" t="e">
        <f>IF(I9739="fora",0%,G9739/QUÓRUM!$C$6)</f>
        <v>#DIV/0!</v>
      </c>
      <c r="I9739" s="87"/>
      <c r="J9739" s="88"/>
      <c r="K9739" s="88"/>
      <c r="L9739" s="89"/>
      <c r="M9739" s="89"/>
      <c r="O9739" s="105"/>
      <c r="P9739" s="105"/>
      <c r="Q9739" s="105"/>
      <c r="R9739" s="106"/>
      <c r="S9739" s="127"/>
      <c r="T9739" s="107"/>
    </row>
    <row r="9740" spans="1:20" x14ac:dyDescent="0.3">
      <c r="A9740" s="101"/>
      <c r="B9740" s="102"/>
      <c r="C9740" s="87"/>
      <c r="D9740" s="103"/>
      <c r="F9740" s="101"/>
      <c r="G9740" s="104"/>
      <c r="H9740" s="86" t="e">
        <f>IF(I9740="fora",0%,G9740/QUÓRUM!$C$6)</f>
        <v>#DIV/0!</v>
      </c>
      <c r="I9740" s="87"/>
      <c r="J9740" s="88"/>
      <c r="K9740" s="88"/>
      <c r="L9740" s="89"/>
      <c r="M9740" s="89"/>
      <c r="O9740" s="105"/>
      <c r="P9740" s="105"/>
      <c r="Q9740" s="105"/>
      <c r="R9740" s="106"/>
      <c r="S9740" s="127"/>
      <c r="T9740" s="107"/>
    </row>
    <row r="9741" spans="1:20" x14ac:dyDescent="0.3">
      <c r="A9741" s="101"/>
      <c r="B9741" s="102"/>
      <c r="C9741" s="87"/>
      <c r="D9741" s="103"/>
      <c r="F9741" s="101"/>
      <c r="G9741" s="109"/>
      <c r="H9741" s="86" t="e">
        <f>IF(I9741="fora",0%,G9741/QUÓRUM!$C$6)</f>
        <v>#DIV/0!</v>
      </c>
      <c r="I9741" s="87"/>
      <c r="J9741" s="88"/>
      <c r="K9741" s="88"/>
      <c r="L9741" s="89"/>
      <c r="M9741" s="89"/>
      <c r="O9741" s="105"/>
      <c r="P9741" s="105"/>
      <c r="Q9741" s="105"/>
      <c r="R9741" s="106"/>
      <c r="S9741" s="127"/>
      <c r="T9741" s="107"/>
    </row>
    <row r="9742" spans="1:20" x14ac:dyDescent="0.3">
      <c r="A9742" s="101"/>
      <c r="B9742" s="102"/>
      <c r="C9742" s="87"/>
      <c r="D9742" s="103"/>
      <c r="F9742" s="101"/>
      <c r="G9742" s="104"/>
      <c r="H9742" s="86" t="e">
        <f>IF(I9742="fora",0%,G9742/QUÓRUM!$C$6)</f>
        <v>#DIV/0!</v>
      </c>
      <c r="I9742" s="87"/>
      <c r="J9742" s="88"/>
      <c r="K9742" s="88"/>
      <c r="L9742" s="89"/>
      <c r="M9742" s="89"/>
      <c r="O9742" s="105"/>
      <c r="P9742" s="105"/>
      <c r="Q9742" s="105"/>
      <c r="R9742" s="106"/>
      <c r="S9742" s="127"/>
      <c r="T9742" s="107"/>
    </row>
    <row r="9743" spans="1:20" x14ac:dyDescent="0.3">
      <c r="A9743" s="101"/>
      <c r="B9743" s="102"/>
      <c r="C9743" s="87"/>
      <c r="D9743" s="122"/>
      <c r="E9743" s="124"/>
      <c r="F9743" s="125"/>
      <c r="G9743" s="126"/>
      <c r="H9743" s="86" t="e">
        <f>IF(I9743="fora",0%,G9743/QUÓRUM!$C$6)</f>
        <v>#DIV/0!</v>
      </c>
      <c r="I9743" s="87"/>
      <c r="J9743" s="88"/>
      <c r="K9743" s="88"/>
      <c r="L9743" s="89"/>
      <c r="M9743" s="89"/>
      <c r="O9743" s="105"/>
      <c r="P9743" s="105"/>
      <c r="Q9743" s="105"/>
      <c r="R9743" s="106"/>
      <c r="S9743" s="127"/>
      <c r="T9743" s="107"/>
    </row>
    <row r="9744" spans="1:20" x14ac:dyDescent="0.3">
      <c r="C9744" s="87"/>
      <c r="H9744" s="86" t="e">
        <f>IF(I9744="fora",0%,G9744/QUÓRUM!$C$6)</f>
        <v>#DIV/0!</v>
      </c>
      <c r="I9744" s="87"/>
      <c r="J9744" s="88"/>
      <c r="K9744" s="88"/>
      <c r="L9744" s="89"/>
      <c r="M9744" s="89"/>
      <c r="Q9744" s="105"/>
    </row>
    <row r="9745" spans="1:20" x14ac:dyDescent="0.3">
      <c r="A9745" s="101"/>
      <c r="B9745" s="102"/>
      <c r="C9745" s="87"/>
      <c r="D9745" s="122"/>
      <c r="E9745" s="124"/>
      <c r="F9745" s="125"/>
      <c r="G9745" s="126"/>
      <c r="H9745" s="86" t="e">
        <f>IF(I9745="fora",0%,G9745/QUÓRUM!$C$6)</f>
        <v>#DIV/0!</v>
      </c>
      <c r="I9745" s="87"/>
      <c r="J9745" s="88"/>
      <c r="K9745" s="88"/>
      <c r="L9745" s="89"/>
      <c r="M9745" s="89"/>
      <c r="O9745" s="105"/>
      <c r="P9745" s="105"/>
      <c r="Q9745" s="105"/>
      <c r="R9745" s="106"/>
      <c r="S9745" s="127"/>
      <c r="T9745" s="107"/>
    </row>
    <row r="9746" spans="1:20" x14ac:dyDescent="0.3">
      <c r="A9746" s="101"/>
      <c r="B9746" s="102"/>
      <c r="C9746" s="87"/>
      <c r="D9746" s="103"/>
      <c r="F9746" s="101"/>
      <c r="G9746" s="104"/>
      <c r="H9746" s="86" t="e">
        <f>IF(I9746="fora",0%,G9746/QUÓRUM!$C$6)</f>
        <v>#DIV/0!</v>
      </c>
      <c r="I9746" s="87"/>
      <c r="J9746" s="88"/>
      <c r="K9746" s="88"/>
      <c r="L9746" s="89"/>
      <c r="M9746" s="89"/>
      <c r="O9746" s="105"/>
      <c r="P9746" s="105"/>
      <c r="Q9746" s="105"/>
      <c r="R9746" s="106"/>
      <c r="S9746" s="127"/>
      <c r="T9746" s="107"/>
    </row>
    <row r="9747" spans="1:20" x14ac:dyDescent="0.3">
      <c r="A9747" s="101"/>
      <c r="B9747" s="102"/>
      <c r="C9747" s="87"/>
      <c r="D9747" s="103"/>
      <c r="F9747" s="101"/>
      <c r="G9747" s="104"/>
      <c r="H9747" s="86" t="e">
        <f>IF(I9747="fora",0%,G9747/QUÓRUM!$C$6)</f>
        <v>#DIV/0!</v>
      </c>
      <c r="I9747" s="87"/>
      <c r="J9747" s="88"/>
      <c r="K9747" s="88"/>
      <c r="L9747" s="89"/>
      <c r="M9747" s="89"/>
      <c r="O9747" s="105"/>
      <c r="P9747" s="105"/>
      <c r="Q9747" s="105"/>
      <c r="R9747" s="106"/>
      <c r="S9747" s="127"/>
      <c r="T9747" s="107"/>
    </row>
    <row r="9748" spans="1:20" x14ac:dyDescent="0.3">
      <c r="C9748" s="87"/>
      <c r="H9748" s="86" t="e">
        <f>IF(I9748="fora",0%,G9748/QUÓRUM!$C$6)</f>
        <v>#DIV/0!</v>
      </c>
      <c r="I9748" s="87"/>
      <c r="J9748" s="88"/>
      <c r="K9748" s="88"/>
      <c r="L9748" s="89"/>
      <c r="M9748" s="89"/>
      <c r="Q9748" s="105"/>
    </row>
    <row r="9749" spans="1:20" x14ac:dyDescent="0.3">
      <c r="A9749" s="101"/>
      <c r="B9749" s="102"/>
      <c r="C9749" s="87"/>
      <c r="D9749" s="103"/>
      <c r="F9749" s="101"/>
      <c r="G9749" s="104"/>
      <c r="H9749" s="86" t="e">
        <f>IF(I9749="fora",0%,G9749/QUÓRUM!$C$6)</f>
        <v>#DIV/0!</v>
      </c>
      <c r="I9749" s="87"/>
      <c r="J9749" s="88"/>
      <c r="K9749" s="88"/>
      <c r="L9749" s="89"/>
      <c r="M9749" s="89"/>
      <c r="O9749" s="105"/>
      <c r="P9749" s="105"/>
      <c r="Q9749" s="105"/>
      <c r="R9749" s="106"/>
      <c r="S9749" s="127"/>
      <c r="T9749" s="107"/>
    </row>
    <row r="9750" spans="1:20" x14ac:dyDescent="0.3">
      <c r="A9750" s="101"/>
      <c r="B9750" s="102"/>
      <c r="C9750" s="87"/>
      <c r="D9750" s="103"/>
      <c r="F9750" s="101"/>
      <c r="G9750" s="104"/>
      <c r="H9750" s="86" t="e">
        <f>IF(I9750="fora",0%,G9750/QUÓRUM!$C$6)</f>
        <v>#DIV/0!</v>
      </c>
      <c r="I9750" s="87"/>
      <c r="J9750" s="88"/>
      <c r="K9750" s="88"/>
      <c r="L9750" s="89"/>
      <c r="M9750" s="89"/>
      <c r="O9750" s="105"/>
      <c r="P9750" s="105"/>
      <c r="Q9750" s="105"/>
      <c r="R9750" s="106"/>
      <c r="S9750" s="127"/>
      <c r="T9750" s="107"/>
    </row>
    <row r="9751" spans="1:20" x14ac:dyDescent="0.3">
      <c r="A9751" s="101"/>
      <c r="B9751" s="102"/>
      <c r="C9751" s="87"/>
      <c r="D9751" s="103"/>
      <c r="F9751" s="101"/>
      <c r="G9751" s="104"/>
      <c r="H9751" s="86" t="e">
        <f>IF(I9751="fora",0%,G9751/QUÓRUM!$C$6)</f>
        <v>#DIV/0!</v>
      </c>
      <c r="I9751" s="87"/>
      <c r="J9751" s="88"/>
      <c r="K9751" s="88"/>
      <c r="L9751" s="89"/>
      <c r="M9751" s="89"/>
      <c r="O9751" s="105"/>
      <c r="P9751" s="105"/>
      <c r="Q9751" s="105"/>
      <c r="R9751" s="106"/>
      <c r="S9751" s="127"/>
      <c r="T9751" s="107"/>
    </row>
    <row r="9752" spans="1:20" x14ac:dyDescent="0.3">
      <c r="A9752" s="101"/>
      <c r="B9752" s="102"/>
      <c r="C9752" s="87"/>
      <c r="D9752" s="103"/>
      <c r="F9752" s="101"/>
      <c r="G9752" s="104"/>
      <c r="H9752" s="86" t="e">
        <f>IF(I9752="fora",0%,G9752/QUÓRUM!$C$6)</f>
        <v>#DIV/0!</v>
      </c>
      <c r="I9752" s="87"/>
      <c r="J9752" s="88"/>
      <c r="K9752" s="88"/>
      <c r="L9752" s="89"/>
      <c r="M9752" s="89"/>
      <c r="O9752" s="105"/>
      <c r="P9752" s="105"/>
      <c r="Q9752" s="105"/>
      <c r="R9752" s="106"/>
      <c r="S9752" s="127"/>
      <c r="T9752" s="107"/>
    </row>
    <row r="9753" spans="1:20" x14ac:dyDescent="0.3">
      <c r="A9753" s="101"/>
      <c r="B9753" s="102"/>
      <c r="C9753" s="87"/>
      <c r="D9753" s="103"/>
      <c r="F9753" s="101"/>
      <c r="G9753" s="104"/>
      <c r="H9753" s="86" t="e">
        <f>IF(I9753="fora",0%,G9753/QUÓRUM!$C$6)</f>
        <v>#DIV/0!</v>
      </c>
      <c r="I9753" s="87"/>
      <c r="J9753" s="88"/>
      <c r="K9753" s="88"/>
      <c r="L9753" s="89"/>
      <c r="M9753" s="89"/>
      <c r="O9753" s="105"/>
      <c r="P9753" s="105"/>
      <c r="Q9753" s="105"/>
      <c r="R9753" s="106"/>
      <c r="S9753" s="127"/>
      <c r="T9753" s="107"/>
    </row>
    <row r="9754" spans="1:20" x14ac:dyDescent="0.3">
      <c r="A9754" s="101"/>
      <c r="B9754" s="102"/>
      <c r="C9754" s="87"/>
      <c r="D9754" s="103"/>
      <c r="F9754" s="101"/>
      <c r="G9754" s="104"/>
      <c r="H9754" s="86" t="e">
        <f>IF(I9754="fora",0%,G9754/QUÓRUM!$C$6)</f>
        <v>#DIV/0!</v>
      </c>
      <c r="I9754" s="87"/>
      <c r="J9754" s="88"/>
      <c r="K9754" s="88"/>
      <c r="L9754" s="89"/>
      <c r="M9754" s="89"/>
      <c r="O9754" s="105"/>
      <c r="P9754" s="105"/>
      <c r="Q9754" s="105"/>
      <c r="R9754" s="106"/>
      <c r="S9754" s="127"/>
      <c r="T9754" s="107"/>
    </row>
    <row r="9755" spans="1:20" x14ac:dyDescent="0.3">
      <c r="A9755" s="101"/>
      <c r="B9755" s="102"/>
      <c r="C9755" s="87"/>
      <c r="D9755" s="122"/>
      <c r="E9755" s="124"/>
      <c r="F9755" s="125"/>
      <c r="G9755" s="126"/>
      <c r="H9755" s="86" t="e">
        <f>IF(I9755="fora",0%,G9755/QUÓRUM!$C$6)</f>
        <v>#DIV/0!</v>
      </c>
      <c r="I9755" s="87"/>
      <c r="J9755" s="88"/>
      <c r="K9755" s="88"/>
      <c r="L9755" s="89"/>
      <c r="M9755" s="89"/>
      <c r="O9755" s="105"/>
      <c r="P9755" s="105"/>
      <c r="Q9755" s="105"/>
      <c r="R9755" s="106"/>
      <c r="S9755" s="127"/>
      <c r="T9755" s="107"/>
    </row>
    <row r="9756" spans="1:20" x14ac:dyDescent="0.3">
      <c r="C9756" s="87"/>
      <c r="D9756" s="123"/>
      <c r="E9756" s="124"/>
      <c r="F9756" s="124"/>
      <c r="G9756" s="122"/>
      <c r="H9756" s="86" t="e">
        <f>IF(I9756="fora",0%,G9756/QUÓRUM!$C$6)</f>
        <v>#DIV/0!</v>
      </c>
      <c r="I9756" s="87"/>
      <c r="J9756" s="88"/>
      <c r="K9756" s="88"/>
      <c r="L9756" s="89"/>
      <c r="M9756" s="89"/>
      <c r="Q9756" s="105"/>
    </row>
    <row r="9757" spans="1:20" x14ac:dyDescent="0.3">
      <c r="C9757" s="87"/>
      <c r="H9757" s="86" t="e">
        <f>IF(I9757="fora",0%,G9757/QUÓRUM!$C$6)</f>
        <v>#DIV/0!</v>
      </c>
      <c r="I9757" s="87"/>
      <c r="J9757" s="88"/>
      <c r="K9757" s="88"/>
      <c r="L9757" s="89"/>
      <c r="M9757" s="89"/>
      <c r="Q9757" s="105"/>
    </row>
    <row r="9758" spans="1:20" x14ac:dyDescent="0.3">
      <c r="A9758" s="101"/>
      <c r="B9758" s="102"/>
      <c r="C9758" s="87"/>
      <c r="D9758" s="103"/>
      <c r="F9758" s="101"/>
      <c r="G9758" s="104"/>
      <c r="H9758" s="86" t="e">
        <f>IF(I9758="fora",0%,G9758/QUÓRUM!$C$6)</f>
        <v>#DIV/0!</v>
      </c>
      <c r="I9758" s="87"/>
      <c r="J9758" s="88"/>
      <c r="K9758" s="88"/>
      <c r="L9758" s="89"/>
      <c r="M9758" s="89"/>
      <c r="O9758" s="105"/>
      <c r="P9758" s="105"/>
      <c r="Q9758" s="105"/>
      <c r="R9758" s="106"/>
      <c r="S9758" s="127"/>
      <c r="T9758" s="107"/>
    </row>
    <row r="9759" spans="1:20" x14ac:dyDescent="0.3">
      <c r="A9759" s="101"/>
      <c r="B9759" s="102"/>
      <c r="C9759" s="87"/>
      <c r="D9759" s="103"/>
      <c r="F9759" s="101"/>
      <c r="G9759" s="104"/>
      <c r="H9759" s="86" t="e">
        <f>IF(I9759="fora",0%,G9759/QUÓRUM!$C$6)</f>
        <v>#DIV/0!</v>
      </c>
      <c r="I9759" s="87"/>
      <c r="J9759" s="88"/>
      <c r="K9759" s="88"/>
      <c r="L9759" s="89"/>
      <c r="M9759" s="89"/>
      <c r="O9759" s="105"/>
      <c r="P9759" s="105"/>
      <c r="Q9759" s="105"/>
      <c r="R9759" s="106"/>
      <c r="S9759" s="127"/>
      <c r="T9759" s="107"/>
    </row>
    <row r="9760" spans="1:20" x14ac:dyDescent="0.3">
      <c r="A9760" s="101"/>
      <c r="B9760" s="102"/>
      <c r="C9760" s="87"/>
      <c r="D9760" s="103"/>
      <c r="F9760" s="101"/>
      <c r="G9760" s="104"/>
      <c r="H9760" s="86" t="e">
        <f>IF(I9760="fora",0%,G9760/QUÓRUM!$C$6)</f>
        <v>#DIV/0!</v>
      </c>
      <c r="I9760" s="87"/>
      <c r="J9760" s="88"/>
      <c r="K9760" s="88"/>
      <c r="L9760" s="89"/>
      <c r="M9760" s="89"/>
      <c r="O9760" s="105"/>
      <c r="P9760" s="105"/>
      <c r="Q9760" s="105"/>
      <c r="R9760" s="106"/>
      <c r="S9760" s="127"/>
      <c r="T9760" s="107"/>
    </row>
    <row r="9761" spans="1:20" x14ac:dyDescent="0.3">
      <c r="A9761" s="101"/>
      <c r="B9761" s="102"/>
      <c r="C9761" s="87"/>
      <c r="D9761" s="103"/>
      <c r="F9761" s="101"/>
      <c r="G9761" s="104"/>
      <c r="H9761" s="86" t="e">
        <f>IF(I9761="fora",0%,G9761/QUÓRUM!$C$6)</f>
        <v>#DIV/0!</v>
      </c>
      <c r="I9761" s="87"/>
      <c r="J9761" s="88"/>
      <c r="K9761" s="88"/>
      <c r="L9761" s="89"/>
      <c r="M9761" s="89"/>
      <c r="O9761" s="105"/>
      <c r="P9761" s="105"/>
      <c r="Q9761" s="105"/>
      <c r="R9761" s="106"/>
      <c r="S9761" s="127"/>
      <c r="T9761" s="107"/>
    </row>
    <row r="9762" spans="1:20" x14ac:dyDescent="0.3">
      <c r="A9762" s="101"/>
      <c r="B9762" s="102"/>
      <c r="C9762" s="87"/>
      <c r="D9762" s="103"/>
      <c r="F9762" s="101"/>
      <c r="G9762" s="104"/>
      <c r="H9762" s="86" t="e">
        <f>IF(I9762="fora",0%,G9762/QUÓRUM!$C$6)</f>
        <v>#DIV/0!</v>
      </c>
      <c r="I9762" s="87"/>
      <c r="J9762" s="88"/>
      <c r="K9762" s="88"/>
      <c r="L9762" s="89"/>
      <c r="M9762" s="89"/>
      <c r="O9762" s="105"/>
      <c r="P9762" s="105"/>
      <c r="Q9762" s="105"/>
      <c r="R9762" s="106"/>
      <c r="S9762" s="127"/>
      <c r="T9762" s="107"/>
    </row>
    <row r="9763" spans="1:20" x14ac:dyDescent="0.3">
      <c r="A9763" s="101"/>
      <c r="B9763" s="102"/>
      <c r="C9763" s="87"/>
      <c r="D9763" s="103"/>
      <c r="F9763" s="101"/>
      <c r="G9763" s="104"/>
      <c r="H9763" s="86" t="e">
        <f>IF(I9763="fora",0%,G9763/QUÓRUM!$C$6)</f>
        <v>#DIV/0!</v>
      </c>
      <c r="I9763" s="87"/>
      <c r="J9763" s="88"/>
      <c r="K9763" s="88"/>
      <c r="L9763" s="89"/>
      <c r="M9763" s="89"/>
      <c r="O9763" s="105"/>
      <c r="P9763" s="105"/>
      <c r="Q9763" s="105"/>
      <c r="R9763" s="106"/>
      <c r="S9763" s="127"/>
      <c r="T9763" s="107"/>
    </row>
    <row r="9764" spans="1:20" x14ac:dyDescent="0.3">
      <c r="C9764" s="87"/>
      <c r="H9764" s="86" t="e">
        <f>IF(I9764="fora",0%,G9764/QUÓRUM!$C$6)</f>
        <v>#DIV/0!</v>
      </c>
      <c r="I9764" s="87"/>
      <c r="J9764" s="88"/>
      <c r="K9764" s="88"/>
      <c r="L9764" s="89"/>
      <c r="M9764" s="89"/>
      <c r="Q9764" s="105"/>
    </row>
    <row r="9765" spans="1:20" x14ac:dyDescent="0.3">
      <c r="A9765" s="101"/>
      <c r="B9765" s="102"/>
      <c r="C9765" s="87"/>
      <c r="D9765" s="103"/>
      <c r="F9765" s="101"/>
      <c r="G9765" s="104"/>
      <c r="H9765" s="86" t="e">
        <f>IF(I9765="fora",0%,G9765/QUÓRUM!$C$6)</f>
        <v>#DIV/0!</v>
      </c>
      <c r="I9765" s="87"/>
      <c r="J9765" s="88"/>
      <c r="K9765" s="88"/>
      <c r="L9765" s="89"/>
      <c r="M9765" s="89"/>
      <c r="O9765" s="105"/>
      <c r="P9765" s="105"/>
      <c r="Q9765" s="105"/>
      <c r="R9765" s="106"/>
      <c r="S9765" s="127"/>
      <c r="T9765" s="107"/>
    </row>
    <row r="9766" spans="1:20" x14ac:dyDescent="0.3">
      <c r="A9766" s="101"/>
      <c r="B9766" s="102"/>
      <c r="C9766" s="87"/>
      <c r="D9766" s="103"/>
      <c r="F9766" s="101"/>
      <c r="G9766" s="104"/>
      <c r="H9766" s="86" t="e">
        <f>IF(I9766="fora",0%,G9766/QUÓRUM!$C$6)</f>
        <v>#DIV/0!</v>
      </c>
      <c r="I9766" s="87"/>
      <c r="J9766" s="88"/>
      <c r="K9766" s="88"/>
      <c r="L9766" s="89"/>
      <c r="M9766" s="89"/>
      <c r="O9766" s="105"/>
      <c r="P9766" s="105"/>
      <c r="Q9766" s="105"/>
      <c r="R9766" s="106"/>
      <c r="S9766" s="127"/>
      <c r="T9766" s="107"/>
    </row>
    <row r="9767" spans="1:20" x14ac:dyDescent="0.3">
      <c r="A9767" s="101"/>
      <c r="B9767" s="102"/>
      <c r="C9767" s="87"/>
      <c r="D9767" s="103"/>
      <c r="F9767" s="101"/>
      <c r="G9767" s="104"/>
      <c r="H9767" s="86" t="e">
        <f>IF(I9767="fora",0%,G9767/QUÓRUM!$C$6)</f>
        <v>#DIV/0!</v>
      </c>
      <c r="I9767" s="87"/>
      <c r="J9767" s="88"/>
      <c r="K9767" s="88"/>
      <c r="L9767" s="89"/>
      <c r="M9767" s="89"/>
      <c r="O9767" s="105"/>
      <c r="P9767" s="105"/>
      <c r="Q9767" s="105"/>
      <c r="R9767" s="106"/>
      <c r="S9767" s="127"/>
      <c r="T9767" s="107"/>
    </row>
    <row r="9768" spans="1:20" x14ac:dyDescent="0.3">
      <c r="A9768" s="101"/>
      <c r="B9768" s="102"/>
      <c r="C9768" s="87"/>
      <c r="D9768" s="103"/>
      <c r="F9768" s="101"/>
      <c r="G9768" s="104"/>
      <c r="H9768" s="86" t="e">
        <f>IF(I9768="fora",0%,G9768/QUÓRUM!$C$6)</f>
        <v>#DIV/0!</v>
      </c>
      <c r="I9768" s="87"/>
      <c r="J9768" s="88"/>
      <c r="K9768" s="88"/>
      <c r="L9768" s="89"/>
      <c r="M9768" s="89"/>
      <c r="O9768" s="105"/>
      <c r="P9768" s="105"/>
      <c r="Q9768" s="105"/>
      <c r="R9768" s="106"/>
      <c r="S9768" s="127"/>
      <c r="T9768" s="107"/>
    </row>
    <row r="9769" spans="1:20" x14ac:dyDescent="0.3">
      <c r="A9769" s="101"/>
      <c r="B9769" s="102"/>
      <c r="C9769" s="87"/>
      <c r="D9769" s="103"/>
      <c r="F9769" s="101"/>
      <c r="G9769" s="104"/>
      <c r="H9769" s="86" t="e">
        <f>IF(I9769="fora",0%,G9769/QUÓRUM!$C$6)</f>
        <v>#DIV/0!</v>
      </c>
      <c r="I9769" s="87"/>
      <c r="J9769" s="88"/>
      <c r="K9769" s="88"/>
      <c r="L9769" s="89"/>
      <c r="M9769" s="89"/>
      <c r="O9769" s="105"/>
      <c r="P9769" s="105"/>
      <c r="Q9769" s="105"/>
      <c r="R9769" s="106"/>
      <c r="S9769" s="127">
        <f>R9769*G9769</f>
        <v>0</v>
      </c>
      <c r="T9769" s="107" t="e">
        <f>IF(I9769="fora",0%,S9769/QUÓRUM!$M$7)</f>
        <v>#DIV/0!</v>
      </c>
    </row>
    <row r="9770" spans="1:20" x14ac:dyDescent="0.3">
      <c r="A9770" s="101"/>
      <c r="B9770" s="102"/>
      <c r="C9770" s="87"/>
      <c r="D9770" s="103"/>
      <c r="F9770" s="101"/>
      <c r="G9770" s="104"/>
      <c r="H9770" s="86" t="e">
        <f>IF(I9770="fora",0%,G9770/QUÓRUM!$C$6)</f>
        <v>#DIV/0!</v>
      </c>
      <c r="I9770" s="87"/>
      <c r="J9770" s="88"/>
      <c r="K9770" s="88"/>
      <c r="L9770" s="89"/>
      <c r="M9770" s="89"/>
      <c r="O9770" s="105"/>
      <c r="P9770" s="105"/>
      <c r="Q9770" s="105"/>
      <c r="R9770" s="106"/>
      <c r="S9770" s="127"/>
      <c r="T9770" s="107"/>
    </row>
    <row r="9771" spans="1:20" x14ac:dyDescent="0.3">
      <c r="C9771" s="87"/>
      <c r="H9771" s="86" t="e">
        <f>IF(I9771="fora",0%,G9771/QUÓRUM!$C$6)</f>
        <v>#DIV/0!</v>
      </c>
      <c r="I9771" s="87"/>
      <c r="J9771" s="88"/>
      <c r="K9771" s="88"/>
      <c r="L9771" s="89"/>
      <c r="M9771" s="89"/>
      <c r="Q9771" s="105"/>
    </row>
    <row r="9772" spans="1:20" x14ac:dyDescent="0.3">
      <c r="A9772" s="101"/>
      <c r="B9772" s="102"/>
      <c r="C9772" s="87"/>
      <c r="D9772" s="122"/>
      <c r="E9772" s="124"/>
      <c r="F9772" s="125"/>
      <c r="G9772" s="126"/>
      <c r="H9772" s="119" t="e">
        <f>IF(I9772="fora",0%,G9772/QUÓRUM!$C$6)</f>
        <v>#DIV/0!</v>
      </c>
      <c r="I9772" s="87"/>
      <c r="J9772" s="88"/>
      <c r="K9772" s="88"/>
      <c r="L9772" s="120"/>
      <c r="M9772" s="89"/>
      <c r="O9772" s="105"/>
      <c r="P9772" s="105"/>
      <c r="Q9772" s="105"/>
      <c r="R9772" s="106"/>
      <c r="S9772" s="127"/>
      <c r="T9772" s="107"/>
    </row>
    <row r="9773" spans="1:20" x14ac:dyDescent="0.3">
      <c r="A9773" s="101"/>
      <c r="B9773" s="102"/>
      <c r="C9773" s="87"/>
      <c r="D9773" s="103"/>
      <c r="F9773" s="101"/>
      <c r="G9773" s="104"/>
      <c r="H9773" s="86" t="e">
        <f>IF(I9773="fora",0%,G9773/QUÓRUM!$C$6)</f>
        <v>#DIV/0!</v>
      </c>
      <c r="I9773" s="87"/>
      <c r="J9773" s="88"/>
      <c r="K9773" s="88"/>
      <c r="L9773" s="89"/>
      <c r="M9773" s="89"/>
      <c r="O9773" s="105"/>
      <c r="P9773" s="105"/>
      <c r="Q9773" s="105"/>
      <c r="R9773" s="106"/>
      <c r="S9773" s="127"/>
      <c r="T9773" s="107"/>
    </row>
    <row r="9774" spans="1:20" x14ac:dyDescent="0.3">
      <c r="C9774" s="87"/>
      <c r="H9774" s="86" t="e">
        <f>IF(I9774="fora",0%,G9774/QUÓRUM!$C$6)</f>
        <v>#DIV/0!</v>
      </c>
      <c r="I9774" s="87"/>
      <c r="J9774" s="88"/>
      <c r="K9774" s="88"/>
      <c r="L9774" s="89"/>
      <c r="M9774" s="89"/>
      <c r="Q9774" s="105"/>
    </row>
    <row r="9775" spans="1:20" x14ac:dyDescent="0.3">
      <c r="A9775" s="101"/>
      <c r="B9775" s="102"/>
      <c r="C9775" s="87"/>
      <c r="D9775" s="103"/>
      <c r="F9775" s="101"/>
      <c r="G9775" s="104"/>
      <c r="H9775" s="86" t="e">
        <f>IF(I9775="fora",0%,G9775/QUÓRUM!$C$6)</f>
        <v>#DIV/0!</v>
      </c>
      <c r="I9775" s="87"/>
      <c r="J9775" s="88"/>
      <c r="K9775" s="88"/>
      <c r="L9775" s="89"/>
      <c r="M9775" s="89"/>
      <c r="O9775" s="105"/>
      <c r="P9775" s="105"/>
      <c r="Q9775" s="105"/>
      <c r="R9775" s="106"/>
      <c r="S9775" s="127"/>
      <c r="T9775" s="107"/>
    </row>
    <row r="9776" spans="1:20" x14ac:dyDescent="0.3">
      <c r="A9776" s="101"/>
      <c r="B9776" s="102"/>
      <c r="C9776" s="87"/>
      <c r="D9776" s="103"/>
      <c r="F9776" s="101"/>
      <c r="G9776" s="104"/>
      <c r="H9776" s="86" t="e">
        <f>IF(I9776="fora",0%,G9776/QUÓRUM!$C$6)</f>
        <v>#DIV/0!</v>
      </c>
      <c r="I9776" s="87"/>
      <c r="J9776" s="88"/>
      <c r="K9776" s="88"/>
      <c r="L9776" s="89"/>
      <c r="M9776" s="89"/>
      <c r="O9776" s="105"/>
      <c r="P9776" s="105"/>
      <c r="Q9776" s="105"/>
      <c r="R9776" s="106"/>
      <c r="S9776" s="127"/>
      <c r="T9776" s="107"/>
    </row>
    <row r="9777" spans="1:20" x14ac:dyDescent="0.3">
      <c r="A9777" s="101"/>
      <c r="B9777" s="102"/>
      <c r="C9777" s="87"/>
      <c r="D9777" s="103"/>
      <c r="F9777" s="101"/>
      <c r="G9777" s="104"/>
      <c r="H9777" s="86" t="e">
        <f>IF(I9777="fora",0%,G9777/QUÓRUM!$C$6)</f>
        <v>#DIV/0!</v>
      </c>
      <c r="I9777" s="87"/>
      <c r="J9777" s="88"/>
      <c r="K9777" s="88"/>
      <c r="L9777" s="89"/>
      <c r="M9777" s="89"/>
      <c r="O9777" s="105"/>
      <c r="P9777" s="105"/>
      <c r="Q9777" s="105"/>
      <c r="R9777" s="106"/>
      <c r="S9777" s="127"/>
      <c r="T9777" s="107"/>
    </row>
    <row r="9778" spans="1:20" x14ac:dyDescent="0.3">
      <c r="A9778" s="101"/>
      <c r="B9778" s="102"/>
      <c r="C9778" s="87"/>
      <c r="D9778" s="103"/>
      <c r="F9778" s="101"/>
      <c r="G9778" s="104"/>
      <c r="H9778" s="86" t="e">
        <f>IF(I9778="fora",0%,G9778/QUÓRUM!$C$6)</f>
        <v>#DIV/0!</v>
      </c>
      <c r="I9778" s="87"/>
      <c r="J9778" s="88"/>
      <c r="K9778" s="88"/>
      <c r="L9778" s="89"/>
      <c r="M9778" s="89"/>
      <c r="O9778" s="105"/>
      <c r="P9778" s="105"/>
      <c r="Q9778" s="105"/>
      <c r="R9778" s="106"/>
      <c r="S9778" s="127"/>
      <c r="T9778" s="107"/>
    </row>
    <row r="9779" spans="1:20" x14ac:dyDescent="0.3">
      <c r="C9779" s="87"/>
      <c r="H9779" s="86" t="e">
        <f>IF(I9779="fora",0%,G9779/QUÓRUM!$C$6)</f>
        <v>#DIV/0!</v>
      </c>
      <c r="I9779" s="87"/>
      <c r="J9779" s="88"/>
      <c r="K9779" s="88"/>
      <c r="L9779" s="89"/>
      <c r="M9779" s="89"/>
      <c r="Q9779" s="105"/>
    </row>
    <row r="9780" spans="1:20" x14ac:dyDescent="0.3">
      <c r="A9780" s="101"/>
      <c r="B9780" s="102"/>
      <c r="C9780" s="87"/>
      <c r="D9780" s="103"/>
      <c r="F9780" s="101"/>
      <c r="G9780" s="104"/>
      <c r="H9780" s="86" t="e">
        <f>IF(I9780="fora",0%,G9780/QUÓRUM!$C$6)</f>
        <v>#DIV/0!</v>
      </c>
      <c r="I9780" s="87"/>
      <c r="J9780" s="88"/>
      <c r="K9780" s="88"/>
      <c r="L9780" s="89"/>
      <c r="M9780" s="89"/>
      <c r="O9780" s="105"/>
      <c r="P9780" s="105"/>
      <c r="Q9780" s="105"/>
      <c r="R9780" s="106"/>
      <c r="S9780" s="127"/>
      <c r="T9780" s="107"/>
    </row>
    <row r="9781" spans="1:20" x14ac:dyDescent="0.3">
      <c r="A9781" s="101"/>
      <c r="B9781" s="102"/>
      <c r="C9781" s="87"/>
      <c r="D9781" s="103"/>
      <c r="F9781" s="101"/>
      <c r="G9781" s="104"/>
      <c r="H9781" s="86" t="e">
        <f>IF(I9781="fora",0%,G9781/QUÓRUM!$C$6)</f>
        <v>#DIV/0!</v>
      </c>
      <c r="I9781" s="87"/>
      <c r="J9781" s="88"/>
      <c r="K9781" s="88"/>
      <c r="L9781" s="89"/>
      <c r="M9781" s="89"/>
      <c r="O9781" s="105"/>
      <c r="P9781" s="105"/>
      <c r="Q9781" s="105"/>
      <c r="R9781" s="106"/>
      <c r="S9781" s="127"/>
      <c r="T9781" s="107"/>
    </row>
    <row r="9782" spans="1:20" x14ac:dyDescent="0.3">
      <c r="A9782" s="101"/>
      <c r="B9782" s="102"/>
      <c r="C9782" s="87"/>
      <c r="D9782" s="103"/>
      <c r="F9782" s="101"/>
      <c r="G9782" s="104"/>
      <c r="H9782" s="86" t="e">
        <f>IF(I9782="fora",0%,G9782/QUÓRUM!$C$6)</f>
        <v>#DIV/0!</v>
      </c>
      <c r="I9782" s="87"/>
      <c r="J9782" s="88"/>
      <c r="K9782" s="88"/>
      <c r="L9782" s="89"/>
      <c r="M9782" s="89"/>
      <c r="O9782" s="105"/>
      <c r="P9782" s="105"/>
      <c r="Q9782" s="105"/>
      <c r="R9782" s="106"/>
      <c r="S9782" s="127"/>
      <c r="T9782" s="107"/>
    </row>
    <row r="9783" spans="1:20" x14ac:dyDescent="0.3">
      <c r="A9783" s="101"/>
      <c r="B9783" s="102"/>
      <c r="C9783" s="87"/>
      <c r="D9783" s="103"/>
      <c r="F9783" s="101"/>
      <c r="G9783" s="104"/>
      <c r="H9783" s="86" t="e">
        <f>IF(I9783="fora",0%,G9783/QUÓRUM!$C$6)</f>
        <v>#DIV/0!</v>
      </c>
      <c r="I9783" s="87"/>
      <c r="J9783" s="88"/>
      <c r="K9783" s="88"/>
      <c r="L9783" s="89"/>
      <c r="M9783" s="89"/>
      <c r="O9783" s="105"/>
      <c r="P9783" s="105"/>
      <c r="Q9783" s="105"/>
      <c r="R9783" s="106"/>
      <c r="S9783" s="127"/>
      <c r="T9783" s="107"/>
    </row>
    <row r="9784" spans="1:20" x14ac:dyDescent="0.3">
      <c r="A9784" s="101"/>
      <c r="B9784" s="102"/>
      <c r="C9784" s="87"/>
      <c r="D9784" s="103"/>
      <c r="F9784" s="101"/>
      <c r="G9784" s="104"/>
      <c r="H9784" s="86" t="e">
        <f>IF(I9784="fora",0%,G9784/QUÓRUM!$C$6)</f>
        <v>#DIV/0!</v>
      </c>
      <c r="I9784" s="87"/>
      <c r="J9784" s="88"/>
      <c r="K9784" s="88"/>
      <c r="L9784" s="89"/>
      <c r="M9784" s="89"/>
      <c r="O9784" s="105"/>
      <c r="P9784" s="105"/>
      <c r="Q9784" s="105"/>
      <c r="R9784" s="106"/>
      <c r="S9784" s="127"/>
      <c r="T9784" s="107"/>
    </row>
    <row r="9785" spans="1:20" x14ac:dyDescent="0.3">
      <c r="A9785" s="101"/>
      <c r="B9785" s="102"/>
      <c r="C9785" s="87"/>
      <c r="D9785" s="103"/>
      <c r="F9785" s="101"/>
      <c r="G9785" s="104"/>
      <c r="H9785" s="86" t="e">
        <f>IF(I9785="fora",0%,G9785/QUÓRUM!$C$6)</f>
        <v>#DIV/0!</v>
      </c>
      <c r="I9785" s="87"/>
      <c r="J9785" s="88"/>
      <c r="K9785" s="88"/>
      <c r="L9785" s="89"/>
      <c r="M9785" s="89"/>
      <c r="O9785" s="105"/>
      <c r="P9785" s="105"/>
      <c r="Q9785" s="105"/>
      <c r="R9785" s="106"/>
      <c r="S9785" s="127"/>
      <c r="T9785" s="107"/>
    </row>
    <row r="9786" spans="1:20" x14ac:dyDescent="0.3">
      <c r="A9786" s="101"/>
      <c r="B9786" s="102"/>
      <c r="C9786" s="87"/>
      <c r="D9786" s="103"/>
      <c r="F9786" s="101"/>
      <c r="G9786" s="104"/>
      <c r="H9786" s="86" t="e">
        <f>IF(I9786="fora",0%,G9786/QUÓRUM!$C$6)</f>
        <v>#DIV/0!</v>
      </c>
      <c r="I9786" s="87"/>
      <c r="J9786" s="88"/>
      <c r="K9786" s="88"/>
      <c r="L9786" s="89"/>
      <c r="M9786" s="89"/>
      <c r="O9786" s="105"/>
      <c r="P9786" s="105"/>
      <c r="Q9786" s="105"/>
      <c r="R9786" s="106"/>
      <c r="S9786" s="127"/>
      <c r="T9786" s="107"/>
    </row>
    <row r="9787" spans="1:20" x14ac:dyDescent="0.3">
      <c r="A9787" s="101"/>
      <c r="B9787" s="102"/>
      <c r="C9787" s="87"/>
      <c r="D9787" s="103"/>
      <c r="F9787" s="101"/>
      <c r="G9787" s="104"/>
      <c r="H9787" s="86" t="e">
        <f>IF(I9787="fora",0%,G9787/QUÓRUM!$C$6)</f>
        <v>#DIV/0!</v>
      </c>
      <c r="I9787" s="87"/>
      <c r="J9787" s="88"/>
      <c r="K9787" s="88"/>
      <c r="L9787" s="89"/>
      <c r="M9787" s="89"/>
      <c r="O9787" s="105"/>
      <c r="P9787" s="105"/>
      <c r="Q9787" s="105"/>
      <c r="R9787" s="106"/>
      <c r="S9787" s="127"/>
      <c r="T9787" s="107"/>
    </row>
    <row r="9788" spans="1:20" x14ac:dyDescent="0.3">
      <c r="A9788" s="101"/>
      <c r="B9788" s="102"/>
      <c r="C9788" s="87"/>
      <c r="D9788" s="103"/>
      <c r="F9788" s="101"/>
      <c r="G9788" s="104"/>
      <c r="H9788" s="86" t="e">
        <f>IF(I9788="fora",0%,G9788/QUÓRUM!$C$6)</f>
        <v>#DIV/0!</v>
      </c>
      <c r="I9788" s="87"/>
      <c r="J9788" s="88"/>
      <c r="K9788" s="88"/>
      <c r="L9788" s="89"/>
      <c r="M9788" s="89"/>
      <c r="O9788" s="105"/>
      <c r="P9788" s="105"/>
      <c r="Q9788" s="105"/>
      <c r="R9788" s="106"/>
      <c r="S9788" s="127"/>
      <c r="T9788" s="107"/>
    </row>
    <row r="9789" spans="1:20" x14ac:dyDescent="0.3">
      <c r="A9789" s="101"/>
      <c r="B9789" s="102"/>
      <c r="C9789" s="87"/>
      <c r="D9789" s="103"/>
      <c r="F9789" s="101"/>
      <c r="G9789" s="104"/>
      <c r="H9789" s="86" t="e">
        <f>IF(I9789="fora",0%,G9789/QUÓRUM!$C$6)</f>
        <v>#DIV/0!</v>
      </c>
      <c r="I9789" s="87"/>
      <c r="J9789" s="88"/>
      <c r="K9789" s="88"/>
      <c r="L9789" s="89"/>
      <c r="M9789" s="89"/>
      <c r="O9789" s="105"/>
      <c r="P9789" s="105"/>
      <c r="Q9789" s="105"/>
      <c r="R9789" s="106"/>
      <c r="S9789" s="127"/>
      <c r="T9789" s="107"/>
    </row>
    <row r="9790" spans="1:20" x14ac:dyDescent="0.3">
      <c r="A9790" s="101"/>
      <c r="B9790" s="102"/>
      <c r="C9790" s="87"/>
      <c r="D9790" s="103"/>
      <c r="F9790" s="101"/>
      <c r="G9790" s="104"/>
      <c r="H9790" s="86" t="e">
        <f>IF(I9790="fora",0%,G9790/QUÓRUM!$C$6)</f>
        <v>#DIV/0!</v>
      </c>
      <c r="I9790" s="87"/>
      <c r="J9790" s="88"/>
      <c r="K9790" s="88"/>
      <c r="L9790" s="89"/>
      <c r="M9790" s="89"/>
      <c r="O9790" s="105"/>
      <c r="P9790" s="105"/>
      <c r="Q9790" s="105"/>
      <c r="R9790" s="106"/>
      <c r="S9790" s="127"/>
      <c r="T9790" s="107"/>
    </row>
    <row r="9791" spans="1:20" x14ac:dyDescent="0.3">
      <c r="C9791" s="87"/>
      <c r="H9791" s="86" t="e">
        <f>IF(I9791="fora",0%,G9791/QUÓRUM!$C$6)</f>
        <v>#DIV/0!</v>
      </c>
      <c r="I9791" s="87"/>
      <c r="J9791" s="88"/>
      <c r="K9791" s="88"/>
      <c r="L9791" s="89"/>
      <c r="M9791" s="89"/>
      <c r="Q9791" s="105"/>
    </row>
    <row r="9792" spans="1:20" x14ac:dyDescent="0.3">
      <c r="C9792" s="87"/>
      <c r="H9792" s="86" t="e">
        <f>IF(I9792="fora",0%,G9792/QUÓRUM!$C$6)</f>
        <v>#DIV/0!</v>
      </c>
      <c r="I9792" s="87"/>
      <c r="J9792" s="88"/>
      <c r="K9792" s="88"/>
      <c r="L9792" s="89"/>
      <c r="M9792" s="89"/>
      <c r="Q9792" s="105"/>
    </row>
    <row r="9793" spans="1:20" x14ac:dyDescent="0.3">
      <c r="A9793" s="101"/>
      <c r="B9793" s="102"/>
      <c r="C9793" s="87"/>
      <c r="D9793" s="103"/>
      <c r="F9793" s="101"/>
      <c r="G9793" s="104"/>
      <c r="H9793" s="86" t="e">
        <f>IF(I9793="fora",0%,G9793/QUÓRUM!$C$6)</f>
        <v>#DIV/0!</v>
      </c>
      <c r="I9793" s="87"/>
      <c r="J9793" s="88"/>
      <c r="K9793" s="88"/>
      <c r="L9793" s="89"/>
      <c r="M9793" s="89"/>
      <c r="O9793" s="105"/>
      <c r="P9793" s="105"/>
      <c r="Q9793" s="105"/>
      <c r="R9793" s="106"/>
      <c r="S9793" s="127"/>
      <c r="T9793" s="107"/>
    </row>
    <row r="9794" spans="1:20" x14ac:dyDescent="0.3">
      <c r="C9794" s="87"/>
      <c r="H9794" s="86" t="e">
        <f>IF(I9794="fora",0%,G9794/QUÓRUM!$C$6)</f>
        <v>#DIV/0!</v>
      </c>
      <c r="I9794" s="87"/>
      <c r="J9794" s="88"/>
      <c r="K9794" s="88"/>
      <c r="L9794" s="89"/>
      <c r="M9794" s="89"/>
      <c r="Q9794" s="105"/>
    </row>
    <row r="9795" spans="1:20" x14ac:dyDescent="0.3">
      <c r="A9795" s="101"/>
      <c r="B9795" s="102"/>
      <c r="C9795" s="87"/>
      <c r="D9795" s="103"/>
      <c r="F9795" s="101"/>
      <c r="G9795" s="104"/>
      <c r="H9795" s="86" t="e">
        <f>IF(I9795="fora",0%,G9795/QUÓRUM!$C$6)</f>
        <v>#DIV/0!</v>
      </c>
      <c r="I9795" s="87"/>
      <c r="J9795" s="88"/>
      <c r="K9795" s="88"/>
      <c r="L9795" s="89"/>
      <c r="M9795" s="89"/>
      <c r="O9795" s="105"/>
      <c r="P9795" s="105"/>
      <c r="Q9795" s="105"/>
      <c r="R9795" s="106"/>
      <c r="S9795" s="127"/>
      <c r="T9795" s="107"/>
    </row>
    <row r="9796" spans="1:20" x14ac:dyDescent="0.3">
      <c r="C9796" s="87"/>
      <c r="H9796" s="86" t="e">
        <f>IF(I9796="fora",0%,G9796/QUÓRUM!$C$6)</f>
        <v>#DIV/0!</v>
      </c>
      <c r="I9796" s="87"/>
      <c r="J9796" s="88"/>
      <c r="K9796" s="88"/>
      <c r="L9796" s="89"/>
      <c r="M9796" s="89"/>
      <c r="Q9796" s="105"/>
    </row>
    <row r="9797" spans="1:20" x14ac:dyDescent="0.3">
      <c r="C9797" s="87"/>
      <c r="H9797" s="86" t="e">
        <f>IF(I9797="fora",0%,G9797/QUÓRUM!$C$6)</f>
        <v>#DIV/0!</v>
      </c>
      <c r="I9797" s="87"/>
      <c r="J9797" s="88"/>
      <c r="K9797" s="88"/>
      <c r="L9797" s="89"/>
      <c r="M9797" s="89"/>
      <c r="Q9797" s="105"/>
    </row>
    <row r="9798" spans="1:20" x14ac:dyDescent="0.3">
      <c r="A9798" s="101"/>
      <c r="B9798" s="102"/>
      <c r="C9798" s="87"/>
      <c r="D9798" s="103"/>
      <c r="F9798" s="101"/>
      <c r="G9798" s="104"/>
      <c r="H9798" s="86" t="e">
        <f>IF(I9798="fora",0%,G9798/QUÓRUM!$C$6)</f>
        <v>#DIV/0!</v>
      </c>
      <c r="I9798" s="87"/>
      <c r="J9798" s="88"/>
      <c r="K9798" s="88"/>
      <c r="L9798" s="89"/>
      <c r="M9798" s="89"/>
      <c r="O9798" s="105"/>
      <c r="P9798" s="105"/>
      <c r="Q9798" s="105"/>
      <c r="R9798" s="106"/>
      <c r="S9798" s="127"/>
      <c r="T9798" s="107"/>
    </row>
    <row r="9799" spans="1:20" x14ac:dyDescent="0.3">
      <c r="A9799" s="101"/>
      <c r="B9799" s="102"/>
      <c r="C9799" s="87"/>
      <c r="D9799" s="103"/>
      <c r="F9799" s="101"/>
      <c r="G9799" s="104"/>
      <c r="H9799" s="86" t="e">
        <f>IF(I9799="fora",0%,G9799/QUÓRUM!$C$6)</f>
        <v>#DIV/0!</v>
      </c>
      <c r="I9799" s="87"/>
      <c r="J9799" s="88"/>
      <c r="K9799" s="88"/>
      <c r="L9799" s="89"/>
      <c r="M9799" s="89"/>
      <c r="O9799" s="105"/>
      <c r="P9799" s="105"/>
      <c r="Q9799" s="105"/>
      <c r="R9799" s="106"/>
      <c r="S9799" s="127"/>
      <c r="T9799" s="107"/>
    </row>
    <row r="9800" spans="1:20" x14ac:dyDescent="0.3">
      <c r="A9800" s="101"/>
      <c r="B9800" s="102"/>
      <c r="C9800" s="87"/>
      <c r="D9800" s="103"/>
      <c r="F9800" s="101"/>
      <c r="G9800" s="104"/>
      <c r="H9800" s="86" t="e">
        <f>IF(I9800="fora",0%,G9800/QUÓRUM!$C$6)</f>
        <v>#DIV/0!</v>
      </c>
      <c r="I9800" s="87"/>
      <c r="J9800" s="88"/>
      <c r="K9800" s="88"/>
      <c r="L9800" s="89"/>
      <c r="M9800" s="89"/>
      <c r="O9800" s="105"/>
      <c r="P9800" s="105"/>
      <c r="Q9800" s="105"/>
      <c r="R9800" s="106"/>
      <c r="S9800" s="127"/>
      <c r="T9800" s="107"/>
    </row>
    <row r="9801" spans="1:20" x14ac:dyDescent="0.3">
      <c r="A9801" s="101"/>
      <c r="B9801" s="102"/>
      <c r="C9801" s="87"/>
      <c r="D9801" s="103"/>
      <c r="F9801" s="101"/>
      <c r="G9801" s="104"/>
      <c r="H9801" s="86" t="e">
        <f>IF(I9801="fora",0%,G9801/QUÓRUM!$C$6)</f>
        <v>#DIV/0!</v>
      </c>
      <c r="I9801" s="87"/>
      <c r="J9801" s="88"/>
      <c r="K9801" s="88"/>
      <c r="L9801" s="89"/>
      <c r="M9801" s="89"/>
      <c r="O9801" s="105"/>
      <c r="P9801" s="105"/>
      <c r="Q9801" s="105"/>
      <c r="R9801" s="106"/>
      <c r="S9801" s="127"/>
      <c r="T9801" s="107"/>
    </row>
    <row r="9802" spans="1:20" x14ac:dyDescent="0.3">
      <c r="C9802" s="87"/>
      <c r="H9802" s="86" t="e">
        <f>IF(I9802="fora",0%,G9802/QUÓRUM!$C$6)</f>
        <v>#DIV/0!</v>
      </c>
      <c r="I9802" s="87"/>
      <c r="J9802" s="88"/>
      <c r="K9802" s="88"/>
      <c r="L9802" s="89"/>
      <c r="M9802" s="89"/>
      <c r="Q9802" s="105"/>
    </row>
    <row r="9803" spans="1:20" x14ac:dyDescent="0.3">
      <c r="A9803" s="101"/>
      <c r="B9803" s="102"/>
      <c r="C9803" s="87"/>
      <c r="D9803" s="103"/>
      <c r="F9803" s="101"/>
      <c r="G9803" s="104"/>
      <c r="H9803" s="86" t="e">
        <f>IF(I9803="fora",0%,G9803/QUÓRUM!$C$6)</f>
        <v>#DIV/0!</v>
      </c>
      <c r="I9803" s="87"/>
      <c r="J9803" s="88"/>
      <c r="K9803" s="88"/>
      <c r="L9803" s="89"/>
      <c r="M9803" s="89"/>
      <c r="O9803" s="105"/>
      <c r="P9803" s="105"/>
      <c r="Q9803" s="105"/>
      <c r="R9803" s="106"/>
      <c r="S9803" s="127"/>
      <c r="T9803" s="107"/>
    </row>
    <row r="9804" spans="1:20" x14ac:dyDescent="0.3">
      <c r="A9804" s="101"/>
      <c r="B9804" s="102"/>
      <c r="C9804" s="87"/>
      <c r="D9804" s="103"/>
      <c r="F9804" s="101"/>
      <c r="G9804" s="104"/>
      <c r="H9804" s="86" t="e">
        <f>IF(I9804="fora",0%,G9804/QUÓRUM!$C$6)</f>
        <v>#DIV/0!</v>
      </c>
      <c r="I9804" s="87"/>
      <c r="J9804" s="88"/>
      <c r="K9804" s="88"/>
      <c r="L9804" s="89"/>
      <c r="M9804" s="89"/>
      <c r="O9804" s="105"/>
      <c r="P9804" s="105"/>
      <c r="Q9804" s="105"/>
      <c r="R9804" s="106"/>
      <c r="S9804" s="127"/>
      <c r="T9804" s="107"/>
    </row>
    <row r="9805" spans="1:20" x14ac:dyDescent="0.3">
      <c r="A9805" s="101"/>
      <c r="B9805" s="102"/>
      <c r="C9805" s="87"/>
      <c r="D9805" s="103"/>
      <c r="F9805" s="101"/>
      <c r="G9805" s="104"/>
      <c r="H9805" s="86" t="e">
        <f>IF(I9805="fora",0%,G9805/QUÓRUM!$C$6)</f>
        <v>#DIV/0!</v>
      </c>
      <c r="I9805" s="87"/>
      <c r="J9805" s="88"/>
      <c r="K9805" s="88"/>
      <c r="L9805" s="89"/>
      <c r="M9805" s="89"/>
      <c r="O9805" s="105"/>
      <c r="P9805" s="105"/>
      <c r="Q9805" s="105"/>
      <c r="R9805" s="106"/>
      <c r="S9805" s="127"/>
      <c r="T9805" s="107"/>
    </row>
    <row r="9806" spans="1:20" x14ac:dyDescent="0.3">
      <c r="A9806" s="101"/>
      <c r="B9806" s="102"/>
      <c r="C9806" s="87"/>
      <c r="D9806" s="103"/>
      <c r="F9806" s="101"/>
      <c r="G9806" s="104"/>
      <c r="H9806" s="86" t="e">
        <f>IF(I9806="fora",0%,G9806/QUÓRUM!$C$6)</f>
        <v>#DIV/0!</v>
      </c>
      <c r="I9806" s="87"/>
      <c r="J9806" s="88"/>
      <c r="K9806" s="88"/>
      <c r="L9806" s="89"/>
      <c r="M9806" s="89"/>
      <c r="O9806" s="105"/>
      <c r="P9806" s="105"/>
      <c r="Q9806" s="105"/>
      <c r="R9806" s="106"/>
      <c r="S9806" s="127"/>
      <c r="T9806" s="107"/>
    </row>
    <row r="9807" spans="1:20" x14ac:dyDescent="0.3">
      <c r="A9807" s="101"/>
      <c r="B9807" s="102"/>
      <c r="C9807" s="87"/>
      <c r="D9807" s="103"/>
      <c r="F9807" s="101"/>
      <c r="G9807" s="104"/>
      <c r="H9807" s="86" t="e">
        <f>IF(I9807="fora",0%,G9807/QUÓRUM!$C$6)</f>
        <v>#DIV/0!</v>
      </c>
      <c r="I9807" s="87"/>
      <c r="J9807" s="88"/>
      <c r="K9807" s="88"/>
      <c r="L9807" s="89"/>
      <c r="M9807" s="89"/>
      <c r="O9807" s="105"/>
      <c r="P9807" s="105"/>
      <c r="Q9807" s="105"/>
      <c r="R9807" s="106"/>
      <c r="S9807" s="127"/>
      <c r="T9807" s="107"/>
    </row>
    <row r="9808" spans="1:20" x14ac:dyDescent="0.3">
      <c r="A9808" s="101"/>
      <c r="B9808" s="102"/>
      <c r="C9808" s="87"/>
      <c r="D9808" s="103"/>
      <c r="F9808" s="101"/>
      <c r="G9808" s="104"/>
      <c r="H9808" s="86" t="e">
        <f>IF(I9808="fora",0%,G9808/QUÓRUM!$C$6)</f>
        <v>#DIV/0!</v>
      </c>
      <c r="I9808" s="87"/>
      <c r="J9808" s="88"/>
      <c r="K9808" s="88"/>
      <c r="L9808" s="89"/>
      <c r="M9808" s="89"/>
      <c r="O9808" s="105"/>
      <c r="P9808" s="105"/>
      <c r="Q9808" s="105"/>
      <c r="R9808" s="106"/>
      <c r="S9808" s="127"/>
      <c r="T9808" s="107"/>
    </row>
    <row r="9809" spans="1:20" x14ac:dyDescent="0.3">
      <c r="A9809" s="101"/>
      <c r="B9809" s="102"/>
      <c r="C9809" s="87"/>
      <c r="D9809" s="103"/>
      <c r="F9809" s="101"/>
      <c r="G9809" s="104"/>
      <c r="H9809" s="86" t="e">
        <f>IF(I9809="fora",0%,G9809/QUÓRUM!$C$6)</f>
        <v>#DIV/0!</v>
      </c>
      <c r="I9809" s="87"/>
      <c r="J9809" s="88"/>
      <c r="K9809" s="88"/>
      <c r="L9809" s="89"/>
      <c r="M9809" s="89"/>
      <c r="O9809" s="105"/>
      <c r="P9809" s="105"/>
      <c r="Q9809" s="105"/>
      <c r="R9809" s="106"/>
      <c r="S9809" s="127"/>
      <c r="T9809" s="107"/>
    </row>
    <row r="9810" spans="1:20" x14ac:dyDescent="0.3">
      <c r="A9810" s="101"/>
      <c r="B9810" s="102"/>
      <c r="C9810" s="87"/>
      <c r="D9810" s="103"/>
      <c r="F9810" s="101"/>
      <c r="G9810" s="104"/>
      <c r="H9810" s="86" t="e">
        <f>IF(I9810="fora",0%,G9810/QUÓRUM!$C$6)</f>
        <v>#DIV/0!</v>
      </c>
      <c r="I9810" s="87"/>
      <c r="J9810" s="88"/>
      <c r="K9810" s="88"/>
      <c r="L9810" s="89"/>
      <c r="M9810" s="89"/>
      <c r="O9810" s="105"/>
      <c r="P9810" s="105"/>
      <c r="Q9810" s="105"/>
      <c r="R9810" s="106"/>
      <c r="S9810" s="127"/>
      <c r="T9810" s="107"/>
    </row>
    <row r="9811" spans="1:20" x14ac:dyDescent="0.3">
      <c r="A9811" s="101"/>
      <c r="B9811" s="102"/>
      <c r="C9811" s="87"/>
      <c r="D9811" s="103"/>
      <c r="F9811" s="101"/>
      <c r="G9811" s="104"/>
      <c r="H9811" s="86" t="e">
        <f>IF(I9811="fora",0%,G9811/QUÓRUM!$C$6)</f>
        <v>#DIV/0!</v>
      </c>
      <c r="I9811" s="87"/>
      <c r="J9811" s="88"/>
      <c r="K9811" s="88"/>
      <c r="L9811" s="89"/>
      <c r="M9811" s="89"/>
      <c r="O9811" s="105"/>
      <c r="P9811" s="105"/>
      <c r="Q9811" s="105"/>
      <c r="R9811" s="106"/>
      <c r="S9811" s="127"/>
      <c r="T9811" s="107"/>
    </row>
    <row r="9812" spans="1:20" x14ac:dyDescent="0.3">
      <c r="A9812" s="101"/>
      <c r="B9812" s="102"/>
      <c r="C9812" s="87"/>
      <c r="D9812" s="103"/>
      <c r="F9812" s="101"/>
      <c r="G9812" s="104"/>
      <c r="H9812" s="86" t="e">
        <f>IF(I9812="fora",0%,G9812/QUÓRUM!$C$6)</f>
        <v>#DIV/0!</v>
      </c>
      <c r="I9812" s="87"/>
      <c r="J9812" s="88"/>
      <c r="K9812" s="88"/>
      <c r="L9812" s="89"/>
      <c r="M9812" s="89"/>
      <c r="O9812" s="105"/>
      <c r="P9812" s="105"/>
      <c r="Q9812" s="105"/>
      <c r="R9812" s="106"/>
      <c r="S9812" s="127">
        <f>R9812*G9812</f>
        <v>0</v>
      </c>
      <c r="T9812" s="107" t="e">
        <f>IF(I9812="fora",0%,S9812/QUÓRUM!$M$7)</f>
        <v>#DIV/0!</v>
      </c>
    </row>
    <row r="9813" spans="1:20" x14ac:dyDescent="0.3">
      <c r="A9813" s="101"/>
      <c r="B9813" s="102"/>
      <c r="C9813" s="87"/>
      <c r="D9813" s="103"/>
      <c r="F9813" s="101"/>
      <c r="G9813" s="104"/>
      <c r="H9813" s="86" t="e">
        <f>IF(I9813="fora",0%,G9813/QUÓRUM!$C$6)</f>
        <v>#DIV/0!</v>
      </c>
      <c r="I9813" s="87"/>
      <c r="J9813" s="88"/>
      <c r="K9813" s="88"/>
      <c r="L9813" s="89"/>
      <c r="M9813" s="89"/>
      <c r="O9813" s="105"/>
      <c r="P9813" s="105"/>
      <c r="Q9813" s="105"/>
      <c r="R9813" s="106"/>
      <c r="S9813" s="127"/>
      <c r="T9813" s="107"/>
    </row>
    <row r="9814" spans="1:20" x14ac:dyDescent="0.3">
      <c r="A9814" s="101"/>
      <c r="B9814" s="102"/>
      <c r="C9814" s="87"/>
      <c r="D9814" s="103"/>
      <c r="F9814" s="101"/>
      <c r="G9814" s="104"/>
      <c r="H9814" s="86" t="e">
        <f>IF(I9814="fora",0%,G9814/QUÓRUM!$C$6)</f>
        <v>#DIV/0!</v>
      </c>
      <c r="I9814" s="87"/>
      <c r="J9814" s="88"/>
      <c r="K9814" s="88"/>
      <c r="L9814" s="89"/>
      <c r="M9814" s="89"/>
      <c r="O9814" s="105"/>
      <c r="P9814" s="105"/>
      <c r="Q9814" s="105"/>
      <c r="R9814" s="106"/>
      <c r="S9814" s="127"/>
      <c r="T9814" s="107"/>
    </row>
    <row r="9815" spans="1:20" x14ac:dyDescent="0.3">
      <c r="C9815" s="87"/>
      <c r="H9815" s="86" t="e">
        <f>IF(I9815="fora",0%,G9815/QUÓRUM!$C$6)</f>
        <v>#DIV/0!</v>
      </c>
      <c r="I9815" s="87"/>
      <c r="J9815" s="88"/>
      <c r="K9815" s="88"/>
      <c r="L9815" s="89"/>
      <c r="M9815" s="89"/>
      <c r="Q9815" s="105"/>
    </row>
    <row r="9816" spans="1:20" x14ac:dyDescent="0.3">
      <c r="A9816" s="101"/>
      <c r="B9816" s="102"/>
      <c r="C9816" s="87"/>
      <c r="D9816" s="103"/>
      <c r="F9816" s="101"/>
      <c r="G9816" s="104"/>
      <c r="H9816" s="86" t="e">
        <f>IF(I9816="fora",0%,G9816/QUÓRUM!$C$6)</f>
        <v>#DIV/0!</v>
      </c>
      <c r="I9816" s="87"/>
      <c r="J9816" s="88"/>
      <c r="K9816" s="88"/>
      <c r="L9816" s="89"/>
      <c r="M9816" s="89"/>
      <c r="O9816" s="105"/>
      <c r="P9816" s="105"/>
      <c r="Q9816" s="105"/>
      <c r="R9816" s="106"/>
      <c r="S9816" s="127"/>
      <c r="T9816" s="107"/>
    </row>
    <row r="9817" spans="1:20" x14ac:dyDescent="0.3">
      <c r="C9817" s="87"/>
      <c r="H9817" s="86" t="e">
        <f>IF(I9817="fora",0%,G9817/QUÓRUM!$C$6)</f>
        <v>#DIV/0!</v>
      </c>
      <c r="I9817" s="87"/>
      <c r="J9817" s="88"/>
      <c r="K9817" s="88"/>
      <c r="L9817" s="89"/>
      <c r="M9817" s="89"/>
      <c r="Q9817" s="105"/>
    </row>
    <row r="9818" spans="1:20" x14ac:dyDescent="0.3">
      <c r="A9818" s="101"/>
      <c r="B9818" s="102"/>
      <c r="C9818" s="87"/>
      <c r="D9818" s="103"/>
      <c r="F9818" s="101"/>
      <c r="G9818" s="104"/>
      <c r="H9818" s="86" t="e">
        <f>IF(I9818="fora",0%,G9818/QUÓRUM!$C$6)</f>
        <v>#DIV/0!</v>
      </c>
      <c r="I9818" s="87"/>
      <c r="J9818" s="88"/>
      <c r="K9818" s="88"/>
      <c r="L9818" s="89"/>
      <c r="M9818" s="89"/>
      <c r="O9818" s="105"/>
      <c r="P9818" s="105"/>
      <c r="Q9818" s="105"/>
      <c r="R9818" s="106"/>
      <c r="S9818" s="127"/>
      <c r="T9818" s="107"/>
    </row>
    <row r="9819" spans="1:20" x14ac:dyDescent="0.3">
      <c r="C9819" s="87"/>
      <c r="H9819" s="86" t="e">
        <f>IF(I9819="fora",0%,G9819/QUÓRUM!$C$6)</f>
        <v>#DIV/0!</v>
      </c>
      <c r="I9819" s="87"/>
      <c r="J9819" s="88"/>
      <c r="K9819" s="88"/>
      <c r="L9819" s="89"/>
      <c r="M9819" s="89"/>
      <c r="Q9819" s="105"/>
    </row>
    <row r="9820" spans="1:20" x14ac:dyDescent="0.3">
      <c r="C9820" s="87"/>
      <c r="H9820" s="86" t="e">
        <f>IF(I9820="fora",0%,G9820/QUÓRUM!$C$6)</f>
        <v>#DIV/0!</v>
      </c>
      <c r="I9820" s="87"/>
      <c r="J9820" s="88"/>
      <c r="K9820" s="88"/>
      <c r="L9820" s="89"/>
      <c r="M9820" s="89"/>
      <c r="Q9820" s="105"/>
    </row>
    <row r="9821" spans="1:20" x14ac:dyDescent="0.3">
      <c r="A9821" s="101"/>
      <c r="B9821" s="102"/>
      <c r="C9821" s="87"/>
      <c r="D9821" s="103"/>
      <c r="F9821" s="101"/>
      <c r="G9821" s="104"/>
      <c r="H9821" s="86" t="e">
        <f>IF(I9821="fora",0%,G9821/QUÓRUM!$C$6)</f>
        <v>#DIV/0!</v>
      </c>
      <c r="I9821" s="87"/>
      <c r="J9821" s="88"/>
      <c r="K9821" s="88"/>
      <c r="L9821" s="89"/>
      <c r="M9821" s="89"/>
      <c r="O9821" s="105"/>
      <c r="P9821" s="105"/>
      <c r="Q9821" s="105"/>
      <c r="R9821" s="106"/>
      <c r="S9821" s="127"/>
      <c r="T9821" s="107"/>
    </row>
    <row r="9822" spans="1:20" x14ac:dyDescent="0.3">
      <c r="C9822" s="87"/>
      <c r="H9822" s="86" t="e">
        <f>IF(I9822="fora",0%,G9822/QUÓRUM!$C$6)</f>
        <v>#DIV/0!</v>
      </c>
      <c r="I9822" s="87"/>
      <c r="J9822" s="88"/>
      <c r="K9822" s="88"/>
      <c r="L9822" s="89"/>
      <c r="M9822" s="89"/>
      <c r="Q9822" s="105"/>
    </row>
    <row r="9823" spans="1:20" x14ac:dyDescent="0.3">
      <c r="C9823" s="87"/>
      <c r="H9823" s="86" t="e">
        <f>IF(I9823="fora",0%,G9823/QUÓRUM!$C$6)</f>
        <v>#DIV/0!</v>
      </c>
      <c r="I9823" s="87"/>
      <c r="J9823" s="88"/>
      <c r="K9823" s="88"/>
      <c r="L9823" s="89"/>
      <c r="M9823" s="89"/>
      <c r="Q9823" s="105"/>
    </row>
    <row r="9824" spans="1:20" x14ac:dyDescent="0.3">
      <c r="A9824" s="101"/>
      <c r="B9824" s="102"/>
      <c r="C9824" s="87"/>
      <c r="D9824" s="103"/>
      <c r="F9824" s="101"/>
      <c r="G9824" s="104"/>
      <c r="H9824" s="86" t="e">
        <f>IF(I9824="fora",0%,G9824/QUÓRUM!$C$6)</f>
        <v>#DIV/0!</v>
      </c>
      <c r="I9824" s="87"/>
      <c r="J9824" s="88"/>
      <c r="K9824" s="88"/>
      <c r="L9824" s="89"/>
      <c r="M9824" s="89"/>
      <c r="O9824" s="105"/>
      <c r="P9824" s="105"/>
      <c r="Q9824" s="105"/>
      <c r="R9824" s="106"/>
      <c r="S9824" s="127">
        <f>R9824*G9824</f>
        <v>0</v>
      </c>
      <c r="T9824" s="107" t="e">
        <f>IF(I9824="fora",0%,S9824/QUÓRUM!$M$7)</f>
        <v>#DIV/0!</v>
      </c>
    </row>
    <row r="9825" spans="1:20" x14ac:dyDescent="0.3">
      <c r="A9825" s="101"/>
      <c r="B9825" s="102"/>
      <c r="C9825" s="87"/>
      <c r="D9825" s="103"/>
      <c r="F9825" s="101"/>
      <c r="G9825" s="104"/>
      <c r="H9825" s="86" t="e">
        <f>IF(I9825="fora",0%,G9825/QUÓRUM!$C$6)</f>
        <v>#DIV/0!</v>
      </c>
      <c r="I9825" s="87"/>
      <c r="J9825" s="88"/>
      <c r="K9825" s="88"/>
      <c r="L9825" s="89"/>
      <c r="M9825" s="89"/>
      <c r="O9825" s="105"/>
      <c r="P9825" s="105"/>
      <c r="Q9825" s="105"/>
      <c r="R9825" s="106"/>
      <c r="S9825" s="127">
        <f>R9825*G9825</f>
        <v>0</v>
      </c>
      <c r="T9825" s="107" t="e">
        <f>IF(I9825="fora",0%,S9825/QUÓRUM!$M$7)</f>
        <v>#DIV/0!</v>
      </c>
    </row>
    <row r="9826" spans="1:20" x14ac:dyDescent="0.3">
      <c r="A9826" s="101"/>
      <c r="B9826" s="102"/>
      <c r="C9826" s="87"/>
      <c r="D9826" s="103"/>
      <c r="F9826" s="101"/>
      <c r="G9826" s="104"/>
      <c r="H9826" s="86" t="e">
        <f>IF(I9826="fora",0%,G9826/QUÓRUM!$C$6)</f>
        <v>#DIV/0!</v>
      </c>
      <c r="I9826" s="87"/>
      <c r="J9826" s="88"/>
      <c r="K9826" s="88"/>
      <c r="L9826" s="89"/>
      <c r="M9826" s="89"/>
      <c r="O9826" s="105"/>
      <c r="P9826" s="105"/>
      <c r="Q9826" s="105"/>
      <c r="R9826" s="106"/>
      <c r="S9826" s="127"/>
      <c r="T9826" s="107"/>
    </row>
    <row r="9827" spans="1:20" x14ac:dyDescent="0.3">
      <c r="A9827" s="101"/>
      <c r="B9827" s="102"/>
      <c r="C9827" s="87"/>
      <c r="D9827" s="103"/>
      <c r="F9827" s="101"/>
      <c r="G9827" s="104"/>
      <c r="H9827" s="86" t="e">
        <f>IF(I9827="fora",0%,G9827/QUÓRUM!$C$6)</f>
        <v>#DIV/0!</v>
      </c>
      <c r="I9827" s="87"/>
      <c r="J9827" s="88"/>
      <c r="K9827" s="88"/>
      <c r="L9827" s="89"/>
      <c r="M9827" s="89"/>
      <c r="O9827" s="105"/>
      <c r="P9827" s="105"/>
      <c r="Q9827" s="105"/>
      <c r="R9827" s="106"/>
      <c r="S9827" s="127"/>
      <c r="T9827" s="107"/>
    </row>
    <row r="9828" spans="1:20" x14ac:dyDescent="0.3">
      <c r="A9828" s="101"/>
      <c r="B9828" s="102"/>
      <c r="C9828" s="87"/>
      <c r="D9828" s="103"/>
      <c r="F9828" s="101"/>
      <c r="G9828" s="104"/>
      <c r="H9828" s="86" t="e">
        <f>IF(I9828="fora",0%,G9828/QUÓRUM!$C$6)</f>
        <v>#DIV/0!</v>
      </c>
      <c r="I9828" s="87"/>
      <c r="J9828" s="88"/>
      <c r="K9828" s="88"/>
      <c r="L9828" s="89"/>
      <c r="M9828" s="89"/>
      <c r="O9828" s="105"/>
      <c r="P9828" s="105"/>
      <c r="Q9828" s="105"/>
      <c r="R9828" s="106"/>
      <c r="S9828" s="127"/>
      <c r="T9828" s="107"/>
    </row>
    <row r="9829" spans="1:20" x14ac:dyDescent="0.3">
      <c r="A9829" s="101"/>
      <c r="B9829" s="102"/>
      <c r="C9829" s="87"/>
      <c r="D9829" s="103"/>
      <c r="F9829" s="101"/>
      <c r="G9829" s="104"/>
      <c r="H9829" s="86" t="e">
        <f>IF(I9829="fora",0%,G9829/QUÓRUM!$C$6)</f>
        <v>#DIV/0!</v>
      </c>
      <c r="I9829" s="87"/>
      <c r="J9829" s="88"/>
      <c r="K9829" s="88"/>
      <c r="L9829" s="89"/>
      <c r="M9829" s="89"/>
      <c r="O9829" s="105"/>
      <c r="P9829" s="105"/>
      <c r="Q9829" s="105"/>
      <c r="R9829" s="106"/>
      <c r="S9829" s="127"/>
      <c r="T9829" s="107"/>
    </row>
    <row r="9830" spans="1:20" x14ac:dyDescent="0.3">
      <c r="A9830" s="101"/>
      <c r="B9830" s="102"/>
      <c r="C9830" s="87"/>
      <c r="D9830" s="103"/>
      <c r="F9830" s="101"/>
      <c r="G9830" s="104"/>
      <c r="H9830" s="86" t="e">
        <f>IF(I9830="fora",0%,G9830/QUÓRUM!$C$6)</f>
        <v>#DIV/0!</v>
      </c>
      <c r="I9830" s="87"/>
      <c r="J9830" s="88"/>
      <c r="K9830" s="88"/>
      <c r="L9830" s="89"/>
      <c r="M9830" s="89"/>
      <c r="O9830" s="105"/>
      <c r="P9830" s="105"/>
      <c r="Q9830" s="105"/>
      <c r="R9830" s="106"/>
      <c r="S9830" s="127"/>
      <c r="T9830" s="107"/>
    </row>
    <row r="9831" spans="1:20" x14ac:dyDescent="0.3">
      <c r="A9831" s="101"/>
      <c r="B9831" s="102"/>
      <c r="C9831" s="87"/>
      <c r="D9831" s="103"/>
      <c r="F9831" s="101"/>
      <c r="G9831" s="104"/>
      <c r="H9831" s="86" t="e">
        <f>IF(I9831="fora",0%,G9831/QUÓRUM!$C$6)</f>
        <v>#DIV/0!</v>
      </c>
      <c r="I9831" s="87"/>
      <c r="J9831" s="88"/>
      <c r="K9831" s="88"/>
      <c r="L9831" s="89"/>
      <c r="M9831" s="89"/>
      <c r="O9831" s="105"/>
      <c r="P9831" s="105"/>
      <c r="Q9831" s="105"/>
      <c r="R9831" s="106"/>
      <c r="S9831" s="127"/>
      <c r="T9831" s="107"/>
    </row>
    <row r="9832" spans="1:20" x14ac:dyDescent="0.3">
      <c r="A9832" s="101"/>
      <c r="B9832" s="102"/>
      <c r="C9832" s="87"/>
      <c r="D9832" s="103"/>
      <c r="F9832" s="101"/>
      <c r="G9832" s="104"/>
      <c r="H9832" s="86" t="e">
        <f>IF(I9832="fora",0%,G9832/QUÓRUM!$C$6)</f>
        <v>#DIV/0!</v>
      </c>
      <c r="I9832" s="87"/>
      <c r="J9832" s="88"/>
      <c r="K9832" s="88"/>
      <c r="L9832" s="89"/>
      <c r="M9832" s="89"/>
      <c r="O9832" s="105"/>
      <c r="P9832" s="105"/>
      <c r="Q9832" s="105"/>
      <c r="R9832" s="106"/>
      <c r="S9832" s="127"/>
      <c r="T9832" s="107"/>
    </row>
    <row r="9833" spans="1:20" x14ac:dyDescent="0.3">
      <c r="A9833" s="101"/>
      <c r="B9833" s="102"/>
      <c r="C9833" s="87"/>
      <c r="D9833" s="103"/>
      <c r="F9833" s="101"/>
      <c r="G9833" s="104"/>
      <c r="H9833" s="86" t="e">
        <f>IF(I9833="fora",0%,G9833/QUÓRUM!$C$6)</f>
        <v>#DIV/0!</v>
      </c>
      <c r="I9833" s="87"/>
      <c r="J9833" s="88"/>
      <c r="K9833" s="88"/>
      <c r="L9833" s="89"/>
      <c r="M9833" s="89"/>
      <c r="O9833" s="105"/>
      <c r="P9833" s="105"/>
      <c r="Q9833" s="105"/>
      <c r="R9833" s="106"/>
      <c r="S9833" s="127"/>
      <c r="T9833" s="107"/>
    </row>
    <row r="9834" spans="1:20" x14ac:dyDescent="0.3">
      <c r="A9834" s="101"/>
      <c r="B9834" s="102"/>
      <c r="C9834" s="87"/>
      <c r="D9834" s="103"/>
      <c r="F9834" s="101"/>
      <c r="G9834" s="104"/>
      <c r="H9834" s="86" t="e">
        <f>IF(I9834="fora",0%,G9834/QUÓRUM!$C$6)</f>
        <v>#DIV/0!</v>
      </c>
      <c r="I9834" s="87"/>
      <c r="J9834" s="88"/>
      <c r="K9834" s="88"/>
      <c r="L9834" s="89"/>
      <c r="M9834" s="89"/>
      <c r="O9834" s="105"/>
      <c r="P9834" s="105"/>
      <c r="Q9834" s="105"/>
      <c r="R9834" s="106"/>
      <c r="S9834" s="127"/>
      <c r="T9834" s="107"/>
    </row>
    <row r="9835" spans="1:20" x14ac:dyDescent="0.3">
      <c r="A9835" s="101"/>
      <c r="B9835" s="102"/>
      <c r="C9835" s="87"/>
      <c r="D9835" s="103"/>
      <c r="F9835" s="101"/>
      <c r="G9835" s="104"/>
      <c r="H9835" s="86" t="e">
        <f>IF(I9835="fora",0%,G9835/QUÓRUM!$C$6)</f>
        <v>#DIV/0!</v>
      </c>
      <c r="I9835" s="87"/>
      <c r="J9835" s="88"/>
      <c r="K9835" s="88"/>
      <c r="L9835" s="89"/>
      <c r="M9835" s="89"/>
      <c r="O9835" s="105"/>
      <c r="P9835" s="105"/>
      <c r="Q9835" s="105"/>
      <c r="R9835" s="106"/>
      <c r="S9835" s="127"/>
      <c r="T9835" s="107"/>
    </row>
    <row r="9836" spans="1:20" x14ac:dyDescent="0.3">
      <c r="A9836" s="101"/>
      <c r="B9836" s="102"/>
      <c r="C9836" s="87"/>
      <c r="D9836" s="103"/>
      <c r="F9836" s="101"/>
      <c r="G9836" s="104"/>
      <c r="H9836" s="86" t="e">
        <f>IF(I9836="fora",0%,G9836/QUÓRUM!$C$6)</f>
        <v>#DIV/0!</v>
      </c>
      <c r="I9836" s="87"/>
      <c r="J9836" s="88"/>
      <c r="K9836" s="88"/>
      <c r="L9836" s="89"/>
      <c r="M9836" s="89"/>
      <c r="O9836" s="105"/>
      <c r="P9836" s="105"/>
      <c r="Q9836" s="105"/>
      <c r="R9836" s="106"/>
      <c r="S9836" s="127"/>
      <c r="T9836" s="107"/>
    </row>
    <row r="9837" spans="1:20" x14ac:dyDescent="0.3">
      <c r="A9837" s="101"/>
      <c r="B9837" s="102"/>
      <c r="C9837" s="87"/>
      <c r="D9837" s="103"/>
      <c r="F9837" s="101"/>
      <c r="G9837" s="104"/>
      <c r="H9837" s="86" t="e">
        <f>IF(I9837="fora",0%,G9837/QUÓRUM!$C$6)</f>
        <v>#DIV/0!</v>
      </c>
      <c r="I9837" s="87"/>
      <c r="J9837" s="88"/>
      <c r="K9837" s="88"/>
      <c r="L9837" s="89"/>
      <c r="M9837" s="89"/>
      <c r="O9837" s="105"/>
      <c r="P9837" s="105"/>
      <c r="Q9837" s="105"/>
      <c r="R9837" s="106"/>
      <c r="S9837" s="127"/>
      <c r="T9837" s="107"/>
    </row>
    <row r="9838" spans="1:20" x14ac:dyDescent="0.3">
      <c r="A9838" s="101"/>
      <c r="B9838" s="102"/>
      <c r="C9838" s="87"/>
      <c r="D9838" s="103"/>
      <c r="F9838" s="101"/>
      <c r="G9838" s="104"/>
      <c r="H9838" s="86" t="e">
        <f>IF(I9838="fora",0%,G9838/QUÓRUM!$C$6)</f>
        <v>#DIV/0!</v>
      </c>
      <c r="I9838" s="87"/>
      <c r="J9838" s="88"/>
      <c r="K9838" s="88"/>
      <c r="L9838" s="89"/>
      <c r="M9838" s="89"/>
      <c r="O9838" s="105"/>
      <c r="P9838" s="105"/>
      <c r="Q9838" s="105"/>
      <c r="R9838" s="106"/>
      <c r="S9838" s="127"/>
      <c r="T9838" s="107"/>
    </row>
    <row r="9839" spans="1:20" x14ac:dyDescent="0.3">
      <c r="A9839" s="101"/>
      <c r="B9839" s="102"/>
      <c r="C9839" s="87"/>
      <c r="D9839" s="103"/>
      <c r="F9839" s="101"/>
      <c r="G9839" s="104"/>
      <c r="H9839" s="86" t="e">
        <f>IF(I9839="fora",0%,G9839/QUÓRUM!$C$6)</f>
        <v>#DIV/0!</v>
      </c>
      <c r="I9839" s="87"/>
      <c r="J9839" s="88"/>
      <c r="K9839" s="88"/>
      <c r="L9839" s="89"/>
      <c r="M9839" s="89"/>
      <c r="O9839" s="105"/>
      <c r="P9839" s="105"/>
      <c r="Q9839" s="105"/>
      <c r="R9839" s="106"/>
      <c r="S9839" s="127"/>
      <c r="T9839" s="107"/>
    </row>
    <row r="9840" spans="1:20" x14ac:dyDescent="0.3">
      <c r="A9840" s="101"/>
      <c r="B9840" s="102"/>
      <c r="C9840" s="87"/>
      <c r="D9840" s="103"/>
      <c r="F9840" s="101"/>
      <c r="G9840" s="104"/>
      <c r="H9840" s="86" t="e">
        <f>IF(I9840="fora",0%,G9840/QUÓRUM!$C$6)</f>
        <v>#DIV/0!</v>
      </c>
      <c r="I9840" s="87"/>
      <c r="J9840" s="88"/>
      <c r="K9840" s="88"/>
      <c r="L9840" s="89"/>
      <c r="M9840" s="89"/>
      <c r="O9840" s="105"/>
      <c r="P9840" s="105"/>
      <c r="Q9840" s="105"/>
      <c r="R9840" s="106"/>
      <c r="S9840" s="127"/>
      <c r="T9840" s="107"/>
    </row>
    <row r="9841" spans="1:20" x14ac:dyDescent="0.3">
      <c r="A9841" s="101"/>
      <c r="B9841" s="102"/>
      <c r="C9841" s="87"/>
      <c r="D9841" s="103"/>
      <c r="F9841" s="101"/>
      <c r="G9841" s="104"/>
      <c r="H9841" s="86" t="e">
        <f>IF(I9841="fora",0%,G9841/QUÓRUM!$C$6)</f>
        <v>#DIV/0!</v>
      </c>
      <c r="I9841" s="87"/>
      <c r="J9841" s="88"/>
      <c r="K9841" s="88"/>
      <c r="L9841" s="89"/>
      <c r="M9841" s="89"/>
      <c r="O9841" s="105"/>
      <c r="P9841" s="105"/>
      <c r="Q9841" s="105"/>
      <c r="R9841" s="106"/>
      <c r="S9841" s="127"/>
      <c r="T9841" s="107"/>
    </row>
    <row r="9842" spans="1:20" x14ac:dyDescent="0.3">
      <c r="C9842" s="87"/>
      <c r="H9842" s="86" t="e">
        <f>IF(I9842="fora",0%,G9842/QUÓRUM!$C$6)</f>
        <v>#DIV/0!</v>
      </c>
      <c r="I9842" s="87"/>
      <c r="J9842" s="88"/>
      <c r="K9842" s="88"/>
      <c r="L9842" s="89"/>
      <c r="M9842" s="89"/>
      <c r="Q9842" s="105"/>
    </row>
    <row r="9843" spans="1:20" x14ac:dyDescent="0.3">
      <c r="A9843" s="101"/>
      <c r="B9843" s="102"/>
      <c r="C9843" s="87"/>
      <c r="D9843" s="103"/>
      <c r="F9843" s="101"/>
      <c r="G9843" s="104"/>
      <c r="H9843" s="86" t="e">
        <f>IF(I9843="fora",0%,G9843/QUÓRUM!$C$6)</f>
        <v>#DIV/0!</v>
      </c>
      <c r="I9843" s="87"/>
      <c r="J9843" s="88"/>
      <c r="K9843" s="88"/>
      <c r="L9843" s="89"/>
      <c r="M9843" s="89"/>
      <c r="O9843" s="105"/>
      <c r="P9843" s="105"/>
      <c r="Q9843" s="105"/>
      <c r="R9843" s="106"/>
      <c r="S9843" s="127"/>
      <c r="T9843" s="107"/>
    </row>
    <row r="9844" spans="1:20" x14ac:dyDescent="0.3">
      <c r="A9844" s="101"/>
      <c r="B9844" s="102"/>
      <c r="C9844" s="87"/>
      <c r="D9844" s="103"/>
      <c r="F9844" s="101"/>
      <c r="G9844" s="104"/>
      <c r="H9844" s="86" t="e">
        <f>IF(I9844="fora",0%,G9844/QUÓRUM!$C$6)</f>
        <v>#DIV/0!</v>
      </c>
      <c r="I9844" s="87"/>
      <c r="J9844" s="88"/>
      <c r="K9844" s="88"/>
      <c r="L9844" s="89"/>
      <c r="M9844" s="89"/>
      <c r="O9844" s="105"/>
      <c r="P9844" s="105"/>
      <c r="Q9844" s="105"/>
      <c r="R9844" s="106"/>
      <c r="S9844" s="127"/>
      <c r="T9844" s="107"/>
    </row>
    <row r="9845" spans="1:20" x14ac:dyDescent="0.3">
      <c r="A9845" s="101"/>
      <c r="B9845" s="102"/>
      <c r="C9845" s="87"/>
      <c r="D9845" s="103"/>
      <c r="F9845" s="101"/>
      <c r="G9845" s="104"/>
      <c r="H9845" s="86" t="e">
        <f>IF(I9845="fora",0%,G9845/QUÓRUM!$C$6)</f>
        <v>#DIV/0!</v>
      </c>
      <c r="I9845" s="87"/>
      <c r="J9845" s="88"/>
      <c r="K9845" s="88"/>
      <c r="L9845" s="89"/>
      <c r="M9845" s="89"/>
      <c r="O9845" s="105"/>
      <c r="P9845" s="105"/>
      <c r="Q9845" s="105"/>
      <c r="R9845" s="106"/>
      <c r="S9845" s="127"/>
      <c r="T9845" s="107"/>
    </row>
    <row r="9846" spans="1:20" x14ac:dyDescent="0.3">
      <c r="A9846" s="101"/>
      <c r="B9846" s="102"/>
      <c r="C9846" s="87"/>
      <c r="D9846" s="103"/>
      <c r="F9846" s="101"/>
      <c r="G9846" s="104"/>
      <c r="H9846" s="86" t="e">
        <f>IF(I9846="fora",0%,G9846/QUÓRUM!$C$6)</f>
        <v>#DIV/0!</v>
      </c>
      <c r="I9846" s="87"/>
      <c r="J9846" s="88"/>
      <c r="K9846" s="88"/>
      <c r="L9846" s="89"/>
      <c r="M9846" s="89"/>
      <c r="O9846" s="105"/>
      <c r="P9846" s="105"/>
      <c r="Q9846" s="105"/>
      <c r="R9846" s="106"/>
      <c r="S9846" s="127"/>
      <c r="T9846" s="107"/>
    </row>
    <row r="9847" spans="1:20" x14ac:dyDescent="0.3">
      <c r="A9847" s="101"/>
      <c r="B9847" s="102"/>
      <c r="C9847" s="87"/>
      <c r="D9847" s="103"/>
      <c r="F9847" s="101"/>
      <c r="G9847" s="104"/>
      <c r="H9847" s="86" t="e">
        <f>IF(I9847="fora",0%,G9847/QUÓRUM!$C$6)</f>
        <v>#DIV/0!</v>
      </c>
      <c r="I9847" s="87"/>
      <c r="J9847" s="88"/>
      <c r="K9847" s="88"/>
      <c r="L9847" s="89"/>
      <c r="M9847" s="89"/>
      <c r="O9847" s="105"/>
      <c r="P9847" s="105"/>
      <c r="Q9847" s="105"/>
      <c r="R9847" s="106"/>
      <c r="S9847" s="127"/>
      <c r="T9847" s="107"/>
    </row>
    <row r="9848" spans="1:20" x14ac:dyDescent="0.3">
      <c r="C9848" s="87"/>
      <c r="H9848" s="86" t="e">
        <f>IF(I9848="fora",0%,G9848/QUÓRUM!$C$6)</f>
        <v>#DIV/0!</v>
      </c>
      <c r="I9848" s="87"/>
      <c r="J9848" s="88"/>
      <c r="K9848" s="88"/>
      <c r="L9848" s="89"/>
      <c r="M9848" s="89"/>
      <c r="Q9848" s="105"/>
    </row>
    <row r="9849" spans="1:20" x14ac:dyDescent="0.3">
      <c r="A9849" s="101"/>
      <c r="B9849" s="102"/>
      <c r="C9849" s="87"/>
      <c r="D9849" s="103"/>
      <c r="F9849" s="101"/>
      <c r="G9849" s="104"/>
      <c r="H9849" s="86" t="e">
        <f>IF(I9849="fora",0%,G9849/QUÓRUM!$C$6)</f>
        <v>#DIV/0!</v>
      </c>
      <c r="I9849" s="87"/>
      <c r="J9849" s="88"/>
      <c r="K9849" s="88"/>
      <c r="L9849" s="89"/>
      <c r="M9849" s="89"/>
      <c r="O9849" s="105"/>
      <c r="P9849" s="105"/>
      <c r="Q9849" s="105"/>
      <c r="R9849" s="106"/>
      <c r="S9849" s="127"/>
      <c r="T9849" s="107"/>
    </row>
    <row r="9850" spans="1:20" x14ac:dyDescent="0.3">
      <c r="A9850" s="101"/>
      <c r="B9850" s="102"/>
      <c r="C9850" s="87"/>
      <c r="D9850" s="103"/>
      <c r="F9850" s="101"/>
      <c r="G9850" s="104"/>
      <c r="H9850" s="86" t="e">
        <f>IF(I9850="fora",0%,G9850/QUÓRUM!$C$6)</f>
        <v>#DIV/0!</v>
      </c>
      <c r="I9850" s="87"/>
      <c r="J9850" s="88"/>
      <c r="K9850" s="88"/>
      <c r="L9850" s="89"/>
      <c r="M9850" s="89"/>
      <c r="O9850" s="105"/>
      <c r="P9850" s="105"/>
      <c r="Q9850" s="105"/>
      <c r="R9850" s="106"/>
      <c r="S9850" s="127"/>
      <c r="T9850" s="107"/>
    </row>
    <row r="9851" spans="1:20" x14ac:dyDescent="0.3">
      <c r="A9851" s="101"/>
      <c r="B9851" s="102"/>
      <c r="C9851" s="87"/>
      <c r="D9851" s="103"/>
      <c r="F9851" s="101"/>
      <c r="G9851" s="104"/>
      <c r="H9851" s="86" t="e">
        <f>IF(I9851="fora",0%,G9851/QUÓRUM!$C$6)</f>
        <v>#DIV/0!</v>
      </c>
      <c r="I9851" s="87"/>
      <c r="J9851" s="88"/>
      <c r="K9851" s="88"/>
      <c r="L9851" s="89"/>
      <c r="M9851" s="89"/>
      <c r="O9851" s="105"/>
      <c r="P9851" s="105"/>
      <c r="Q9851" s="105"/>
      <c r="R9851" s="106"/>
      <c r="S9851" s="127">
        <f>R9851*G9851</f>
        <v>0</v>
      </c>
      <c r="T9851" s="107" t="e">
        <f>IF(I9851="fora",0%,S9851/QUÓRUM!$M$7)</f>
        <v>#DIV/0!</v>
      </c>
    </row>
    <row r="9852" spans="1:20" x14ac:dyDescent="0.3">
      <c r="A9852" s="101"/>
      <c r="B9852" s="102"/>
      <c r="C9852" s="87"/>
      <c r="D9852" s="103"/>
      <c r="F9852" s="101"/>
      <c r="G9852" s="104"/>
      <c r="H9852" s="86" t="e">
        <f>IF(I9852="fora",0%,G9852/QUÓRUM!$C$6)</f>
        <v>#DIV/0!</v>
      </c>
      <c r="I9852" s="87"/>
      <c r="J9852" s="88"/>
      <c r="K9852" s="88"/>
      <c r="L9852" s="89"/>
      <c r="M9852" s="89"/>
      <c r="O9852" s="105"/>
      <c r="P9852" s="105"/>
      <c r="Q9852" s="105"/>
      <c r="R9852" s="106"/>
      <c r="S9852" s="127"/>
      <c r="T9852" s="107"/>
    </row>
    <row r="9853" spans="1:20" x14ac:dyDescent="0.3">
      <c r="A9853" s="101"/>
      <c r="B9853" s="102"/>
      <c r="C9853" s="87"/>
      <c r="D9853" s="103"/>
      <c r="F9853" s="101"/>
      <c r="G9853" s="104"/>
      <c r="H9853" s="86" t="e">
        <f>IF(I9853="fora",0%,G9853/QUÓRUM!$C$6)</f>
        <v>#DIV/0!</v>
      </c>
      <c r="I9853" s="87"/>
      <c r="J9853" s="88"/>
      <c r="K9853" s="88"/>
      <c r="L9853" s="89"/>
      <c r="M9853" s="89"/>
      <c r="O9853" s="105"/>
      <c r="P9853" s="105"/>
      <c r="Q9853" s="105"/>
      <c r="R9853" s="106"/>
      <c r="S9853" s="127"/>
      <c r="T9853" s="107"/>
    </row>
    <row r="9854" spans="1:20" x14ac:dyDescent="0.3">
      <c r="A9854" s="101"/>
      <c r="B9854" s="102"/>
      <c r="C9854" s="87"/>
      <c r="D9854" s="103"/>
      <c r="F9854" s="101"/>
      <c r="G9854" s="104"/>
      <c r="H9854" s="86" t="e">
        <f>IF(I9854="fora",0%,G9854/QUÓRUM!$C$6)</f>
        <v>#DIV/0!</v>
      </c>
      <c r="I9854" s="87"/>
      <c r="J9854" s="88"/>
      <c r="K9854" s="88"/>
      <c r="L9854" s="89"/>
      <c r="M9854" s="89"/>
      <c r="O9854" s="105"/>
      <c r="P9854" s="105"/>
      <c r="Q9854" s="105"/>
      <c r="R9854" s="106"/>
      <c r="S9854" s="127"/>
      <c r="T9854" s="107"/>
    </row>
    <row r="9855" spans="1:20" x14ac:dyDescent="0.3">
      <c r="A9855" s="101"/>
      <c r="B9855" s="102"/>
      <c r="C9855" s="87"/>
      <c r="D9855" s="103"/>
      <c r="F9855" s="101"/>
      <c r="G9855" s="104"/>
      <c r="H9855" s="86" t="e">
        <f>IF(I9855="fora",0%,G9855/QUÓRUM!$C$6)</f>
        <v>#DIV/0!</v>
      </c>
      <c r="I9855" s="87"/>
      <c r="J9855" s="88"/>
      <c r="K9855" s="88"/>
      <c r="L9855" s="89"/>
      <c r="M9855" s="89"/>
      <c r="O9855" s="105"/>
      <c r="P9855" s="105"/>
      <c r="Q9855" s="105"/>
      <c r="R9855" s="106"/>
      <c r="S9855" s="127"/>
      <c r="T9855" s="107"/>
    </row>
    <row r="9856" spans="1:20" x14ac:dyDescent="0.3">
      <c r="A9856" s="101"/>
      <c r="B9856" s="102"/>
      <c r="C9856" s="87"/>
      <c r="D9856" s="103"/>
      <c r="F9856" s="101"/>
      <c r="G9856" s="104"/>
      <c r="H9856" s="86" t="e">
        <f>IF(I9856="fora",0%,G9856/QUÓRUM!$C$6)</f>
        <v>#DIV/0!</v>
      </c>
      <c r="I9856" s="87"/>
      <c r="J9856" s="88"/>
      <c r="K9856" s="88"/>
      <c r="L9856" s="89"/>
      <c r="M9856" s="89"/>
      <c r="O9856" s="105"/>
      <c r="P9856" s="105"/>
      <c r="Q9856" s="105"/>
      <c r="R9856" s="106"/>
      <c r="S9856" s="127"/>
      <c r="T9856" s="107"/>
    </row>
    <row r="9857" spans="1:20" x14ac:dyDescent="0.3">
      <c r="A9857" s="101"/>
      <c r="B9857" s="102"/>
      <c r="C9857" s="87"/>
      <c r="D9857" s="103"/>
      <c r="F9857" s="101"/>
      <c r="G9857" s="104"/>
      <c r="H9857" s="86" t="e">
        <f>IF(I9857="fora",0%,G9857/QUÓRUM!$C$6)</f>
        <v>#DIV/0!</v>
      </c>
      <c r="I9857" s="87"/>
      <c r="J9857" s="88"/>
      <c r="K9857" s="88"/>
      <c r="L9857" s="89"/>
      <c r="M9857" s="89"/>
      <c r="O9857" s="105"/>
      <c r="P9857" s="105"/>
      <c r="Q9857" s="105"/>
      <c r="R9857" s="106"/>
      <c r="S9857" s="127"/>
      <c r="T9857" s="107"/>
    </row>
    <row r="9858" spans="1:20" x14ac:dyDescent="0.3">
      <c r="A9858" s="101"/>
      <c r="B9858" s="102"/>
      <c r="C9858" s="87"/>
      <c r="D9858" s="103"/>
      <c r="F9858" s="101"/>
      <c r="G9858" s="104"/>
      <c r="H9858" s="86" t="e">
        <f>IF(I9858="fora",0%,G9858/QUÓRUM!$C$6)</f>
        <v>#DIV/0!</v>
      </c>
      <c r="I9858" s="87"/>
      <c r="J9858" s="88"/>
      <c r="K9858" s="88"/>
      <c r="L9858" s="89"/>
      <c r="M9858" s="89"/>
      <c r="O9858" s="105"/>
      <c r="P9858" s="105"/>
      <c r="Q9858" s="105"/>
      <c r="R9858" s="106"/>
      <c r="S9858" s="127"/>
      <c r="T9858" s="107"/>
    </row>
    <row r="9859" spans="1:20" x14ac:dyDescent="0.3">
      <c r="A9859" s="101"/>
      <c r="B9859" s="102"/>
      <c r="C9859" s="87"/>
      <c r="D9859" s="103"/>
      <c r="F9859" s="101"/>
      <c r="G9859" s="104"/>
      <c r="H9859" s="86" t="e">
        <f>IF(I9859="fora",0%,G9859/QUÓRUM!$C$6)</f>
        <v>#DIV/0!</v>
      </c>
      <c r="I9859" s="87"/>
      <c r="J9859" s="88"/>
      <c r="K9859" s="88"/>
      <c r="L9859" s="89"/>
      <c r="M9859" s="89"/>
      <c r="O9859" s="105"/>
      <c r="P9859" s="105"/>
      <c r="Q9859" s="105"/>
      <c r="R9859" s="106"/>
      <c r="S9859" s="127"/>
      <c r="T9859" s="107"/>
    </row>
    <row r="9860" spans="1:20" x14ac:dyDescent="0.3">
      <c r="A9860" s="101"/>
      <c r="B9860" s="102"/>
      <c r="C9860" s="87"/>
      <c r="D9860" s="103"/>
      <c r="F9860" s="101"/>
      <c r="G9860" s="104"/>
      <c r="H9860" s="86" t="e">
        <f>IF(I9860="fora",0%,G9860/QUÓRUM!$C$6)</f>
        <v>#DIV/0!</v>
      </c>
      <c r="I9860" s="87"/>
      <c r="J9860" s="88"/>
      <c r="K9860" s="88"/>
      <c r="L9860" s="89"/>
      <c r="M9860" s="89"/>
      <c r="O9860" s="105"/>
      <c r="P9860" s="105"/>
      <c r="Q9860" s="105"/>
      <c r="R9860" s="106"/>
      <c r="S9860" s="127"/>
      <c r="T9860" s="107"/>
    </row>
    <row r="9861" spans="1:20" x14ac:dyDescent="0.3">
      <c r="A9861" s="101"/>
      <c r="B9861" s="102"/>
      <c r="C9861" s="87"/>
      <c r="D9861" s="103"/>
      <c r="F9861" s="101"/>
      <c r="G9861" s="104"/>
      <c r="H9861" s="86" t="e">
        <f>IF(I9861="fora",0%,G9861/QUÓRUM!$C$6)</f>
        <v>#DIV/0!</v>
      </c>
      <c r="I9861" s="87"/>
      <c r="J9861" s="88"/>
      <c r="K9861" s="88"/>
      <c r="L9861" s="89"/>
      <c r="M9861" s="89"/>
      <c r="O9861" s="105"/>
      <c r="P9861" s="105"/>
      <c r="Q9861" s="105"/>
      <c r="R9861" s="106"/>
      <c r="S9861" s="127"/>
      <c r="T9861" s="107"/>
    </row>
    <row r="9862" spans="1:20" x14ac:dyDescent="0.3">
      <c r="A9862" s="101"/>
      <c r="B9862" s="102"/>
      <c r="C9862" s="87"/>
      <c r="D9862" s="103"/>
      <c r="F9862" s="101"/>
      <c r="G9862" s="104"/>
      <c r="H9862" s="86" t="e">
        <f>IF(I9862="fora",0%,G9862/QUÓRUM!$C$6)</f>
        <v>#DIV/0!</v>
      </c>
      <c r="I9862" s="87"/>
      <c r="J9862" s="88"/>
      <c r="K9862" s="88"/>
      <c r="L9862" s="89"/>
      <c r="M9862" s="89"/>
      <c r="O9862" s="105"/>
      <c r="P9862" s="105"/>
      <c r="Q9862" s="105"/>
      <c r="R9862" s="106"/>
      <c r="S9862" s="127"/>
      <c r="T9862" s="107"/>
    </row>
    <row r="9863" spans="1:20" x14ac:dyDescent="0.3">
      <c r="A9863" s="101"/>
      <c r="B9863" s="102"/>
      <c r="C9863" s="87"/>
      <c r="D9863" s="103"/>
      <c r="F9863" s="101"/>
      <c r="G9863" s="104"/>
      <c r="H9863" s="86" t="e">
        <f>IF(I9863="fora",0%,G9863/QUÓRUM!$C$6)</f>
        <v>#DIV/0!</v>
      </c>
      <c r="I9863" s="87"/>
      <c r="J9863" s="88"/>
      <c r="K9863" s="88"/>
      <c r="L9863" s="89"/>
      <c r="M9863" s="89"/>
      <c r="O9863" s="105"/>
      <c r="P9863" s="105"/>
      <c r="Q9863" s="105"/>
      <c r="R9863" s="106"/>
      <c r="S9863" s="127"/>
      <c r="T9863" s="107"/>
    </row>
    <row r="9864" spans="1:20" x14ac:dyDescent="0.3">
      <c r="A9864" s="101"/>
      <c r="B9864" s="102"/>
      <c r="C9864" s="87"/>
      <c r="D9864" s="103"/>
      <c r="F9864" s="101"/>
      <c r="G9864" s="104"/>
      <c r="H9864" s="86" t="e">
        <f>IF(I9864="fora",0%,G9864/QUÓRUM!$C$6)</f>
        <v>#DIV/0!</v>
      </c>
      <c r="I9864" s="87"/>
      <c r="J9864" s="88"/>
      <c r="K9864" s="88"/>
      <c r="L9864" s="89"/>
      <c r="M9864" s="89"/>
      <c r="O9864" s="105"/>
      <c r="P9864" s="105"/>
      <c r="Q9864" s="105"/>
      <c r="R9864" s="106"/>
      <c r="S9864" s="127"/>
      <c r="T9864" s="107"/>
    </row>
    <row r="9865" spans="1:20" x14ac:dyDescent="0.3">
      <c r="A9865" s="101"/>
      <c r="B9865" s="102"/>
      <c r="C9865" s="87"/>
      <c r="D9865" s="103"/>
      <c r="F9865" s="101"/>
      <c r="G9865" s="104"/>
      <c r="H9865" s="86" t="e">
        <f>IF(I9865="fora",0%,G9865/QUÓRUM!$C$6)</f>
        <v>#DIV/0!</v>
      </c>
      <c r="I9865" s="87"/>
      <c r="J9865" s="88"/>
      <c r="K9865" s="88"/>
      <c r="L9865" s="89"/>
      <c r="M9865" s="89"/>
      <c r="O9865" s="105"/>
      <c r="P9865" s="105"/>
      <c r="Q9865" s="105"/>
      <c r="R9865" s="106"/>
      <c r="S9865" s="127"/>
      <c r="T9865" s="107"/>
    </row>
    <row r="9866" spans="1:20" x14ac:dyDescent="0.3">
      <c r="A9866" s="101"/>
      <c r="B9866" s="102"/>
      <c r="C9866" s="87"/>
      <c r="D9866" s="103"/>
      <c r="F9866" s="101"/>
      <c r="G9866" s="104"/>
      <c r="H9866" s="86" t="e">
        <f>IF(I9866="fora",0%,G9866/QUÓRUM!$C$6)</f>
        <v>#DIV/0!</v>
      </c>
      <c r="I9866" s="87"/>
      <c r="J9866" s="88"/>
      <c r="K9866" s="88"/>
      <c r="L9866" s="89"/>
      <c r="M9866" s="89"/>
      <c r="O9866" s="105"/>
      <c r="P9866" s="105"/>
      <c r="Q9866" s="105"/>
      <c r="R9866" s="106"/>
      <c r="S9866" s="127"/>
      <c r="T9866" s="107"/>
    </row>
    <row r="9867" spans="1:20" x14ac:dyDescent="0.3">
      <c r="A9867" s="101"/>
      <c r="B9867" s="102"/>
      <c r="C9867" s="87"/>
      <c r="D9867" s="103"/>
      <c r="F9867" s="101"/>
      <c r="G9867" s="104"/>
      <c r="H9867" s="86" t="e">
        <f>IF(I9867="fora",0%,G9867/QUÓRUM!$C$6)</f>
        <v>#DIV/0!</v>
      </c>
      <c r="I9867" s="87"/>
      <c r="J9867" s="88"/>
      <c r="K9867" s="88"/>
      <c r="L9867" s="89"/>
      <c r="M9867" s="89"/>
      <c r="O9867" s="105"/>
      <c r="P9867" s="105"/>
      <c r="Q9867" s="105"/>
      <c r="R9867" s="106"/>
      <c r="S9867" s="127"/>
      <c r="T9867" s="107"/>
    </row>
    <row r="9868" spans="1:20" x14ac:dyDescent="0.3">
      <c r="A9868" s="101"/>
      <c r="B9868" s="102"/>
      <c r="C9868" s="87"/>
      <c r="D9868" s="103"/>
      <c r="F9868" s="101"/>
      <c r="G9868" s="104"/>
      <c r="H9868" s="86" t="e">
        <f>IF(I9868="fora",0%,G9868/QUÓRUM!$C$6)</f>
        <v>#DIV/0!</v>
      </c>
      <c r="I9868" s="87"/>
      <c r="J9868" s="88"/>
      <c r="K9868" s="88"/>
      <c r="L9868" s="89"/>
      <c r="M9868" s="89"/>
      <c r="O9868" s="105"/>
      <c r="P9868" s="105"/>
      <c r="Q9868" s="105"/>
      <c r="R9868" s="106"/>
      <c r="S9868" s="127"/>
      <c r="T9868" s="107"/>
    </row>
    <row r="9869" spans="1:20" x14ac:dyDescent="0.3">
      <c r="A9869" s="101"/>
      <c r="B9869" s="102"/>
      <c r="C9869" s="87"/>
      <c r="D9869" s="103"/>
      <c r="F9869" s="101"/>
      <c r="G9869" s="104"/>
      <c r="H9869" s="86" t="e">
        <f>IF(I9869="fora",0%,G9869/QUÓRUM!$C$6)</f>
        <v>#DIV/0!</v>
      </c>
      <c r="I9869" s="87"/>
      <c r="J9869" s="88"/>
      <c r="K9869" s="88"/>
      <c r="L9869" s="89"/>
      <c r="M9869" s="89"/>
      <c r="O9869" s="105"/>
      <c r="P9869" s="105"/>
      <c r="Q9869" s="105"/>
      <c r="R9869" s="106"/>
      <c r="S9869" s="127"/>
      <c r="T9869" s="107"/>
    </row>
    <row r="9870" spans="1:20" x14ac:dyDescent="0.3">
      <c r="A9870" s="101"/>
      <c r="B9870" s="102"/>
      <c r="C9870" s="87"/>
      <c r="D9870" s="103"/>
      <c r="F9870" s="101"/>
      <c r="G9870" s="104"/>
      <c r="H9870" s="86" t="e">
        <f>IF(I9870="fora",0%,G9870/QUÓRUM!$C$6)</f>
        <v>#DIV/0!</v>
      </c>
      <c r="I9870" s="87"/>
      <c r="J9870" s="88"/>
      <c r="K9870" s="88"/>
      <c r="L9870" s="89"/>
      <c r="M9870" s="89"/>
      <c r="O9870" s="105"/>
      <c r="P9870" s="105"/>
      <c r="Q9870" s="105"/>
      <c r="R9870" s="106"/>
      <c r="S9870" s="127"/>
      <c r="T9870" s="107"/>
    </row>
    <row r="9871" spans="1:20" x14ac:dyDescent="0.3">
      <c r="A9871" s="101"/>
      <c r="B9871" s="102"/>
      <c r="C9871" s="87"/>
      <c r="D9871" s="103"/>
      <c r="F9871" s="101"/>
      <c r="G9871" s="104"/>
      <c r="H9871" s="86" t="e">
        <f>IF(I9871="fora",0%,G9871/QUÓRUM!$C$6)</f>
        <v>#DIV/0!</v>
      </c>
      <c r="I9871" s="87"/>
      <c r="J9871" s="88"/>
      <c r="K9871" s="88"/>
      <c r="L9871" s="89"/>
      <c r="M9871" s="89"/>
      <c r="O9871" s="105"/>
      <c r="P9871" s="105"/>
      <c r="Q9871" s="105"/>
      <c r="R9871" s="106"/>
      <c r="S9871" s="127">
        <f>R9871*G9871</f>
        <v>0</v>
      </c>
      <c r="T9871" s="107" t="e">
        <f>IF(I9871="fora",0%,S9871/QUÓRUM!$M$7)</f>
        <v>#DIV/0!</v>
      </c>
    </row>
    <row r="9872" spans="1:20" x14ac:dyDescent="0.3">
      <c r="A9872" s="101"/>
      <c r="B9872" s="102"/>
      <c r="C9872" s="87"/>
      <c r="D9872" s="103"/>
      <c r="F9872" s="101"/>
      <c r="G9872" s="104"/>
      <c r="H9872" s="86" t="e">
        <f>IF(I9872="fora",0%,G9872/QUÓRUM!$C$6)</f>
        <v>#DIV/0!</v>
      </c>
      <c r="I9872" s="87"/>
      <c r="J9872" s="88"/>
      <c r="K9872" s="88"/>
      <c r="L9872" s="89"/>
      <c r="M9872" s="89"/>
      <c r="O9872" s="105"/>
      <c r="P9872" s="105"/>
      <c r="Q9872" s="105"/>
      <c r="R9872" s="106"/>
      <c r="S9872" s="127"/>
      <c r="T9872" s="107"/>
    </row>
    <row r="9873" spans="1:20" x14ac:dyDescent="0.3">
      <c r="A9873" s="101"/>
      <c r="B9873" s="102"/>
      <c r="C9873" s="87"/>
      <c r="D9873" s="103"/>
      <c r="F9873" s="101"/>
      <c r="G9873" s="104"/>
      <c r="H9873" s="86" t="e">
        <f>IF(I9873="fora",0%,G9873/QUÓRUM!$C$6)</f>
        <v>#DIV/0!</v>
      </c>
      <c r="I9873" s="87"/>
      <c r="J9873" s="88"/>
      <c r="K9873" s="88"/>
      <c r="L9873" s="89"/>
      <c r="M9873" s="89"/>
      <c r="O9873" s="105"/>
      <c r="P9873" s="105"/>
      <c r="Q9873" s="105"/>
      <c r="R9873" s="106"/>
      <c r="S9873" s="127">
        <f>R9873*G9873</f>
        <v>0</v>
      </c>
      <c r="T9873" s="107" t="e">
        <f>IF(I9873="fora",0%,S9873/QUÓRUM!$M$7)</f>
        <v>#DIV/0!</v>
      </c>
    </row>
    <row r="9874" spans="1:20" x14ac:dyDescent="0.3">
      <c r="A9874" s="101"/>
      <c r="B9874" s="102"/>
      <c r="C9874" s="87"/>
      <c r="D9874" s="103"/>
      <c r="F9874" s="101"/>
      <c r="G9874" s="104"/>
      <c r="H9874" s="86" t="e">
        <f>IF(I9874="fora",0%,G9874/QUÓRUM!$C$6)</f>
        <v>#DIV/0!</v>
      </c>
      <c r="I9874" s="87"/>
      <c r="J9874" s="88"/>
      <c r="K9874" s="88"/>
      <c r="L9874" s="89"/>
      <c r="M9874" s="89"/>
      <c r="O9874" s="105"/>
      <c r="P9874" s="105"/>
      <c r="Q9874" s="105"/>
      <c r="R9874" s="106"/>
      <c r="S9874" s="127"/>
      <c r="T9874" s="107"/>
    </row>
    <row r="9875" spans="1:20" x14ac:dyDescent="0.3">
      <c r="A9875" s="101"/>
      <c r="B9875" s="102"/>
      <c r="C9875" s="87"/>
      <c r="D9875" s="103"/>
      <c r="F9875" s="101"/>
      <c r="G9875" s="104"/>
      <c r="H9875" s="86" t="e">
        <f>IF(I9875="fora",0%,G9875/QUÓRUM!$C$6)</f>
        <v>#DIV/0!</v>
      </c>
      <c r="I9875" s="87"/>
      <c r="J9875" s="88"/>
      <c r="K9875" s="88"/>
      <c r="L9875" s="89"/>
      <c r="M9875" s="89"/>
      <c r="O9875" s="105"/>
      <c r="P9875" s="105"/>
      <c r="Q9875" s="105"/>
      <c r="R9875" s="106"/>
      <c r="S9875" s="127"/>
      <c r="T9875" s="107"/>
    </row>
    <row r="9876" spans="1:20" x14ac:dyDescent="0.3">
      <c r="A9876" s="101"/>
      <c r="B9876" s="102"/>
      <c r="C9876" s="87"/>
      <c r="D9876" s="103"/>
      <c r="F9876" s="101"/>
      <c r="G9876" s="104"/>
      <c r="H9876" s="86" t="e">
        <f>IF(I9876="fora",0%,G9876/QUÓRUM!$C$6)</f>
        <v>#DIV/0!</v>
      </c>
      <c r="I9876" s="87"/>
      <c r="J9876" s="88"/>
      <c r="K9876" s="88"/>
      <c r="L9876" s="89"/>
      <c r="M9876" s="89"/>
      <c r="O9876" s="105"/>
      <c r="P9876" s="105"/>
      <c r="Q9876" s="105"/>
      <c r="R9876" s="106"/>
      <c r="S9876" s="127"/>
      <c r="T9876" s="107"/>
    </row>
    <row r="9877" spans="1:20" x14ac:dyDescent="0.3">
      <c r="A9877" s="101"/>
      <c r="B9877" s="102"/>
      <c r="C9877" s="87"/>
      <c r="D9877" s="103"/>
      <c r="F9877" s="101"/>
      <c r="G9877" s="104"/>
      <c r="H9877" s="86" t="e">
        <f>IF(I9877="fora",0%,G9877/QUÓRUM!$C$6)</f>
        <v>#DIV/0!</v>
      </c>
      <c r="I9877" s="87"/>
      <c r="J9877" s="88"/>
      <c r="K9877" s="88"/>
      <c r="L9877" s="89"/>
      <c r="M9877" s="89"/>
      <c r="O9877" s="105"/>
      <c r="P9877" s="105"/>
      <c r="Q9877" s="105"/>
      <c r="R9877" s="106"/>
      <c r="S9877" s="127"/>
      <c r="T9877" s="107"/>
    </row>
    <row r="9878" spans="1:20" x14ac:dyDescent="0.3">
      <c r="A9878" s="101"/>
      <c r="B9878" s="102"/>
      <c r="C9878" s="87"/>
      <c r="D9878" s="103"/>
      <c r="F9878" s="101"/>
      <c r="G9878" s="104"/>
      <c r="H9878" s="86" t="e">
        <f>IF(I9878="fora",0%,G9878/QUÓRUM!$C$6)</f>
        <v>#DIV/0!</v>
      </c>
      <c r="I9878" s="87"/>
      <c r="J9878" s="88"/>
      <c r="K9878" s="88"/>
      <c r="L9878" s="89"/>
      <c r="M9878" s="89"/>
      <c r="O9878" s="105"/>
      <c r="P9878" s="105"/>
      <c r="Q9878" s="105"/>
      <c r="R9878" s="106"/>
      <c r="S9878" s="127"/>
      <c r="T9878" s="107"/>
    </row>
    <row r="9879" spans="1:20" x14ac:dyDescent="0.3">
      <c r="A9879" s="101"/>
      <c r="B9879" s="102"/>
      <c r="C9879" s="87"/>
      <c r="D9879" s="103"/>
      <c r="F9879" s="101"/>
      <c r="G9879" s="104"/>
      <c r="H9879" s="86" t="e">
        <f>IF(I9879="fora",0%,G9879/QUÓRUM!$C$6)</f>
        <v>#DIV/0!</v>
      </c>
      <c r="I9879" s="87"/>
      <c r="J9879" s="88"/>
      <c r="K9879" s="88"/>
      <c r="L9879" s="89"/>
      <c r="M9879" s="89"/>
      <c r="O9879" s="105"/>
      <c r="P9879" s="105"/>
      <c r="Q9879" s="105"/>
      <c r="R9879" s="106"/>
      <c r="S9879" s="127"/>
      <c r="T9879" s="107"/>
    </row>
    <row r="9880" spans="1:20" x14ac:dyDescent="0.3">
      <c r="C9880" s="87"/>
      <c r="H9880" s="86" t="e">
        <f>IF(I9880="fora",0%,G9880/QUÓRUM!$C$6)</f>
        <v>#DIV/0!</v>
      </c>
      <c r="I9880" s="87"/>
      <c r="J9880" s="88"/>
      <c r="K9880" s="88"/>
      <c r="L9880" s="89"/>
      <c r="M9880" s="89"/>
      <c r="Q9880" s="105"/>
    </row>
    <row r="9881" spans="1:20" x14ac:dyDescent="0.3">
      <c r="A9881" s="101"/>
      <c r="B9881" s="102"/>
      <c r="C9881" s="87"/>
      <c r="D9881" s="103"/>
      <c r="F9881" s="101"/>
      <c r="G9881" s="104"/>
      <c r="H9881" s="86" t="e">
        <f>IF(I9881="fora",0%,G9881/QUÓRUM!$C$6)</f>
        <v>#DIV/0!</v>
      </c>
      <c r="I9881" s="87"/>
      <c r="J9881" s="88"/>
      <c r="K9881" s="88"/>
      <c r="L9881" s="89"/>
      <c r="M9881" s="89"/>
      <c r="O9881" s="105"/>
      <c r="P9881" s="105"/>
      <c r="Q9881" s="105"/>
      <c r="R9881" s="106"/>
      <c r="S9881" s="127"/>
      <c r="T9881" s="107"/>
    </row>
    <row r="9882" spans="1:20" x14ac:dyDescent="0.3">
      <c r="A9882" s="101"/>
      <c r="B9882" s="102"/>
      <c r="C9882" s="87"/>
      <c r="D9882" s="103"/>
      <c r="F9882" s="101"/>
      <c r="G9882" s="104"/>
      <c r="H9882" s="86" t="e">
        <f>IF(I9882="fora",0%,G9882/QUÓRUM!$C$6)</f>
        <v>#DIV/0!</v>
      </c>
      <c r="I9882" s="87"/>
      <c r="J9882" s="88"/>
      <c r="K9882" s="88"/>
      <c r="L9882" s="89"/>
      <c r="M9882" s="89"/>
      <c r="O9882" s="105"/>
      <c r="P9882" s="105"/>
      <c r="Q9882" s="105"/>
      <c r="R9882" s="106"/>
      <c r="S9882" s="127">
        <f>R9882*G9882</f>
        <v>0</v>
      </c>
      <c r="T9882" s="107" t="e">
        <f>IF(I9882="fora",0%,S9882/QUÓRUM!$M$7)</f>
        <v>#DIV/0!</v>
      </c>
    </row>
    <row r="9883" spans="1:20" x14ac:dyDescent="0.3">
      <c r="A9883" s="101"/>
      <c r="B9883" s="102"/>
      <c r="C9883" s="87"/>
      <c r="D9883" s="103"/>
      <c r="F9883" s="101"/>
      <c r="G9883" s="104"/>
      <c r="H9883" s="86" t="e">
        <f>IF(I9883="fora",0%,G9883/QUÓRUM!$C$6)</f>
        <v>#DIV/0!</v>
      </c>
      <c r="I9883" s="87"/>
      <c r="J9883" s="88"/>
      <c r="K9883" s="88"/>
      <c r="L9883" s="89"/>
      <c r="M9883" s="89"/>
      <c r="O9883" s="105"/>
      <c r="P9883" s="105"/>
      <c r="Q9883" s="105"/>
      <c r="R9883" s="106"/>
      <c r="S9883" s="127"/>
      <c r="T9883" s="107"/>
    </row>
    <row r="9884" spans="1:20" x14ac:dyDescent="0.3">
      <c r="A9884" s="101"/>
      <c r="B9884" s="102"/>
      <c r="C9884" s="87"/>
      <c r="D9884" s="103"/>
      <c r="F9884" s="101"/>
      <c r="G9884" s="104"/>
      <c r="H9884" s="86" t="e">
        <f>IF(I9884="fora",0%,G9884/QUÓRUM!$C$6)</f>
        <v>#DIV/0!</v>
      </c>
      <c r="I9884" s="87"/>
      <c r="J9884" s="88"/>
      <c r="K9884" s="88"/>
      <c r="L9884" s="89"/>
      <c r="M9884" s="89"/>
      <c r="O9884" s="105"/>
      <c r="P9884" s="105"/>
      <c r="Q9884" s="105"/>
      <c r="R9884" s="106"/>
      <c r="S9884" s="127"/>
      <c r="T9884" s="107"/>
    </row>
    <row r="9885" spans="1:20" x14ac:dyDescent="0.3">
      <c r="C9885" s="87"/>
      <c r="H9885" s="86" t="e">
        <f>IF(I9885="fora",0%,G9885/QUÓRUM!$C$6)</f>
        <v>#DIV/0!</v>
      </c>
      <c r="I9885" s="87"/>
      <c r="J9885" s="88"/>
      <c r="K9885" s="88"/>
      <c r="L9885" s="89"/>
      <c r="M9885" s="89"/>
      <c r="Q9885" s="105"/>
    </row>
    <row r="9886" spans="1:20" x14ac:dyDescent="0.3">
      <c r="A9886" s="101"/>
      <c r="B9886" s="102"/>
      <c r="C9886" s="87"/>
      <c r="D9886" s="103"/>
      <c r="F9886" s="101"/>
      <c r="G9886" s="104"/>
      <c r="H9886" s="86" t="e">
        <f>IF(I9886="fora",0%,G9886/QUÓRUM!$C$6)</f>
        <v>#DIV/0!</v>
      </c>
      <c r="I9886" s="87"/>
      <c r="J9886" s="88"/>
      <c r="K9886" s="88"/>
      <c r="L9886" s="89"/>
      <c r="M9886" s="89"/>
      <c r="O9886" s="105"/>
      <c r="P9886" s="105"/>
      <c r="Q9886" s="105"/>
      <c r="R9886" s="106"/>
      <c r="S9886" s="127"/>
      <c r="T9886" s="107"/>
    </row>
    <row r="9887" spans="1:20" x14ac:dyDescent="0.3">
      <c r="A9887" s="101"/>
      <c r="B9887" s="102"/>
      <c r="C9887" s="87"/>
      <c r="D9887" s="103"/>
      <c r="F9887" s="101"/>
      <c r="G9887" s="104"/>
      <c r="H9887" s="86" t="e">
        <f>IF(I9887="fora",0%,G9887/QUÓRUM!$C$6)</f>
        <v>#DIV/0!</v>
      </c>
      <c r="I9887" s="87"/>
      <c r="J9887" s="88"/>
      <c r="K9887" s="88"/>
      <c r="L9887" s="89"/>
      <c r="M9887" s="89"/>
      <c r="O9887" s="105"/>
      <c r="P9887" s="105"/>
      <c r="Q9887" s="105"/>
      <c r="R9887" s="106"/>
      <c r="S9887" s="127"/>
      <c r="T9887" s="107"/>
    </row>
    <row r="9888" spans="1:20" x14ac:dyDescent="0.3">
      <c r="A9888" s="101"/>
      <c r="B9888" s="102"/>
      <c r="C9888" s="87"/>
      <c r="D9888" s="103"/>
      <c r="F9888" s="101"/>
      <c r="G9888" s="104"/>
      <c r="H9888" s="86" t="e">
        <f>IF(I9888="fora",0%,G9888/QUÓRUM!$C$6)</f>
        <v>#DIV/0!</v>
      </c>
      <c r="I9888" s="87"/>
      <c r="J9888" s="88"/>
      <c r="K9888" s="88"/>
      <c r="L9888" s="89"/>
      <c r="M9888" s="89"/>
      <c r="O9888" s="105"/>
      <c r="P9888" s="105"/>
      <c r="Q9888" s="105"/>
      <c r="R9888" s="106"/>
      <c r="S9888" s="127">
        <f>R9888*G9888</f>
        <v>0</v>
      </c>
      <c r="T9888" s="107" t="e">
        <f>IF(I9888="fora",0%,S9888/QUÓRUM!$M$7)</f>
        <v>#DIV/0!</v>
      </c>
    </row>
    <row r="9889" spans="1:20" x14ac:dyDescent="0.3">
      <c r="A9889" s="101"/>
      <c r="B9889" s="102"/>
      <c r="C9889" s="87"/>
      <c r="D9889" s="103"/>
      <c r="F9889" s="101"/>
      <c r="G9889" s="104"/>
      <c r="H9889" s="86" t="e">
        <f>IF(I9889="fora",0%,G9889/QUÓRUM!$C$6)</f>
        <v>#DIV/0!</v>
      </c>
      <c r="I9889" s="87"/>
      <c r="J9889" s="88"/>
      <c r="K9889" s="88"/>
      <c r="L9889" s="89"/>
      <c r="M9889" s="89"/>
      <c r="O9889" s="105"/>
      <c r="P9889" s="105"/>
      <c r="Q9889" s="105"/>
      <c r="R9889" s="106"/>
      <c r="S9889" s="127"/>
      <c r="T9889" s="107"/>
    </row>
    <row r="9890" spans="1:20" x14ac:dyDescent="0.3">
      <c r="C9890" s="87"/>
      <c r="H9890" s="86" t="e">
        <f>IF(I9890="fora",0%,G9890/QUÓRUM!$C$6)</f>
        <v>#DIV/0!</v>
      </c>
      <c r="I9890" s="87"/>
      <c r="J9890" s="88"/>
      <c r="K9890" s="88"/>
      <c r="L9890" s="89"/>
      <c r="M9890" s="89"/>
      <c r="Q9890" s="105"/>
    </row>
    <row r="9891" spans="1:20" x14ac:dyDescent="0.3">
      <c r="A9891" s="101"/>
      <c r="B9891" s="102"/>
      <c r="C9891" s="87"/>
      <c r="D9891" s="103"/>
      <c r="F9891" s="101"/>
      <c r="G9891" s="104"/>
      <c r="H9891" s="86" t="e">
        <f>IF(I9891="fora",0%,G9891/QUÓRUM!$C$6)</f>
        <v>#DIV/0!</v>
      </c>
      <c r="I9891" s="87"/>
      <c r="J9891" s="88"/>
      <c r="K9891" s="88"/>
      <c r="L9891" s="89"/>
      <c r="M9891" s="89"/>
      <c r="O9891" s="105"/>
      <c r="P9891" s="105"/>
      <c r="Q9891" s="105"/>
      <c r="R9891" s="106"/>
      <c r="S9891" s="127"/>
      <c r="T9891" s="107"/>
    </row>
    <row r="9892" spans="1:20" x14ac:dyDescent="0.3">
      <c r="A9892" s="101"/>
      <c r="B9892" s="102"/>
      <c r="C9892" s="87"/>
      <c r="D9892" s="103"/>
      <c r="F9892" s="101"/>
      <c r="G9892" s="104"/>
      <c r="H9892" s="86" t="e">
        <f>IF(I9892="fora",0%,G9892/QUÓRUM!$C$6)</f>
        <v>#DIV/0!</v>
      </c>
      <c r="I9892" s="87"/>
      <c r="J9892" s="88"/>
      <c r="K9892" s="88"/>
      <c r="L9892" s="89"/>
      <c r="M9892" s="89"/>
      <c r="O9892" s="105"/>
      <c r="P9892" s="105"/>
      <c r="Q9892" s="105"/>
      <c r="R9892" s="106"/>
      <c r="S9892" s="127"/>
      <c r="T9892" s="107"/>
    </row>
    <row r="9893" spans="1:20" x14ac:dyDescent="0.3">
      <c r="A9893" s="101"/>
      <c r="B9893" s="102"/>
      <c r="C9893" s="87"/>
      <c r="D9893" s="103"/>
      <c r="F9893" s="101"/>
      <c r="G9893" s="104"/>
      <c r="H9893" s="86" t="e">
        <f>IF(I9893="fora",0%,G9893/QUÓRUM!$C$6)</f>
        <v>#DIV/0!</v>
      </c>
      <c r="I9893" s="87"/>
      <c r="J9893" s="88"/>
      <c r="K9893" s="88"/>
      <c r="L9893" s="89"/>
      <c r="M9893" s="89"/>
      <c r="O9893" s="105"/>
      <c r="P9893" s="105"/>
      <c r="Q9893" s="105"/>
      <c r="R9893" s="106"/>
      <c r="S9893" s="127"/>
      <c r="T9893" s="107"/>
    </row>
    <row r="9894" spans="1:20" x14ac:dyDescent="0.3">
      <c r="A9894" s="101"/>
      <c r="B9894" s="102"/>
      <c r="C9894" s="87"/>
      <c r="D9894" s="103"/>
      <c r="F9894" s="101"/>
      <c r="G9894" s="104"/>
      <c r="H9894" s="86" t="e">
        <f>IF(I9894="fora",0%,G9894/QUÓRUM!$C$6)</f>
        <v>#DIV/0!</v>
      </c>
      <c r="I9894" s="87"/>
      <c r="J9894" s="88"/>
      <c r="K9894" s="88"/>
      <c r="L9894" s="89"/>
      <c r="M9894" s="89"/>
      <c r="O9894" s="105"/>
      <c r="P9894" s="105"/>
      <c r="Q9894" s="105"/>
      <c r="R9894" s="106"/>
      <c r="S9894" s="127"/>
      <c r="T9894" s="107"/>
    </row>
    <row r="9895" spans="1:20" x14ac:dyDescent="0.3">
      <c r="A9895" s="101"/>
      <c r="B9895" s="102"/>
      <c r="C9895" s="87"/>
      <c r="D9895" s="103"/>
      <c r="F9895" s="101"/>
      <c r="G9895" s="104"/>
      <c r="H9895" s="86" t="e">
        <f>IF(I9895="fora",0%,G9895/QUÓRUM!$C$6)</f>
        <v>#DIV/0!</v>
      </c>
      <c r="I9895" s="87"/>
      <c r="J9895" s="88"/>
      <c r="K9895" s="88"/>
      <c r="L9895" s="89"/>
      <c r="M9895" s="89"/>
      <c r="O9895" s="105"/>
      <c r="P9895" s="105"/>
      <c r="Q9895" s="105"/>
      <c r="R9895" s="106"/>
      <c r="S9895" s="127"/>
      <c r="T9895" s="107"/>
    </row>
    <row r="9896" spans="1:20" x14ac:dyDescent="0.3">
      <c r="A9896" s="101"/>
      <c r="B9896" s="102"/>
      <c r="C9896" s="87"/>
      <c r="D9896" s="103"/>
      <c r="F9896" s="101"/>
      <c r="G9896" s="104"/>
      <c r="H9896" s="86" t="e">
        <f>IF(I9896="fora",0%,G9896/QUÓRUM!$C$6)</f>
        <v>#DIV/0!</v>
      </c>
      <c r="I9896" s="87"/>
      <c r="J9896" s="88"/>
      <c r="K9896" s="88"/>
      <c r="L9896" s="89"/>
      <c r="M9896" s="89"/>
      <c r="O9896" s="105"/>
      <c r="P9896" s="105"/>
      <c r="Q9896" s="105"/>
      <c r="R9896" s="106"/>
      <c r="S9896" s="127"/>
      <c r="T9896" s="107"/>
    </row>
    <row r="9897" spans="1:20" x14ac:dyDescent="0.3">
      <c r="C9897" s="87"/>
      <c r="H9897" s="86" t="e">
        <f>IF(I9897="fora",0%,G9897/QUÓRUM!$C$6)</f>
        <v>#DIV/0!</v>
      </c>
      <c r="I9897" s="87"/>
      <c r="J9897" s="88"/>
      <c r="K9897" s="88"/>
      <c r="L9897" s="89"/>
      <c r="M9897" s="89"/>
      <c r="Q9897" s="105"/>
    </row>
    <row r="9898" spans="1:20" x14ac:dyDescent="0.3">
      <c r="A9898" s="101"/>
      <c r="B9898" s="102"/>
      <c r="C9898" s="87"/>
      <c r="D9898" s="103"/>
      <c r="F9898" s="101"/>
      <c r="G9898" s="104"/>
      <c r="H9898" s="86" t="e">
        <f>IF(I9898="fora",0%,G9898/QUÓRUM!$C$6)</f>
        <v>#DIV/0!</v>
      </c>
      <c r="I9898" s="87"/>
      <c r="J9898" s="88"/>
      <c r="K9898" s="88"/>
      <c r="L9898" s="89"/>
      <c r="M9898" s="89"/>
      <c r="O9898" s="105"/>
      <c r="P9898" s="105"/>
      <c r="Q9898" s="105"/>
      <c r="R9898" s="106"/>
      <c r="S9898" s="127"/>
      <c r="T9898" s="107"/>
    </row>
    <row r="9899" spans="1:20" x14ac:dyDescent="0.3">
      <c r="A9899" s="101"/>
      <c r="B9899" s="102"/>
      <c r="C9899" s="87"/>
      <c r="D9899" s="103"/>
      <c r="F9899" s="101"/>
      <c r="G9899" s="104"/>
      <c r="H9899" s="86" t="e">
        <f>IF(I9899="fora",0%,G9899/QUÓRUM!$C$6)</f>
        <v>#DIV/0!</v>
      </c>
      <c r="I9899" s="87"/>
      <c r="J9899" s="88"/>
      <c r="K9899" s="88"/>
      <c r="L9899" s="89"/>
      <c r="M9899" s="89"/>
      <c r="O9899" s="105"/>
      <c r="P9899" s="105"/>
      <c r="Q9899" s="105"/>
      <c r="R9899" s="106"/>
      <c r="S9899" s="127"/>
      <c r="T9899" s="107"/>
    </row>
    <row r="9900" spans="1:20" x14ac:dyDescent="0.3">
      <c r="A9900" s="101"/>
      <c r="B9900" s="102"/>
      <c r="C9900" s="87"/>
      <c r="D9900" s="103"/>
      <c r="F9900" s="101"/>
      <c r="G9900" s="104"/>
      <c r="H9900" s="86" t="e">
        <f>IF(I9900="fora",0%,G9900/QUÓRUM!$C$6)</f>
        <v>#DIV/0!</v>
      </c>
      <c r="I9900" s="87"/>
      <c r="J9900" s="88"/>
      <c r="K9900" s="88"/>
      <c r="L9900" s="89"/>
      <c r="M9900" s="89"/>
      <c r="O9900" s="105"/>
      <c r="P9900" s="105"/>
      <c r="Q9900" s="105"/>
      <c r="R9900" s="106"/>
      <c r="S9900" s="127"/>
      <c r="T9900" s="107"/>
    </row>
    <row r="9901" spans="1:20" x14ac:dyDescent="0.3">
      <c r="A9901" s="101"/>
      <c r="B9901" s="102"/>
      <c r="C9901" s="87"/>
      <c r="D9901" s="103"/>
      <c r="F9901" s="101"/>
      <c r="G9901" s="104"/>
      <c r="H9901" s="86" t="e">
        <f>IF(I9901="fora",0%,G9901/QUÓRUM!$C$6)</f>
        <v>#DIV/0!</v>
      </c>
      <c r="I9901" s="87"/>
      <c r="J9901" s="88"/>
      <c r="K9901" s="88"/>
      <c r="L9901" s="89"/>
      <c r="M9901" s="89"/>
      <c r="O9901" s="105"/>
      <c r="P9901" s="105"/>
      <c r="Q9901" s="105"/>
      <c r="R9901" s="106"/>
      <c r="S9901" s="127"/>
      <c r="T9901" s="107"/>
    </row>
    <row r="9902" spans="1:20" x14ac:dyDescent="0.3">
      <c r="A9902" s="101"/>
      <c r="B9902" s="102"/>
      <c r="C9902" s="87"/>
      <c r="D9902" s="103"/>
      <c r="F9902" s="101"/>
      <c r="G9902" s="104"/>
      <c r="H9902" s="86" t="e">
        <f>IF(I9902="fora",0%,G9902/QUÓRUM!$C$6)</f>
        <v>#DIV/0!</v>
      </c>
      <c r="I9902" s="87"/>
      <c r="J9902" s="88"/>
      <c r="K9902" s="88"/>
      <c r="L9902" s="89"/>
      <c r="M9902" s="89"/>
      <c r="O9902" s="105"/>
      <c r="P9902" s="105"/>
      <c r="Q9902" s="105"/>
      <c r="R9902" s="106"/>
      <c r="S9902" s="127"/>
      <c r="T9902" s="107"/>
    </row>
    <row r="9903" spans="1:20" x14ac:dyDescent="0.3">
      <c r="A9903" s="101"/>
      <c r="B9903" s="102"/>
      <c r="C9903" s="87"/>
      <c r="D9903" s="103"/>
      <c r="F9903" s="101"/>
      <c r="G9903" s="104"/>
      <c r="H9903" s="86" t="e">
        <f>IF(I9903="fora",0%,G9903/QUÓRUM!$C$6)</f>
        <v>#DIV/0!</v>
      </c>
      <c r="I9903" s="87"/>
      <c r="J9903" s="88"/>
      <c r="K9903" s="88"/>
      <c r="L9903" s="89"/>
      <c r="M9903" s="89"/>
      <c r="O9903" s="105"/>
      <c r="P9903" s="105"/>
      <c r="Q9903" s="105"/>
      <c r="R9903" s="106"/>
      <c r="S9903" s="127"/>
      <c r="T9903" s="107"/>
    </row>
    <row r="9904" spans="1:20" x14ac:dyDescent="0.3">
      <c r="A9904" s="101"/>
      <c r="B9904" s="102"/>
      <c r="C9904" s="87"/>
      <c r="D9904" s="103"/>
      <c r="F9904" s="101"/>
      <c r="G9904" s="104"/>
      <c r="H9904" s="86" t="e">
        <f>IF(I9904="fora",0%,G9904/QUÓRUM!$C$6)</f>
        <v>#DIV/0!</v>
      </c>
      <c r="I9904" s="87"/>
      <c r="J9904" s="88"/>
      <c r="K9904" s="88"/>
      <c r="L9904" s="89"/>
      <c r="M9904" s="89"/>
      <c r="O9904" s="105"/>
      <c r="P9904" s="105"/>
      <c r="Q9904" s="105"/>
      <c r="R9904" s="106"/>
      <c r="S9904" s="127"/>
      <c r="T9904" s="107"/>
    </row>
    <row r="9905" spans="1:20" x14ac:dyDescent="0.3">
      <c r="A9905" s="101"/>
      <c r="B9905" s="102"/>
      <c r="C9905" s="87"/>
      <c r="D9905" s="103"/>
      <c r="F9905" s="101"/>
      <c r="G9905" s="104"/>
      <c r="H9905" s="86" t="e">
        <f>IF(I9905="fora",0%,G9905/QUÓRUM!$C$6)</f>
        <v>#DIV/0!</v>
      </c>
      <c r="I9905" s="87"/>
      <c r="J9905" s="88"/>
      <c r="K9905" s="88"/>
      <c r="L9905" s="89"/>
      <c r="M9905" s="89"/>
      <c r="O9905" s="105"/>
      <c r="P9905" s="105"/>
      <c r="Q9905" s="105"/>
      <c r="R9905" s="106"/>
      <c r="S9905" s="127"/>
      <c r="T9905" s="107"/>
    </row>
    <row r="9906" spans="1:20" x14ac:dyDescent="0.3">
      <c r="A9906" s="101"/>
      <c r="B9906" s="102"/>
      <c r="C9906" s="87"/>
      <c r="D9906" s="103"/>
      <c r="F9906" s="101"/>
      <c r="G9906" s="104"/>
      <c r="H9906" s="86" t="e">
        <f>IF(I9906="fora",0%,G9906/QUÓRUM!$C$6)</f>
        <v>#DIV/0!</v>
      </c>
      <c r="I9906" s="87"/>
      <c r="J9906" s="88"/>
      <c r="K9906" s="88"/>
      <c r="L9906" s="89"/>
      <c r="M9906" s="89"/>
      <c r="O9906" s="105"/>
      <c r="P9906" s="105"/>
      <c r="Q9906" s="105"/>
      <c r="R9906" s="106"/>
      <c r="S9906" s="127"/>
      <c r="T9906" s="107"/>
    </row>
    <row r="9907" spans="1:20" x14ac:dyDescent="0.3">
      <c r="C9907" s="87"/>
      <c r="H9907" s="86" t="e">
        <f>IF(I9907="fora",0%,G9907/QUÓRUM!$C$6)</f>
        <v>#DIV/0!</v>
      </c>
      <c r="I9907" s="87"/>
      <c r="J9907" s="88"/>
      <c r="K9907" s="88"/>
      <c r="L9907" s="89"/>
      <c r="M9907" s="89"/>
      <c r="Q9907" s="105"/>
    </row>
    <row r="9908" spans="1:20" x14ac:dyDescent="0.3">
      <c r="A9908" s="101"/>
      <c r="B9908" s="102"/>
      <c r="C9908" s="87"/>
      <c r="D9908" s="103"/>
      <c r="F9908" s="101"/>
      <c r="G9908" s="104"/>
      <c r="H9908" s="86" t="e">
        <f>IF(I9908="fora",0%,G9908/QUÓRUM!$C$6)</f>
        <v>#DIV/0!</v>
      </c>
      <c r="I9908" s="87"/>
      <c r="J9908" s="88"/>
      <c r="K9908" s="88"/>
      <c r="L9908" s="89"/>
      <c r="M9908" s="89"/>
      <c r="O9908" s="105"/>
      <c r="P9908" s="105"/>
      <c r="Q9908" s="105"/>
      <c r="R9908" s="106"/>
      <c r="S9908" s="127"/>
      <c r="T9908" s="107"/>
    </row>
    <row r="9909" spans="1:20" x14ac:dyDescent="0.3">
      <c r="A9909" s="101"/>
      <c r="B9909" s="102"/>
      <c r="C9909" s="87"/>
      <c r="D9909" s="103"/>
      <c r="F9909" s="101"/>
      <c r="G9909" s="104"/>
      <c r="H9909" s="86" t="e">
        <f>IF(I9909="fora",0%,G9909/QUÓRUM!$C$6)</f>
        <v>#DIV/0!</v>
      </c>
      <c r="I9909" s="87"/>
      <c r="J9909" s="88"/>
      <c r="K9909" s="88"/>
      <c r="L9909" s="89"/>
      <c r="M9909" s="89"/>
      <c r="O9909" s="105"/>
      <c r="P9909" s="105"/>
      <c r="Q9909" s="105"/>
      <c r="R9909" s="106"/>
      <c r="S9909" s="127"/>
      <c r="T9909" s="107"/>
    </row>
    <row r="9910" spans="1:20" x14ac:dyDescent="0.3">
      <c r="A9910" s="101"/>
      <c r="B9910" s="102"/>
      <c r="C9910" s="87"/>
      <c r="D9910" s="103"/>
      <c r="F9910" s="101"/>
      <c r="G9910" s="104"/>
      <c r="H9910" s="86" t="e">
        <f>IF(I9910="fora",0%,G9910/QUÓRUM!$C$6)</f>
        <v>#DIV/0!</v>
      </c>
      <c r="I9910" s="87"/>
      <c r="J9910" s="88"/>
      <c r="K9910" s="88"/>
      <c r="L9910" s="89"/>
      <c r="M9910" s="89"/>
      <c r="O9910" s="105"/>
      <c r="P9910" s="105"/>
      <c r="Q9910" s="105"/>
      <c r="R9910" s="106"/>
      <c r="S9910" s="127"/>
      <c r="T9910" s="107"/>
    </row>
    <row r="9911" spans="1:20" x14ac:dyDescent="0.3">
      <c r="A9911" s="101"/>
      <c r="B9911" s="102"/>
      <c r="C9911" s="87"/>
      <c r="D9911" s="103"/>
      <c r="F9911" s="101"/>
      <c r="G9911" s="104"/>
      <c r="H9911" s="86" t="e">
        <f>IF(I9911="fora",0%,G9911/QUÓRUM!$C$6)</f>
        <v>#DIV/0!</v>
      </c>
      <c r="I9911" s="87"/>
      <c r="J9911" s="88"/>
      <c r="K9911" s="88"/>
      <c r="L9911" s="89"/>
      <c r="M9911" s="89"/>
      <c r="O9911" s="105"/>
      <c r="P9911" s="105"/>
      <c r="Q9911" s="105"/>
      <c r="R9911" s="106"/>
      <c r="S9911" s="127"/>
      <c r="T9911" s="107"/>
    </row>
    <row r="9912" spans="1:20" x14ac:dyDescent="0.3">
      <c r="A9912" s="101"/>
      <c r="B9912" s="102"/>
      <c r="C9912" s="87"/>
      <c r="D9912" s="103"/>
      <c r="F9912" s="101"/>
      <c r="G9912" s="104"/>
      <c r="H9912" s="86" t="e">
        <f>IF(I9912="fora",0%,G9912/QUÓRUM!$C$6)</f>
        <v>#DIV/0!</v>
      </c>
      <c r="I9912" s="87"/>
      <c r="J9912" s="88"/>
      <c r="K9912" s="88"/>
      <c r="L9912" s="89"/>
      <c r="M9912" s="89"/>
      <c r="O9912" s="105"/>
      <c r="P9912" s="105"/>
      <c r="Q9912" s="105"/>
      <c r="R9912" s="106"/>
      <c r="S9912" s="127"/>
      <c r="T9912" s="107"/>
    </row>
    <row r="9913" spans="1:20" x14ac:dyDescent="0.3">
      <c r="A9913" s="101"/>
      <c r="B9913" s="102"/>
      <c r="C9913" s="87"/>
      <c r="D9913" s="103"/>
      <c r="F9913" s="101"/>
      <c r="G9913" s="104"/>
      <c r="H9913" s="86" t="e">
        <f>IF(I9913="fora",0%,G9913/QUÓRUM!$C$6)</f>
        <v>#DIV/0!</v>
      </c>
      <c r="I9913" s="87"/>
      <c r="J9913" s="88"/>
      <c r="K9913" s="88"/>
      <c r="L9913" s="89"/>
      <c r="M9913" s="89"/>
      <c r="O9913" s="105"/>
      <c r="P9913" s="105"/>
      <c r="Q9913" s="105"/>
      <c r="R9913" s="106"/>
      <c r="S9913" s="127"/>
      <c r="T9913" s="107"/>
    </row>
    <row r="9914" spans="1:20" x14ac:dyDescent="0.3">
      <c r="A9914" s="101"/>
      <c r="B9914" s="102"/>
      <c r="C9914" s="87"/>
      <c r="D9914" s="103"/>
      <c r="F9914" s="101"/>
      <c r="G9914" s="104"/>
      <c r="H9914" s="86" t="e">
        <f>IF(I9914="fora",0%,G9914/QUÓRUM!$C$6)</f>
        <v>#DIV/0!</v>
      </c>
      <c r="I9914" s="87"/>
      <c r="J9914" s="88"/>
      <c r="K9914" s="88"/>
      <c r="L9914" s="89"/>
      <c r="M9914" s="89"/>
      <c r="O9914" s="105"/>
      <c r="P9914" s="105"/>
      <c r="Q9914" s="105"/>
      <c r="R9914" s="106"/>
      <c r="S9914" s="127"/>
      <c r="T9914" s="107"/>
    </row>
    <row r="9915" spans="1:20" x14ac:dyDescent="0.3">
      <c r="A9915" s="101"/>
      <c r="B9915" s="102"/>
      <c r="C9915" s="87"/>
      <c r="D9915" s="103"/>
      <c r="F9915" s="101"/>
      <c r="G9915" s="104"/>
      <c r="H9915" s="86" t="e">
        <f>IF(I9915="fora",0%,G9915/QUÓRUM!$C$6)</f>
        <v>#DIV/0!</v>
      </c>
      <c r="I9915" s="87"/>
      <c r="J9915" s="88"/>
      <c r="K9915" s="88"/>
      <c r="L9915" s="89"/>
      <c r="M9915" s="89"/>
      <c r="O9915" s="105"/>
      <c r="P9915" s="105"/>
      <c r="Q9915" s="105"/>
      <c r="R9915" s="106"/>
      <c r="S9915" s="127"/>
      <c r="T9915" s="107"/>
    </row>
    <row r="9916" spans="1:20" x14ac:dyDescent="0.3">
      <c r="A9916" s="101"/>
      <c r="B9916" s="102"/>
      <c r="C9916" s="87"/>
      <c r="D9916" s="103"/>
      <c r="F9916" s="101"/>
      <c r="G9916" s="104"/>
      <c r="H9916" s="86" t="e">
        <f>IF(I9916="fora",0%,G9916/QUÓRUM!$C$6)</f>
        <v>#DIV/0!</v>
      </c>
      <c r="I9916" s="87"/>
      <c r="J9916" s="88"/>
      <c r="K9916" s="88"/>
      <c r="L9916" s="89"/>
      <c r="M9916" s="89"/>
      <c r="O9916" s="105"/>
      <c r="P9916" s="105"/>
      <c r="Q9916" s="105"/>
      <c r="R9916" s="106"/>
      <c r="S9916" s="127"/>
      <c r="T9916" s="107"/>
    </row>
    <row r="9917" spans="1:20" x14ac:dyDescent="0.3">
      <c r="A9917" s="101"/>
      <c r="B9917" s="102"/>
      <c r="C9917" s="87"/>
      <c r="D9917" s="103"/>
      <c r="F9917" s="101"/>
      <c r="G9917" s="104"/>
      <c r="H9917" s="86" t="e">
        <f>IF(I9917="fora",0%,G9917/QUÓRUM!$C$6)</f>
        <v>#DIV/0!</v>
      </c>
      <c r="I9917" s="87"/>
      <c r="J9917" s="88"/>
      <c r="K9917" s="88"/>
      <c r="L9917" s="89"/>
      <c r="M9917" s="89"/>
      <c r="O9917" s="105"/>
      <c r="P9917" s="105"/>
      <c r="Q9917" s="105"/>
      <c r="R9917" s="106"/>
      <c r="S9917" s="127"/>
      <c r="T9917" s="107"/>
    </row>
    <row r="9918" spans="1:20" x14ac:dyDescent="0.3">
      <c r="A9918" s="101"/>
      <c r="B9918" s="102"/>
      <c r="C9918" s="87"/>
      <c r="D9918" s="103"/>
      <c r="F9918" s="101"/>
      <c r="G9918" s="104"/>
      <c r="H9918" s="86" t="e">
        <f>IF(I9918="fora",0%,G9918/QUÓRUM!$C$6)</f>
        <v>#DIV/0!</v>
      </c>
      <c r="I9918" s="87"/>
      <c r="J9918" s="88"/>
      <c r="K9918" s="88"/>
      <c r="L9918" s="89"/>
      <c r="M9918" s="89"/>
      <c r="O9918" s="105"/>
      <c r="P9918" s="105"/>
      <c r="Q9918" s="105"/>
      <c r="R9918" s="106"/>
      <c r="S9918" s="127"/>
      <c r="T9918" s="107"/>
    </row>
    <row r="9919" spans="1:20" x14ac:dyDescent="0.3">
      <c r="A9919" s="101"/>
      <c r="B9919" s="102"/>
      <c r="C9919" s="87"/>
      <c r="D9919" s="103"/>
      <c r="F9919" s="101"/>
      <c r="G9919" s="104"/>
      <c r="H9919" s="86" t="e">
        <f>IF(I9919="fora",0%,G9919/QUÓRUM!$C$6)</f>
        <v>#DIV/0!</v>
      </c>
      <c r="I9919" s="87"/>
      <c r="J9919" s="88"/>
      <c r="K9919" s="88"/>
      <c r="L9919" s="89"/>
      <c r="M9919" s="89"/>
      <c r="O9919" s="105"/>
      <c r="P9919" s="105"/>
      <c r="Q9919" s="105"/>
      <c r="R9919" s="106"/>
      <c r="S9919" s="127"/>
      <c r="T9919" s="107"/>
    </row>
    <row r="9920" spans="1:20" x14ac:dyDescent="0.3">
      <c r="A9920" s="101"/>
      <c r="B9920" s="102"/>
      <c r="C9920" s="87"/>
      <c r="D9920" s="103"/>
      <c r="F9920" s="101"/>
      <c r="G9920" s="109"/>
      <c r="H9920" s="86" t="e">
        <f>IF(I9920="fora",0%,G9920/QUÓRUM!$C$6)</f>
        <v>#DIV/0!</v>
      </c>
      <c r="I9920" s="87"/>
      <c r="J9920" s="88"/>
      <c r="K9920" s="88"/>
      <c r="L9920" s="89"/>
      <c r="M9920" s="89"/>
      <c r="O9920" s="105"/>
      <c r="P9920" s="105"/>
      <c r="Q9920" s="105"/>
      <c r="R9920" s="106"/>
      <c r="S9920" s="127"/>
      <c r="T9920" s="107"/>
    </row>
    <row r="9921" spans="1:20" x14ac:dyDescent="0.3">
      <c r="A9921" s="101"/>
      <c r="B9921" s="102"/>
      <c r="C9921" s="87"/>
      <c r="D9921" s="103"/>
      <c r="F9921" s="101"/>
      <c r="G9921" s="104"/>
      <c r="H9921" s="86" t="e">
        <f>IF(I9921="fora",0%,G9921/QUÓRUM!$C$6)</f>
        <v>#DIV/0!</v>
      </c>
      <c r="I9921" s="87"/>
      <c r="J9921" s="88"/>
      <c r="K9921" s="88"/>
      <c r="L9921" s="89"/>
      <c r="M9921" s="89"/>
      <c r="O9921" s="105"/>
      <c r="P9921" s="105"/>
      <c r="Q9921" s="105"/>
      <c r="R9921" s="106"/>
      <c r="S9921" s="127"/>
      <c r="T9921" s="107"/>
    </row>
    <row r="9922" spans="1:20" x14ac:dyDescent="0.3">
      <c r="A9922" s="101"/>
      <c r="B9922" s="102"/>
      <c r="C9922" s="87"/>
      <c r="D9922" s="103"/>
      <c r="F9922" s="101"/>
      <c r="G9922" s="104"/>
      <c r="H9922" s="86" t="e">
        <f>IF(I9922="fora",0%,G9922/QUÓRUM!$C$6)</f>
        <v>#DIV/0!</v>
      </c>
      <c r="I9922" s="87"/>
      <c r="J9922" s="88"/>
      <c r="K9922" s="88"/>
      <c r="L9922" s="89"/>
      <c r="M9922" s="89"/>
      <c r="O9922" s="105"/>
      <c r="P9922" s="105"/>
      <c r="Q9922" s="105"/>
      <c r="R9922" s="106"/>
      <c r="S9922" s="127"/>
      <c r="T9922" s="107"/>
    </row>
    <row r="9923" spans="1:20" x14ac:dyDescent="0.3">
      <c r="A9923" s="101"/>
      <c r="B9923" s="102"/>
      <c r="C9923" s="87"/>
      <c r="D9923" s="103"/>
      <c r="F9923" s="101"/>
      <c r="G9923" s="104"/>
      <c r="H9923" s="86" t="e">
        <f>IF(I9923="fora",0%,G9923/QUÓRUM!$C$6)</f>
        <v>#DIV/0!</v>
      </c>
      <c r="I9923" s="87"/>
      <c r="J9923" s="88"/>
      <c r="K9923" s="88"/>
      <c r="L9923" s="89"/>
      <c r="M9923" s="89"/>
      <c r="O9923" s="105"/>
      <c r="P9923" s="105"/>
      <c r="Q9923" s="105"/>
      <c r="R9923" s="106"/>
      <c r="S9923" s="127"/>
      <c r="T9923" s="107"/>
    </row>
    <row r="9924" spans="1:20" x14ac:dyDescent="0.3">
      <c r="A9924" s="101"/>
      <c r="B9924" s="102"/>
      <c r="C9924" s="87"/>
      <c r="D9924" s="103"/>
      <c r="F9924" s="101"/>
      <c r="G9924" s="104"/>
      <c r="H9924" s="86" t="e">
        <f>IF(I9924="fora",0%,G9924/QUÓRUM!$C$6)</f>
        <v>#DIV/0!</v>
      </c>
      <c r="I9924" s="87"/>
      <c r="J9924" s="88"/>
      <c r="K9924" s="88"/>
      <c r="L9924" s="89"/>
      <c r="M9924" s="89"/>
      <c r="O9924" s="105"/>
      <c r="P9924" s="105"/>
      <c r="Q9924" s="105"/>
      <c r="R9924" s="106"/>
      <c r="S9924" s="127"/>
      <c r="T9924" s="107"/>
    </row>
    <row r="9925" spans="1:20" x14ac:dyDescent="0.3">
      <c r="A9925" s="101"/>
      <c r="B9925" s="102"/>
      <c r="C9925" s="87"/>
      <c r="D9925" s="103"/>
      <c r="F9925" s="101"/>
      <c r="G9925" s="104"/>
      <c r="H9925" s="86" t="e">
        <f>IF(I9925="fora",0%,G9925/QUÓRUM!$C$6)</f>
        <v>#DIV/0!</v>
      </c>
      <c r="I9925" s="87"/>
      <c r="J9925" s="88"/>
      <c r="K9925" s="88"/>
      <c r="L9925" s="89"/>
      <c r="M9925" s="89"/>
      <c r="O9925" s="105"/>
      <c r="P9925" s="105"/>
      <c r="Q9925" s="105"/>
      <c r="R9925" s="106"/>
      <c r="S9925" s="127"/>
      <c r="T9925" s="107"/>
    </row>
    <row r="9926" spans="1:20" x14ac:dyDescent="0.3">
      <c r="A9926" s="101"/>
      <c r="B9926" s="102"/>
      <c r="C9926" s="87"/>
      <c r="D9926" s="103"/>
      <c r="F9926" s="101"/>
      <c r="G9926" s="104"/>
      <c r="H9926" s="86" t="e">
        <f>IF(I9926="fora",0%,G9926/QUÓRUM!$C$6)</f>
        <v>#DIV/0!</v>
      </c>
      <c r="I9926" s="87"/>
      <c r="J9926" s="88"/>
      <c r="K9926" s="88"/>
      <c r="L9926" s="89"/>
      <c r="M9926" s="89"/>
      <c r="O9926" s="105"/>
      <c r="P9926" s="105"/>
      <c r="Q9926" s="105"/>
      <c r="R9926" s="106"/>
      <c r="S9926" s="127"/>
      <c r="T9926" s="107"/>
    </row>
    <row r="9927" spans="1:20" x14ac:dyDescent="0.3">
      <c r="A9927" s="101"/>
      <c r="B9927" s="102"/>
      <c r="C9927" s="87"/>
      <c r="D9927" s="103"/>
      <c r="F9927" s="101"/>
      <c r="G9927" s="104"/>
      <c r="H9927" s="86" t="e">
        <f>IF(I9927="fora",0%,G9927/QUÓRUM!$C$6)</f>
        <v>#DIV/0!</v>
      </c>
      <c r="I9927" s="87"/>
      <c r="J9927" s="88"/>
      <c r="K9927" s="88"/>
      <c r="L9927" s="89"/>
      <c r="M9927" s="89"/>
      <c r="O9927" s="105"/>
      <c r="P9927" s="105"/>
      <c r="Q9927" s="105"/>
      <c r="R9927" s="106"/>
      <c r="S9927" s="127"/>
      <c r="T9927" s="107"/>
    </row>
    <row r="9928" spans="1:20" x14ac:dyDescent="0.3">
      <c r="A9928" s="101"/>
      <c r="B9928" s="102"/>
      <c r="C9928" s="87"/>
      <c r="D9928" s="103"/>
      <c r="F9928" s="101"/>
      <c r="G9928" s="104"/>
      <c r="H9928" s="86" t="e">
        <f>IF(I9928="fora",0%,G9928/QUÓRUM!$C$6)</f>
        <v>#DIV/0!</v>
      </c>
      <c r="I9928" s="87"/>
      <c r="J9928" s="88"/>
      <c r="K9928" s="88"/>
      <c r="L9928" s="89"/>
      <c r="M9928" s="89"/>
      <c r="O9928" s="105"/>
      <c r="P9928" s="105"/>
      <c r="Q9928" s="105"/>
      <c r="R9928" s="106"/>
      <c r="S9928" s="127"/>
      <c r="T9928" s="107"/>
    </row>
    <row r="9929" spans="1:20" x14ac:dyDescent="0.3">
      <c r="A9929" s="101"/>
      <c r="B9929" s="102"/>
      <c r="C9929" s="87"/>
      <c r="D9929" s="103"/>
      <c r="F9929" s="101"/>
      <c r="G9929" s="104"/>
      <c r="H9929" s="86" t="e">
        <f>IF(I9929="fora",0%,G9929/QUÓRUM!$C$6)</f>
        <v>#DIV/0!</v>
      </c>
      <c r="I9929" s="87"/>
      <c r="J9929" s="88"/>
      <c r="K9929" s="88"/>
      <c r="L9929" s="89"/>
      <c r="M9929" s="89"/>
      <c r="O9929" s="105"/>
      <c r="P9929" s="105"/>
      <c r="Q9929" s="105"/>
      <c r="R9929" s="106"/>
      <c r="S9929" s="127"/>
      <c r="T9929" s="107"/>
    </row>
    <row r="9930" spans="1:20" x14ac:dyDescent="0.3">
      <c r="A9930" s="101"/>
      <c r="B9930" s="102"/>
      <c r="C9930" s="87"/>
      <c r="D9930" s="103"/>
      <c r="F9930" s="101"/>
      <c r="G9930" s="104"/>
      <c r="H9930" s="86" t="e">
        <f>IF(I9930="fora",0%,G9930/QUÓRUM!$C$6)</f>
        <v>#DIV/0!</v>
      </c>
      <c r="I9930" s="87"/>
      <c r="J9930" s="88"/>
      <c r="K9930" s="88"/>
      <c r="L9930" s="89"/>
      <c r="M9930" s="89"/>
      <c r="O9930" s="105"/>
      <c r="P9930" s="105"/>
      <c r="Q9930" s="105"/>
      <c r="R9930" s="106"/>
      <c r="S9930" s="127"/>
      <c r="T9930" s="107"/>
    </row>
    <row r="9931" spans="1:20" x14ac:dyDescent="0.3">
      <c r="A9931" s="101"/>
      <c r="B9931" s="102"/>
      <c r="C9931" s="87"/>
      <c r="D9931" s="103"/>
      <c r="F9931" s="101"/>
      <c r="G9931" s="104"/>
      <c r="H9931" s="86" t="e">
        <f>IF(I9931="fora",0%,G9931/QUÓRUM!$C$6)</f>
        <v>#DIV/0!</v>
      </c>
      <c r="I9931" s="87"/>
      <c r="J9931" s="88"/>
      <c r="K9931" s="88"/>
      <c r="L9931" s="89"/>
      <c r="M9931" s="89"/>
      <c r="O9931" s="105"/>
      <c r="P9931" s="105"/>
      <c r="Q9931" s="105"/>
      <c r="R9931" s="106"/>
      <c r="S9931" s="127"/>
      <c r="T9931" s="107"/>
    </row>
    <row r="9932" spans="1:20" x14ac:dyDescent="0.3">
      <c r="A9932" s="101"/>
      <c r="B9932" s="102"/>
      <c r="C9932" s="87"/>
      <c r="D9932" s="103"/>
      <c r="F9932" s="101"/>
      <c r="G9932" s="104"/>
      <c r="H9932" s="86" t="e">
        <f>IF(I9932="fora",0%,G9932/QUÓRUM!$C$6)</f>
        <v>#DIV/0!</v>
      </c>
      <c r="I9932" s="87"/>
      <c r="J9932" s="88"/>
      <c r="K9932" s="88"/>
      <c r="L9932" s="89"/>
      <c r="M9932" s="89"/>
      <c r="O9932" s="105"/>
      <c r="P9932" s="105"/>
      <c r="Q9932" s="105"/>
      <c r="R9932" s="106"/>
      <c r="S9932" s="127"/>
      <c r="T9932" s="107"/>
    </row>
    <row r="9933" spans="1:20" x14ac:dyDescent="0.3">
      <c r="A9933" s="101"/>
      <c r="B9933" s="102"/>
      <c r="C9933" s="87"/>
      <c r="D9933" s="103"/>
      <c r="F9933" s="101"/>
      <c r="G9933" s="104"/>
      <c r="H9933" s="86" t="e">
        <f>IF(I9933="fora",0%,G9933/QUÓRUM!$C$6)</f>
        <v>#DIV/0!</v>
      </c>
      <c r="I9933" s="87"/>
      <c r="J9933" s="88"/>
      <c r="K9933" s="88"/>
      <c r="L9933" s="89"/>
      <c r="M9933" s="89"/>
      <c r="O9933" s="105"/>
      <c r="P9933" s="105"/>
      <c r="Q9933" s="105"/>
      <c r="R9933" s="106"/>
      <c r="S9933" s="127"/>
      <c r="T9933" s="107"/>
    </row>
    <row r="9934" spans="1:20" x14ac:dyDescent="0.3">
      <c r="A9934" s="101"/>
      <c r="B9934" s="102"/>
      <c r="C9934" s="87"/>
      <c r="D9934" s="103"/>
      <c r="F9934" s="101"/>
      <c r="G9934" s="104"/>
      <c r="H9934" s="86" t="e">
        <f>IF(I9934="fora",0%,G9934/QUÓRUM!$C$6)</f>
        <v>#DIV/0!</v>
      </c>
      <c r="I9934" s="87"/>
      <c r="J9934" s="88"/>
      <c r="K9934" s="88"/>
      <c r="L9934" s="89"/>
      <c r="M9934" s="89"/>
      <c r="O9934" s="105"/>
      <c r="P9934" s="105"/>
      <c r="Q9934" s="105"/>
      <c r="R9934" s="106"/>
      <c r="S9934" s="127"/>
      <c r="T9934" s="107"/>
    </row>
    <row r="9935" spans="1:20" x14ac:dyDescent="0.3">
      <c r="A9935" s="101"/>
      <c r="B9935" s="102"/>
      <c r="C9935" s="87"/>
      <c r="D9935" s="103"/>
      <c r="F9935" s="101"/>
      <c r="G9935" s="104"/>
      <c r="H9935" s="86" t="e">
        <f>IF(I9935="fora",0%,G9935/QUÓRUM!$C$6)</f>
        <v>#DIV/0!</v>
      </c>
      <c r="I9935" s="87"/>
      <c r="J9935" s="88"/>
      <c r="K9935" s="88"/>
      <c r="L9935" s="89"/>
      <c r="M9935" s="89"/>
      <c r="O9935" s="105"/>
      <c r="P9935" s="105"/>
      <c r="Q9935" s="105"/>
      <c r="R9935" s="106"/>
      <c r="S9935" s="127"/>
      <c r="T9935" s="107"/>
    </row>
    <row r="9936" spans="1:20" x14ac:dyDescent="0.3">
      <c r="A9936" s="101"/>
      <c r="B9936" s="102"/>
      <c r="C9936" s="87"/>
      <c r="D9936" s="103"/>
      <c r="F9936" s="101"/>
      <c r="G9936" s="104"/>
      <c r="H9936" s="86" t="e">
        <f>IF(I9936="fora",0%,G9936/QUÓRUM!$C$6)</f>
        <v>#DIV/0!</v>
      </c>
      <c r="I9936" s="87"/>
      <c r="J9936" s="88"/>
      <c r="K9936" s="88"/>
      <c r="L9936" s="89"/>
      <c r="M9936" s="89"/>
      <c r="O9936" s="105"/>
      <c r="P9936" s="105"/>
      <c r="Q9936" s="105"/>
      <c r="R9936" s="106"/>
      <c r="S9936" s="127"/>
      <c r="T9936" s="107"/>
    </row>
    <row r="9937" spans="1:20" x14ac:dyDescent="0.3">
      <c r="A9937" s="101"/>
      <c r="B9937" s="102"/>
      <c r="C9937" s="87"/>
      <c r="D9937" s="103"/>
      <c r="F9937" s="101"/>
      <c r="G9937" s="104"/>
      <c r="H9937" s="86" t="e">
        <f>IF(I9937="fora",0%,G9937/QUÓRUM!$C$6)</f>
        <v>#DIV/0!</v>
      </c>
      <c r="I9937" s="87"/>
      <c r="J9937" s="88"/>
      <c r="K9937" s="88"/>
      <c r="L9937" s="89"/>
      <c r="M9937" s="89"/>
      <c r="O9937" s="105"/>
      <c r="P9937" s="105"/>
      <c r="Q9937" s="105"/>
      <c r="R9937" s="106"/>
      <c r="S9937" s="127"/>
      <c r="T9937" s="107"/>
    </row>
    <row r="9938" spans="1:20" x14ac:dyDescent="0.3">
      <c r="A9938" s="101"/>
      <c r="B9938" s="102"/>
      <c r="C9938" s="87"/>
      <c r="D9938" s="103"/>
      <c r="F9938" s="101"/>
      <c r="G9938" s="104"/>
      <c r="H9938" s="86" t="e">
        <f>IF(I9938="fora",0%,G9938/QUÓRUM!$C$6)</f>
        <v>#DIV/0!</v>
      </c>
      <c r="I9938" s="87"/>
      <c r="J9938" s="88"/>
      <c r="K9938" s="88"/>
      <c r="L9938" s="89"/>
      <c r="M9938" s="89"/>
      <c r="O9938" s="105"/>
      <c r="P9938" s="105"/>
      <c r="Q9938" s="105"/>
      <c r="R9938" s="106"/>
      <c r="S9938" s="127"/>
      <c r="T9938" s="107"/>
    </row>
    <row r="9939" spans="1:20" x14ac:dyDescent="0.3">
      <c r="A9939" s="101"/>
      <c r="B9939" s="102"/>
      <c r="C9939" s="87"/>
      <c r="D9939" s="103"/>
      <c r="F9939" s="101"/>
      <c r="G9939" s="104"/>
      <c r="H9939" s="86" t="e">
        <f>IF(I9939="fora",0%,G9939/QUÓRUM!$C$6)</f>
        <v>#DIV/0!</v>
      </c>
      <c r="I9939" s="87"/>
      <c r="J9939" s="88"/>
      <c r="K9939" s="88"/>
      <c r="L9939" s="89"/>
      <c r="M9939" s="89"/>
      <c r="O9939" s="105"/>
      <c r="P9939" s="105"/>
      <c r="Q9939" s="105"/>
      <c r="R9939" s="106"/>
      <c r="S9939" s="127"/>
      <c r="T9939" s="107"/>
    </row>
    <row r="9940" spans="1:20" x14ac:dyDescent="0.3">
      <c r="A9940" s="101"/>
      <c r="B9940" s="102"/>
      <c r="C9940" s="87"/>
      <c r="D9940" s="103"/>
      <c r="F9940" s="101"/>
      <c r="G9940" s="104"/>
      <c r="H9940" s="86" t="e">
        <f>IF(I9940="fora",0%,G9940/QUÓRUM!$C$6)</f>
        <v>#DIV/0!</v>
      </c>
      <c r="I9940" s="87"/>
      <c r="J9940" s="88"/>
      <c r="K9940" s="88"/>
      <c r="L9940" s="89"/>
      <c r="M9940" s="89"/>
      <c r="O9940" s="105"/>
      <c r="P9940" s="105"/>
      <c r="Q9940" s="105"/>
      <c r="R9940" s="106"/>
      <c r="S9940" s="127"/>
      <c r="T9940" s="107"/>
    </row>
    <row r="9941" spans="1:20" x14ac:dyDescent="0.3">
      <c r="A9941" s="101"/>
      <c r="B9941" s="102"/>
      <c r="C9941" s="87"/>
      <c r="D9941" s="103"/>
      <c r="F9941" s="101"/>
      <c r="G9941" s="104"/>
      <c r="H9941" s="86" t="e">
        <f>IF(I9941="fora",0%,G9941/QUÓRUM!$C$6)</f>
        <v>#DIV/0!</v>
      </c>
      <c r="I9941" s="87"/>
      <c r="J9941" s="88"/>
      <c r="K9941" s="88"/>
      <c r="L9941" s="89"/>
      <c r="M9941" s="89"/>
      <c r="O9941" s="105"/>
      <c r="P9941" s="105"/>
      <c r="Q9941" s="105"/>
      <c r="R9941" s="106"/>
      <c r="S9941" s="127"/>
      <c r="T9941" s="107"/>
    </row>
    <row r="9942" spans="1:20" x14ac:dyDescent="0.3">
      <c r="A9942" s="101"/>
      <c r="B9942" s="102"/>
      <c r="C9942" s="87"/>
      <c r="D9942" s="103"/>
      <c r="F9942" s="101"/>
      <c r="G9942" s="104"/>
      <c r="H9942" s="86" t="e">
        <f>IF(I9942="fora",0%,G9942/QUÓRUM!$C$6)</f>
        <v>#DIV/0!</v>
      </c>
      <c r="I9942" s="87"/>
      <c r="J9942" s="88"/>
      <c r="K9942" s="88"/>
      <c r="L9942" s="89"/>
      <c r="M9942" s="89"/>
      <c r="O9942" s="105"/>
      <c r="P9942" s="105"/>
      <c r="Q9942" s="105"/>
      <c r="R9942" s="106"/>
      <c r="S9942" s="127"/>
      <c r="T9942" s="107"/>
    </row>
    <row r="9943" spans="1:20" x14ac:dyDescent="0.3">
      <c r="A9943" s="101"/>
      <c r="B9943" s="102"/>
      <c r="C9943" s="87"/>
      <c r="D9943" s="103"/>
      <c r="F9943" s="101"/>
      <c r="G9943" s="104"/>
      <c r="H9943" s="86" t="e">
        <f>IF(I9943="fora",0%,G9943/QUÓRUM!$C$6)</f>
        <v>#DIV/0!</v>
      </c>
      <c r="I9943" s="87"/>
      <c r="J9943" s="88"/>
      <c r="K9943" s="88"/>
      <c r="L9943" s="89"/>
      <c r="M9943" s="89"/>
      <c r="O9943" s="105"/>
      <c r="P9943" s="105"/>
      <c r="Q9943" s="105"/>
      <c r="R9943" s="106"/>
      <c r="S9943" s="127"/>
      <c r="T9943" s="107"/>
    </row>
    <row r="9944" spans="1:20" x14ac:dyDescent="0.3">
      <c r="A9944" s="101"/>
      <c r="B9944" s="102"/>
      <c r="C9944" s="87"/>
      <c r="D9944" s="103"/>
      <c r="F9944" s="101"/>
      <c r="G9944" s="104"/>
      <c r="H9944" s="86" t="e">
        <f>IF(I9944="fora",0%,G9944/QUÓRUM!$C$6)</f>
        <v>#DIV/0!</v>
      </c>
      <c r="I9944" s="87"/>
      <c r="J9944" s="88"/>
      <c r="K9944" s="88"/>
      <c r="L9944" s="89"/>
      <c r="M9944" s="89"/>
      <c r="O9944" s="105"/>
      <c r="P9944" s="105"/>
      <c r="Q9944" s="105"/>
      <c r="R9944" s="106"/>
      <c r="S9944" s="127"/>
      <c r="T9944" s="107"/>
    </row>
    <row r="9945" spans="1:20" x14ac:dyDescent="0.3">
      <c r="A9945" s="101"/>
      <c r="B9945" s="102"/>
      <c r="C9945" s="87"/>
      <c r="D9945" s="103"/>
      <c r="F9945" s="101"/>
      <c r="G9945" s="104"/>
      <c r="H9945" s="86" t="e">
        <f>IF(I9945="fora",0%,G9945/QUÓRUM!$C$6)</f>
        <v>#DIV/0!</v>
      </c>
      <c r="I9945" s="87"/>
      <c r="J9945" s="88"/>
      <c r="K9945" s="88"/>
      <c r="L9945" s="89"/>
      <c r="M9945" s="89"/>
      <c r="O9945" s="105"/>
      <c r="P9945" s="105"/>
      <c r="Q9945" s="105"/>
      <c r="R9945" s="106"/>
      <c r="S9945" s="127"/>
      <c r="T9945" s="107"/>
    </row>
    <row r="9946" spans="1:20" x14ac:dyDescent="0.3">
      <c r="A9946" s="101"/>
      <c r="B9946" s="102"/>
      <c r="C9946" s="87"/>
      <c r="D9946" s="103"/>
      <c r="F9946" s="101"/>
      <c r="G9946" s="104"/>
      <c r="H9946" s="86" t="e">
        <f>IF(I9946="fora",0%,G9946/QUÓRUM!$C$6)</f>
        <v>#DIV/0!</v>
      </c>
      <c r="I9946" s="87"/>
      <c r="J9946" s="88"/>
      <c r="K9946" s="88"/>
      <c r="L9946" s="89"/>
      <c r="M9946" s="89"/>
      <c r="O9946" s="105"/>
      <c r="P9946" s="105"/>
      <c r="Q9946" s="105"/>
      <c r="R9946" s="106"/>
      <c r="S9946" s="127"/>
      <c r="T9946" s="107"/>
    </row>
    <row r="9947" spans="1:20" x14ac:dyDescent="0.3">
      <c r="A9947" s="101"/>
      <c r="B9947" s="102"/>
      <c r="C9947" s="87"/>
      <c r="D9947" s="103"/>
      <c r="F9947" s="101"/>
      <c r="G9947" s="104"/>
      <c r="H9947" s="86" t="e">
        <f>IF(I9947="fora",0%,G9947/QUÓRUM!$C$6)</f>
        <v>#DIV/0!</v>
      </c>
      <c r="I9947" s="87"/>
      <c r="J9947" s="88"/>
      <c r="K9947" s="88"/>
      <c r="L9947" s="89"/>
      <c r="M9947" s="89"/>
      <c r="O9947" s="105"/>
      <c r="P9947" s="105"/>
      <c r="Q9947" s="105"/>
      <c r="R9947" s="106"/>
      <c r="S9947" s="127"/>
      <c r="T9947" s="107"/>
    </row>
    <row r="9948" spans="1:20" x14ac:dyDescent="0.3">
      <c r="A9948" s="101"/>
      <c r="B9948" s="102"/>
      <c r="C9948" s="87"/>
      <c r="D9948" s="103"/>
      <c r="F9948" s="101"/>
      <c r="G9948" s="104"/>
      <c r="H9948" s="86" t="e">
        <f>IF(I9948="fora",0%,G9948/QUÓRUM!$C$6)</f>
        <v>#DIV/0!</v>
      </c>
      <c r="I9948" s="87"/>
      <c r="J9948" s="88"/>
      <c r="K9948" s="88"/>
      <c r="L9948" s="89"/>
      <c r="M9948" s="89"/>
      <c r="O9948" s="105"/>
      <c r="P9948" s="105"/>
      <c r="Q9948" s="105"/>
      <c r="R9948" s="106"/>
      <c r="S9948" s="127"/>
      <c r="T9948" s="107"/>
    </row>
    <row r="9949" spans="1:20" x14ac:dyDescent="0.3">
      <c r="A9949" s="101"/>
      <c r="B9949" s="102"/>
      <c r="C9949" s="87"/>
      <c r="D9949" s="103"/>
      <c r="F9949" s="101"/>
      <c r="G9949" s="104"/>
      <c r="H9949" s="86" t="e">
        <f>IF(I9949="fora",0%,G9949/QUÓRUM!$C$6)</f>
        <v>#DIV/0!</v>
      </c>
      <c r="I9949" s="87"/>
      <c r="J9949" s="88"/>
      <c r="K9949" s="88"/>
      <c r="L9949" s="89"/>
      <c r="M9949" s="89"/>
      <c r="O9949" s="105"/>
      <c r="P9949" s="105"/>
      <c r="Q9949" s="105"/>
      <c r="R9949" s="106"/>
      <c r="S9949" s="127"/>
      <c r="T9949" s="107"/>
    </row>
    <row r="9950" spans="1:20" x14ac:dyDescent="0.3">
      <c r="A9950" s="101"/>
      <c r="B9950" s="102"/>
      <c r="C9950" s="87"/>
      <c r="D9950" s="103"/>
      <c r="F9950" s="101"/>
      <c r="G9950" s="104"/>
      <c r="H9950" s="86" t="e">
        <f>IF(I9950="fora",0%,G9950/QUÓRUM!$C$6)</f>
        <v>#DIV/0!</v>
      </c>
      <c r="I9950" s="87"/>
      <c r="J9950" s="88"/>
      <c r="K9950" s="88"/>
      <c r="L9950" s="89"/>
      <c r="M9950" s="89"/>
      <c r="O9950" s="105"/>
      <c r="P9950" s="105"/>
      <c r="Q9950" s="105"/>
      <c r="R9950" s="106"/>
      <c r="S9950" s="127"/>
      <c r="T9950" s="107"/>
    </row>
    <row r="9951" spans="1:20" x14ac:dyDescent="0.3">
      <c r="A9951" s="101"/>
      <c r="B9951" s="102"/>
      <c r="C9951" s="87"/>
      <c r="D9951" s="103"/>
      <c r="F9951" s="101"/>
      <c r="G9951" s="104"/>
      <c r="H9951" s="86" t="e">
        <f>IF(I9951="fora",0%,G9951/QUÓRUM!$C$6)</f>
        <v>#DIV/0!</v>
      </c>
      <c r="I9951" s="87"/>
      <c r="J9951" s="88"/>
      <c r="K9951" s="88"/>
      <c r="L9951" s="89"/>
      <c r="M9951" s="89"/>
      <c r="O9951" s="105"/>
      <c r="P9951" s="105"/>
      <c r="Q9951" s="105"/>
      <c r="R9951" s="106"/>
      <c r="S9951" s="127"/>
      <c r="T9951" s="107"/>
    </row>
    <row r="9952" spans="1:20" x14ac:dyDescent="0.3">
      <c r="A9952" s="101"/>
      <c r="B9952" s="102"/>
      <c r="C9952" s="87"/>
      <c r="D9952" s="103"/>
      <c r="F9952" s="101"/>
      <c r="G9952" s="104"/>
      <c r="H9952" s="86" t="e">
        <f>IF(I9952="fora",0%,G9952/QUÓRUM!$C$6)</f>
        <v>#DIV/0!</v>
      </c>
      <c r="I9952" s="87"/>
      <c r="J9952" s="88"/>
      <c r="K9952" s="88"/>
      <c r="L9952" s="89"/>
      <c r="M9952" s="89"/>
      <c r="O9952" s="105"/>
      <c r="P9952" s="105"/>
      <c r="Q9952" s="105"/>
      <c r="R9952" s="106"/>
      <c r="S9952" s="127"/>
      <c r="T9952" s="107"/>
    </row>
    <row r="9953" spans="1:20" x14ac:dyDescent="0.3">
      <c r="A9953" s="101"/>
      <c r="B9953" s="102"/>
      <c r="C9953" s="87"/>
      <c r="D9953" s="103"/>
      <c r="F9953" s="101"/>
      <c r="G9953" s="104"/>
      <c r="H9953" s="86" t="e">
        <f>IF(I9953="fora",0%,G9953/QUÓRUM!$C$6)</f>
        <v>#DIV/0!</v>
      </c>
      <c r="I9953" s="87"/>
      <c r="J9953" s="88"/>
      <c r="K9953" s="88"/>
      <c r="L9953" s="89"/>
      <c r="M9953" s="89"/>
      <c r="O9953" s="105"/>
      <c r="P9953" s="105"/>
      <c r="Q9953" s="105"/>
      <c r="R9953" s="106"/>
      <c r="S9953" s="127"/>
      <c r="T9953" s="107"/>
    </row>
    <row r="9954" spans="1:20" x14ac:dyDescent="0.3">
      <c r="A9954" s="101"/>
      <c r="B9954" s="102"/>
      <c r="C9954" s="87"/>
      <c r="D9954" s="103"/>
      <c r="F9954" s="101"/>
      <c r="G9954" s="104"/>
      <c r="H9954" s="86" t="e">
        <f>IF(I9954="fora",0%,G9954/QUÓRUM!$C$6)</f>
        <v>#DIV/0!</v>
      </c>
      <c r="I9954" s="87"/>
      <c r="J9954" s="88"/>
      <c r="K9954" s="88"/>
      <c r="L9954" s="89"/>
      <c r="M9954" s="89"/>
      <c r="O9954" s="105"/>
      <c r="P9954" s="105"/>
      <c r="Q9954" s="105"/>
      <c r="R9954" s="106"/>
      <c r="S9954" s="127"/>
      <c r="T9954" s="107"/>
    </row>
    <row r="9955" spans="1:20" x14ac:dyDescent="0.3">
      <c r="A9955" s="101"/>
      <c r="B9955" s="102"/>
      <c r="C9955" s="87"/>
      <c r="D9955" s="103"/>
      <c r="F9955" s="101"/>
      <c r="G9955" s="104"/>
      <c r="H9955" s="86" t="e">
        <f>IF(I9955="fora",0%,G9955/QUÓRUM!$C$6)</f>
        <v>#DIV/0!</v>
      </c>
      <c r="I9955" s="87"/>
      <c r="J9955" s="88"/>
      <c r="K9955" s="88"/>
      <c r="L9955" s="89"/>
      <c r="M9955" s="89"/>
      <c r="O9955" s="105"/>
      <c r="P9955" s="105"/>
      <c r="Q9955" s="105"/>
      <c r="R9955" s="106"/>
      <c r="S9955" s="127"/>
      <c r="T9955" s="107"/>
    </row>
    <row r="9956" spans="1:20" x14ac:dyDescent="0.3">
      <c r="A9956" s="101"/>
      <c r="B9956" s="102"/>
      <c r="C9956" s="87"/>
      <c r="D9956" s="103"/>
      <c r="F9956" s="101"/>
      <c r="G9956" s="104"/>
      <c r="H9956" s="86" t="e">
        <f>IF(I9956="fora",0%,G9956/QUÓRUM!$C$6)</f>
        <v>#DIV/0!</v>
      </c>
      <c r="I9956" s="87"/>
      <c r="J9956" s="88"/>
      <c r="K9956" s="88"/>
      <c r="L9956" s="89"/>
      <c r="M9956" s="89"/>
      <c r="O9956" s="105"/>
      <c r="P9956" s="105"/>
      <c r="Q9956" s="105"/>
      <c r="R9956" s="106"/>
      <c r="S9956" s="127"/>
      <c r="T9956" s="107"/>
    </row>
    <row r="9957" spans="1:20" x14ac:dyDescent="0.3">
      <c r="A9957" s="101"/>
      <c r="B9957" s="102"/>
      <c r="C9957" s="87"/>
      <c r="D9957" s="103"/>
      <c r="F9957" s="101"/>
      <c r="G9957" s="104"/>
      <c r="H9957" s="86" t="e">
        <f>IF(I9957="fora",0%,G9957/QUÓRUM!$C$6)</f>
        <v>#DIV/0!</v>
      </c>
      <c r="I9957" s="87"/>
      <c r="J9957" s="88"/>
      <c r="K9957" s="88"/>
      <c r="L9957" s="89"/>
      <c r="M9957" s="89"/>
      <c r="O9957" s="105"/>
      <c r="P9957" s="105"/>
      <c r="Q9957" s="105"/>
      <c r="R9957" s="106"/>
      <c r="S9957" s="127"/>
      <c r="T9957" s="107"/>
    </row>
    <row r="9958" spans="1:20" x14ac:dyDescent="0.3">
      <c r="A9958" s="101"/>
      <c r="B9958" s="102"/>
      <c r="C9958" s="87"/>
      <c r="D9958" s="103"/>
      <c r="F9958" s="101"/>
      <c r="G9958" s="104"/>
      <c r="H9958" s="86" t="e">
        <f>IF(I9958="fora",0%,G9958/QUÓRUM!$C$6)</f>
        <v>#DIV/0!</v>
      </c>
      <c r="I9958" s="87"/>
      <c r="J9958" s="88"/>
      <c r="K9958" s="88"/>
      <c r="L9958" s="89"/>
      <c r="M9958" s="89"/>
      <c r="O9958" s="105"/>
      <c r="P9958" s="105"/>
      <c r="Q9958" s="105"/>
      <c r="R9958" s="106"/>
      <c r="S9958" s="127"/>
      <c r="T9958" s="107"/>
    </row>
    <row r="9959" spans="1:20" x14ac:dyDescent="0.3">
      <c r="A9959" s="101"/>
      <c r="B9959" s="102"/>
      <c r="C9959" s="87"/>
      <c r="D9959" s="103"/>
      <c r="F9959" s="101"/>
      <c r="G9959" s="104"/>
      <c r="H9959" s="86" t="e">
        <f>IF(I9959="fora",0%,G9959/QUÓRUM!$C$6)</f>
        <v>#DIV/0!</v>
      </c>
      <c r="I9959" s="87"/>
      <c r="J9959" s="88"/>
      <c r="K9959" s="88"/>
      <c r="L9959" s="89"/>
      <c r="M9959" s="89"/>
      <c r="O9959" s="105"/>
      <c r="P9959" s="105"/>
      <c r="Q9959" s="105"/>
      <c r="R9959" s="106"/>
      <c r="S9959" s="127"/>
      <c r="T9959" s="107"/>
    </row>
    <row r="9960" spans="1:20" x14ac:dyDescent="0.3">
      <c r="A9960" s="101"/>
      <c r="B9960" s="102"/>
      <c r="C9960" s="87"/>
      <c r="D9960" s="103"/>
      <c r="F9960" s="101"/>
      <c r="G9960" s="104"/>
      <c r="H9960" s="86" t="e">
        <f>IF(I9960="fora",0%,G9960/QUÓRUM!$C$6)</f>
        <v>#DIV/0!</v>
      </c>
      <c r="I9960" s="87"/>
      <c r="J9960" s="88"/>
      <c r="K9960" s="88"/>
      <c r="L9960" s="89"/>
      <c r="M9960" s="89"/>
      <c r="O9960" s="105"/>
      <c r="P9960" s="105"/>
      <c r="Q9960" s="105"/>
      <c r="R9960" s="106"/>
      <c r="S9960" s="127"/>
      <c r="T9960" s="107"/>
    </row>
    <row r="9961" spans="1:20" x14ac:dyDescent="0.3">
      <c r="A9961" s="101"/>
      <c r="B9961" s="102"/>
      <c r="C9961" s="87"/>
      <c r="D9961" s="103"/>
      <c r="F9961" s="101"/>
      <c r="G9961" s="104"/>
      <c r="H9961" s="86" t="e">
        <f>IF(I9961="fora",0%,G9961/QUÓRUM!$C$6)</f>
        <v>#DIV/0!</v>
      </c>
      <c r="I9961" s="87"/>
      <c r="J9961" s="88"/>
      <c r="K9961" s="88"/>
      <c r="L9961" s="89"/>
      <c r="M9961" s="89"/>
      <c r="O9961" s="105"/>
      <c r="P9961" s="105"/>
      <c r="Q9961" s="105"/>
      <c r="R9961" s="106"/>
      <c r="S9961" s="127"/>
      <c r="T9961" s="107"/>
    </row>
    <row r="9962" spans="1:20" x14ac:dyDescent="0.3">
      <c r="A9962" s="101"/>
      <c r="B9962" s="102"/>
      <c r="C9962" s="87"/>
      <c r="D9962" s="103"/>
      <c r="F9962" s="101"/>
      <c r="G9962" s="104"/>
      <c r="H9962" s="86" t="e">
        <f>IF(I9962="fora",0%,G9962/QUÓRUM!$C$6)</f>
        <v>#DIV/0!</v>
      </c>
      <c r="I9962" s="87"/>
      <c r="J9962" s="88"/>
      <c r="K9962" s="88"/>
      <c r="L9962" s="89"/>
      <c r="M9962" s="89"/>
      <c r="O9962" s="105"/>
      <c r="P9962" s="105"/>
      <c r="Q9962" s="105"/>
      <c r="R9962" s="106"/>
      <c r="S9962" s="127"/>
      <c r="T9962" s="107"/>
    </row>
    <row r="9963" spans="1:20" x14ac:dyDescent="0.3">
      <c r="A9963" s="101"/>
      <c r="B9963" s="102"/>
      <c r="C9963" s="87"/>
      <c r="D9963" s="103"/>
      <c r="F9963" s="101"/>
      <c r="G9963" s="104"/>
      <c r="H9963" s="86" t="e">
        <f>IF(I9963="fora",0%,G9963/QUÓRUM!$C$6)</f>
        <v>#DIV/0!</v>
      </c>
      <c r="I9963" s="87"/>
      <c r="J9963" s="88"/>
      <c r="K9963" s="88"/>
      <c r="L9963" s="89"/>
      <c r="M9963" s="89"/>
      <c r="O9963" s="105"/>
      <c r="P9963" s="105"/>
      <c r="Q9963" s="105"/>
      <c r="R9963" s="106"/>
      <c r="S9963" s="127"/>
      <c r="T9963" s="107"/>
    </row>
    <row r="9964" spans="1:20" x14ac:dyDescent="0.3">
      <c r="A9964" s="101"/>
      <c r="B9964" s="102"/>
      <c r="C9964" s="87"/>
      <c r="D9964" s="103"/>
      <c r="F9964" s="101"/>
      <c r="G9964" s="104"/>
      <c r="H9964" s="86" t="e">
        <f>IF(I9964="fora",0%,G9964/QUÓRUM!$C$6)</f>
        <v>#DIV/0!</v>
      </c>
      <c r="I9964" s="87"/>
      <c r="J9964" s="88"/>
      <c r="K9964" s="88"/>
      <c r="L9964" s="89"/>
      <c r="M9964" s="89"/>
      <c r="O9964" s="105"/>
      <c r="P9964" s="105"/>
      <c r="Q9964" s="105"/>
      <c r="R9964" s="106"/>
      <c r="S9964" s="127"/>
      <c r="T9964" s="107"/>
    </row>
    <row r="9965" spans="1:20" x14ac:dyDescent="0.3">
      <c r="A9965" s="101"/>
      <c r="B9965" s="102"/>
      <c r="C9965" s="87"/>
      <c r="D9965" s="103"/>
      <c r="F9965" s="101"/>
      <c r="G9965" s="104"/>
      <c r="H9965" s="86" t="e">
        <f>IF(I9965="fora",0%,G9965/QUÓRUM!$C$6)</f>
        <v>#DIV/0!</v>
      </c>
      <c r="I9965" s="87"/>
      <c r="J9965" s="88"/>
      <c r="K9965" s="88"/>
      <c r="L9965" s="89"/>
      <c r="M9965" s="89"/>
      <c r="O9965" s="105"/>
      <c r="P9965" s="105"/>
      <c r="Q9965" s="105"/>
      <c r="R9965" s="106"/>
      <c r="S9965" s="127"/>
      <c r="T9965" s="107"/>
    </row>
    <row r="9966" spans="1:20" x14ac:dyDescent="0.3">
      <c r="A9966" s="101"/>
      <c r="B9966" s="102"/>
      <c r="C9966" s="87"/>
      <c r="D9966" s="103"/>
      <c r="F9966" s="101"/>
      <c r="G9966" s="104"/>
      <c r="H9966" s="86" t="e">
        <f>IF(I9966="fora",0%,G9966/QUÓRUM!$C$6)</f>
        <v>#DIV/0!</v>
      </c>
      <c r="I9966" s="87"/>
      <c r="J9966" s="88"/>
      <c r="K9966" s="88"/>
      <c r="L9966" s="89"/>
      <c r="M9966" s="89"/>
      <c r="O9966" s="105"/>
      <c r="P9966" s="105"/>
      <c r="Q9966" s="105"/>
      <c r="R9966" s="106"/>
      <c r="S9966" s="127"/>
      <c r="T9966" s="107"/>
    </row>
    <row r="9967" spans="1:20" x14ac:dyDescent="0.3">
      <c r="A9967" s="101"/>
      <c r="B9967" s="102"/>
      <c r="C9967" s="87"/>
      <c r="D9967" s="103"/>
      <c r="F9967" s="101"/>
      <c r="G9967" s="104"/>
      <c r="H9967" s="86" t="e">
        <f>IF(I9967="fora",0%,G9967/QUÓRUM!$C$6)</f>
        <v>#DIV/0!</v>
      </c>
      <c r="I9967" s="87"/>
      <c r="J9967" s="88"/>
      <c r="K9967" s="88"/>
      <c r="L9967" s="89"/>
      <c r="M9967" s="89"/>
      <c r="O9967" s="105"/>
      <c r="P9967" s="105"/>
      <c r="Q9967" s="105"/>
      <c r="R9967" s="106"/>
      <c r="S9967" s="127"/>
      <c r="T9967" s="107"/>
    </row>
    <row r="9968" spans="1:20" x14ac:dyDescent="0.3">
      <c r="A9968" s="101"/>
      <c r="B9968" s="102"/>
      <c r="C9968" s="87"/>
      <c r="D9968" s="103"/>
      <c r="F9968" s="101"/>
      <c r="G9968" s="104"/>
      <c r="H9968" s="86" t="e">
        <f>IF(I9968="fora",0%,G9968/QUÓRUM!$C$6)</f>
        <v>#DIV/0!</v>
      </c>
      <c r="I9968" s="87"/>
      <c r="J9968" s="88"/>
      <c r="K9968" s="88"/>
      <c r="L9968" s="89"/>
      <c r="M9968" s="89"/>
      <c r="O9968" s="105"/>
      <c r="P9968" s="105"/>
      <c r="Q9968" s="105"/>
      <c r="R9968" s="106"/>
      <c r="S9968" s="127"/>
      <c r="T9968" s="107"/>
    </row>
    <row r="9969" spans="1:20" x14ac:dyDescent="0.3">
      <c r="A9969" s="101"/>
      <c r="B9969" s="102"/>
      <c r="C9969" s="87"/>
      <c r="D9969" s="103"/>
      <c r="F9969" s="101"/>
      <c r="G9969" s="104"/>
      <c r="H9969" s="86" t="e">
        <f>IF(I9969="fora",0%,G9969/QUÓRUM!$C$6)</f>
        <v>#DIV/0!</v>
      </c>
      <c r="I9969" s="87"/>
      <c r="J9969" s="88"/>
      <c r="K9969" s="88"/>
      <c r="L9969" s="89"/>
      <c r="M9969" s="89"/>
      <c r="O9969" s="105"/>
      <c r="P9969" s="105"/>
      <c r="Q9969" s="105"/>
      <c r="R9969" s="106"/>
      <c r="S9969" s="127"/>
      <c r="T9969" s="107"/>
    </row>
    <row r="9970" spans="1:20" x14ac:dyDescent="0.3">
      <c r="A9970" s="101"/>
      <c r="B9970" s="102"/>
      <c r="C9970" s="87"/>
      <c r="D9970" s="103"/>
      <c r="F9970" s="101"/>
      <c r="G9970" s="104"/>
      <c r="H9970" s="86" t="e">
        <f>IF(I9970="fora",0%,G9970/QUÓRUM!$C$6)</f>
        <v>#DIV/0!</v>
      </c>
      <c r="I9970" s="87"/>
      <c r="J9970" s="88"/>
      <c r="K9970" s="88"/>
      <c r="L9970" s="89"/>
      <c r="M9970" s="89"/>
      <c r="O9970" s="105"/>
      <c r="P9970" s="105"/>
      <c r="Q9970" s="105"/>
      <c r="R9970" s="106"/>
      <c r="S9970" s="127"/>
      <c r="T9970" s="107"/>
    </row>
    <row r="9971" spans="1:20" x14ac:dyDescent="0.3">
      <c r="A9971" s="101"/>
      <c r="B9971" s="102"/>
      <c r="C9971" s="87"/>
      <c r="D9971" s="103"/>
      <c r="F9971" s="101"/>
      <c r="G9971" s="104"/>
      <c r="H9971" s="86" t="e">
        <f>IF(I9971="fora",0%,G9971/QUÓRUM!$C$6)</f>
        <v>#DIV/0!</v>
      </c>
      <c r="I9971" s="87"/>
      <c r="J9971" s="88"/>
      <c r="K9971" s="88"/>
      <c r="L9971" s="89"/>
      <c r="M9971" s="89"/>
      <c r="O9971" s="105"/>
      <c r="P9971" s="105"/>
      <c r="Q9971" s="105"/>
      <c r="R9971" s="106"/>
      <c r="S9971" s="127"/>
      <c r="T9971" s="107"/>
    </row>
    <row r="9972" spans="1:20" x14ac:dyDescent="0.3">
      <c r="A9972" s="101"/>
      <c r="B9972" s="102"/>
      <c r="C9972" s="87"/>
      <c r="D9972" s="103"/>
      <c r="F9972" s="101"/>
      <c r="G9972" s="104"/>
      <c r="H9972" s="86" t="e">
        <f>IF(I9972="fora",0%,G9972/QUÓRUM!$C$6)</f>
        <v>#DIV/0!</v>
      </c>
      <c r="I9972" s="87"/>
      <c r="J9972" s="88"/>
      <c r="K9972" s="88"/>
      <c r="L9972" s="89"/>
      <c r="M9972" s="89"/>
      <c r="O9972" s="105"/>
      <c r="P9972" s="105"/>
      <c r="Q9972" s="105"/>
      <c r="R9972" s="106"/>
      <c r="S9972" s="127"/>
      <c r="T9972" s="107"/>
    </row>
    <row r="9973" spans="1:20" x14ac:dyDescent="0.3">
      <c r="A9973" s="101"/>
      <c r="B9973" s="102"/>
      <c r="C9973" s="87"/>
      <c r="D9973" s="103"/>
      <c r="F9973" s="101"/>
      <c r="G9973" s="104"/>
      <c r="H9973" s="86" t="e">
        <f>IF(I9973="fora",0%,G9973/QUÓRUM!$C$6)</f>
        <v>#DIV/0!</v>
      </c>
      <c r="I9973" s="87"/>
      <c r="J9973" s="88"/>
      <c r="K9973" s="88"/>
      <c r="L9973" s="89"/>
      <c r="M9973" s="89"/>
      <c r="O9973" s="105"/>
      <c r="P9973" s="105"/>
      <c r="Q9973" s="105"/>
      <c r="R9973" s="106"/>
      <c r="S9973" s="127"/>
      <c r="T9973" s="107"/>
    </row>
    <row r="9974" spans="1:20" x14ac:dyDescent="0.3">
      <c r="A9974" s="101"/>
      <c r="B9974" s="102"/>
      <c r="C9974" s="87"/>
      <c r="D9974" s="103"/>
      <c r="F9974" s="101"/>
      <c r="G9974" s="104"/>
      <c r="H9974" s="86" t="e">
        <f>IF(I9974="fora",0%,G9974/QUÓRUM!$C$6)</f>
        <v>#DIV/0!</v>
      </c>
      <c r="I9974" s="87"/>
      <c r="J9974" s="88"/>
      <c r="K9974" s="88"/>
      <c r="L9974" s="89"/>
      <c r="M9974" s="89"/>
      <c r="O9974" s="105"/>
      <c r="P9974" s="105"/>
      <c r="Q9974" s="105"/>
      <c r="R9974" s="106"/>
      <c r="S9974" s="127"/>
      <c r="T9974" s="107"/>
    </row>
    <row r="9975" spans="1:20" x14ac:dyDescent="0.3">
      <c r="A9975" s="101"/>
      <c r="B9975" s="102"/>
      <c r="C9975" s="87"/>
      <c r="D9975" s="103"/>
      <c r="F9975" s="101"/>
      <c r="G9975" s="104"/>
      <c r="H9975" s="86" t="e">
        <f>IF(I9975="fora",0%,G9975/QUÓRUM!$C$6)</f>
        <v>#DIV/0!</v>
      </c>
      <c r="I9975" s="87"/>
      <c r="J9975" s="88"/>
      <c r="K9975" s="88"/>
      <c r="L9975" s="89"/>
      <c r="M9975" s="89"/>
      <c r="O9975" s="105"/>
      <c r="P9975" s="105"/>
      <c r="Q9975" s="105"/>
      <c r="R9975" s="106"/>
      <c r="S9975" s="127"/>
      <c r="T9975" s="107"/>
    </row>
    <row r="9976" spans="1:20" x14ac:dyDescent="0.3">
      <c r="A9976" s="101"/>
      <c r="B9976" s="102"/>
      <c r="C9976" s="87"/>
      <c r="D9976" s="103"/>
      <c r="F9976" s="101"/>
      <c r="G9976" s="104"/>
      <c r="H9976" s="86" t="e">
        <f>IF(I9976="fora",0%,G9976/QUÓRUM!$C$6)</f>
        <v>#DIV/0!</v>
      </c>
      <c r="I9976" s="87"/>
      <c r="J9976" s="88"/>
      <c r="K9976" s="88"/>
      <c r="L9976" s="89"/>
      <c r="M9976" s="89"/>
      <c r="O9976" s="105"/>
      <c r="P9976" s="105"/>
      <c r="Q9976" s="105"/>
      <c r="R9976" s="106"/>
      <c r="S9976" s="127"/>
      <c r="T9976" s="107"/>
    </row>
    <row r="9977" spans="1:20" x14ac:dyDescent="0.3">
      <c r="A9977" s="101"/>
      <c r="B9977" s="102"/>
      <c r="C9977" s="87"/>
      <c r="D9977" s="103"/>
      <c r="F9977" s="101"/>
      <c r="G9977" s="104"/>
      <c r="H9977" s="86" t="e">
        <f>IF(I9977="fora",0%,G9977/QUÓRUM!$C$6)</f>
        <v>#DIV/0!</v>
      </c>
      <c r="I9977" s="87"/>
      <c r="J9977" s="88"/>
      <c r="K9977" s="88"/>
      <c r="L9977" s="89"/>
      <c r="M9977" s="89"/>
      <c r="O9977" s="105"/>
      <c r="P9977" s="105"/>
      <c r="Q9977" s="105"/>
      <c r="R9977" s="106"/>
      <c r="S9977" s="127"/>
      <c r="T9977" s="107"/>
    </row>
    <row r="9978" spans="1:20" x14ac:dyDescent="0.3">
      <c r="A9978" s="101"/>
      <c r="B9978" s="102"/>
      <c r="C9978" s="87"/>
      <c r="D9978" s="103"/>
      <c r="F9978" s="101"/>
      <c r="G9978" s="104"/>
      <c r="H9978" s="86" t="e">
        <f>IF(I9978="fora",0%,G9978/QUÓRUM!$C$6)</f>
        <v>#DIV/0!</v>
      </c>
      <c r="I9978" s="87"/>
      <c r="J9978" s="88"/>
      <c r="K9978" s="88"/>
      <c r="L9978" s="89"/>
      <c r="M9978" s="89"/>
      <c r="O9978" s="105"/>
      <c r="P9978" s="105"/>
      <c r="Q9978" s="105"/>
      <c r="R9978" s="106"/>
      <c r="S9978" s="127"/>
      <c r="T9978" s="107"/>
    </row>
    <row r="9979" spans="1:20" x14ac:dyDescent="0.3">
      <c r="A9979" s="101"/>
      <c r="B9979" s="102"/>
      <c r="C9979" s="87"/>
      <c r="D9979" s="103"/>
      <c r="F9979" s="101"/>
      <c r="G9979" s="104"/>
      <c r="H9979" s="86" t="e">
        <f>IF(I9979="fora",0%,G9979/QUÓRUM!$C$6)</f>
        <v>#DIV/0!</v>
      </c>
      <c r="I9979" s="87"/>
      <c r="J9979" s="88"/>
      <c r="K9979" s="88"/>
      <c r="L9979" s="89"/>
      <c r="M9979" s="89"/>
      <c r="O9979" s="105"/>
      <c r="P9979" s="105"/>
      <c r="Q9979" s="105"/>
      <c r="R9979" s="106"/>
      <c r="S9979" s="127"/>
      <c r="T9979" s="107"/>
    </row>
    <row r="9980" spans="1:20" x14ac:dyDescent="0.3">
      <c r="A9980" s="101"/>
      <c r="B9980" s="102"/>
      <c r="C9980" s="87"/>
      <c r="D9980" s="103"/>
      <c r="F9980" s="101"/>
      <c r="G9980" s="104"/>
      <c r="H9980" s="86" t="e">
        <f>IF(I9980="fora",0%,G9980/QUÓRUM!$C$6)</f>
        <v>#DIV/0!</v>
      </c>
      <c r="I9980" s="87"/>
      <c r="J9980" s="88"/>
      <c r="K9980" s="88"/>
      <c r="L9980" s="89"/>
      <c r="M9980" s="89"/>
      <c r="O9980" s="105"/>
      <c r="P9980" s="105"/>
      <c r="Q9980" s="105"/>
      <c r="R9980" s="106"/>
      <c r="S9980" s="127"/>
      <c r="T9980" s="107"/>
    </row>
    <row r="9981" spans="1:20" x14ac:dyDescent="0.3">
      <c r="A9981" s="101"/>
      <c r="B9981" s="102"/>
      <c r="C9981" s="87"/>
      <c r="D9981" s="103"/>
      <c r="F9981" s="101"/>
      <c r="G9981" s="104"/>
      <c r="H9981" s="86" t="e">
        <f>IF(I9981="fora",0%,G9981/QUÓRUM!$C$6)</f>
        <v>#DIV/0!</v>
      </c>
      <c r="I9981" s="87"/>
      <c r="J9981" s="88"/>
      <c r="K9981" s="88"/>
      <c r="L9981" s="89"/>
      <c r="M9981" s="89"/>
      <c r="O9981" s="105"/>
      <c r="P9981" s="105"/>
      <c r="Q9981" s="105"/>
      <c r="R9981" s="106"/>
      <c r="S9981" s="127"/>
      <c r="T9981" s="107"/>
    </row>
    <row r="9982" spans="1:20" x14ac:dyDescent="0.3">
      <c r="A9982" s="101"/>
      <c r="B9982" s="102"/>
      <c r="C9982" s="87"/>
      <c r="D9982" s="103"/>
      <c r="F9982" s="101"/>
      <c r="G9982" s="104"/>
      <c r="H9982" s="86" t="e">
        <f>IF(I9982="fora",0%,G9982/QUÓRUM!$C$6)</f>
        <v>#DIV/0!</v>
      </c>
      <c r="I9982" s="87"/>
      <c r="J9982" s="88"/>
      <c r="K9982" s="88"/>
      <c r="L9982" s="89"/>
      <c r="M9982" s="89"/>
      <c r="O9982" s="105"/>
      <c r="P9982" s="105"/>
      <c r="Q9982" s="105"/>
      <c r="R9982" s="106"/>
      <c r="S9982" s="127"/>
      <c r="T9982" s="107"/>
    </row>
    <row r="9983" spans="1:20" x14ac:dyDescent="0.3">
      <c r="A9983" s="101"/>
      <c r="B9983" s="102"/>
      <c r="C9983" s="87"/>
      <c r="D9983" s="103"/>
      <c r="F9983" s="101"/>
      <c r="G9983" s="104"/>
      <c r="H9983" s="86" t="e">
        <f>IF(I9983="fora",0%,G9983/QUÓRUM!$C$6)</f>
        <v>#DIV/0!</v>
      </c>
      <c r="I9983" s="87"/>
      <c r="J9983" s="88"/>
      <c r="K9983" s="88"/>
      <c r="L9983" s="89"/>
      <c r="M9983" s="89"/>
      <c r="O9983" s="105"/>
      <c r="P9983" s="105"/>
      <c r="Q9983" s="105"/>
      <c r="R9983" s="106"/>
      <c r="S9983" s="127"/>
      <c r="T9983" s="107"/>
    </row>
    <row r="9984" spans="1:20" x14ac:dyDescent="0.3">
      <c r="A9984" s="101"/>
      <c r="B9984" s="102"/>
      <c r="C9984" s="87"/>
      <c r="D9984" s="103"/>
      <c r="F9984" s="101"/>
      <c r="G9984" s="104"/>
      <c r="H9984" s="86" t="e">
        <f>IF(I9984="fora",0%,G9984/QUÓRUM!$C$6)</f>
        <v>#DIV/0!</v>
      </c>
      <c r="I9984" s="87"/>
      <c r="J9984" s="88"/>
      <c r="K9984" s="88"/>
      <c r="L9984" s="89"/>
      <c r="M9984" s="89"/>
      <c r="O9984" s="105"/>
      <c r="P9984" s="105"/>
      <c r="Q9984" s="105"/>
      <c r="R9984" s="106"/>
      <c r="S9984" s="127"/>
      <c r="T9984" s="107"/>
    </row>
    <row r="9985" spans="1:20" x14ac:dyDescent="0.3">
      <c r="A9985" s="101"/>
      <c r="B9985" s="102"/>
      <c r="C9985" s="87"/>
      <c r="D9985" s="103"/>
      <c r="F9985" s="101"/>
      <c r="G9985" s="104"/>
      <c r="H9985" s="86" t="e">
        <f>IF(I9985="fora",0%,G9985/QUÓRUM!$C$6)</f>
        <v>#DIV/0!</v>
      </c>
      <c r="I9985" s="87"/>
      <c r="J9985" s="88"/>
      <c r="K9985" s="88"/>
      <c r="L9985" s="89"/>
      <c r="M9985" s="89"/>
      <c r="O9985" s="105"/>
      <c r="P9985" s="105"/>
      <c r="Q9985" s="105"/>
      <c r="R9985" s="106"/>
      <c r="S9985" s="127"/>
      <c r="T9985" s="107"/>
    </row>
    <row r="9986" spans="1:20" x14ac:dyDescent="0.3">
      <c r="A9986" s="101"/>
      <c r="B9986" s="102"/>
      <c r="C9986" s="87"/>
      <c r="D9986" s="103"/>
      <c r="F9986" s="101"/>
      <c r="G9986" s="104"/>
      <c r="H9986" s="86" t="e">
        <f>IF(I9986="fora",0%,G9986/QUÓRUM!$C$6)</f>
        <v>#DIV/0!</v>
      </c>
      <c r="I9986" s="87"/>
      <c r="J9986" s="88"/>
      <c r="K9986" s="88"/>
      <c r="L9986" s="89"/>
      <c r="M9986" s="89"/>
      <c r="O9986" s="105"/>
      <c r="P9986" s="105"/>
      <c r="Q9986" s="105"/>
      <c r="R9986" s="106"/>
      <c r="S9986" s="127"/>
      <c r="T9986" s="107"/>
    </row>
    <row r="9987" spans="1:20" x14ac:dyDescent="0.3">
      <c r="A9987" s="101"/>
      <c r="B9987" s="102"/>
      <c r="C9987" s="87"/>
      <c r="D9987" s="103"/>
      <c r="F9987" s="101"/>
      <c r="G9987" s="109"/>
      <c r="H9987" s="86" t="e">
        <f>IF(I9987="fora",0%,G9987/QUÓRUM!$C$6)</f>
        <v>#DIV/0!</v>
      </c>
      <c r="I9987" s="87"/>
      <c r="J9987" s="88"/>
      <c r="K9987" s="88"/>
      <c r="L9987" s="89"/>
      <c r="M9987" s="89"/>
      <c r="O9987" s="105"/>
      <c r="P9987" s="105"/>
      <c r="Q9987" s="105"/>
      <c r="R9987" s="106"/>
      <c r="S9987" s="127"/>
      <c r="T9987" s="107"/>
    </row>
    <row r="9988" spans="1:20" x14ac:dyDescent="0.3">
      <c r="A9988" s="101"/>
      <c r="B9988" s="102"/>
      <c r="C9988" s="87"/>
      <c r="D9988" s="103"/>
      <c r="F9988" s="101"/>
      <c r="G9988" s="104"/>
      <c r="H9988" s="86" t="e">
        <f>IF(I9988="fora",0%,G9988/QUÓRUM!$C$6)</f>
        <v>#DIV/0!</v>
      </c>
      <c r="I9988" s="87"/>
      <c r="J9988" s="88"/>
      <c r="K9988" s="88"/>
      <c r="L9988" s="89"/>
      <c r="M9988" s="89"/>
      <c r="O9988" s="105"/>
      <c r="P9988" s="105"/>
      <c r="Q9988" s="105"/>
      <c r="R9988" s="106"/>
      <c r="S9988" s="127"/>
      <c r="T9988" s="107"/>
    </row>
    <row r="9989" spans="1:20" x14ac:dyDescent="0.3">
      <c r="A9989" s="101"/>
      <c r="B9989" s="102"/>
      <c r="C9989" s="87"/>
      <c r="D9989" s="103"/>
      <c r="F9989" s="101"/>
      <c r="G9989" s="104"/>
      <c r="H9989" s="86" t="e">
        <f>IF(I9989="fora",0%,G9989/QUÓRUM!$C$6)</f>
        <v>#DIV/0!</v>
      </c>
      <c r="I9989" s="87"/>
      <c r="J9989" s="88"/>
      <c r="K9989" s="88"/>
      <c r="L9989" s="89"/>
      <c r="M9989" s="89"/>
      <c r="O9989" s="105"/>
      <c r="P9989" s="105"/>
      <c r="Q9989" s="105"/>
      <c r="R9989" s="106"/>
      <c r="S9989" s="127"/>
      <c r="T9989" s="107"/>
    </row>
    <row r="9990" spans="1:20" x14ac:dyDescent="0.3">
      <c r="A9990" s="101"/>
      <c r="B9990" s="102"/>
      <c r="C9990" s="87"/>
      <c r="D9990" s="103"/>
      <c r="F9990" s="101"/>
      <c r="G9990" s="104"/>
      <c r="H9990" s="86" t="e">
        <f>IF(I9990="fora",0%,G9990/QUÓRUM!$C$6)</f>
        <v>#DIV/0!</v>
      </c>
      <c r="I9990" s="87"/>
      <c r="J9990" s="88"/>
      <c r="K9990" s="88"/>
      <c r="L9990" s="89"/>
      <c r="M9990" s="89"/>
      <c r="O9990" s="105"/>
      <c r="P9990" s="105"/>
      <c r="Q9990" s="105"/>
      <c r="R9990" s="106"/>
      <c r="S9990" s="127"/>
      <c r="T9990" s="107"/>
    </row>
    <row r="9991" spans="1:20" x14ac:dyDescent="0.3">
      <c r="A9991" s="101"/>
      <c r="B9991" s="102"/>
      <c r="C9991" s="87"/>
      <c r="D9991" s="103"/>
      <c r="F9991" s="101"/>
      <c r="G9991" s="104"/>
      <c r="H9991" s="86" t="e">
        <f>IF(I9991="fora",0%,G9991/QUÓRUM!$C$6)</f>
        <v>#DIV/0!</v>
      </c>
      <c r="I9991" s="87"/>
      <c r="J9991" s="88"/>
      <c r="K9991" s="88"/>
      <c r="L9991" s="89"/>
      <c r="M9991" s="89"/>
      <c r="O9991" s="105"/>
      <c r="P9991" s="105"/>
      <c r="Q9991" s="105"/>
      <c r="R9991" s="106"/>
      <c r="S9991" s="127"/>
      <c r="T9991" s="107"/>
    </row>
    <row r="9992" spans="1:20" x14ac:dyDescent="0.3">
      <c r="A9992" s="101"/>
      <c r="B9992" s="102"/>
      <c r="C9992" s="87"/>
      <c r="D9992" s="103"/>
      <c r="F9992" s="101"/>
      <c r="G9992" s="104"/>
      <c r="H9992" s="86" t="e">
        <f>IF(I9992="fora",0%,G9992/QUÓRUM!$C$6)</f>
        <v>#DIV/0!</v>
      </c>
      <c r="I9992" s="87"/>
      <c r="J9992" s="88"/>
      <c r="K9992" s="88"/>
      <c r="L9992" s="89"/>
      <c r="M9992" s="89"/>
      <c r="O9992" s="105"/>
      <c r="P9992" s="105"/>
      <c r="Q9992" s="105"/>
      <c r="R9992" s="106"/>
      <c r="S9992" s="127"/>
      <c r="T9992" s="107"/>
    </row>
    <row r="9993" spans="1:20" x14ac:dyDescent="0.3">
      <c r="A9993" s="101"/>
      <c r="B9993" s="102"/>
      <c r="C9993" s="87"/>
      <c r="D9993" s="103"/>
      <c r="F9993" s="101"/>
      <c r="G9993" s="104"/>
      <c r="H9993" s="86" t="e">
        <f>IF(I9993="fora",0%,G9993/QUÓRUM!$C$6)</f>
        <v>#DIV/0!</v>
      </c>
      <c r="I9993" s="87"/>
      <c r="J9993" s="88"/>
      <c r="K9993" s="88"/>
      <c r="L9993" s="89"/>
      <c r="M9993" s="89"/>
      <c r="O9993" s="105"/>
      <c r="P9993" s="105"/>
      <c r="Q9993" s="105"/>
      <c r="R9993" s="106"/>
      <c r="S9993" s="127"/>
      <c r="T9993" s="107"/>
    </row>
    <row r="9994" spans="1:20" x14ac:dyDescent="0.3">
      <c r="A9994" s="101"/>
      <c r="B9994" s="102"/>
      <c r="C9994" s="87"/>
      <c r="D9994" s="103"/>
      <c r="F9994" s="101"/>
      <c r="G9994" s="104"/>
      <c r="H9994" s="86" t="e">
        <f>IF(I9994="fora",0%,G9994/QUÓRUM!$C$6)</f>
        <v>#DIV/0!</v>
      </c>
      <c r="I9994" s="87"/>
      <c r="J9994" s="88"/>
      <c r="K9994" s="88"/>
      <c r="L9994" s="89"/>
      <c r="M9994" s="89"/>
      <c r="O9994" s="105"/>
      <c r="P9994" s="105"/>
      <c r="Q9994" s="105"/>
      <c r="R9994" s="106"/>
      <c r="S9994" s="127"/>
      <c r="T9994" s="107"/>
    </row>
    <row r="9995" spans="1:20" x14ac:dyDescent="0.3">
      <c r="A9995" s="101"/>
      <c r="B9995" s="102"/>
      <c r="C9995" s="87"/>
      <c r="D9995" s="103"/>
      <c r="F9995" s="101"/>
      <c r="G9995" s="104"/>
      <c r="H9995" s="86" t="e">
        <f>IF(I9995="fora",0%,G9995/QUÓRUM!$C$6)</f>
        <v>#DIV/0!</v>
      </c>
      <c r="I9995" s="87"/>
      <c r="J9995" s="88"/>
      <c r="K9995" s="88"/>
      <c r="L9995" s="89"/>
      <c r="M9995" s="89"/>
      <c r="O9995" s="105"/>
      <c r="P9995" s="105"/>
      <c r="Q9995" s="105"/>
      <c r="R9995" s="106"/>
      <c r="S9995" s="127"/>
      <c r="T9995" s="107"/>
    </row>
    <row r="9996" spans="1:20" x14ac:dyDescent="0.3">
      <c r="A9996" s="101"/>
      <c r="B9996" s="102"/>
      <c r="C9996" s="87"/>
      <c r="D9996" s="103"/>
      <c r="F9996" s="101"/>
      <c r="G9996" s="104"/>
      <c r="H9996" s="86" t="e">
        <f>IF(I9996="fora",0%,G9996/QUÓRUM!$C$6)</f>
        <v>#DIV/0!</v>
      </c>
      <c r="I9996" s="87"/>
      <c r="J9996" s="88"/>
      <c r="K9996" s="88"/>
      <c r="L9996" s="89"/>
      <c r="M9996" s="89"/>
      <c r="O9996" s="105"/>
      <c r="P9996" s="105"/>
      <c r="Q9996" s="105"/>
      <c r="R9996" s="106"/>
      <c r="S9996" s="127"/>
      <c r="T9996" s="107"/>
    </row>
    <row r="9997" spans="1:20" x14ac:dyDescent="0.3">
      <c r="A9997" s="101"/>
      <c r="B9997" s="102"/>
      <c r="C9997" s="87"/>
      <c r="D9997" s="103"/>
      <c r="F9997" s="101"/>
      <c r="G9997" s="104"/>
      <c r="H9997" s="86" t="e">
        <f>IF(I9997="fora",0%,G9997/QUÓRUM!$C$6)</f>
        <v>#DIV/0!</v>
      </c>
      <c r="I9997" s="87"/>
      <c r="J9997" s="88"/>
      <c r="K9997" s="88"/>
      <c r="L9997" s="89"/>
      <c r="M9997" s="89"/>
      <c r="O9997" s="105"/>
      <c r="P9997" s="105"/>
      <c r="Q9997" s="105"/>
      <c r="R9997" s="106"/>
      <c r="S9997" s="127"/>
      <c r="T9997" s="107"/>
    </row>
    <row r="9998" spans="1:20" x14ac:dyDescent="0.3">
      <c r="A9998" s="101"/>
      <c r="B9998" s="102"/>
      <c r="C9998" s="87"/>
      <c r="D9998" s="103"/>
      <c r="F9998" s="101"/>
      <c r="G9998" s="104"/>
      <c r="H9998" s="86" t="e">
        <f>IF(I9998="fora",0%,G9998/QUÓRUM!$C$6)</f>
        <v>#DIV/0!</v>
      </c>
      <c r="I9998" s="87"/>
      <c r="J9998" s="88"/>
      <c r="K9998" s="88"/>
      <c r="L9998" s="89"/>
      <c r="M9998" s="89"/>
      <c r="O9998" s="105"/>
      <c r="P9998" s="105"/>
      <c r="Q9998" s="105"/>
      <c r="R9998" s="106"/>
      <c r="S9998" s="127"/>
      <c r="T9998" s="107"/>
    </row>
    <row r="9999" spans="1:20" x14ac:dyDescent="0.3">
      <c r="A9999" s="101"/>
      <c r="B9999" s="102"/>
      <c r="C9999" s="87"/>
      <c r="D9999" s="103"/>
      <c r="F9999" s="101"/>
      <c r="G9999" s="104"/>
      <c r="H9999" s="86" t="e">
        <f>IF(I9999="fora",0%,G9999/QUÓRUM!$C$6)</f>
        <v>#DIV/0!</v>
      </c>
      <c r="I9999" s="87"/>
      <c r="J9999" s="88"/>
      <c r="K9999" s="88"/>
      <c r="L9999" s="89"/>
      <c r="M9999" s="89"/>
      <c r="O9999" s="105"/>
      <c r="P9999" s="105"/>
      <c r="Q9999" s="105"/>
      <c r="R9999" s="106"/>
      <c r="S9999" s="127"/>
      <c r="T9999" s="107"/>
    </row>
    <row r="10000" spans="1:20" x14ac:dyDescent="0.3">
      <c r="A10000" s="101"/>
      <c r="B10000" s="102"/>
      <c r="C10000" s="87"/>
      <c r="D10000" s="103"/>
      <c r="F10000" s="101"/>
      <c r="G10000" s="104"/>
      <c r="H10000" s="86" t="e">
        <f>IF(I10000="fora",0%,G10000/QUÓRUM!$C$6)</f>
        <v>#DIV/0!</v>
      </c>
      <c r="I10000" s="87"/>
      <c r="J10000" s="88"/>
      <c r="K10000" s="88"/>
      <c r="L10000" s="89"/>
      <c r="M10000" s="89"/>
      <c r="O10000" s="105"/>
      <c r="P10000" s="105"/>
      <c r="Q10000" s="105"/>
      <c r="R10000" s="106"/>
      <c r="S10000" s="127"/>
      <c r="T10000" s="107"/>
    </row>
    <row r="10001" spans="1:20" x14ac:dyDescent="0.3">
      <c r="A10001" s="101"/>
      <c r="B10001" s="102"/>
      <c r="C10001" s="87"/>
      <c r="D10001" s="103"/>
      <c r="F10001" s="101"/>
      <c r="G10001" s="104"/>
      <c r="H10001" s="86" t="e">
        <f>IF(I10001="fora",0%,G10001/QUÓRUM!$C$6)</f>
        <v>#DIV/0!</v>
      </c>
      <c r="I10001" s="87"/>
      <c r="J10001" s="88"/>
      <c r="K10001" s="88"/>
      <c r="L10001" s="89"/>
      <c r="M10001" s="89"/>
      <c r="O10001" s="105"/>
      <c r="P10001" s="105"/>
      <c r="Q10001" s="105"/>
      <c r="R10001" s="106"/>
      <c r="S10001" s="127"/>
      <c r="T10001" s="107"/>
    </row>
    <row r="10002" spans="1:20" x14ac:dyDescent="0.3">
      <c r="A10002" s="101"/>
      <c r="B10002" s="102"/>
      <c r="C10002" s="87"/>
      <c r="D10002" s="103"/>
      <c r="F10002" s="101"/>
      <c r="G10002" s="104"/>
      <c r="H10002" s="86" t="e">
        <f>IF(I10002="fora",0%,G10002/QUÓRUM!$C$6)</f>
        <v>#DIV/0!</v>
      </c>
      <c r="I10002" s="87"/>
      <c r="J10002" s="88"/>
      <c r="K10002" s="88"/>
      <c r="L10002" s="89"/>
      <c r="M10002" s="89"/>
      <c r="O10002" s="105"/>
      <c r="P10002" s="105"/>
      <c r="Q10002" s="105"/>
      <c r="R10002" s="106"/>
      <c r="S10002" s="127"/>
      <c r="T10002" s="107"/>
    </row>
    <row r="10003" spans="1:20" x14ac:dyDescent="0.3">
      <c r="A10003" s="101"/>
      <c r="B10003" s="102"/>
      <c r="C10003" s="87"/>
      <c r="D10003" s="103"/>
      <c r="F10003" s="101"/>
      <c r="G10003" s="104"/>
      <c r="H10003" s="86" t="e">
        <f>IF(I10003="fora",0%,G10003/QUÓRUM!$C$6)</f>
        <v>#DIV/0!</v>
      </c>
      <c r="I10003" s="87"/>
      <c r="J10003" s="88"/>
      <c r="K10003" s="88"/>
      <c r="L10003" s="89"/>
      <c r="M10003" s="89"/>
      <c r="O10003" s="105"/>
      <c r="P10003" s="105"/>
      <c r="Q10003" s="105"/>
      <c r="R10003" s="106"/>
      <c r="S10003" s="127"/>
      <c r="T10003" s="107"/>
    </row>
    <row r="10004" spans="1:20" x14ac:dyDescent="0.3">
      <c r="A10004" s="101"/>
      <c r="B10004" s="102"/>
      <c r="C10004" s="87"/>
      <c r="D10004" s="103"/>
      <c r="F10004" s="101"/>
      <c r="G10004" s="104"/>
      <c r="H10004" s="86" t="e">
        <f>IF(I10004="fora",0%,G10004/QUÓRUM!$C$6)</f>
        <v>#DIV/0!</v>
      </c>
      <c r="I10004" s="87"/>
      <c r="J10004" s="88"/>
      <c r="K10004" s="88"/>
      <c r="L10004" s="89"/>
      <c r="M10004" s="89"/>
      <c r="O10004" s="105"/>
      <c r="P10004" s="105"/>
      <c r="Q10004" s="105"/>
      <c r="R10004" s="106"/>
      <c r="S10004" s="127"/>
      <c r="T10004" s="107"/>
    </row>
    <row r="10005" spans="1:20" x14ac:dyDescent="0.3">
      <c r="A10005" s="101"/>
      <c r="B10005" s="102"/>
      <c r="C10005" s="87"/>
      <c r="D10005" s="103"/>
      <c r="F10005" s="101"/>
      <c r="G10005" s="104"/>
      <c r="H10005" s="86" t="e">
        <f>IF(I10005="fora",0%,G10005/QUÓRUM!$C$6)</f>
        <v>#DIV/0!</v>
      </c>
      <c r="I10005" s="87"/>
      <c r="J10005" s="88"/>
      <c r="K10005" s="88"/>
      <c r="L10005" s="89"/>
      <c r="M10005" s="89"/>
      <c r="O10005" s="105"/>
      <c r="P10005" s="105"/>
      <c r="Q10005" s="105"/>
      <c r="R10005" s="106"/>
      <c r="S10005" s="127"/>
      <c r="T10005" s="107"/>
    </row>
    <row r="10006" spans="1:20" x14ac:dyDescent="0.3">
      <c r="A10006" s="101"/>
      <c r="B10006" s="102"/>
      <c r="C10006" s="87"/>
      <c r="D10006" s="103"/>
      <c r="F10006" s="101"/>
      <c r="G10006" s="104"/>
      <c r="H10006" s="86" t="e">
        <f>IF(I10006="fora",0%,G10006/QUÓRUM!$C$6)</f>
        <v>#DIV/0!</v>
      </c>
      <c r="I10006" s="87"/>
      <c r="J10006" s="88"/>
      <c r="K10006" s="88"/>
      <c r="L10006" s="89"/>
      <c r="M10006" s="89"/>
      <c r="O10006" s="105"/>
      <c r="P10006" s="105"/>
      <c r="Q10006" s="105"/>
      <c r="R10006" s="106"/>
      <c r="S10006" s="127"/>
      <c r="T10006" s="107"/>
    </row>
    <row r="10007" spans="1:20" x14ac:dyDescent="0.3">
      <c r="A10007" s="101"/>
      <c r="B10007" s="102"/>
      <c r="C10007" s="87"/>
      <c r="D10007" s="103"/>
      <c r="F10007" s="101"/>
      <c r="G10007" s="104"/>
      <c r="H10007" s="86" t="e">
        <f>IF(I10007="fora",0%,G10007/QUÓRUM!$C$6)</f>
        <v>#DIV/0!</v>
      </c>
      <c r="I10007" s="87"/>
      <c r="J10007" s="88"/>
      <c r="K10007" s="88"/>
      <c r="L10007" s="89"/>
      <c r="M10007" s="89"/>
      <c r="O10007" s="105"/>
      <c r="P10007" s="105"/>
      <c r="Q10007" s="105"/>
      <c r="R10007" s="106"/>
      <c r="S10007" s="127"/>
      <c r="T10007" s="107"/>
    </row>
    <row r="10008" spans="1:20" x14ac:dyDescent="0.3">
      <c r="A10008" s="101"/>
      <c r="B10008" s="102"/>
      <c r="C10008" s="87"/>
      <c r="D10008" s="103"/>
      <c r="F10008" s="101"/>
      <c r="G10008" s="104"/>
      <c r="H10008" s="86" t="e">
        <f>IF(I10008="fora",0%,G10008/QUÓRUM!$C$6)</f>
        <v>#DIV/0!</v>
      </c>
      <c r="I10008" s="87"/>
      <c r="J10008" s="88"/>
      <c r="K10008" s="88"/>
      <c r="L10008" s="89"/>
      <c r="M10008" s="89"/>
      <c r="O10008" s="105"/>
      <c r="P10008" s="105"/>
      <c r="Q10008" s="105"/>
      <c r="R10008" s="106"/>
      <c r="S10008" s="127"/>
      <c r="T10008" s="107"/>
    </row>
    <row r="10009" spans="1:20" x14ac:dyDescent="0.3">
      <c r="A10009" s="101"/>
      <c r="B10009" s="102"/>
      <c r="C10009" s="87"/>
      <c r="D10009" s="103"/>
      <c r="F10009" s="101"/>
      <c r="G10009" s="104"/>
      <c r="H10009" s="86" t="e">
        <f>IF(I10009="fora",0%,G10009/QUÓRUM!$C$6)</f>
        <v>#DIV/0!</v>
      </c>
      <c r="I10009" s="87"/>
      <c r="J10009" s="88"/>
      <c r="K10009" s="88"/>
      <c r="L10009" s="89"/>
      <c r="M10009" s="89"/>
      <c r="O10009" s="105"/>
      <c r="P10009" s="105"/>
      <c r="Q10009" s="105"/>
      <c r="R10009" s="106"/>
      <c r="S10009" s="127"/>
      <c r="T10009" s="107"/>
    </row>
    <row r="10010" spans="1:20" x14ac:dyDescent="0.3">
      <c r="A10010" s="101"/>
      <c r="B10010" s="102"/>
      <c r="C10010" s="87"/>
      <c r="D10010" s="103"/>
      <c r="F10010" s="101"/>
      <c r="G10010" s="104"/>
      <c r="H10010" s="86" t="e">
        <f>IF(I10010="fora",0%,G10010/QUÓRUM!$C$6)</f>
        <v>#DIV/0!</v>
      </c>
      <c r="I10010" s="87"/>
      <c r="J10010" s="88"/>
      <c r="K10010" s="88"/>
      <c r="L10010" s="89"/>
      <c r="M10010" s="89"/>
      <c r="O10010" s="105"/>
      <c r="P10010" s="105"/>
      <c r="Q10010" s="105"/>
      <c r="R10010" s="106"/>
      <c r="S10010" s="127"/>
      <c r="T10010" s="107"/>
    </row>
    <row r="10011" spans="1:20" x14ac:dyDescent="0.3">
      <c r="A10011" s="101"/>
      <c r="B10011" s="102"/>
      <c r="C10011" s="87"/>
      <c r="D10011" s="103"/>
      <c r="F10011" s="101"/>
      <c r="G10011" s="104"/>
      <c r="H10011" s="86" t="e">
        <f>IF(I10011="fora",0%,G10011/QUÓRUM!$C$6)</f>
        <v>#DIV/0!</v>
      </c>
      <c r="I10011" s="87"/>
      <c r="J10011" s="88"/>
      <c r="K10011" s="88"/>
      <c r="L10011" s="89"/>
      <c r="M10011" s="89"/>
      <c r="O10011" s="105"/>
      <c r="P10011" s="105"/>
      <c r="Q10011" s="105"/>
      <c r="R10011" s="106"/>
      <c r="S10011" s="127"/>
      <c r="T10011" s="107"/>
    </row>
    <row r="10012" spans="1:20" x14ac:dyDescent="0.3">
      <c r="A10012" s="101"/>
      <c r="B10012" s="102"/>
      <c r="C10012" s="87"/>
      <c r="D10012" s="103"/>
      <c r="F10012" s="101"/>
      <c r="G10012" s="104"/>
      <c r="H10012" s="86" t="e">
        <f>IF(I10012="fora",0%,G10012/QUÓRUM!$C$6)</f>
        <v>#DIV/0!</v>
      </c>
      <c r="I10012" s="87"/>
      <c r="J10012" s="88"/>
      <c r="K10012" s="88"/>
      <c r="L10012" s="89"/>
      <c r="M10012" s="89"/>
      <c r="O10012" s="105"/>
      <c r="P10012" s="105"/>
      <c r="Q10012" s="105"/>
      <c r="R10012" s="106"/>
      <c r="S10012" s="127"/>
      <c r="T10012" s="107"/>
    </row>
    <row r="10013" spans="1:20" x14ac:dyDescent="0.3">
      <c r="A10013" s="101"/>
      <c r="B10013" s="102"/>
      <c r="C10013" s="87"/>
      <c r="D10013" s="103"/>
      <c r="F10013" s="101"/>
      <c r="G10013" s="104"/>
      <c r="H10013" s="86" t="e">
        <f>IF(I10013="fora",0%,G10013/QUÓRUM!$C$6)</f>
        <v>#DIV/0!</v>
      </c>
      <c r="I10013" s="87"/>
      <c r="J10013" s="88"/>
      <c r="K10013" s="88"/>
      <c r="L10013" s="89"/>
      <c r="M10013" s="89"/>
      <c r="O10013" s="105"/>
      <c r="P10013" s="105"/>
      <c r="Q10013" s="105"/>
      <c r="R10013" s="106"/>
      <c r="S10013" s="127"/>
      <c r="T10013" s="107"/>
    </row>
    <row r="10014" spans="1:20" x14ac:dyDescent="0.3">
      <c r="A10014" s="101"/>
      <c r="B10014" s="102"/>
      <c r="C10014" s="87"/>
      <c r="D10014" s="103"/>
      <c r="F10014" s="101"/>
      <c r="G10014" s="104"/>
      <c r="H10014" s="86" t="e">
        <f>IF(I10014="fora",0%,G10014/QUÓRUM!$C$6)</f>
        <v>#DIV/0!</v>
      </c>
      <c r="I10014" s="87"/>
      <c r="J10014" s="88"/>
      <c r="K10014" s="88"/>
      <c r="L10014" s="89"/>
      <c r="M10014" s="89"/>
      <c r="O10014" s="105"/>
      <c r="P10014" s="105"/>
      <c r="Q10014" s="105"/>
      <c r="R10014" s="106"/>
      <c r="S10014" s="127"/>
      <c r="T10014" s="107"/>
    </row>
    <row r="10015" spans="1:20" x14ac:dyDescent="0.3">
      <c r="A10015" s="101"/>
      <c r="B10015" s="102"/>
      <c r="C10015" s="87"/>
      <c r="D10015" s="103"/>
      <c r="F10015" s="101"/>
      <c r="G10015" s="104"/>
      <c r="H10015" s="86" t="e">
        <f>IF(I10015="fora",0%,G10015/QUÓRUM!$C$6)</f>
        <v>#DIV/0!</v>
      </c>
      <c r="I10015" s="87"/>
      <c r="J10015" s="88"/>
      <c r="K10015" s="88"/>
      <c r="L10015" s="89"/>
      <c r="M10015" s="89"/>
      <c r="O10015" s="105"/>
      <c r="P10015" s="105"/>
      <c r="Q10015" s="105"/>
      <c r="R10015" s="106"/>
      <c r="S10015" s="127"/>
      <c r="T10015" s="107"/>
    </row>
    <row r="10016" spans="1:20" x14ac:dyDescent="0.3">
      <c r="A10016" s="101"/>
      <c r="B10016" s="102"/>
      <c r="C10016" s="87"/>
      <c r="D10016" s="103"/>
      <c r="F10016" s="101"/>
      <c r="G10016" s="104"/>
      <c r="H10016" s="86" t="e">
        <f>IF(I10016="fora",0%,G10016/QUÓRUM!$C$6)</f>
        <v>#DIV/0!</v>
      </c>
      <c r="I10016" s="87"/>
      <c r="J10016" s="88"/>
      <c r="K10016" s="88"/>
      <c r="L10016" s="89"/>
      <c r="M10016" s="89"/>
      <c r="O10016" s="105"/>
      <c r="P10016" s="105"/>
      <c r="Q10016" s="105"/>
      <c r="R10016" s="106"/>
      <c r="S10016" s="127"/>
      <c r="T10016" s="107"/>
    </row>
    <row r="10017" spans="1:20" x14ac:dyDescent="0.3">
      <c r="A10017" s="101"/>
      <c r="B10017" s="102"/>
      <c r="C10017" s="87"/>
      <c r="D10017" s="103"/>
      <c r="F10017" s="101"/>
      <c r="G10017" s="104"/>
      <c r="H10017" s="86" t="e">
        <f>IF(I10017="fora",0%,G10017/QUÓRUM!$C$6)</f>
        <v>#DIV/0!</v>
      </c>
      <c r="I10017" s="87"/>
      <c r="J10017" s="88"/>
      <c r="K10017" s="88"/>
      <c r="L10017" s="89"/>
      <c r="M10017" s="89"/>
      <c r="O10017" s="105"/>
      <c r="P10017" s="105"/>
      <c r="Q10017" s="105"/>
      <c r="R10017" s="106"/>
      <c r="S10017" s="127"/>
      <c r="T10017" s="107"/>
    </row>
    <row r="10018" spans="1:20" x14ac:dyDescent="0.3">
      <c r="A10018" s="101"/>
      <c r="B10018" s="102"/>
      <c r="C10018" s="87"/>
      <c r="D10018" s="103"/>
      <c r="F10018" s="101"/>
      <c r="G10018" s="104"/>
      <c r="H10018" s="86" t="e">
        <f>IF(I10018="fora",0%,G10018/QUÓRUM!$C$6)</f>
        <v>#DIV/0!</v>
      </c>
      <c r="I10018" s="87"/>
      <c r="J10018" s="88"/>
      <c r="K10018" s="88"/>
      <c r="L10018" s="89"/>
      <c r="M10018" s="89"/>
      <c r="O10018" s="105"/>
      <c r="P10018" s="105"/>
      <c r="Q10018" s="105"/>
      <c r="R10018" s="106"/>
      <c r="S10018" s="127"/>
      <c r="T10018" s="107"/>
    </row>
    <row r="10019" spans="1:20" x14ac:dyDescent="0.3">
      <c r="A10019" s="101"/>
      <c r="B10019" s="102"/>
      <c r="C10019" s="87"/>
      <c r="D10019" s="103"/>
      <c r="F10019" s="101"/>
      <c r="G10019" s="104"/>
      <c r="H10019" s="86" t="e">
        <f>IF(I10019="fora",0%,G10019/QUÓRUM!$C$6)</f>
        <v>#DIV/0!</v>
      </c>
      <c r="I10019" s="87"/>
      <c r="J10019" s="88"/>
      <c r="K10019" s="88"/>
      <c r="L10019" s="89"/>
      <c r="M10019" s="89"/>
      <c r="O10019" s="105"/>
      <c r="P10019" s="105"/>
      <c r="Q10019" s="105"/>
      <c r="R10019" s="106"/>
      <c r="S10019" s="127"/>
      <c r="T10019" s="107"/>
    </row>
    <row r="10020" spans="1:20" x14ac:dyDescent="0.3">
      <c r="A10020" s="101"/>
      <c r="B10020" s="102"/>
      <c r="C10020" s="87"/>
      <c r="D10020" s="103"/>
      <c r="F10020" s="101"/>
      <c r="G10020" s="104"/>
      <c r="H10020" s="86" t="e">
        <f>IF(I10020="fora",0%,G10020/QUÓRUM!$C$6)</f>
        <v>#DIV/0!</v>
      </c>
      <c r="I10020" s="87"/>
      <c r="J10020" s="88"/>
      <c r="K10020" s="88"/>
      <c r="L10020" s="89"/>
      <c r="M10020" s="89"/>
      <c r="O10020" s="105"/>
      <c r="P10020" s="105"/>
      <c r="Q10020" s="105"/>
      <c r="R10020" s="106"/>
      <c r="S10020" s="127"/>
      <c r="T10020" s="107"/>
    </row>
    <row r="10021" spans="1:20" x14ac:dyDescent="0.3">
      <c r="A10021" s="101"/>
      <c r="B10021" s="102"/>
      <c r="C10021" s="87"/>
      <c r="D10021" s="103"/>
      <c r="F10021" s="101"/>
      <c r="G10021" s="104"/>
      <c r="H10021" s="86" t="e">
        <f>IF(I10021="fora",0%,G10021/QUÓRUM!$C$6)</f>
        <v>#DIV/0!</v>
      </c>
      <c r="I10021" s="87"/>
      <c r="J10021" s="88"/>
      <c r="K10021" s="88"/>
      <c r="L10021" s="89"/>
      <c r="M10021" s="89"/>
      <c r="O10021" s="105"/>
      <c r="P10021" s="105"/>
      <c r="Q10021" s="105"/>
      <c r="R10021" s="106"/>
      <c r="S10021" s="127"/>
      <c r="T10021" s="107"/>
    </row>
    <row r="10022" spans="1:20" x14ac:dyDescent="0.3">
      <c r="A10022" s="101"/>
      <c r="B10022" s="102"/>
      <c r="C10022" s="87"/>
      <c r="D10022" s="103"/>
      <c r="F10022" s="101"/>
      <c r="G10022" s="104"/>
      <c r="H10022" s="86" t="e">
        <f>IF(I10022="fora",0%,G10022/QUÓRUM!$C$6)</f>
        <v>#DIV/0!</v>
      </c>
      <c r="I10022" s="87"/>
      <c r="J10022" s="88"/>
      <c r="K10022" s="88"/>
      <c r="L10022" s="89"/>
      <c r="M10022" s="89"/>
      <c r="O10022" s="105"/>
      <c r="P10022" s="105"/>
      <c r="Q10022" s="105"/>
      <c r="R10022" s="106"/>
      <c r="S10022" s="127"/>
      <c r="T10022" s="107"/>
    </row>
    <row r="10023" spans="1:20" x14ac:dyDescent="0.3">
      <c r="A10023" s="101"/>
      <c r="B10023" s="102"/>
      <c r="C10023" s="87"/>
      <c r="D10023" s="103"/>
      <c r="F10023" s="101"/>
      <c r="G10023" s="104"/>
      <c r="H10023" s="86" t="e">
        <f>IF(I10023="fora",0%,G10023/QUÓRUM!$C$6)</f>
        <v>#DIV/0!</v>
      </c>
      <c r="I10023" s="87"/>
      <c r="J10023" s="88"/>
      <c r="K10023" s="88"/>
      <c r="L10023" s="89"/>
      <c r="M10023" s="89"/>
      <c r="O10023" s="105"/>
      <c r="P10023" s="105"/>
      <c r="Q10023" s="105"/>
      <c r="R10023" s="106"/>
      <c r="S10023" s="127"/>
      <c r="T10023" s="107"/>
    </row>
    <row r="10024" spans="1:20" x14ac:dyDescent="0.3">
      <c r="A10024" s="101"/>
      <c r="B10024" s="102"/>
      <c r="C10024" s="87"/>
      <c r="D10024" s="103"/>
      <c r="F10024" s="101"/>
      <c r="G10024" s="104"/>
      <c r="H10024" s="86" t="e">
        <f>IF(I10024="fora",0%,G10024/QUÓRUM!$C$6)</f>
        <v>#DIV/0!</v>
      </c>
      <c r="I10024" s="87"/>
      <c r="J10024" s="88"/>
      <c r="K10024" s="88"/>
      <c r="L10024" s="89"/>
      <c r="M10024" s="89"/>
      <c r="O10024" s="105"/>
      <c r="P10024" s="105"/>
      <c r="Q10024" s="105"/>
      <c r="R10024" s="106"/>
      <c r="S10024" s="127"/>
      <c r="T10024" s="107"/>
    </row>
    <row r="10025" spans="1:20" x14ac:dyDescent="0.3">
      <c r="A10025" s="101"/>
      <c r="B10025" s="102"/>
      <c r="C10025" s="87"/>
      <c r="D10025" s="103"/>
      <c r="F10025" s="101"/>
      <c r="G10025" s="104"/>
      <c r="H10025" s="86" t="e">
        <f>IF(I10025="fora",0%,G10025/QUÓRUM!$C$6)</f>
        <v>#DIV/0!</v>
      </c>
      <c r="I10025" s="87"/>
      <c r="J10025" s="88"/>
      <c r="K10025" s="88"/>
      <c r="L10025" s="89"/>
      <c r="M10025" s="89"/>
      <c r="O10025" s="105"/>
      <c r="P10025" s="105"/>
      <c r="Q10025" s="105"/>
      <c r="R10025" s="106"/>
      <c r="S10025" s="127"/>
      <c r="T10025" s="107"/>
    </row>
    <row r="10026" spans="1:20" x14ac:dyDescent="0.3">
      <c r="A10026" s="101"/>
      <c r="B10026" s="102"/>
      <c r="C10026" s="87"/>
      <c r="D10026" s="103"/>
      <c r="F10026" s="101"/>
      <c r="G10026" s="104"/>
      <c r="H10026" s="86" t="e">
        <f>IF(I10026="fora",0%,G10026/QUÓRUM!$C$6)</f>
        <v>#DIV/0!</v>
      </c>
      <c r="I10026" s="87"/>
      <c r="J10026" s="88"/>
      <c r="K10026" s="88"/>
      <c r="L10026" s="89"/>
      <c r="M10026" s="89"/>
      <c r="O10026" s="105"/>
      <c r="P10026" s="105"/>
      <c r="Q10026" s="105"/>
      <c r="R10026" s="106"/>
      <c r="S10026" s="127"/>
      <c r="T10026" s="107"/>
    </row>
    <row r="10027" spans="1:20" x14ac:dyDescent="0.3">
      <c r="A10027" s="101"/>
      <c r="B10027" s="102"/>
      <c r="C10027" s="87"/>
      <c r="D10027" s="103"/>
      <c r="F10027" s="101"/>
      <c r="G10027" s="104"/>
      <c r="H10027" s="86" t="e">
        <f>IF(I10027="fora",0%,G10027/QUÓRUM!$C$6)</f>
        <v>#DIV/0!</v>
      </c>
      <c r="I10027" s="87"/>
      <c r="J10027" s="88"/>
      <c r="K10027" s="88"/>
      <c r="L10027" s="89"/>
      <c r="M10027" s="89"/>
      <c r="O10027" s="105"/>
      <c r="P10027" s="105"/>
      <c r="Q10027" s="105"/>
      <c r="R10027" s="106"/>
      <c r="S10027" s="127"/>
      <c r="T10027" s="107"/>
    </row>
    <row r="10028" spans="1:20" x14ac:dyDescent="0.3">
      <c r="A10028" s="101"/>
      <c r="B10028" s="102"/>
      <c r="C10028" s="87"/>
      <c r="D10028" s="103"/>
      <c r="F10028" s="101"/>
      <c r="G10028" s="104"/>
      <c r="H10028" s="86" t="e">
        <f>IF(I10028="fora",0%,G10028/QUÓRUM!$C$6)</f>
        <v>#DIV/0!</v>
      </c>
      <c r="I10028" s="87"/>
      <c r="J10028" s="88"/>
      <c r="K10028" s="88"/>
      <c r="L10028" s="89"/>
      <c r="M10028" s="89"/>
      <c r="O10028" s="105"/>
      <c r="P10028" s="105"/>
      <c r="Q10028" s="105"/>
      <c r="R10028" s="106"/>
      <c r="S10028" s="127"/>
      <c r="T10028" s="107"/>
    </row>
    <row r="10029" spans="1:20" x14ac:dyDescent="0.3">
      <c r="A10029" s="101"/>
      <c r="B10029" s="102"/>
      <c r="C10029" s="87"/>
      <c r="D10029" s="103"/>
      <c r="F10029" s="101"/>
      <c r="G10029" s="104"/>
      <c r="H10029" s="86" t="e">
        <f>IF(I10029="fora",0%,G10029/QUÓRUM!$C$6)</f>
        <v>#DIV/0!</v>
      </c>
      <c r="I10029" s="87"/>
      <c r="J10029" s="88"/>
      <c r="K10029" s="88"/>
      <c r="L10029" s="89"/>
      <c r="M10029" s="89"/>
      <c r="O10029" s="105"/>
      <c r="P10029" s="105"/>
      <c r="Q10029" s="105"/>
      <c r="R10029" s="106"/>
      <c r="S10029" s="127"/>
      <c r="T10029" s="107"/>
    </row>
    <row r="10030" spans="1:20" x14ac:dyDescent="0.3">
      <c r="A10030" s="101"/>
      <c r="B10030" s="102"/>
      <c r="C10030" s="87"/>
      <c r="D10030" s="103"/>
      <c r="F10030" s="101"/>
      <c r="G10030" s="104"/>
      <c r="H10030" s="86" t="e">
        <f>IF(I10030="fora",0%,G10030/QUÓRUM!$C$6)</f>
        <v>#DIV/0!</v>
      </c>
      <c r="I10030" s="87"/>
      <c r="J10030" s="88"/>
      <c r="K10030" s="88"/>
      <c r="L10030" s="89"/>
      <c r="M10030" s="89"/>
      <c r="O10030" s="105"/>
      <c r="P10030" s="105"/>
      <c r="Q10030" s="105"/>
      <c r="R10030" s="106"/>
      <c r="S10030" s="127"/>
      <c r="T10030" s="107"/>
    </row>
    <row r="10031" spans="1:20" x14ac:dyDescent="0.3">
      <c r="A10031" s="101"/>
      <c r="B10031" s="102"/>
      <c r="C10031" s="87"/>
      <c r="D10031" s="103"/>
      <c r="F10031" s="101"/>
      <c r="G10031" s="109"/>
      <c r="H10031" s="86" t="e">
        <f>IF(I10031="fora",0%,G10031/QUÓRUM!$C$6)</f>
        <v>#DIV/0!</v>
      </c>
      <c r="I10031" s="87"/>
      <c r="J10031" s="88"/>
      <c r="K10031" s="88"/>
      <c r="L10031" s="89"/>
      <c r="M10031" s="89"/>
      <c r="O10031" s="105"/>
      <c r="P10031" s="105"/>
      <c r="Q10031" s="105"/>
      <c r="R10031" s="106"/>
      <c r="S10031" s="127"/>
      <c r="T10031" s="107"/>
    </row>
    <row r="10032" spans="1:20" x14ac:dyDescent="0.3">
      <c r="A10032" s="101"/>
      <c r="B10032" s="102"/>
      <c r="C10032" s="87"/>
      <c r="D10032" s="103"/>
      <c r="F10032" s="101"/>
      <c r="G10032" s="104"/>
      <c r="H10032" s="86" t="e">
        <f>IF(I10032="fora",0%,G10032/QUÓRUM!$C$6)</f>
        <v>#DIV/0!</v>
      </c>
      <c r="I10032" s="87"/>
      <c r="J10032" s="88"/>
      <c r="K10032" s="88"/>
      <c r="L10032" s="89"/>
      <c r="M10032" s="89"/>
      <c r="O10032" s="105"/>
      <c r="P10032" s="105"/>
      <c r="Q10032" s="105"/>
      <c r="R10032" s="106"/>
      <c r="S10032" s="127"/>
      <c r="T10032" s="107"/>
    </row>
    <row r="10033" spans="1:20" x14ac:dyDescent="0.3">
      <c r="A10033" s="101"/>
      <c r="B10033" s="102"/>
      <c r="C10033" s="87"/>
      <c r="D10033" s="103"/>
      <c r="F10033" s="101"/>
      <c r="G10033" s="104"/>
      <c r="H10033" s="86" t="e">
        <f>IF(I10033="fora",0%,G10033/QUÓRUM!$C$6)</f>
        <v>#DIV/0!</v>
      </c>
      <c r="I10033" s="87"/>
      <c r="J10033" s="88"/>
      <c r="K10033" s="88"/>
      <c r="L10033" s="89"/>
      <c r="M10033" s="89"/>
      <c r="O10033" s="105"/>
      <c r="P10033" s="105"/>
      <c r="Q10033" s="105"/>
      <c r="R10033" s="106"/>
      <c r="S10033" s="127"/>
      <c r="T10033" s="107"/>
    </row>
    <row r="10034" spans="1:20" x14ac:dyDescent="0.3">
      <c r="A10034" s="101"/>
      <c r="B10034" s="102"/>
      <c r="C10034" s="87"/>
      <c r="D10034" s="103"/>
      <c r="F10034" s="101"/>
      <c r="G10034" s="104"/>
      <c r="H10034" s="86" t="e">
        <f>IF(I10034="fora",0%,G10034/QUÓRUM!$C$6)</f>
        <v>#DIV/0!</v>
      </c>
      <c r="I10034" s="87"/>
      <c r="J10034" s="88"/>
      <c r="K10034" s="88"/>
      <c r="L10034" s="89"/>
      <c r="M10034" s="89"/>
      <c r="O10034" s="105"/>
      <c r="P10034" s="105"/>
      <c r="Q10034" s="105"/>
      <c r="R10034" s="106"/>
      <c r="S10034" s="127"/>
      <c r="T10034" s="107"/>
    </row>
    <row r="10035" spans="1:20" x14ac:dyDescent="0.3">
      <c r="A10035" s="101"/>
      <c r="B10035" s="102"/>
      <c r="C10035" s="87"/>
      <c r="D10035" s="103"/>
      <c r="F10035" s="101"/>
      <c r="G10035" s="104"/>
      <c r="H10035" s="86" t="e">
        <f>IF(I10035="fora",0%,G10035/QUÓRUM!$C$6)</f>
        <v>#DIV/0!</v>
      </c>
      <c r="I10035" s="87"/>
      <c r="J10035" s="88"/>
      <c r="K10035" s="88"/>
      <c r="L10035" s="89"/>
      <c r="M10035" s="89"/>
      <c r="O10035" s="105"/>
      <c r="P10035" s="105"/>
      <c r="Q10035" s="105"/>
      <c r="R10035" s="106"/>
      <c r="S10035" s="127"/>
      <c r="T10035" s="107"/>
    </row>
    <row r="10036" spans="1:20" x14ac:dyDescent="0.3">
      <c r="A10036" s="101"/>
      <c r="B10036" s="102"/>
      <c r="C10036" s="87"/>
      <c r="D10036" s="103"/>
      <c r="F10036" s="101"/>
      <c r="G10036" s="104"/>
      <c r="H10036" s="86" t="e">
        <f>IF(I10036="fora",0%,G10036/QUÓRUM!$C$6)</f>
        <v>#DIV/0!</v>
      </c>
      <c r="I10036" s="87"/>
      <c r="J10036" s="88"/>
      <c r="K10036" s="88"/>
      <c r="L10036" s="89"/>
      <c r="M10036" s="89"/>
      <c r="O10036" s="105"/>
      <c r="P10036" s="105"/>
      <c r="Q10036" s="105"/>
      <c r="R10036" s="106"/>
      <c r="S10036" s="127"/>
      <c r="T10036" s="107"/>
    </row>
    <row r="10037" spans="1:20" x14ac:dyDescent="0.3">
      <c r="A10037" s="101"/>
      <c r="B10037" s="102"/>
      <c r="C10037" s="87"/>
      <c r="D10037" s="103"/>
      <c r="F10037" s="101"/>
      <c r="G10037" s="104"/>
      <c r="H10037" s="86" t="e">
        <f>IF(I10037="fora",0%,G10037/QUÓRUM!$C$6)</f>
        <v>#DIV/0!</v>
      </c>
      <c r="I10037" s="87"/>
      <c r="J10037" s="88"/>
      <c r="K10037" s="88"/>
      <c r="L10037" s="89"/>
      <c r="M10037" s="89"/>
      <c r="O10037" s="105"/>
      <c r="P10037" s="105"/>
      <c r="Q10037" s="105"/>
      <c r="R10037" s="106"/>
      <c r="S10037" s="127"/>
      <c r="T10037" s="107"/>
    </row>
    <row r="10038" spans="1:20" x14ac:dyDescent="0.3">
      <c r="A10038" s="101"/>
      <c r="B10038" s="102"/>
      <c r="C10038" s="87"/>
      <c r="D10038" s="103"/>
      <c r="F10038" s="101"/>
      <c r="G10038" s="104"/>
      <c r="H10038" s="86" t="e">
        <f>IF(I10038="fora",0%,G10038/QUÓRUM!$C$6)</f>
        <v>#DIV/0!</v>
      </c>
      <c r="I10038" s="87"/>
      <c r="J10038" s="88"/>
      <c r="K10038" s="88"/>
      <c r="L10038" s="89"/>
      <c r="M10038" s="89"/>
      <c r="O10038" s="105"/>
      <c r="P10038" s="105"/>
      <c r="Q10038" s="105"/>
      <c r="R10038" s="106"/>
      <c r="S10038" s="127"/>
      <c r="T10038" s="107"/>
    </row>
    <row r="10039" spans="1:20" x14ac:dyDescent="0.3">
      <c r="A10039" s="101"/>
      <c r="B10039" s="102"/>
      <c r="C10039" s="87"/>
      <c r="D10039" s="103"/>
      <c r="F10039" s="101"/>
      <c r="G10039" s="104"/>
      <c r="H10039" s="86" t="e">
        <f>IF(I10039="fora",0%,G10039/QUÓRUM!$C$6)</f>
        <v>#DIV/0!</v>
      </c>
      <c r="I10039" s="87"/>
      <c r="J10039" s="88"/>
      <c r="K10039" s="88"/>
      <c r="L10039" s="89"/>
      <c r="M10039" s="89"/>
      <c r="O10039" s="105"/>
      <c r="P10039" s="105"/>
      <c r="Q10039" s="105"/>
      <c r="R10039" s="106"/>
      <c r="S10039" s="127"/>
      <c r="T10039" s="107"/>
    </row>
    <row r="10040" spans="1:20" x14ac:dyDescent="0.3">
      <c r="A10040" s="101"/>
      <c r="B10040" s="102"/>
      <c r="C10040" s="87"/>
      <c r="D10040" s="103"/>
      <c r="F10040" s="101"/>
      <c r="G10040" s="104"/>
      <c r="H10040" s="86" t="e">
        <f>IF(I10040="fora",0%,G10040/QUÓRUM!$C$6)</f>
        <v>#DIV/0!</v>
      </c>
      <c r="I10040" s="87"/>
      <c r="J10040" s="88"/>
      <c r="K10040" s="88"/>
      <c r="L10040" s="89"/>
      <c r="M10040" s="89"/>
      <c r="O10040" s="105"/>
      <c r="P10040" s="105"/>
      <c r="Q10040" s="105"/>
      <c r="R10040" s="106"/>
      <c r="S10040" s="127"/>
      <c r="T10040" s="107"/>
    </row>
    <row r="10041" spans="1:20" x14ac:dyDescent="0.3">
      <c r="A10041" s="101"/>
      <c r="B10041" s="102"/>
      <c r="C10041" s="87"/>
      <c r="D10041" s="103"/>
      <c r="F10041" s="101"/>
      <c r="G10041" s="104"/>
      <c r="H10041" s="86" t="e">
        <f>IF(I10041="fora",0%,G10041/QUÓRUM!$C$6)</f>
        <v>#DIV/0!</v>
      </c>
      <c r="I10041" s="87"/>
      <c r="J10041" s="88"/>
      <c r="K10041" s="88"/>
      <c r="L10041" s="89"/>
      <c r="M10041" s="89"/>
      <c r="O10041" s="105"/>
      <c r="P10041" s="105"/>
      <c r="Q10041" s="105"/>
      <c r="R10041" s="106"/>
      <c r="S10041" s="127"/>
      <c r="T10041" s="107"/>
    </row>
    <row r="10042" spans="1:20" x14ac:dyDescent="0.3">
      <c r="A10042" s="101"/>
      <c r="B10042" s="102"/>
      <c r="C10042" s="87"/>
      <c r="D10042" s="103"/>
      <c r="F10042" s="101"/>
      <c r="G10042" s="104"/>
      <c r="H10042" s="86" t="e">
        <f>IF(I10042="fora",0%,G10042/QUÓRUM!$C$6)</f>
        <v>#DIV/0!</v>
      </c>
      <c r="I10042" s="87"/>
      <c r="J10042" s="88"/>
      <c r="K10042" s="88"/>
      <c r="L10042" s="89"/>
      <c r="M10042" s="89"/>
      <c r="O10042" s="105"/>
      <c r="P10042" s="105"/>
      <c r="Q10042" s="105"/>
      <c r="R10042" s="106"/>
      <c r="S10042" s="127"/>
      <c r="T10042" s="107"/>
    </row>
    <row r="10043" spans="1:20" x14ac:dyDescent="0.3">
      <c r="A10043" s="101"/>
      <c r="B10043" s="102"/>
      <c r="C10043" s="87"/>
      <c r="D10043" s="103"/>
      <c r="F10043" s="101"/>
      <c r="G10043" s="104"/>
      <c r="H10043" s="86" t="e">
        <f>IF(I10043="fora",0%,G10043/QUÓRUM!$C$6)</f>
        <v>#DIV/0!</v>
      </c>
      <c r="I10043" s="87"/>
      <c r="J10043" s="88"/>
      <c r="K10043" s="88"/>
      <c r="L10043" s="89"/>
      <c r="M10043" s="89"/>
      <c r="O10043" s="105"/>
      <c r="P10043" s="105"/>
      <c r="Q10043" s="105"/>
      <c r="R10043" s="106"/>
      <c r="S10043" s="127"/>
      <c r="T10043" s="107"/>
    </row>
    <row r="10044" spans="1:20" x14ac:dyDescent="0.3">
      <c r="A10044" s="101"/>
      <c r="B10044" s="102"/>
      <c r="C10044" s="87"/>
      <c r="D10044" s="103"/>
      <c r="F10044" s="101"/>
      <c r="G10044" s="104"/>
      <c r="H10044" s="86" t="e">
        <f>IF(I10044="fora",0%,G10044/QUÓRUM!$C$6)</f>
        <v>#DIV/0!</v>
      </c>
      <c r="I10044" s="87"/>
      <c r="J10044" s="88"/>
      <c r="K10044" s="88"/>
      <c r="L10044" s="89"/>
      <c r="M10044" s="89"/>
      <c r="O10044" s="105"/>
      <c r="P10044" s="105"/>
      <c r="Q10044" s="105"/>
      <c r="R10044" s="106"/>
      <c r="S10044" s="127"/>
      <c r="T10044" s="107"/>
    </row>
    <row r="10045" spans="1:20" x14ac:dyDescent="0.3">
      <c r="A10045" s="101"/>
      <c r="B10045" s="102"/>
      <c r="C10045" s="87"/>
      <c r="D10045" s="103"/>
      <c r="F10045" s="101"/>
      <c r="G10045" s="104"/>
      <c r="H10045" s="86" t="e">
        <f>IF(I10045="fora",0%,G10045/QUÓRUM!$C$6)</f>
        <v>#DIV/0!</v>
      </c>
      <c r="I10045" s="87"/>
      <c r="J10045" s="88"/>
      <c r="K10045" s="88"/>
      <c r="L10045" s="89"/>
      <c r="M10045" s="89"/>
      <c r="O10045" s="105"/>
      <c r="P10045" s="105"/>
      <c r="Q10045" s="105"/>
      <c r="R10045" s="106"/>
      <c r="S10045" s="127"/>
      <c r="T10045" s="107"/>
    </row>
    <row r="10046" spans="1:20" x14ac:dyDescent="0.3">
      <c r="A10046" s="101"/>
      <c r="B10046" s="102"/>
      <c r="C10046" s="87"/>
      <c r="D10046" s="103"/>
      <c r="F10046" s="101"/>
      <c r="G10046" s="104"/>
      <c r="H10046" s="86" t="e">
        <f>IF(I10046="fora",0%,G10046/QUÓRUM!$C$6)</f>
        <v>#DIV/0!</v>
      </c>
      <c r="I10046" s="87"/>
      <c r="J10046" s="88"/>
      <c r="K10046" s="88"/>
      <c r="L10046" s="89"/>
      <c r="M10046" s="89"/>
      <c r="O10046" s="105"/>
      <c r="P10046" s="105"/>
      <c r="Q10046" s="105"/>
      <c r="R10046" s="106"/>
      <c r="S10046" s="127"/>
      <c r="T10046" s="107"/>
    </row>
    <row r="10047" spans="1:20" x14ac:dyDescent="0.3">
      <c r="A10047" s="101"/>
      <c r="B10047" s="102"/>
      <c r="C10047" s="87"/>
      <c r="D10047" s="103"/>
      <c r="F10047" s="101"/>
      <c r="G10047" s="104"/>
      <c r="H10047" s="86" t="e">
        <f>IF(I10047="fora",0%,G10047/QUÓRUM!$C$6)</f>
        <v>#DIV/0!</v>
      </c>
      <c r="I10047" s="87"/>
      <c r="J10047" s="88"/>
      <c r="K10047" s="88"/>
      <c r="L10047" s="89"/>
      <c r="M10047" s="89"/>
      <c r="O10047" s="105"/>
      <c r="P10047" s="105"/>
      <c r="Q10047" s="105"/>
      <c r="R10047" s="106"/>
      <c r="S10047" s="127"/>
      <c r="T10047" s="107"/>
    </row>
    <row r="10048" spans="1:20" x14ac:dyDescent="0.3">
      <c r="A10048" s="101"/>
      <c r="B10048" s="102"/>
      <c r="C10048" s="87"/>
      <c r="D10048" s="103"/>
      <c r="F10048" s="101"/>
      <c r="G10048" s="104"/>
      <c r="H10048" s="86" t="e">
        <f>IF(I10048="fora",0%,G10048/QUÓRUM!$C$6)</f>
        <v>#DIV/0!</v>
      </c>
      <c r="I10048" s="87"/>
      <c r="J10048" s="88"/>
      <c r="K10048" s="88"/>
      <c r="L10048" s="89"/>
      <c r="M10048" s="89"/>
      <c r="O10048" s="105"/>
      <c r="P10048" s="105"/>
      <c r="Q10048" s="105"/>
      <c r="R10048" s="106"/>
      <c r="S10048" s="127"/>
      <c r="T10048" s="107"/>
    </row>
    <row r="10049" spans="1:20" x14ac:dyDescent="0.3">
      <c r="A10049" s="101"/>
      <c r="B10049" s="102"/>
      <c r="C10049" s="87"/>
      <c r="D10049" s="103"/>
      <c r="F10049" s="101"/>
      <c r="G10049" s="104"/>
      <c r="H10049" s="86" t="e">
        <f>IF(I10049="fora",0%,G10049/QUÓRUM!$C$6)</f>
        <v>#DIV/0!</v>
      </c>
      <c r="I10049" s="87"/>
      <c r="J10049" s="88"/>
      <c r="K10049" s="88"/>
      <c r="L10049" s="89"/>
      <c r="M10049" s="89"/>
      <c r="O10049" s="105"/>
      <c r="P10049" s="105"/>
      <c r="Q10049" s="105"/>
      <c r="R10049" s="106"/>
      <c r="S10049" s="127"/>
      <c r="T10049" s="107"/>
    </row>
    <row r="10050" spans="1:20" x14ac:dyDescent="0.3">
      <c r="A10050" s="101"/>
      <c r="B10050" s="102"/>
      <c r="C10050" s="87"/>
      <c r="D10050" s="103"/>
      <c r="F10050" s="101"/>
      <c r="G10050" s="104"/>
      <c r="H10050" s="86" t="e">
        <f>IF(I10050="fora",0%,G10050/QUÓRUM!$C$6)</f>
        <v>#DIV/0!</v>
      </c>
      <c r="I10050" s="87"/>
      <c r="J10050" s="88"/>
      <c r="K10050" s="88"/>
      <c r="L10050" s="89"/>
      <c r="M10050" s="89"/>
      <c r="O10050" s="105"/>
      <c r="P10050" s="105"/>
      <c r="Q10050" s="105"/>
      <c r="R10050" s="106"/>
      <c r="S10050" s="127"/>
      <c r="T10050" s="107"/>
    </row>
    <row r="10051" spans="1:20" x14ac:dyDescent="0.3">
      <c r="A10051" s="101"/>
      <c r="B10051" s="102"/>
      <c r="C10051" s="87"/>
      <c r="D10051" s="103"/>
      <c r="F10051" s="101"/>
      <c r="G10051" s="109"/>
      <c r="H10051" s="86" t="e">
        <f>IF(I10051="fora",0%,G10051/QUÓRUM!$C$6)</f>
        <v>#DIV/0!</v>
      </c>
      <c r="I10051" s="87"/>
      <c r="J10051" s="88"/>
      <c r="K10051" s="88"/>
      <c r="L10051" s="89"/>
      <c r="M10051" s="89"/>
      <c r="O10051" s="105"/>
      <c r="P10051" s="105"/>
      <c r="Q10051" s="105"/>
      <c r="R10051" s="106"/>
      <c r="S10051" s="127"/>
      <c r="T10051" s="107"/>
    </row>
    <row r="10052" spans="1:20" x14ac:dyDescent="0.3">
      <c r="A10052" s="101"/>
      <c r="B10052" s="102"/>
      <c r="C10052" s="87"/>
      <c r="D10052" s="103"/>
      <c r="F10052" s="101"/>
      <c r="G10052" s="104"/>
      <c r="H10052" s="86" t="e">
        <f>IF(I10052="fora",0%,G10052/QUÓRUM!$C$6)</f>
        <v>#DIV/0!</v>
      </c>
      <c r="I10052" s="87"/>
      <c r="J10052" s="88"/>
      <c r="K10052" s="88"/>
      <c r="L10052" s="89"/>
      <c r="M10052" s="89"/>
      <c r="O10052" s="105"/>
      <c r="P10052" s="105"/>
      <c r="Q10052" s="105"/>
      <c r="R10052" s="106"/>
      <c r="S10052" s="127"/>
      <c r="T10052" s="107"/>
    </row>
    <row r="10053" spans="1:20" x14ac:dyDescent="0.3">
      <c r="A10053" s="101"/>
      <c r="B10053" s="102"/>
      <c r="C10053" s="87"/>
      <c r="D10053" s="103"/>
      <c r="F10053" s="101"/>
      <c r="G10053" s="104"/>
      <c r="H10053" s="86" t="e">
        <f>IF(I10053="fora",0%,G10053/QUÓRUM!$C$6)</f>
        <v>#DIV/0!</v>
      </c>
      <c r="I10053" s="87"/>
      <c r="J10053" s="88"/>
      <c r="K10053" s="88"/>
      <c r="L10053" s="89"/>
      <c r="M10053" s="89"/>
      <c r="O10053" s="105"/>
      <c r="P10053" s="105"/>
      <c r="Q10053" s="105"/>
      <c r="R10053" s="106"/>
      <c r="S10053" s="127"/>
      <c r="T10053" s="107"/>
    </row>
    <row r="10054" spans="1:20" x14ac:dyDescent="0.3">
      <c r="A10054" s="101"/>
      <c r="B10054" s="102"/>
      <c r="C10054" s="87"/>
      <c r="D10054" s="103"/>
      <c r="F10054" s="101"/>
      <c r="G10054" s="104"/>
      <c r="H10054" s="86" t="e">
        <f>IF(I10054="fora",0%,G10054/QUÓRUM!$C$6)</f>
        <v>#DIV/0!</v>
      </c>
      <c r="I10054" s="87"/>
      <c r="J10054" s="88"/>
      <c r="K10054" s="88"/>
      <c r="L10054" s="89"/>
      <c r="M10054" s="89"/>
      <c r="O10054" s="105"/>
      <c r="P10054" s="105"/>
      <c r="Q10054" s="105"/>
      <c r="R10054" s="106"/>
      <c r="S10054" s="127"/>
      <c r="T10054" s="107"/>
    </row>
    <row r="10055" spans="1:20" x14ac:dyDescent="0.3">
      <c r="A10055" s="101"/>
      <c r="B10055" s="102"/>
      <c r="C10055" s="87"/>
      <c r="D10055" s="103"/>
      <c r="F10055" s="101"/>
      <c r="G10055" s="104"/>
      <c r="H10055" s="86" t="e">
        <f>IF(I10055="fora",0%,G10055/QUÓRUM!$C$6)</f>
        <v>#DIV/0!</v>
      </c>
      <c r="I10055" s="87"/>
      <c r="J10055" s="88"/>
      <c r="K10055" s="88"/>
      <c r="L10055" s="89"/>
      <c r="M10055" s="89"/>
      <c r="O10055" s="105"/>
      <c r="P10055" s="105"/>
      <c r="Q10055" s="105"/>
      <c r="R10055" s="106"/>
      <c r="S10055" s="127"/>
      <c r="T10055" s="107"/>
    </row>
    <row r="10056" spans="1:20" x14ac:dyDescent="0.3">
      <c r="A10056" s="101"/>
      <c r="B10056" s="102"/>
      <c r="C10056" s="87"/>
      <c r="D10056" s="103"/>
      <c r="F10056" s="101"/>
      <c r="G10056" s="104"/>
      <c r="H10056" s="86" t="e">
        <f>IF(I10056="fora",0%,G10056/QUÓRUM!$C$6)</f>
        <v>#DIV/0!</v>
      </c>
      <c r="I10056" s="87"/>
      <c r="J10056" s="88"/>
      <c r="K10056" s="88"/>
      <c r="L10056" s="89"/>
      <c r="M10056" s="89"/>
      <c r="O10056" s="105"/>
      <c r="P10056" s="105"/>
      <c r="Q10056" s="105"/>
      <c r="R10056" s="106"/>
      <c r="S10056" s="127"/>
      <c r="T10056" s="107"/>
    </row>
    <row r="10057" spans="1:20" x14ac:dyDescent="0.3">
      <c r="A10057" s="101"/>
      <c r="B10057" s="102"/>
      <c r="C10057" s="87"/>
      <c r="D10057" s="103"/>
      <c r="F10057" s="101"/>
      <c r="G10057" s="104"/>
      <c r="H10057" s="86" t="e">
        <f>IF(I10057="fora",0%,G10057/QUÓRUM!$C$6)</f>
        <v>#DIV/0!</v>
      </c>
      <c r="I10057" s="87"/>
      <c r="J10057" s="88"/>
      <c r="K10057" s="88"/>
      <c r="L10057" s="89"/>
      <c r="M10057" s="89"/>
      <c r="O10057" s="105"/>
      <c r="P10057" s="105"/>
      <c r="Q10057" s="105"/>
      <c r="R10057" s="106"/>
      <c r="S10057" s="127"/>
      <c r="T10057" s="107"/>
    </row>
    <row r="10058" spans="1:20" x14ac:dyDescent="0.3">
      <c r="A10058" s="101"/>
      <c r="B10058" s="102"/>
      <c r="C10058" s="87"/>
      <c r="D10058" s="103"/>
      <c r="F10058" s="101"/>
      <c r="G10058" s="104"/>
      <c r="H10058" s="86" t="e">
        <f>IF(I10058="fora",0%,G10058/QUÓRUM!$C$6)</f>
        <v>#DIV/0!</v>
      </c>
      <c r="I10058" s="87"/>
      <c r="J10058" s="88"/>
      <c r="K10058" s="88"/>
      <c r="L10058" s="89"/>
      <c r="M10058" s="89"/>
      <c r="O10058" s="105"/>
      <c r="P10058" s="105"/>
      <c r="Q10058" s="105"/>
      <c r="R10058" s="106"/>
      <c r="S10058" s="127"/>
      <c r="T10058" s="107"/>
    </row>
    <row r="10059" spans="1:20" x14ac:dyDescent="0.3">
      <c r="A10059" s="101"/>
      <c r="B10059" s="102"/>
      <c r="C10059" s="87"/>
      <c r="D10059" s="103"/>
      <c r="F10059" s="101"/>
      <c r="G10059" s="104"/>
      <c r="H10059" s="86" t="e">
        <f>IF(I10059="fora",0%,G10059/QUÓRUM!$C$6)</f>
        <v>#DIV/0!</v>
      </c>
      <c r="I10059" s="87"/>
      <c r="J10059" s="88"/>
      <c r="K10059" s="88"/>
      <c r="L10059" s="89"/>
      <c r="M10059" s="89"/>
      <c r="O10059" s="105"/>
      <c r="P10059" s="105"/>
      <c r="Q10059" s="105"/>
      <c r="R10059" s="106"/>
      <c r="S10059" s="127"/>
      <c r="T10059" s="107"/>
    </row>
    <row r="10060" spans="1:20" x14ac:dyDescent="0.3">
      <c r="A10060" s="101"/>
      <c r="B10060" s="102"/>
      <c r="C10060" s="87"/>
      <c r="D10060" s="103"/>
      <c r="F10060" s="101"/>
      <c r="G10060" s="104"/>
      <c r="H10060" s="86" t="e">
        <f>IF(I10060="fora",0%,G10060/QUÓRUM!$C$6)</f>
        <v>#DIV/0!</v>
      </c>
      <c r="I10060" s="87"/>
      <c r="J10060" s="88"/>
      <c r="K10060" s="88"/>
      <c r="L10060" s="89"/>
      <c r="M10060" s="89"/>
      <c r="O10060" s="105"/>
      <c r="P10060" s="105"/>
      <c r="Q10060" s="105"/>
      <c r="R10060" s="106"/>
      <c r="S10060" s="127"/>
      <c r="T10060" s="107"/>
    </row>
    <row r="10061" spans="1:20" x14ac:dyDescent="0.3">
      <c r="A10061" s="101"/>
      <c r="B10061" s="102"/>
      <c r="C10061" s="87"/>
      <c r="D10061" s="103"/>
      <c r="F10061" s="101"/>
      <c r="G10061" s="104"/>
      <c r="H10061" s="86" t="e">
        <f>IF(I10061="fora",0%,G10061/QUÓRUM!$C$6)</f>
        <v>#DIV/0!</v>
      </c>
      <c r="I10061" s="87"/>
      <c r="J10061" s="88"/>
      <c r="K10061" s="88"/>
      <c r="L10061" s="89"/>
      <c r="M10061" s="89"/>
      <c r="O10061" s="105"/>
      <c r="P10061" s="105"/>
      <c r="Q10061" s="105"/>
      <c r="R10061" s="106"/>
      <c r="S10061" s="127"/>
      <c r="T10061" s="107"/>
    </row>
    <row r="10062" spans="1:20" x14ac:dyDescent="0.3">
      <c r="A10062" s="101"/>
      <c r="B10062" s="102"/>
      <c r="C10062" s="87"/>
      <c r="D10062" s="103"/>
      <c r="F10062" s="101"/>
      <c r="G10062" s="104"/>
      <c r="H10062" s="86" t="e">
        <f>IF(I10062="fora",0%,G10062/QUÓRUM!$C$6)</f>
        <v>#DIV/0!</v>
      </c>
      <c r="I10062" s="87"/>
      <c r="J10062" s="88"/>
      <c r="K10062" s="88"/>
      <c r="L10062" s="89"/>
      <c r="M10062" s="89"/>
      <c r="O10062" s="105"/>
      <c r="P10062" s="105"/>
      <c r="Q10062" s="105"/>
      <c r="R10062" s="106"/>
      <c r="S10062" s="127"/>
      <c r="T10062" s="107"/>
    </row>
    <row r="10063" spans="1:20" x14ac:dyDescent="0.3">
      <c r="A10063" s="101"/>
      <c r="B10063" s="102"/>
      <c r="C10063" s="87"/>
      <c r="D10063" s="103"/>
      <c r="F10063" s="101"/>
      <c r="G10063" s="104"/>
      <c r="H10063" s="86" t="e">
        <f>IF(I10063="fora",0%,G10063/QUÓRUM!$C$6)</f>
        <v>#DIV/0!</v>
      </c>
      <c r="I10063" s="87"/>
      <c r="J10063" s="88"/>
      <c r="K10063" s="88"/>
      <c r="L10063" s="89"/>
      <c r="M10063" s="89"/>
      <c r="O10063" s="105"/>
      <c r="P10063" s="105"/>
      <c r="Q10063" s="105"/>
      <c r="R10063" s="106"/>
      <c r="S10063" s="127"/>
      <c r="T10063" s="107"/>
    </row>
    <row r="10064" spans="1:20" x14ac:dyDescent="0.3">
      <c r="A10064" s="101"/>
      <c r="B10064" s="102"/>
      <c r="C10064" s="87"/>
      <c r="D10064" s="103"/>
      <c r="F10064" s="101"/>
      <c r="G10064" s="104"/>
      <c r="H10064" s="86" t="e">
        <f>IF(I10064="fora",0%,G10064/QUÓRUM!$C$6)</f>
        <v>#DIV/0!</v>
      </c>
      <c r="I10064" s="87"/>
      <c r="J10064" s="88"/>
      <c r="K10064" s="88"/>
      <c r="L10064" s="89"/>
      <c r="M10064" s="89"/>
      <c r="O10064" s="105"/>
      <c r="P10064" s="105"/>
      <c r="Q10064" s="105"/>
      <c r="R10064" s="106"/>
      <c r="S10064" s="127"/>
      <c r="T10064" s="107"/>
    </row>
    <row r="10065" spans="1:20" x14ac:dyDescent="0.3">
      <c r="A10065" s="101"/>
      <c r="B10065" s="102"/>
      <c r="C10065" s="87"/>
      <c r="D10065" s="103"/>
      <c r="F10065" s="101"/>
      <c r="G10065" s="104"/>
      <c r="H10065" s="86" t="e">
        <f>IF(I10065="fora",0%,G10065/QUÓRUM!$C$6)</f>
        <v>#DIV/0!</v>
      </c>
      <c r="I10065" s="87"/>
      <c r="J10065" s="88"/>
      <c r="K10065" s="88"/>
      <c r="L10065" s="89"/>
      <c r="M10065" s="89"/>
      <c r="O10065" s="105"/>
      <c r="P10065" s="105"/>
      <c r="Q10065" s="105"/>
      <c r="R10065" s="106"/>
      <c r="S10065" s="127"/>
      <c r="T10065" s="107"/>
    </row>
    <row r="10066" spans="1:20" x14ac:dyDescent="0.3">
      <c r="A10066" s="101"/>
      <c r="B10066" s="102"/>
      <c r="C10066" s="87"/>
      <c r="D10066" s="103"/>
      <c r="F10066" s="101"/>
      <c r="G10066" s="104"/>
      <c r="H10066" s="86" t="e">
        <f>IF(I10066="fora",0%,G10066/QUÓRUM!$C$6)</f>
        <v>#DIV/0!</v>
      </c>
      <c r="I10066" s="87"/>
      <c r="J10066" s="88"/>
      <c r="K10066" s="88"/>
      <c r="L10066" s="89"/>
      <c r="M10066" s="89"/>
      <c r="O10066" s="105"/>
      <c r="P10066" s="105"/>
      <c r="Q10066" s="105"/>
      <c r="R10066" s="106"/>
      <c r="S10066" s="127"/>
      <c r="T10066" s="107"/>
    </row>
    <row r="10067" spans="1:20" x14ac:dyDescent="0.3">
      <c r="A10067" s="101"/>
      <c r="B10067" s="102"/>
      <c r="C10067" s="87"/>
      <c r="D10067" s="103"/>
      <c r="F10067" s="101"/>
      <c r="G10067" s="104"/>
      <c r="H10067" s="86" t="e">
        <f>IF(I10067="fora",0%,G10067/QUÓRUM!$C$6)</f>
        <v>#DIV/0!</v>
      </c>
      <c r="I10067" s="87"/>
      <c r="J10067" s="88"/>
      <c r="K10067" s="88"/>
      <c r="L10067" s="89"/>
      <c r="M10067" s="89"/>
      <c r="O10067" s="105"/>
      <c r="P10067" s="105"/>
      <c r="Q10067" s="105"/>
      <c r="R10067" s="106"/>
      <c r="S10067" s="127"/>
      <c r="T10067" s="107"/>
    </row>
    <row r="10068" spans="1:20" x14ac:dyDescent="0.3">
      <c r="A10068" s="101"/>
      <c r="B10068" s="102"/>
      <c r="C10068" s="87"/>
      <c r="D10068" s="103"/>
      <c r="F10068" s="101"/>
      <c r="G10068" s="104"/>
      <c r="H10068" s="86" t="e">
        <f>IF(I10068="fora",0%,G10068/QUÓRUM!$C$6)</f>
        <v>#DIV/0!</v>
      </c>
      <c r="I10068" s="87"/>
      <c r="J10068" s="88"/>
      <c r="K10068" s="88"/>
      <c r="L10068" s="89"/>
      <c r="M10068" s="89"/>
      <c r="O10068" s="105"/>
      <c r="P10068" s="105"/>
      <c r="Q10068" s="105"/>
      <c r="R10068" s="106"/>
      <c r="S10068" s="127"/>
      <c r="T10068" s="107"/>
    </row>
    <row r="10069" spans="1:20" x14ac:dyDescent="0.3">
      <c r="A10069" s="101"/>
      <c r="B10069" s="102"/>
      <c r="C10069" s="87"/>
      <c r="D10069" s="103"/>
      <c r="F10069" s="101"/>
      <c r="G10069" s="104"/>
      <c r="H10069" s="86" t="e">
        <f>IF(I10069="fora",0%,G10069/QUÓRUM!$C$6)</f>
        <v>#DIV/0!</v>
      </c>
      <c r="I10069" s="87"/>
      <c r="J10069" s="88"/>
      <c r="K10069" s="88"/>
      <c r="L10069" s="89"/>
      <c r="M10069" s="89"/>
      <c r="O10069" s="105"/>
      <c r="P10069" s="105"/>
      <c r="Q10069" s="105"/>
      <c r="R10069" s="106"/>
      <c r="S10069" s="127"/>
      <c r="T10069" s="107"/>
    </row>
    <row r="10070" spans="1:20" x14ac:dyDescent="0.3">
      <c r="A10070" s="101"/>
      <c r="B10070" s="102"/>
      <c r="C10070" s="87"/>
      <c r="D10070" s="103"/>
      <c r="F10070" s="101"/>
      <c r="G10070" s="104"/>
      <c r="H10070" s="86" t="e">
        <f>IF(I10070="fora",0%,G10070/QUÓRUM!$C$6)</f>
        <v>#DIV/0!</v>
      </c>
      <c r="I10070" s="87"/>
      <c r="J10070" s="88"/>
      <c r="K10070" s="88"/>
      <c r="L10070" s="89"/>
      <c r="M10070" s="89"/>
      <c r="O10070" s="105"/>
      <c r="P10070" s="105"/>
      <c r="Q10070" s="105"/>
      <c r="R10070" s="106"/>
      <c r="S10070" s="127"/>
      <c r="T10070" s="107"/>
    </row>
    <row r="10071" spans="1:20" x14ac:dyDescent="0.3">
      <c r="A10071" s="101"/>
      <c r="B10071" s="102"/>
      <c r="C10071" s="87"/>
      <c r="D10071" s="103"/>
      <c r="F10071" s="101"/>
      <c r="G10071" s="104"/>
      <c r="H10071" s="86" t="e">
        <f>IF(I10071="fora",0%,G10071/QUÓRUM!$C$6)</f>
        <v>#DIV/0!</v>
      </c>
      <c r="I10071" s="87"/>
      <c r="J10071" s="88"/>
      <c r="K10071" s="88"/>
      <c r="L10071" s="89"/>
      <c r="M10071" s="89"/>
      <c r="O10071" s="105"/>
      <c r="P10071" s="105"/>
      <c r="Q10071" s="105"/>
      <c r="R10071" s="106"/>
      <c r="S10071" s="127"/>
      <c r="T10071" s="107"/>
    </row>
    <row r="10072" spans="1:20" x14ac:dyDescent="0.3">
      <c r="A10072" s="101"/>
      <c r="B10072" s="102"/>
      <c r="C10072" s="87"/>
      <c r="D10072" s="103"/>
      <c r="F10072" s="101"/>
      <c r="G10072" s="104"/>
      <c r="H10072" s="86" t="e">
        <f>IF(I10072="fora",0%,G10072/QUÓRUM!$C$6)</f>
        <v>#DIV/0!</v>
      </c>
      <c r="I10072" s="87"/>
      <c r="J10072" s="88"/>
      <c r="K10072" s="88"/>
      <c r="L10072" s="89"/>
      <c r="M10072" s="89"/>
      <c r="O10072" s="105"/>
      <c r="P10072" s="105"/>
      <c r="Q10072" s="105"/>
      <c r="R10072" s="106"/>
      <c r="S10072" s="127"/>
      <c r="T10072" s="107"/>
    </row>
    <row r="10073" spans="1:20" x14ac:dyDescent="0.3">
      <c r="A10073" s="101"/>
      <c r="B10073" s="102"/>
      <c r="C10073" s="87"/>
      <c r="D10073" s="103"/>
      <c r="F10073" s="101"/>
      <c r="G10073" s="104"/>
      <c r="H10073" s="86" t="e">
        <f>IF(I10073="fora",0%,G10073/QUÓRUM!$C$6)</f>
        <v>#DIV/0!</v>
      </c>
      <c r="I10073" s="87"/>
      <c r="J10073" s="88"/>
      <c r="K10073" s="88"/>
      <c r="L10073" s="89"/>
      <c r="M10073" s="89"/>
      <c r="O10073" s="105"/>
      <c r="P10073" s="105"/>
      <c r="Q10073" s="105"/>
      <c r="R10073" s="106"/>
      <c r="S10073" s="127"/>
      <c r="T10073" s="107"/>
    </row>
    <row r="10074" spans="1:20" x14ac:dyDescent="0.3">
      <c r="A10074" s="101"/>
      <c r="B10074" s="102"/>
      <c r="C10074" s="87"/>
      <c r="D10074" s="103"/>
      <c r="F10074" s="101"/>
      <c r="G10074" s="104"/>
      <c r="H10074" s="86" t="e">
        <f>IF(I10074="fora",0%,G10074/QUÓRUM!$C$6)</f>
        <v>#DIV/0!</v>
      </c>
      <c r="I10074" s="87"/>
      <c r="J10074" s="88"/>
      <c r="K10074" s="88"/>
      <c r="L10074" s="89"/>
      <c r="M10074" s="89"/>
      <c r="O10074" s="105"/>
      <c r="P10074" s="105"/>
      <c r="Q10074" s="105"/>
      <c r="R10074" s="106"/>
      <c r="S10074" s="127"/>
      <c r="T10074" s="107"/>
    </row>
    <row r="10075" spans="1:20" x14ac:dyDescent="0.3">
      <c r="A10075" s="101"/>
      <c r="B10075" s="102"/>
      <c r="C10075" s="87"/>
      <c r="D10075" s="103"/>
      <c r="F10075" s="101"/>
      <c r="G10075" s="104"/>
      <c r="H10075" s="86" t="e">
        <f>IF(I10075="fora",0%,G10075/QUÓRUM!$C$6)</f>
        <v>#DIV/0!</v>
      </c>
      <c r="I10075" s="87"/>
      <c r="J10075" s="88"/>
      <c r="K10075" s="88"/>
      <c r="L10075" s="89"/>
      <c r="M10075" s="89"/>
      <c r="O10075" s="105"/>
      <c r="P10075" s="105"/>
      <c r="Q10075" s="105"/>
      <c r="R10075" s="106"/>
      <c r="S10075" s="127"/>
      <c r="T10075" s="107"/>
    </row>
    <row r="10076" spans="1:20" x14ac:dyDescent="0.3">
      <c r="A10076" s="101"/>
      <c r="B10076" s="102"/>
      <c r="C10076" s="87"/>
      <c r="D10076" s="103"/>
      <c r="F10076" s="101"/>
      <c r="G10076" s="104"/>
      <c r="H10076" s="86" t="e">
        <f>IF(I10076="fora",0%,G10076/QUÓRUM!$C$6)</f>
        <v>#DIV/0!</v>
      </c>
      <c r="I10076" s="87"/>
      <c r="J10076" s="88"/>
      <c r="K10076" s="88"/>
      <c r="L10076" s="89"/>
      <c r="M10076" s="89"/>
      <c r="O10076" s="105"/>
      <c r="P10076" s="105"/>
      <c r="Q10076" s="105"/>
      <c r="R10076" s="106"/>
      <c r="S10076" s="127"/>
      <c r="T10076" s="107"/>
    </row>
    <row r="10077" spans="1:20" x14ac:dyDescent="0.3">
      <c r="A10077" s="101"/>
      <c r="B10077" s="102"/>
      <c r="C10077" s="87"/>
      <c r="D10077" s="103"/>
      <c r="F10077" s="101"/>
      <c r="G10077" s="104"/>
      <c r="H10077" s="86" t="e">
        <f>IF(I10077="fora",0%,G10077/QUÓRUM!$C$6)</f>
        <v>#DIV/0!</v>
      </c>
      <c r="I10077" s="87"/>
      <c r="J10077" s="88"/>
      <c r="K10077" s="88"/>
      <c r="L10077" s="89"/>
      <c r="M10077" s="89"/>
      <c r="O10077" s="105"/>
      <c r="P10077" s="105"/>
      <c r="Q10077" s="105"/>
      <c r="R10077" s="106"/>
      <c r="S10077" s="127"/>
      <c r="T10077" s="107"/>
    </row>
    <row r="10078" spans="1:20" x14ac:dyDescent="0.3">
      <c r="A10078" s="101"/>
      <c r="B10078" s="102"/>
      <c r="C10078" s="87"/>
      <c r="D10078" s="103"/>
      <c r="F10078" s="101"/>
      <c r="G10078" s="104"/>
      <c r="H10078" s="86" t="e">
        <f>IF(I10078="fora",0%,G10078/QUÓRUM!$C$6)</f>
        <v>#DIV/0!</v>
      </c>
      <c r="I10078" s="87"/>
      <c r="J10078" s="88"/>
      <c r="K10078" s="88"/>
      <c r="L10078" s="89"/>
      <c r="M10078" s="89"/>
      <c r="O10078" s="105"/>
      <c r="P10078" s="105"/>
      <c r="Q10078" s="105"/>
      <c r="R10078" s="106"/>
      <c r="S10078" s="127"/>
      <c r="T10078" s="107"/>
    </row>
    <row r="10079" spans="1:20" x14ac:dyDescent="0.3">
      <c r="A10079" s="101"/>
      <c r="B10079" s="102"/>
      <c r="C10079" s="87"/>
      <c r="D10079" s="103"/>
      <c r="F10079" s="101"/>
      <c r="G10079" s="104"/>
      <c r="H10079" s="86" t="e">
        <f>IF(I10079="fora",0%,G10079/QUÓRUM!$C$6)</f>
        <v>#DIV/0!</v>
      </c>
      <c r="I10079" s="87"/>
      <c r="J10079" s="88"/>
      <c r="K10079" s="88"/>
      <c r="L10079" s="89"/>
      <c r="M10079" s="89"/>
      <c r="O10079" s="105"/>
      <c r="P10079" s="105"/>
      <c r="Q10079" s="105"/>
      <c r="R10079" s="106"/>
      <c r="S10079" s="127"/>
      <c r="T10079" s="107"/>
    </row>
    <row r="10080" spans="1:20" x14ac:dyDescent="0.3">
      <c r="A10080" s="101"/>
      <c r="B10080" s="102"/>
      <c r="C10080" s="87"/>
      <c r="D10080" s="103"/>
      <c r="F10080" s="101"/>
      <c r="G10080" s="104"/>
      <c r="H10080" s="86" t="e">
        <f>IF(I10080="fora",0%,G10080/QUÓRUM!$C$6)</f>
        <v>#DIV/0!</v>
      </c>
      <c r="I10080" s="87"/>
      <c r="J10080" s="88"/>
      <c r="K10080" s="88"/>
      <c r="L10080" s="89"/>
      <c r="M10080" s="89"/>
      <c r="O10080" s="105"/>
      <c r="P10080" s="105"/>
      <c r="Q10080" s="105"/>
      <c r="R10080" s="106"/>
      <c r="S10080" s="127"/>
      <c r="T10080" s="107"/>
    </row>
    <row r="10081" spans="1:20" x14ac:dyDescent="0.3">
      <c r="A10081" s="101"/>
      <c r="B10081" s="102"/>
      <c r="C10081" s="87"/>
      <c r="D10081" s="103"/>
      <c r="F10081" s="101"/>
      <c r="G10081" s="104"/>
      <c r="H10081" s="86" t="e">
        <f>IF(I10081="fora",0%,G10081/QUÓRUM!$C$6)</f>
        <v>#DIV/0!</v>
      </c>
      <c r="I10081" s="87"/>
      <c r="J10081" s="88"/>
      <c r="K10081" s="88"/>
      <c r="L10081" s="89"/>
      <c r="M10081" s="89"/>
      <c r="O10081" s="105"/>
      <c r="P10081" s="105"/>
      <c r="Q10081" s="105"/>
      <c r="R10081" s="106"/>
      <c r="S10081" s="127"/>
      <c r="T10081" s="107"/>
    </row>
    <row r="10082" spans="1:20" x14ac:dyDescent="0.3">
      <c r="A10082" s="101"/>
      <c r="B10082" s="102"/>
      <c r="C10082" s="87"/>
      <c r="D10082" s="103"/>
      <c r="F10082" s="101"/>
      <c r="G10082" s="104"/>
      <c r="H10082" s="86" t="e">
        <f>IF(I10082="fora",0%,G10082/QUÓRUM!$C$6)</f>
        <v>#DIV/0!</v>
      </c>
      <c r="I10082" s="87"/>
      <c r="J10082" s="88"/>
      <c r="K10082" s="88"/>
      <c r="L10082" s="89"/>
      <c r="M10082" s="89"/>
      <c r="O10082" s="105"/>
      <c r="P10082" s="105"/>
      <c r="Q10082" s="105"/>
      <c r="R10082" s="106"/>
      <c r="S10082" s="127"/>
      <c r="T10082" s="107"/>
    </row>
    <row r="10083" spans="1:20" x14ac:dyDescent="0.3">
      <c r="A10083" s="101"/>
      <c r="B10083" s="102"/>
      <c r="C10083" s="87"/>
      <c r="D10083" s="103"/>
      <c r="F10083" s="101"/>
      <c r="G10083" s="104"/>
      <c r="H10083" s="86" t="e">
        <f>IF(I10083="fora",0%,G10083/QUÓRUM!$C$6)</f>
        <v>#DIV/0!</v>
      </c>
      <c r="I10083" s="87"/>
      <c r="J10083" s="88"/>
      <c r="K10083" s="88"/>
      <c r="L10083" s="89"/>
      <c r="M10083" s="89"/>
      <c r="O10083" s="105"/>
      <c r="P10083" s="105"/>
      <c r="Q10083" s="105"/>
      <c r="R10083" s="106"/>
      <c r="S10083" s="127"/>
      <c r="T10083" s="107"/>
    </row>
    <row r="10084" spans="1:20" x14ac:dyDescent="0.3">
      <c r="A10084" s="101"/>
      <c r="B10084" s="102"/>
      <c r="C10084" s="87"/>
      <c r="D10084" s="103"/>
      <c r="F10084" s="101"/>
      <c r="G10084" s="104"/>
      <c r="H10084" s="86" t="e">
        <f>IF(I10084="fora",0%,G10084/QUÓRUM!$C$6)</f>
        <v>#DIV/0!</v>
      </c>
      <c r="I10084" s="87"/>
      <c r="J10084" s="88"/>
      <c r="K10084" s="88"/>
      <c r="L10084" s="89"/>
      <c r="M10084" s="89"/>
      <c r="O10084" s="105"/>
      <c r="P10084" s="105"/>
      <c r="Q10084" s="105"/>
      <c r="R10084" s="106"/>
      <c r="S10084" s="127"/>
      <c r="T10084" s="107"/>
    </row>
    <row r="10085" spans="1:20" x14ac:dyDescent="0.3">
      <c r="A10085" s="101"/>
      <c r="B10085" s="102"/>
      <c r="C10085" s="87"/>
      <c r="D10085" s="103"/>
      <c r="F10085" s="101"/>
      <c r="G10085" s="104"/>
      <c r="H10085" s="86" t="e">
        <f>IF(I10085="fora",0%,G10085/QUÓRUM!$C$6)</f>
        <v>#DIV/0!</v>
      </c>
      <c r="I10085" s="87"/>
      <c r="J10085" s="88"/>
      <c r="K10085" s="88"/>
      <c r="L10085" s="89"/>
      <c r="M10085" s="89"/>
      <c r="O10085" s="105"/>
      <c r="P10085" s="105"/>
      <c r="Q10085" s="105"/>
      <c r="R10085" s="106"/>
      <c r="S10085" s="127"/>
      <c r="T10085" s="107"/>
    </row>
    <row r="10086" spans="1:20" x14ac:dyDescent="0.3">
      <c r="A10086" s="101"/>
      <c r="B10086" s="102"/>
      <c r="C10086" s="87"/>
      <c r="D10086" s="103"/>
      <c r="F10086" s="101"/>
      <c r="G10086" s="104"/>
      <c r="H10086" s="86" t="e">
        <f>IF(I10086="fora",0%,G10086/QUÓRUM!$C$6)</f>
        <v>#DIV/0!</v>
      </c>
      <c r="I10086" s="87"/>
      <c r="J10086" s="88"/>
      <c r="K10086" s="88"/>
      <c r="L10086" s="89"/>
      <c r="M10086" s="89"/>
      <c r="O10086" s="105"/>
      <c r="P10086" s="105"/>
      <c r="Q10086" s="105"/>
      <c r="R10086" s="106"/>
      <c r="S10086" s="127"/>
      <c r="T10086" s="107"/>
    </row>
    <row r="10087" spans="1:20" x14ac:dyDescent="0.3">
      <c r="A10087" s="101"/>
      <c r="B10087" s="102"/>
      <c r="C10087" s="87"/>
      <c r="D10087" s="103"/>
      <c r="F10087" s="101"/>
      <c r="G10087" s="104"/>
      <c r="H10087" s="86" t="e">
        <f>IF(I10087="fora",0%,G10087/QUÓRUM!$C$6)</f>
        <v>#DIV/0!</v>
      </c>
      <c r="I10087" s="87"/>
      <c r="J10087" s="88"/>
      <c r="K10087" s="88"/>
      <c r="L10087" s="89"/>
      <c r="M10087" s="89"/>
      <c r="O10087" s="105"/>
      <c r="P10087" s="105"/>
      <c r="Q10087" s="105"/>
      <c r="R10087" s="106"/>
      <c r="S10087" s="127"/>
      <c r="T10087" s="107"/>
    </row>
    <row r="10088" spans="1:20" x14ac:dyDescent="0.3">
      <c r="A10088" s="101"/>
      <c r="B10088" s="102"/>
      <c r="C10088" s="87"/>
      <c r="D10088" s="103"/>
      <c r="F10088" s="101"/>
      <c r="G10088" s="104"/>
      <c r="H10088" s="86" t="e">
        <f>IF(I10088="fora",0%,G10088/QUÓRUM!$C$6)</f>
        <v>#DIV/0!</v>
      </c>
      <c r="I10088" s="87"/>
      <c r="J10088" s="88"/>
      <c r="K10088" s="88"/>
      <c r="L10088" s="89"/>
      <c r="M10088" s="89"/>
      <c r="O10088" s="105"/>
      <c r="P10088" s="105"/>
      <c r="Q10088" s="105"/>
      <c r="R10088" s="106"/>
      <c r="S10088" s="127"/>
      <c r="T10088" s="107"/>
    </row>
    <row r="10089" spans="1:20" x14ac:dyDescent="0.3">
      <c r="A10089" s="101"/>
      <c r="B10089" s="102"/>
      <c r="C10089" s="87"/>
      <c r="D10089" s="103"/>
      <c r="F10089" s="101"/>
      <c r="G10089" s="104"/>
      <c r="H10089" s="86" t="e">
        <f>IF(I10089="fora",0%,G10089/QUÓRUM!$C$6)</f>
        <v>#DIV/0!</v>
      </c>
      <c r="I10089" s="87"/>
      <c r="J10089" s="88"/>
      <c r="K10089" s="88"/>
      <c r="L10089" s="89"/>
      <c r="M10089" s="89"/>
      <c r="O10089" s="105"/>
      <c r="P10089" s="105"/>
      <c r="Q10089" s="105"/>
      <c r="R10089" s="106"/>
      <c r="S10089" s="127"/>
      <c r="T10089" s="107"/>
    </row>
    <row r="10090" spans="1:20" x14ac:dyDescent="0.3">
      <c r="A10090" s="101"/>
      <c r="B10090" s="102"/>
      <c r="C10090" s="87"/>
      <c r="D10090" s="103"/>
      <c r="F10090" s="101"/>
      <c r="G10090" s="104"/>
      <c r="H10090" s="86" t="e">
        <f>IF(I10090="fora",0%,G10090/QUÓRUM!$C$6)</f>
        <v>#DIV/0!</v>
      </c>
      <c r="I10090" s="87"/>
      <c r="J10090" s="88"/>
      <c r="K10090" s="88"/>
      <c r="L10090" s="89"/>
      <c r="M10090" s="89"/>
      <c r="O10090" s="105"/>
      <c r="P10090" s="105"/>
      <c r="Q10090" s="105"/>
      <c r="R10090" s="106"/>
      <c r="S10090" s="127"/>
      <c r="T10090" s="107"/>
    </row>
    <row r="10091" spans="1:20" x14ac:dyDescent="0.3">
      <c r="A10091" s="101"/>
      <c r="B10091" s="102"/>
      <c r="C10091" s="87"/>
      <c r="D10091" s="103"/>
      <c r="F10091" s="101"/>
      <c r="G10091" s="104"/>
      <c r="H10091" s="86" t="e">
        <f>IF(I10091="fora",0%,G10091/QUÓRUM!$C$6)</f>
        <v>#DIV/0!</v>
      </c>
      <c r="I10091" s="87"/>
      <c r="J10091" s="88"/>
      <c r="K10091" s="88"/>
      <c r="L10091" s="89"/>
      <c r="M10091" s="89"/>
      <c r="O10091" s="105"/>
      <c r="P10091" s="105"/>
      <c r="Q10091" s="105"/>
      <c r="R10091" s="106"/>
      <c r="S10091" s="127"/>
      <c r="T10091" s="107"/>
    </row>
    <row r="10092" spans="1:20" x14ac:dyDescent="0.3">
      <c r="A10092" s="101"/>
      <c r="B10092" s="102"/>
      <c r="C10092" s="87"/>
      <c r="D10092" s="103"/>
      <c r="F10092" s="101"/>
      <c r="G10092" s="104"/>
      <c r="H10092" s="86" t="e">
        <f>IF(I10092="fora",0%,G10092/QUÓRUM!$C$6)</f>
        <v>#DIV/0!</v>
      </c>
      <c r="I10092" s="87"/>
      <c r="J10092" s="88"/>
      <c r="K10092" s="88"/>
      <c r="L10092" s="89"/>
      <c r="M10092" s="89"/>
      <c r="O10092" s="105"/>
      <c r="P10092" s="105"/>
      <c r="Q10092" s="105"/>
      <c r="R10092" s="106"/>
      <c r="S10092" s="127"/>
      <c r="T10092" s="107"/>
    </row>
    <row r="10093" spans="1:20" x14ac:dyDescent="0.3">
      <c r="A10093" s="101"/>
      <c r="B10093" s="102"/>
      <c r="C10093" s="87"/>
      <c r="D10093" s="103"/>
      <c r="F10093" s="101"/>
      <c r="G10093" s="104"/>
      <c r="H10093" s="86" t="e">
        <f>IF(I10093="fora",0%,G10093/QUÓRUM!$C$6)</f>
        <v>#DIV/0!</v>
      </c>
      <c r="I10093" s="87"/>
      <c r="J10093" s="88"/>
      <c r="K10093" s="88"/>
      <c r="L10093" s="89"/>
      <c r="M10093" s="89"/>
      <c r="O10093" s="105"/>
      <c r="P10093" s="105"/>
      <c r="Q10093" s="105"/>
      <c r="R10093" s="106"/>
      <c r="S10093" s="127"/>
      <c r="T10093" s="107"/>
    </row>
    <row r="10094" spans="1:20" x14ac:dyDescent="0.3">
      <c r="A10094" s="101"/>
      <c r="B10094" s="102"/>
      <c r="C10094" s="87"/>
      <c r="D10094" s="103"/>
      <c r="F10094" s="101"/>
      <c r="G10094" s="104"/>
      <c r="H10094" s="86" t="e">
        <f>IF(I10094="fora",0%,G10094/QUÓRUM!$C$6)</f>
        <v>#DIV/0!</v>
      </c>
      <c r="I10094" s="87"/>
      <c r="J10094" s="88"/>
      <c r="K10094" s="88"/>
      <c r="L10094" s="89"/>
      <c r="M10094" s="89"/>
      <c r="O10094" s="105"/>
      <c r="P10094" s="105"/>
      <c r="Q10094" s="105"/>
      <c r="R10094" s="106"/>
      <c r="S10094" s="127"/>
      <c r="T10094" s="107"/>
    </row>
    <row r="10095" spans="1:20" x14ac:dyDescent="0.3">
      <c r="A10095" s="101"/>
      <c r="B10095" s="102"/>
      <c r="C10095" s="87"/>
      <c r="D10095" s="103"/>
      <c r="F10095" s="101"/>
      <c r="G10095" s="104"/>
      <c r="H10095" s="86" t="e">
        <f>IF(I10095="fora",0%,G10095/QUÓRUM!$C$6)</f>
        <v>#DIV/0!</v>
      </c>
      <c r="I10095" s="87"/>
      <c r="J10095" s="88"/>
      <c r="K10095" s="88"/>
      <c r="L10095" s="89"/>
      <c r="M10095" s="89"/>
      <c r="O10095" s="105"/>
      <c r="P10095" s="105"/>
      <c r="Q10095" s="105"/>
      <c r="R10095" s="106"/>
      <c r="S10095" s="127"/>
      <c r="T10095" s="107"/>
    </row>
    <row r="10096" spans="1:20" x14ac:dyDescent="0.3">
      <c r="A10096" s="101"/>
      <c r="B10096" s="102"/>
      <c r="C10096" s="87"/>
      <c r="D10096" s="103"/>
      <c r="F10096" s="101"/>
      <c r="G10096" s="104"/>
      <c r="H10096" s="86" t="e">
        <f>IF(I10096="fora",0%,G10096/QUÓRUM!$C$6)</f>
        <v>#DIV/0!</v>
      </c>
      <c r="I10096" s="87"/>
      <c r="J10096" s="88"/>
      <c r="K10096" s="88"/>
      <c r="L10096" s="89"/>
      <c r="M10096" s="89"/>
      <c r="O10096" s="105"/>
      <c r="P10096" s="105"/>
      <c r="Q10096" s="105"/>
      <c r="R10096" s="106"/>
      <c r="S10096" s="127"/>
      <c r="T10096" s="107"/>
    </row>
    <row r="10097" spans="1:20" x14ac:dyDescent="0.3">
      <c r="A10097" s="101"/>
      <c r="B10097" s="102"/>
      <c r="C10097" s="87"/>
      <c r="D10097" s="103"/>
      <c r="F10097" s="101"/>
      <c r="G10097" s="104"/>
      <c r="H10097" s="86" t="e">
        <f>IF(I10097="fora",0%,G10097/QUÓRUM!$C$6)</f>
        <v>#DIV/0!</v>
      </c>
      <c r="I10097" s="87"/>
      <c r="J10097" s="88"/>
      <c r="K10097" s="88"/>
      <c r="L10097" s="89"/>
      <c r="M10097" s="89"/>
      <c r="O10097" s="105"/>
      <c r="P10097" s="105"/>
      <c r="Q10097" s="105"/>
      <c r="R10097" s="106"/>
      <c r="S10097" s="127"/>
      <c r="T10097" s="107"/>
    </row>
    <row r="10098" spans="1:20" x14ac:dyDescent="0.3">
      <c r="A10098" s="101"/>
      <c r="B10098" s="102"/>
      <c r="C10098" s="87"/>
      <c r="D10098" s="103"/>
      <c r="F10098" s="101"/>
      <c r="G10098" s="104"/>
      <c r="H10098" s="86" t="e">
        <f>IF(I10098="fora",0%,G10098/QUÓRUM!$C$6)</f>
        <v>#DIV/0!</v>
      </c>
      <c r="I10098" s="87"/>
      <c r="J10098" s="88"/>
      <c r="K10098" s="88"/>
      <c r="L10098" s="89"/>
      <c r="M10098" s="89"/>
      <c r="O10098" s="105"/>
      <c r="P10098" s="105"/>
      <c r="Q10098" s="105"/>
      <c r="R10098" s="106"/>
      <c r="S10098" s="127"/>
      <c r="T10098" s="107"/>
    </row>
    <row r="10099" spans="1:20" x14ac:dyDescent="0.3">
      <c r="A10099" s="101"/>
      <c r="B10099" s="102"/>
      <c r="C10099" s="87"/>
      <c r="D10099" s="103"/>
      <c r="F10099" s="101"/>
      <c r="G10099" s="104"/>
      <c r="H10099" s="86" t="e">
        <f>IF(I10099="fora",0%,G10099/QUÓRUM!$C$6)</f>
        <v>#DIV/0!</v>
      </c>
      <c r="I10099" s="87"/>
      <c r="J10099" s="88"/>
      <c r="K10099" s="88"/>
      <c r="L10099" s="89"/>
      <c r="M10099" s="89"/>
      <c r="O10099" s="105"/>
      <c r="P10099" s="105"/>
      <c r="Q10099" s="105"/>
      <c r="R10099" s="106"/>
      <c r="S10099" s="127"/>
      <c r="T10099" s="107"/>
    </row>
    <row r="10100" spans="1:20" x14ac:dyDescent="0.3">
      <c r="A10100" s="101"/>
      <c r="B10100" s="102"/>
      <c r="C10100" s="87"/>
      <c r="D10100" s="103"/>
      <c r="F10100" s="101"/>
      <c r="G10100" s="104"/>
      <c r="H10100" s="86" t="e">
        <f>IF(I10100="fora",0%,G10100/QUÓRUM!$C$6)</f>
        <v>#DIV/0!</v>
      </c>
      <c r="I10100" s="87"/>
      <c r="J10100" s="88"/>
      <c r="K10100" s="88"/>
      <c r="L10100" s="89"/>
      <c r="M10100" s="89"/>
      <c r="O10100" s="105"/>
      <c r="P10100" s="105"/>
      <c r="Q10100" s="105"/>
      <c r="R10100" s="106"/>
      <c r="S10100" s="127"/>
      <c r="T10100" s="107"/>
    </row>
    <row r="10101" spans="1:20" x14ac:dyDescent="0.3">
      <c r="A10101" s="101"/>
      <c r="B10101" s="102"/>
      <c r="C10101" s="87"/>
      <c r="D10101" s="103"/>
      <c r="F10101" s="101"/>
      <c r="G10101" s="104"/>
      <c r="H10101" s="86" t="e">
        <f>IF(I10101="fora",0%,G10101/QUÓRUM!$C$6)</f>
        <v>#DIV/0!</v>
      </c>
      <c r="I10101" s="87"/>
      <c r="J10101" s="88"/>
      <c r="K10101" s="88"/>
      <c r="L10101" s="89"/>
      <c r="M10101" s="89"/>
      <c r="O10101" s="105"/>
      <c r="P10101" s="105"/>
      <c r="Q10101" s="105"/>
      <c r="R10101" s="106"/>
      <c r="S10101" s="127"/>
      <c r="T10101" s="107"/>
    </row>
    <row r="10102" spans="1:20" x14ac:dyDescent="0.3">
      <c r="A10102" s="101"/>
      <c r="B10102" s="102"/>
      <c r="C10102" s="87"/>
      <c r="D10102" s="103"/>
      <c r="F10102" s="101"/>
      <c r="G10102" s="104"/>
      <c r="H10102" s="86" t="e">
        <f>IF(I10102="fora",0%,G10102/QUÓRUM!$C$6)</f>
        <v>#DIV/0!</v>
      </c>
      <c r="I10102" s="87"/>
      <c r="J10102" s="88"/>
      <c r="K10102" s="88"/>
      <c r="L10102" s="89"/>
      <c r="M10102" s="89"/>
      <c r="O10102" s="105"/>
      <c r="P10102" s="105"/>
      <c r="Q10102" s="105"/>
      <c r="R10102" s="106"/>
      <c r="S10102" s="127"/>
      <c r="T10102" s="107"/>
    </row>
    <row r="10103" spans="1:20" x14ac:dyDescent="0.3">
      <c r="A10103" s="101"/>
      <c r="B10103" s="102"/>
      <c r="C10103" s="87"/>
      <c r="D10103" s="103"/>
      <c r="F10103" s="101"/>
      <c r="G10103" s="104"/>
      <c r="H10103" s="86" t="e">
        <f>IF(I10103="fora",0%,G10103/QUÓRUM!$C$6)</f>
        <v>#DIV/0!</v>
      </c>
      <c r="I10103" s="87"/>
      <c r="J10103" s="88"/>
      <c r="K10103" s="88"/>
      <c r="L10103" s="89"/>
      <c r="M10103" s="89"/>
      <c r="O10103" s="105"/>
      <c r="P10103" s="105"/>
      <c r="Q10103" s="105"/>
      <c r="R10103" s="106"/>
      <c r="S10103" s="127"/>
      <c r="T10103" s="107"/>
    </row>
    <row r="10104" spans="1:20" x14ac:dyDescent="0.3">
      <c r="A10104" s="101"/>
      <c r="B10104" s="102"/>
      <c r="C10104" s="87"/>
      <c r="D10104" s="103"/>
      <c r="F10104" s="101"/>
      <c r="G10104" s="104"/>
      <c r="H10104" s="86" t="e">
        <f>IF(I10104="fora",0%,G10104/QUÓRUM!$C$6)</f>
        <v>#DIV/0!</v>
      </c>
      <c r="I10104" s="87"/>
      <c r="J10104" s="88"/>
      <c r="K10104" s="88"/>
      <c r="L10104" s="89"/>
      <c r="M10104" s="89"/>
      <c r="O10104" s="105"/>
      <c r="P10104" s="105"/>
      <c r="Q10104" s="105"/>
      <c r="R10104" s="106"/>
      <c r="S10104" s="127"/>
      <c r="T10104" s="107"/>
    </row>
    <row r="10105" spans="1:20" x14ac:dyDescent="0.3">
      <c r="A10105" s="101"/>
      <c r="B10105" s="102"/>
      <c r="C10105" s="87"/>
      <c r="D10105" s="103"/>
      <c r="F10105" s="101"/>
      <c r="G10105" s="104"/>
      <c r="H10105" s="86" t="e">
        <f>IF(I10105="fora",0%,G10105/QUÓRUM!$C$6)</f>
        <v>#DIV/0!</v>
      </c>
      <c r="I10105" s="87"/>
      <c r="J10105" s="88"/>
      <c r="K10105" s="88"/>
      <c r="L10105" s="89"/>
      <c r="M10105" s="89"/>
      <c r="O10105" s="105"/>
      <c r="P10105" s="105"/>
      <c r="Q10105" s="105"/>
      <c r="R10105" s="106"/>
      <c r="S10105" s="127"/>
      <c r="T10105" s="107"/>
    </row>
    <row r="10106" spans="1:20" x14ac:dyDescent="0.3">
      <c r="A10106" s="101"/>
      <c r="B10106" s="102"/>
      <c r="C10106" s="87"/>
      <c r="D10106" s="103"/>
      <c r="F10106" s="101"/>
      <c r="G10106" s="104"/>
      <c r="H10106" s="86" t="e">
        <f>IF(I10106="fora",0%,G10106/QUÓRUM!$C$6)</f>
        <v>#DIV/0!</v>
      </c>
      <c r="I10106" s="87"/>
      <c r="J10106" s="88"/>
      <c r="K10106" s="88"/>
      <c r="L10106" s="89"/>
      <c r="M10106" s="89"/>
      <c r="O10106" s="105"/>
      <c r="P10106" s="105"/>
      <c r="Q10106" s="105"/>
      <c r="R10106" s="106"/>
      <c r="S10106" s="127"/>
      <c r="T10106" s="107"/>
    </row>
    <row r="10107" spans="1:20" x14ac:dyDescent="0.3">
      <c r="A10107" s="101"/>
      <c r="B10107" s="102"/>
      <c r="C10107" s="87"/>
      <c r="D10107" s="103"/>
      <c r="F10107" s="101"/>
      <c r="G10107" s="104"/>
      <c r="H10107" s="86" t="e">
        <f>IF(I10107="fora",0%,G10107/QUÓRUM!$C$6)</f>
        <v>#DIV/0!</v>
      </c>
      <c r="I10107" s="87"/>
      <c r="J10107" s="88"/>
      <c r="K10107" s="88"/>
      <c r="L10107" s="89"/>
      <c r="M10107" s="89"/>
      <c r="O10107" s="105"/>
      <c r="P10107" s="105"/>
      <c r="Q10107" s="105"/>
      <c r="R10107" s="106"/>
      <c r="S10107" s="127"/>
      <c r="T10107" s="107"/>
    </row>
    <row r="10108" spans="1:20" x14ac:dyDescent="0.3">
      <c r="A10108" s="101"/>
      <c r="B10108" s="102"/>
      <c r="C10108" s="87"/>
      <c r="D10108" s="103"/>
      <c r="F10108" s="101"/>
      <c r="G10108" s="104"/>
      <c r="H10108" s="86" t="e">
        <f>IF(I10108="fora",0%,G10108/QUÓRUM!$C$6)</f>
        <v>#DIV/0!</v>
      </c>
      <c r="I10108" s="87"/>
      <c r="J10108" s="88"/>
      <c r="K10108" s="88"/>
      <c r="L10108" s="89"/>
      <c r="M10108" s="89"/>
      <c r="O10108" s="105"/>
      <c r="P10108" s="105"/>
      <c r="Q10108" s="105"/>
      <c r="R10108" s="106"/>
      <c r="S10108" s="127"/>
      <c r="T10108" s="107"/>
    </row>
    <row r="10109" spans="1:20" x14ac:dyDescent="0.3">
      <c r="A10109" s="101"/>
      <c r="B10109" s="102"/>
      <c r="C10109" s="87"/>
      <c r="D10109" s="103"/>
      <c r="F10109" s="101"/>
      <c r="G10109" s="104"/>
      <c r="H10109" s="86" t="e">
        <f>IF(I10109="fora",0%,G10109/QUÓRUM!$C$6)</f>
        <v>#DIV/0!</v>
      </c>
      <c r="I10109" s="87"/>
      <c r="J10109" s="88"/>
      <c r="K10109" s="88"/>
      <c r="L10109" s="89"/>
      <c r="M10109" s="89"/>
      <c r="O10109" s="105"/>
      <c r="P10109" s="105"/>
      <c r="Q10109" s="105"/>
      <c r="R10109" s="106"/>
      <c r="S10109" s="127"/>
      <c r="T10109" s="107"/>
    </row>
    <row r="10110" spans="1:20" x14ac:dyDescent="0.3">
      <c r="A10110" s="101"/>
      <c r="B10110" s="102"/>
      <c r="C10110" s="87"/>
      <c r="D10110" s="103"/>
      <c r="F10110" s="101"/>
      <c r="G10110" s="104"/>
      <c r="H10110" s="86" t="e">
        <f>IF(I10110="fora",0%,G10110/QUÓRUM!$C$6)</f>
        <v>#DIV/0!</v>
      </c>
      <c r="I10110" s="87"/>
      <c r="J10110" s="88"/>
      <c r="K10110" s="88"/>
      <c r="L10110" s="89"/>
      <c r="M10110" s="89"/>
      <c r="O10110" s="105"/>
      <c r="P10110" s="105"/>
      <c r="Q10110" s="105"/>
      <c r="R10110" s="106"/>
      <c r="S10110" s="127"/>
      <c r="T10110" s="107"/>
    </row>
    <row r="10111" spans="1:20" x14ac:dyDescent="0.3">
      <c r="A10111" s="101"/>
      <c r="B10111" s="102"/>
      <c r="C10111" s="87"/>
      <c r="D10111" s="103"/>
      <c r="F10111" s="101"/>
      <c r="G10111" s="104"/>
      <c r="H10111" s="86" t="e">
        <f>IF(I10111="fora",0%,G10111/QUÓRUM!$C$6)</f>
        <v>#DIV/0!</v>
      </c>
      <c r="I10111" s="87"/>
      <c r="J10111" s="88"/>
      <c r="K10111" s="88"/>
      <c r="L10111" s="89"/>
      <c r="M10111" s="89"/>
      <c r="O10111" s="105"/>
      <c r="P10111" s="105"/>
      <c r="Q10111" s="105"/>
      <c r="R10111" s="106"/>
      <c r="S10111" s="127"/>
      <c r="T10111" s="107"/>
    </row>
    <row r="10112" spans="1:20" x14ac:dyDescent="0.3">
      <c r="A10112" s="101"/>
      <c r="B10112" s="102"/>
      <c r="C10112" s="87"/>
      <c r="D10112" s="103"/>
      <c r="F10112" s="101"/>
      <c r="G10112" s="104"/>
      <c r="H10112" s="86" t="e">
        <f>IF(I10112="fora",0%,G10112/QUÓRUM!$C$6)</f>
        <v>#DIV/0!</v>
      </c>
      <c r="I10112" s="87"/>
      <c r="J10112" s="88"/>
      <c r="K10112" s="88"/>
      <c r="L10112" s="89"/>
      <c r="M10112" s="89"/>
      <c r="O10112" s="105"/>
      <c r="P10112" s="105"/>
      <c r="Q10112" s="105"/>
      <c r="R10112" s="106"/>
      <c r="S10112" s="127"/>
      <c r="T10112" s="107"/>
    </row>
    <row r="10113" spans="1:20" x14ac:dyDescent="0.3">
      <c r="A10113" s="101"/>
      <c r="B10113" s="102"/>
      <c r="C10113" s="87"/>
      <c r="D10113" s="103"/>
      <c r="F10113" s="101"/>
      <c r="G10113" s="104"/>
      <c r="H10113" s="86" t="e">
        <f>IF(I10113="fora",0%,G10113/QUÓRUM!$C$6)</f>
        <v>#DIV/0!</v>
      </c>
      <c r="I10113" s="87"/>
      <c r="J10113" s="88"/>
      <c r="K10113" s="88"/>
      <c r="L10113" s="89"/>
      <c r="M10113" s="89"/>
      <c r="O10113" s="105"/>
      <c r="P10113" s="105"/>
      <c r="Q10113" s="105"/>
      <c r="R10113" s="106"/>
      <c r="S10113" s="127"/>
      <c r="T10113" s="107"/>
    </row>
    <row r="10114" spans="1:20" x14ac:dyDescent="0.3">
      <c r="A10114" s="101"/>
      <c r="B10114" s="102"/>
      <c r="C10114" s="87"/>
      <c r="D10114" s="103"/>
      <c r="F10114" s="101"/>
      <c r="G10114" s="104"/>
      <c r="H10114" s="86" t="e">
        <f>IF(I10114="fora",0%,G10114/QUÓRUM!$C$6)</f>
        <v>#DIV/0!</v>
      </c>
      <c r="I10114" s="87"/>
      <c r="J10114" s="88"/>
      <c r="K10114" s="88"/>
      <c r="L10114" s="89"/>
      <c r="M10114" s="89"/>
      <c r="O10114" s="105"/>
      <c r="P10114" s="105"/>
      <c r="Q10114" s="105"/>
      <c r="R10114" s="106"/>
      <c r="S10114" s="127"/>
      <c r="T10114" s="107"/>
    </row>
    <row r="10115" spans="1:20" x14ac:dyDescent="0.3">
      <c r="A10115" s="101"/>
      <c r="B10115" s="102"/>
      <c r="C10115" s="87"/>
      <c r="D10115" s="103"/>
      <c r="F10115" s="101"/>
      <c r="G10115" s="104"/>
      <c r="H10115" s="86" t="e">
        <f>IF(I10115="fora",0%,G10115/QUÓRUM!$C$6)</f>
        <v>#DIV/0!</v>
      </c>
      <c r="I10115" s="87"/>
      <c r="J10115" s="88"/>
      <c r="K10115" s="88"/>
      <c r="L10115" s="89"/>
      <c r="M10115" s="89"/>
      <c r="O10115" s="105"/>
      <c r="P10115" s="105"/>
      <c r="Q10115" s="105"/>
      <c r="R10115" s="106"/>
      <c r="S10115" s="127"/>
      <c r="T10115" s="107"/>
    </row>
    <row r="10116" spans="1:20" x14ac:dyDescent="0.3">
      <c r="A10116" s="101"/>
      <c r="B10116" s="102"/>
      <c r="C10116" s="87"/>
      <c r="D10116" s="103"/>
      <c r="F10116" s="101"/>
      <c r="G10116" s="104"/>
      <c r="H10116" s="86" t="e">
        <f>IF(I10116="fora",0%,G10116/QUÓRUM!$C$6)</f>
        <v>#DIV/0!</v>
      </c>
      <c r="I10116" s="87"/>
      <c r="J10116" s="88"/>
      <c r="K10116" s="88"/>
      <c r="L10116" s="89"/>
      <c r="M10116" s="89"/>
      <c r="O10116" s="105"/>
      <c r="P10116" s="105"/>
      <c r="Q10116" s="105"/>
      <c r="R10116" s="106"/>
      <c r="S10116" s="127"/>
      <c r="T10116" s="107"/>
    </row>
    <row r="10117" spans="1:20" x14ac:dyDescent="0.3">
      <c r="A10117" s="101"/>
      <c r="B10117" s="102"/>
      <c r="C10117" s="87"/>
      <c r="D10117" s="103"/>
      <c r="F10117" s="101"/>
      <c r="G10117" s="104"/>
      <c r="H10117" s="86" t="e">
        <f>IF(I10117="fora",0%,G10117/QUÓRUM!$C$6)</f>
        <v>#DIV/0!</v>
      </c>
      <c r="I10117" s="87"/>
      <c r="J10117" s="88"/>
      <c r="K10117" s="88"/>
      <c r="L10117" s="89"/>
      <c r="M10117" s="89"/>
      <c r="O10117" s="105"/>
      <c r="P10117" s="105"/>
      <c r="Q10117" s="105"/>
      <c r="R10117" s="106"/>
      <c r="S10117" s="127"/>
      <c r="T10117" s="107"/>
    </row>
    <row r="10118" spans="1:20" x14ac:dyDescent="0.3">
      <c r="A10118" s="101"/>
      <c r="B10118" s="102"/>
      <c r="C10118" s="87"/>
      <c r="D10118" s="103"/>
      <c r="F10118" s="101"/>
      <c r="G10118" s="104"/>
      <c r="H10118" s="86" t="e">
        <f>IF(I10118="fora",0%,G10118/QUÓRUM!$C$6)</f>
        <v>#DIV/0!</v>
      </c>
      <c r="I10118" s="87"/>
      <c r="J10118" s="88"/>
      <c r="K10118" s="88"/>
      <c r="L10118" s="89"/>
      <c r="M10118" s="89"/>
      <c r="O10118" s="105"/>
      <c r="P10118" s="105"/>
      <c r="Q10118" s="105"/>
      <c r="R10118" s="106"/>
      <c r="S10118" s="127"/>
      <c r="T10118" s="107"/>
    </row>
    <row r="10119" spans="1:20" x14ac:dyDescent="0.3">
      <c r="A10119" s="101"/>
      <c r="B10119" s="102"/>
      <c r="C10119" s="87"/>
      <c r="D10119" s="103"/>
      <c r="F10119" s="101"/>
      <c r="G10119" s="104"/>
      <c r="H10119" s="86" t="e">
        <f>IF(I10119="fora",0%,G10119/QUÓRUM!$C$6)</f>
        <v>#DIV/0!</v>
      </c>
      <c r="I10119" s="87"/>
      <c r="J10119" s="88"/>
      <c r="K10119" s="88"/>
      <c r="L10119" s="89"/>
      <c r="M10119" s="89"/>
      <c r="O10119" s="105"/>
      <c r="P10119" s="105"/>
      <c r="Q10119" s="105"/>
      <c r="R10119" s="106"/>
      <c r="S10119" s="127"/>
      <c r="T10119" s="107"/>
    </row>
    <row r="10120" spans="1:20" x14ac:dyDescent="0.3">
      <c r="A10120" s="101"/>
      <c r="B10120" s="102"/>
      <c r="C10120" s="87"/>
      <c r="D10120" s="103"/>
      <c r="F10120" s="101"/>
      <c r="G10120" s="104"/>
      <c r="H10120" s="86" t="e">
        <f>IF(I10120="fora",0%,G10120/QUÓRUM!$C$6)</f>
        <v>#DIV/0!</v>
      </c>
      <c r="I10120" s="87"/>
      <c r="J10120" s="88"/>
      <c r="K10120" s="88"/>
      <c r="L10120" s="89"/>
      <c r="M10120" s="89"/>
      <c r="O10120" s="105"/>
      <c r="P10120" s="105"/>
      <c r="Q10120" s="105"/>
      <c r="R10120" s="106"/>
      <c r="S10120" s="127"/>
      <c r="T10120" s="107"/>
    </row>
    <row r="10121" spans="1:20" x14ac:dyDescent="0.3">
      <c r="A10121" s="101"/>
      <c r="B10121" s="102"/>
      <c r="C10121" s="87"/>
      <c r="D10121" s="103"/>
      <c r="F10121" s="101"/>
      <c r="G10121" s="104"/>
      <c r="H10121" s="86" t="e">
        <f>IF(I10121="fora",0%,G10121/QUÓRUM!$C$6)</f>
        <v>#DIV/0!</v>
      </c>
      <c r="I10121" s="87"/>
      <c r="J10121" s="88"/>
      <c r="K10121" s="88"/>
      <c r="L10121" s="89"/>
      <c r="M10121" s="89"/>
      <c r="O10121" s="105"/>
      <c r="P10121" s="105"/>
      <c r="Q10121" s="105"/>
      <c r="R10121" s="106"/>
      <c r="S10121" s="127"/>
      <c r="T10121" s="107"/>
    </row>
    <row r="10122" spans="1:20" x14ac:dyDescent="0.3">
      <c r="A10122" s="101"/>
      <c r="B10122" s="102"/>
      <c r="C10122" s="87"/>
      <c r="D10122" s="103"/>
      <c r="F10122" s="101"/>
      <c r="G10122" s="104"/>
      <c r="H10122" s="86" t="e">
        <f>IF(I10122="fora",0%,G10122/QUÓRUM!$C$6)</f>
        <v>#DIV/0!</v>
      </c>
      <c r="I10122" s="87"/>
      <c r="J10122" s="88"/>
      <c r="K10122" s="88"/>
      <c r="L10122" s="89"/>
      <c r="M10122" s="89"/>
      <c r="O10122" s="105"/>
      <c r="P10122" s="105"/>
      <c r="Q10122" s="105"/>
      <c r="R10122" s="106"/>
      <c r="S10122" s="127"/>
      <c r="T10122" s="107"/>
    </row>
    <row r="10123" spans="1:20" x14ac:dyDescent="0.3">
      <c r="A10123" s="101"/>
      <c r="B10123" s="102"/>
      <c r="C10123" s="87"/>
      <c r="D10123" s="103"/>
      <c r="F10123" s="101"/>
      <c r="G10123" s="104"/>
      <c r="H10123" s="86" t="e">
        <f>IF(I10123="fora",0%,G10123/QUÓRUM!$C$6)</f>
        <v>#DIV/0!</v>
      </c>
      <c r="I10123" s="87"/>
      <c r="J10123" s="88"/>
      <c r="K10123" s="88"/>
      <c r="L10123" s="89"/>
      <c r="M10123" s="89"/>
      <c r="O10123" s="105"/>
      <c r="P10123" s="105"/>
      <c r="Q10123" s="105"/>
      <c r="R10123" s="106"/>
      <c r="S10123" s="127"/>
      <c r="T10123" s="107"/>
    </row>
    <row r="10124" spans="1:20" x14ac:dyDescent="0.3">
      <c r="A10124" s="101"/>
      <c r="B10124" s="102"/>
      <c r="C10124" s="87"/>
      <c r="D10124" s="103"/>
      <c r="F10124" s="101"/>
      <c r="G10124" s="104"/>
      <c r="H10124" s="86" t="e">
        <f>IF(I10124="fora",0%,G10124/QUÓRUM!$C$6)</f>
        <v>#DIV/0!</v>
      </c>
      <c r="I10124" s="87"/>
      <c r="J10124" s="88"/>
      <c r="K10124" s="88"/>
      <c r="L10124" s="89"/>
      <c r="M10124" s="89"/>
      <c r="O10124" s="105"/>
      <c r="P10124" s="105"/>
      <c r="Q10124" s="105"/>
      <c r="R10124" s="106"/>
      <c r="S10124" s="127"/>
      <c r="T10124" s="107"/>
    </row>
    <row r="10125" spans="1:20" x14ac:dyDescent="0.3">
      <c r="A10125" s="101"/>
      <c r="B10125" s="102"/>
      <c r="C10125" s="87"/>
      <c r="D10125" s="103"/>
      <c r="F10125" s="101"/>
      <c r="G10125" s="104"/>
      <c r="H10125" s="86" t="e">
        <f>IF(I10125="fora",0%,G10125/QUÓRUM!$C$6)</f>
        <v>#DIV/0!</v>
      </c>
      <c r="I10125" s="87"/>
      <c r="J10125" s="88"/>
      <c r="K10125" s="88"/>
      <c r="L10125" s="89"/>
      <c r="M10125" s="89"/>
      <c r="O10125" s="105"/>
      <c r="P10125" s="105"/>
      <c r="Q10125" s="105"/>
      <c r="R10125" s="106"/>
      <c r="S10125" s="127"/>
      <c r="T10125" s="107"/>
    </row>
    <row r="10126" spans="1:20" x14ac:dyDescent="0.3">
      <c r="A10126" s="101"/>
      <c r="B10126" s="102"/>
      <c r="C10126" s="87"/>
      <c r="D10126" s="103"/>
      <c r="F10126" s="101"/>
      <c r="G10126" s="104"/>
      <c r="H10126" s="86" t="e">
        <f>IF(I10126="fora",0%,G10126/QUÓRUM!$C$6)</f>
        <v>#DIV/0!</v>
      </c>
      <c r="I10126" s="87"/>
      <c r="J10126" s="88"/>
      <c r="K10126" s="88"/>
      <c r="L10126" s="89"/>
      <c r="M10126" s="89"/>
      <c r="O10126" s="105"/>
      <c r="P10126" s="105"/>
      <c r="Q10126" s="105"/>
      <c r="R10126" s="106"/>
      <c r="S10126" s="127"/>
      <c r="T10126" s="107"/>
    </row>
    <row r="10127" spans="1:20" x14ac:dyDescent="0.3">
      <c r="A10127" s="101"/>
      <c r="B10127" s="102"/>
      <c r="C10127" s="87"/>
      <c r="D10127" s="103"/>
      <c r="F10127" s="101"/>
      <c r="G10127" s="104"/>
      <c r="H10127" s="86" t="e">
        <f>IF(I10127="fora",0%,G10127/QUÓRUM!$C$6)</f>
        <v>#DIV/0!</v>
      </c>
      <c r="I10127" s="87"/>
      <c r="J10127" s="88"/>
      <c r="K10127" s="88"/>
      <c r="L10127" s="89"/>
      <c r="M10127" s="89"/>
      <c r="O10127" s="105"/>
      <c r="P10127" s="105"/>
      <c r="Q10127" s="105"/>
      <c r="R10127" s="106"/>
      <c r="S10127" s="127"/>
      <c r="T10127" s="107"/>
    </row>
    <row r="10128" spans="1:20" x14ac:dyDescent="0.3">
      <c r="A10128" s="101"/>
      <c r="B10128" s="102"/>
      <c r="C10128" s="87"/>
      <c r="D10128" s="103"/>
      <c r="F10128" s="101"/>
      <c r="G10128" s="104"/>
      <c r="H10128" s="86" t="e">
        <f>IF(I10128="fora",0%,G10128/QUÓRUM!$C$6)</f>
        <v>#DIV/0!</v>
      </c>
      <c r="I10128" s="87"/>
      <c r="J10128" s="88"/>
      <c r="K10128" s="88"/>
      <c r="L10128" s="89"/>
      <c r="M10128" s="89"/>
      <c r="O10128" s="105"/>
      <c r="P10128" s="105"/>
      <c r="Q10128" s="105"/>
      <c r="R10128" s="106"/>
      <c r="S10128" s="127"/>
      <c r="T10128" s="107"/>
    </row>
    <row r="10129" spans="1:20" x14ac:dyDescent="0.3">
      <c r="A10129" s="101"/>
      <c r="B10129" s="102"/>
      <c r="C10129" s="87"/>
      <c r="D10129" s="103"/>
      <c r="F10129" s="101"/>
      <c r="G10129" s="104"/>
      <c r="H10129" s="86" t="e">
        <f>IF(I10129="fora",0%,G10129/QUÓRUM!$C$6)</f>
        <v>#DIV/0!</v>
      </c>
      <c r="I10129" s="87"/>
      <c r="J10129" s="88"/>
      <c r="K10129" s="88"/>
      <c r="L10129" s="89"/>
      <c r="M10129" s="89"/>
      <c r="O10129" s="105"/>
      <c r="P10129" s="105"/>
      <c r="Q10129" s="105"/>
      <c r="R10129" s="106"/>
      <c r="S10129" s="127"/>
      <c r="T10129" s="107"/>
    </row>
    <row r="10130" spans="1:20" x14ac:dyDescent="0.3">
      <c r="A10130" s="101"/>
      <c r="B10130" s="102"/>
      <c r="C10130" s="87"/>
      <c r="D10130" s="103"/>
      <c r="F10130" s="101"/>
      <c r="G10130" s="104"/>
      <c r="H10130" s="86" t="e">
        <f>IF(I10130="fora",0%,G10130/QUÓRUM!$C$6)</f>
        <v>#DIV/0!</v>
      </c>
      <c r="I10130" s="87"/>
      <c r="J10130" s="88"/>
      <c r="K10130" s="88"/>
      <c r="L10130" s="89"/>
      <c r="M10130" s="89"/>
      <c r="O10130" s="105"/>
      <c r="P10130" s="105"/>
      <c r="Q10130" s="105"/>
      <c r="R10130" s="106"/>
      <c r="S10130" s="127"/>
      <c r="T10130" s="107"/>
    </row>
    <row r="10131" spans="1:20" x14ac:dyDescent="0.3">
      <c r="A10131" s="101"/>
      <c r="B10131" s="102"/>
      <c r="C10131" s="87"/>
      <c r="D10131" s="103"/>
      <c r="F10131" s="101"/>
      <c r="G10131" s="104"/>
      <c r="H10131" s="86" t="e">
        <f>IF(I10131="fora",0%,G10131/QUÓRUM!$C$6)</f>
        <v>#DIV/0!</v>
      </c>
      <c r="I10131" s="87"/>
      <c r="J10131" s="88"/>
      <c r="K10131" s="88"/>
      <c r="L10131" s="89"/>
      <c r="M10131" s="89"/>
      <c r="O10131" s="105"/>
      <c r="P10131" s="105"/>
      <c r="Q10131" s="105"/>
      <c r="R10131" s="106"/>
      <c r="S10131" s="127"/>
      <c r="T10131" s="107"/>
    </row>
    <row r="10132" spans="1:20" x14ac:dyDescent="0.3">
      <c r="A10132" s="101"/>
      <c r="B10132" s="102"/>
      <c r="C10132" s="87"/>
      <c r="D10132" s="103"/>
      <c r="F10132" s="101"/>
      <c r="G10132" s="104"/>
      <c r="H10132" s="86" t="e">
        <f>IF(I10132="fora",0%,G10132/QUÓRUM!$C$6)</f>
        <v>#DIV/0!</v>
      </c>
      <c r="I10132" s="87"/>
      <c r="J10132" s="88"/>
      <c r="K10132" s="88"/>
      <c r="L10132" s="89"/>
      <c r="M10132" s="89"/>
      <c r="O10132" s="105"/>
      <c r="P10132" s="105"/>
      <c r="Q10132" s="105"/>
      <c r="R10132" s="106"/>
      <c r="S10132" s="127"/>
      <c r="T10132" s="107"/>
    </row>
    <row r="10133" spans="1:20" x14ac:dyDescent="0.3">
      <c r="A10133" s="101"/>
      <c r="B10133" s="102"/>
      <c r="C10133" s="87"/>
      <c r="D10133" s="103"/>
      <c r="F10133" s="101"/>
      <c r="G10133" s="104"/>
      <c r="H10133" s="86" t="e">
        <f>IF(I10133="fora",0%,G10133/QUÓRUM!$C$6)</f>
        <v>#DIV/0!</v>
      </c>
      <c r="I10133" s="87"/>
      <c r="J10133" s="88"/>
      <c r="K10133" s="88"/>
      <c r="L10133" s="89"/>
      <c r="M10133" s="89"/>
      <c r="O10133" s="105"/>
      <c r="P10133" s="105"/>
      <c r="Q10133" s="105"/>
      <c r="R10133" s="106"/>
      <c r="S10133" s="127"/>
      <c r="T10133" s="107"/>
    </row>
    <row r="10134" spans="1:20" x14ac:dyDescent="0.3">
      <c r="A10134" s="101"/>
      <c r="B10134" s="102"/>
      <c r="C10134" s="87"/>
      <c r="D10134" s="103"/>
      <c r="F10134" s="101"/>
      <c r="G10134" s="104"/>
      <c r="H10134" s="86" t="e">
        <f>IF(I10134="fora",0%,G10134/QUÓRUM!$C$6)</f>
        <v>#DIV/0!</v>
      </c>
      <c r="I10134" s="87"/>
      <c r="J10134" s="88"/>
      <c r="K10134" s="88"/>
      <c r="L10134" s="89"/>
      <c r="M10134" s="89"/>
      <c r="O10134" s="105"/>
      <c r="P10134" s="105"/>
      <c r="Q10134" s="105"/>
      <c r="R10134" s="106"/>
      <c r="S10134" s="127"/>
      <c r="T10134" s="107"/>
    </row>
    <row r="10135" spans="1:20" x14ac:dyDescent="0.3">
      <c r="A10135" s="101"/>
      <c r="B10135" s="102"/>
      <c r="C10135" s="87"/>
      <c r="D10135" s="103"/>
      <c r="F10135" s="101"/>
      <c r="G10135" s="104"/>
      <c r="H10135" s="86" t="e">
        <f>IF(I10135="fora",0%,G10135/QUÓRUM!$C$6)</f>
        <v>#DIV/0!</v>
      </c>
      <c r="I10135" s="87"/>
      <c r="J10135" s="88"/>
      <c r="K10135" s="88"/>
      <c r="L10135" s="89"/>
      <c r="M10135" s="89"/>
      <c r="O10135" s="105"/>
      <c r="P10135" s="105"/>
      <c r="Q10135" s="105"/>
      <c r="R10135" s="106"/>
      <c r="S10135" s="127"/>
      <c r="T10135" s="107"/>
    </row>
    <row r="10136" spans="1:20" x14ac:dyDescent="0.3">
      <c r="A10136" s="101"/>
      <c r="B10136" s="102"/>
      <c r="C10136" s="87"/>
      <c r="D10136" s="103"/>
      <c r="F10136" s="101"/>
      <c r="G10136" s="104"/>
      <c r="H10136" s="86" t="e">
        <f>IF(I10136="fora",0%,G10136/QUÓRUM!$C$6)</f>
        <v>#DIV/0!</v>
      </c>
      <c r="I10136" s="87"/>
      <c r="J10136" s="88"/>
      <c r="K10136" s="88"/>
      <c r="L10136" s="89"/>
      <c r="M10136" s="89"/>
      <c r="O10136" s="105"/>
      <c r="P10136" s="105"/>
      <c r="Q10136" s="105"/>
      <c r="R10136" s="106"/>
      <c r="S10136" s="127"/>
      <c r="T10136" s="107"/>
    </row>
    <row r="10137" spans="1:20" x14ac:dyDescent="0.3">
      <c r="A10137" s="101"/>
      <c r="B10137" s="102"/>
      <c r="C10137" s="87"/>
      <c r="D10137" s="103"/>
      <c r="F10137" s="101"/>
      <c r="G10137" s="104"/>
      <c r="H10137" s="86" t="e">
        <f>IF(I10137="fora",0%,G10137/QUÓRUM!$C$6)</f>
        <v>#DIV/0!</v>
      </c>
      <c r="I10137" s="87"/>
      <c r="J10137" s="88"/>
      <c r="K10137" s="88"/>
      <c r="L10137" s="89"/>
      <c r="M10137" s="89"/>
      <c r="O10137" s="105"/>
      <c r="P10137" s="105"/>
      <c r="Q10137" s="105"/>
      <c r="R10137" s="106"/>
      <c r="S10137" s="127"/>
      <c r="T10137" s="107"/>
    </row>
    <row r="10138" spans="1:20" x14ac:dyDescent="0.3">
      <c r="A10138" s="101"/>
      <c r="B10138" s="102"/>
      <c r="C10138" s="87"/>
      <c r="D10138" s="103"/>
      <c r="F10138" s="101"/>
      <c r="G10138" s="104"/>
      <c r="H10138" s="86" t="e">
        <f>IF(I10138="fora",0%,G10138/QUÓRUM!$C$6)</f>
        <v>#DIV/0!</v>
      </c>
      <c r="I10138" s="87"/>
      <c r="J10138" s="88"/>
      <c r="K10138" s="88"/>
      <c r="L10138" s="89"/>
      <c r="M10138" s="89"/>
      <c r="O10138" s="105"/>
      <c r="P10138" s="105"/>
      <c r="Q10138" s="105"/>
      <c r="R10138" s="106"/>
      <c r="S10138" s="127"/>
      <c r="T10138" s="107"/>
    </row>
    <row r="10139" spans="1:20" x14ac:dyDescent="0.3">
      <c r="A10139" s="101"/>
      <c r="B10139" s="102"/>
      <c r="C10139" s="87"/>
      <c r="D10139" s="103"/>
      <c r="F10139" s="101"/>
      <c r="G10139" s="104"/>
      <c r="H10139" s="86" t="e">
        <f>IF(I10139="fora",0%,G10139/QUÓRUM!$C$6)</f>
        <v>#DIV/0!</v>
      </c>
      <c r="I10139" s="87"/>
      <c r="J10139" s="88"/>
      <c r="K10139" s="88"/>
      <c r="L10139" s="89"/>
      <c r="M10139" s="89"/>
      <c r="O10139" s="105"/>
      <c r="P10139" s="105"/>
      <c r="Q10139" s="105"/>
      <c r="R10139" s="106"/>
      <c r="S10139" s="127"/>
      <c r="T10139" s="107"/>
    </row>
    <row r="10140" spans="1:20" x14ac:dyDescent="0.3">
      <c r="A10140" s="101"/>
      <c r="B10140" s="102"/>
      <c r="C10140" s="87"/>
      <c r="D10140" s="103"/>
      <c r="F10140" s="101"/>
      <c r="G10140" s="104"/>
      <c r="H10140" s="86" t="e">
        <f>IF(I10140="fora",0%,G10140/QUÓRUM!$C$6)</f>
        <v>#DIV/0!</v>
      </c>
      <c r="I10140" s="87"/>
      <c r="J10140" s="88"/>
      <c r="K10140" s="88"/>
      <c r="L10140" s="89"/>
      <c r="M10140" s="89"/>
      <c r="O10140" s="105"/>
      <c r="P10140" s="105"/>
      <c r="Q10140" s="105"/>
      <c r="R10140" s="106"/>
      <c r="S10140" s="127"/>
      <c r="T10140" s="107"/>
    </row>
    <row r="10141" spans="1:20" x14ac:dyDescent="0.3">
      <c r="A10141" s="101"/>
      <c r="B10141" s="102"/>
      <c r="C10141" s="87"/>
      <c r="D10141" s="103"/>
      <c r="F10141" s="101"/>
      <c r="G10141" s="104"/>
      <c r="H10141" s="86" t="e">
        <f>IF(I10141="fora",0%,G10141/QUÓRUM!$C$6)</f>
        <v>#DIV/0!</v>
      </c>
      <c r="I10141" s="87"/>
      <c r="J10141" s="88"/>
      <c r="K10141" s="88"/>
      <c r="L10141" s="89"/>
      <c r="M10141" s="89"/>
      <c r="O10141" s="105"/>
      <c r="P10141" s="105"/>
      <c r="Q10141" s="105"/>
      <c r="R10141" s="106"/>
      <c r="S10141" s="127"/>
      <c r="T10141" s="107"/>
    </row>
    <row r="10142" spans="1:20" x14ac:dyDescent="0.3">
      <c r="A10142" s="101"/>
      <c r="B10142" s="102"/>
      <c r="C10142" s="87"/>
      <c r="D10142" s="103"/>
      <c r="F10142" s="101"/>
      <c r="G10142" s="104"/>
      <c r="H10142" s="86" t="e">
        <f>IF(I10142="fora",0%,G10142/QUÓRUM!$C$6)</f>
        <v>#DIV/0!</v>
      </c>
      <c r="I10142" s="87"/>
      <c r="J10142" s="88"/>
      <c r="K10142" s="88"/>
      <c r="L10142" s="89"/>
      <c r="M10142" s="89"/>
      <c r="O10142" s="105"/>
      <c r="P10142" s="105"/>
      <c r="Q10142" s="105"/>
      <c r="R10142" s="106"/>
      <c r="S10142" s="127"/>
      <c r="T10142" s="107"/>
    </row>
    <row r="10143" spans="1:20" x14ac:dyDescent="0.3">
      <c r="A10143" s="101"/>
      <c r="B10143" s="102"/>
      <c r="C10143" s="87"/>
      <c r="D10143" s="103"/>
      <c r="F10143" s="101"/>
      <c r="G10143" s="104"/>
      <c r="H10143" s="86" t="e">
        <f>IF(I10143="fora",0%,G10143/QUÓRUM!$C$6)</f>
        <v>#DIV/0!</v>
      </c>
      <c r="I10143" s="87"/>
      <c r="J10143" s="88"/>
      <c r="K10143" s="88"/>
      <c r="L10143" s="89"/>
      <c r="M10143" s="89"/>
      <c r="O10143" s="105"/>
      <c r="P10143" s="105"/>
      <c r="Q10143" s="105"/>
      <c r="R10143" s="106"/>
      <c r="S10143" s="127"/>
      <c r="T10143" s="107"/>
    </row>
    <row r="10144" spans="1:20" x14ac:dyDescent="0.3">
      <c r="A10144" s="101"/>
      <c r="B10144" s="102"/>
      <c r="C10144" s="87"/>
      <c r="D10144" s="103"/>
      <c r="F10144" s="101"/>
      <c r="G10144" s="104"/>
      <c r="H10144" s="86" t="e">
        <f>IF(I10144="fora",0%,G10144/QUÓRUM!$C$6)</f>
        <v>#DIV/0!</v>
      </c>
      <c r="I10144" s="87"/>
      <c r="J10144" s="88"/>
      <c r="K10144" s="88"/>
      <c r="L10144" s="89"/>
      <c r="M10144" s="89"/>
      <c r="O10144" s="105"/>
      <c r="P10144" s="105"/>
      <c r="Q10144" s="105"/>
      <c r="R10144" s="106"/>
      <c r="S10144" s="127"/>
      <c r="T10144" s="107"/>
    </row>
    <row r="10145" spans="1:20" x14ac:dyDescent="0.3">
      <c r="A10145" s="101"/>
      <c r="B10145" s="102"/>
      <c r="C10145" s="87"/>
      <c r="D10145" s="103"/>
      <c r="F10145" s="101"/>
      <c r="G10145" s="104"/>
      <c r="H10145" s="86" t="e">
        <f>IF(I10145="fora",0%,G10145/QUÓRUM!$C$6)</f>
        <v>#DIV/0!</v>
      </c>
      <c r="I10145" s="87"/>
      <c r="J10145" s="88"/>
      <c r="K10145" s="88"/>
      <c r="L10145" s="89"/>
      <c r="M10145" s="89"/>
      <c r="O10145" s="105"/>
      <c r="P10145" s="105"/>
      <c r="Q10145" s="105"/>
      <c r="R10145" s="106"/>
      <c r="S10145" s="127"/>
      <c r="T10145" s="107"/>
    </row>
    <row r="10146" spans="1:20" x14ac:dyDescent="0.3">
      <c r="A10146" s="101"/>
      <c r="B10146" s="102"/>
      <c r="C10146" s="87"/>
      <c r="D10146" s="103"/>
      <c r="F10146" s="101"/>
      <c r="G10146" s="104"/>
      <c r="H10146" s="86" t="e">
        <f>IF(I10146="fora",0%,G10146/QUÓRUM!$C$6)</f>
        <v>#DIV/0!</v>
      </c>
      <c r="I10146" s="87"/>
      <c r="J10146" s="88"/>
      <c r="K10146" s="88"/>
      <c r="L10146" s="89"/>
      <c r="M10146" s="89"/>
      <c r="O10146" s="105"/>
      <c r="P10146" s="105"/>
      <c r="Q10146" s="105"/>
      <c r="R10146" s="106"/>
      <c r="S10146" s="127"/>
      <c r="T10146" s="107"/>
    </row>
    <row r="10147" spans="1:20" x14ac:dyDescent="0.3">
      <c r="A10147" s="101"/>
      <c r="B10147" s="102"/>
      <c r="C10147" s="87"/>
      <c r="D10147" s="103"/>
      <c r="F10147" s="101"/>
      <c r="G10147" s="104"/>
      <c r="H10147" s="86" t="e">
        <f>IF(I10147="fora",0%,G10147/QUÓRUM!$C$6)</f>
        <v>#DIV/0!</v>
      </c>
      <c r="I10147" s="87"/>
      <c r="J10147" s="88"/>
      <c r="K10147" s="88"/>
      <c r="L10147" s="89"/>
      <c r="M10147" s="89"/>
      <c r="O10147" s="105"/>
      <c r="P10147" s="105"/>
      <c r="Q10147" s="105"/>
      <c r="R10147" s="106"/>
      <c r="S10147" s="127"/>
      <c r="T10147" s="107"/>
    </row>
    <row r="10148" spans="1:20" x14ac:dyDescent="0.3">
      <c r="A10148" s="101"/>
      <c r="B10148" s="102"/>
      <c r="C10148" s="87"/>
      <c r="D10148" s="103"/>
      <c r="F10148" s="101"/>
      <c r="G10148" s="104"/>
      <c r="H10148" s="86" t="e">
        <f>IF(I10148="fora",0%,G10148/QUÓRUM!$C$6)</f>
        <v>#DIV/0!</v>
      </c>
      <c r="I10148" s="87"/>
      <c r="J10148" s="88"/>
      <c r="K10148" s="88"/>
      <c r="L10148" s="89"/>
      <c r="M10148" s="89"/>
      <c r="O10148" s="105"/>
      <c r="P10148" s="105"/>
      <c r="Q10148" s="105"/>
      <c r="R10148" s="106"/>
      <c r="S10148" s="127"/>
      <c r="T10148" s="107"/>
    </row>
    <row r="10149" spans="1:20" x14ac:dyDescent="0.3">
      <c r="A10149" s="101"/>
      <c r="B10149" s="102"/>
      <c r="C10149" s="87"/>
      <c r="D10149" s="103"/>
      <c r="F10149" s="101"/>
      <c r="G10149" s="104"/>
      <c r="H10149" s="86" t="e">
        <f>IF(I10149="fora",0%,G10149/QUÓRUM!$C$6)</f>
        <v>#DIV/0!</v>
      </c>
      <c r="I10149" s="87"/>
      <c r="J10149" s="88"/>
      <c r="K10149" s="88"/>
      <c r="L10149" s="89"/>
      <c r="M10149" s="89"/>
      <c r="O10149" s="105"/>
      <c r="P10149" s="105"/>
      <c r="Q10149" s="105"/>
      <c r="R10149" s="106"/>
      <c r="S10149" s="127"/>
      <c r="T10149" s="107"/>
    </row>
    <row r="10150" spans="1:20" x14ac:dyDescent="0.3">
      <c r="A10150" s="101"/>
      <c r="B10150" s="102"/>
      <c r="C10150" s="87"/>
      <c r="D10150" s="103"/>
      <c r="F10150" s="101"/>
      <c r="G10150" s="104"/>
      <c r="H10150" s="86" t="e">
        <f>IF(I10150="fora",0%,G10150/QUÓRUM!$C$6)</f>
        <v>#DIV/0!</v>
      </c>
      <c r="I10150" s="87"/>
      <c r="J10150" s="88"/>
      <c r="K10150" s="88"/>
      <c r="L10150" s="89"/>
      <c r="M10150" s="89"/>
      <c r="O10150" s="105"/>
      <c r="P10150" s="105"/>
      <c r="Q10150" s="105"/>
      <c r="R10150" s="106"/>
      <c r="S10150" s="127"/>
      <c r="T10150" s="107"/>
    </row>
    <row r="10151" spans="1:20" x14ac:dyDescent="0.3">
      <c r="A10151" s="101"/>
      <c r="B10151" s="102"/>
      <c r="C10151" s="87"/>
      <c r="D10151" s="103"/>
      <c r="F10151" s="101"/>
      <c r="G10151" s="104"/>
      <c r="H10151" s="86" t="e">
        <f>IF(I10151="fora",0%,G10151/QUÓRUM!$C$6)</f>
        <v>#DIV/0!</v>
      </c>
      <c r="I10151" s="87"/>
      <c r="J10151" s="88"/>
      <c r="K10151" s="88"/>
      <c r="L10151" s="89"/>
      <c r="M10151" s="89"/>
      <c r="O10151" s="105"/>
      <c r="P10151" s="105"/>
      <c r="Q10151" s="105"/>
      <c r="R10151" s="106"/>
      <c r="S10151" s="127"/>
      <c r="T10151" s="107"/>
    </row>
    <row r="10152" spans="1:20" x14ac:dyDescent="0.3">
      <c r="A10152" s="101"/>
      <c r="B10152" s="102"/>
      <c r="C10152" s="87"/>
      <c r="D10152" s="103"/>
      <c r="F10152" s="101"/>
      <c r="G10152" s="104"/>
      <c r="H10152" s="86" t="e">
        <f>IF(I10152="fora",0%,G10152/QUÓRUM!$C$6)</f>
        <v>#DIV/0!</v>
      </c>
      <c r="I10152" s="87"/>
      <c r="J10152" s="88"/>
      <c r="K10152" s="88"/>
      <c r="L10152" s="89"/>
      <c r="M10152" s="89"/>
      <c r="O10152" s="105"/>
      <c r="P10152" s="105"/>
      <c r="Q10152" s="105"/>
      <c r="R10152" s="106"/>
      <c r="S10152" s="127"/>
      <c r="T10152" s="107"/>
    </row>
    <row r="10153" spans="1:20" x14ac:dyDescent="0.3">
      <c r="A10153" s="101"/>
      <c r="B10153" s="102"/>
      <c r="C10153" s="87"/>
      <c r="D10153" s="103"/>
      <c r="F10153" s="101"/>
      <c r="G10153" s="104"/>
      <c r="H10153" s="86" t="e">
        <f>IF(I10153="fora",0%,G10153/QUÓRUM!$C$6)</f>
        <v>#DIV/0!</v>
      </c>
      <c r="I10153" s="87"/>
      <c r="J10153" s="88"/>
      <c r="K10153" s="88"/>
      <c r="L10153" s="89"/>
      <c r="M10153" s="89"/>
      <c r="O10153" s="105"/>
      <c r="P10153" s="105"/>
      <c r="Q10153" s="105"/>
      <c r="R10153" s="106"/>
      <c r="S10153" s="127"/>
      <c r="T10153" s="107"/>
    </row>
    <row r="10154" spans="1:20" x14ac:dyDescent="0.3">
      <c r="A10154" s="101"/>
      <c r="B10154" s="102"/>
      <c r="C10154" s="87"/>
      <c r="D10154" s="103"/>
      <c r="F10154" s="101"/>
      <c r="G10154" s="104"/>
      <c r="H10154" s="86" t="e">
        <f>IF(I10154="fora",0%,G10154/QUÓRUM!$C$6)</f>
        <v>#DIV/0!</v>
      </c>
      <c r="I10154" s="87"/>
      <c r="J10154" s="88"/>
      <c r="K10154" s="88"/>
      <c r="L10154" s="89"/>
      <c r="M10154" s="89"/>
      <c r="O10154" s="105"/>
      <c r="P10154" s="105"/>
      <c r="Q10154" s="105"/>
      <c r="R10154" s="106"/>
      <c r="S10154" s="127"/>
      <c r="T10154" s="107"/>
    </row>
    <row r="10155" spans="1:20" x14ac:dyDescent="0.3">
      <c r="A10155" s="101"/>
      <c r="B10155" s="102"/>
      <c r="C10155" s="87"/>
      <c r="D10155" s="103"/>
      <c r="F10155" s="101"/>
      <c r="G10155" s="104"/>
      <c r="H10155" s="86" t="e">
        <f>IF(I10155="fora",0%,G10155/QUÓRUM!$C$6)</f>
        <v>#DIV/0!</v>
      </c>
      <c r="I10155" s="87"/>
      <c r="J10155" s="88"/>
      <c r="K10155" s="88"/>
      <c r="L10155" s="89"/>
      <c r="M10155" s="89"/>
      <c r="O10155" s="105"/>
      <c r="P10155" s="105"/>
      <c r="Q10155" s="105"/>
      <c r="R10155" s="106"/>
      <c r="S10155" s="127"/>
      <c r="T10155" s="107"/>
    </row>
    <row r="10156" spans="1:20" x14ac:dyDescent="0.3">
      <c r="A10156" s="101"/>
      <c r="B10156" s="102"/>
      <c r="C10156" s="87"/>
      <c r="D10156" s="103"/>
      <c r="F10156" s="101"/>
      <c r="G10156" s="104"/>
      <c r="H10156" s="86" t="e">
        <f>IF(I10156="fora",0%,G10156/QUÓRUM!$C$6)</f>
        <v>#DIV/0!</v>
      </c>
      <c r="I10156" s="87"/>
      <c r="J10156" s="88"/>
      <c r="K10156" s="88"/>
      <c r="L10156" s="89"/>
      <c r="M10156" s="89"/>
      <c r="O10156" s="105"/>
      <c r="P10156" s="105"/>
      <c r="Q10156" s="105"/>
      <c r="R10156" s="106"/>
      <c r="S10156" s="127"/>
      <c r="T10156" s="107"/>
    </row>
    <row r="10157" spans="1:20" x14ac:dyDescent="0.3">
      <c r="A10157" s="101"/>
      <c r="B10157" s="102"/>
      <c r="C10157" s="87"/>
      <c r="D10157" s="103"/>
      <c r="F10157" s="101"/>
      <c r="G10157" s="104"/>
      <c r="H10157" s="86" t="e">
        <f>IF(I10157="fora",0%,G10157/QUÓRUM!$C$6)</f>
        <v>#DIV/0!</v>
      </c>
      <c r="I10157" s="87"/>
      <c r="J10157" s="88"/>
      <c r="K10157" s="88"/>
      <c r="L10157" s="89"/>
      <c r="M10157" s="89"/>
      <c r="O10157" s="105"/>
      <c r="P10157" s="105"/>
      <c r="Q10157" s="105"/>
      <c r="R10157" s="106"/>
      <c r="S10157" s="127"/>
      <c r="T10157" s="107"/>
    </row>
    <row r="10158" spans="1:20" x14ac:dyDescent="0.3">
      <c r="A10158" s="101"/>
      <c r="B10158" s="102"/>
      <c r="C10158" s="87"/>
      <c r="D10158" s="103"/>
      <c r="F10158" s="101"/>
      <c r="G10158" s="104"/>
      <c r="H10158" s="86" t="e">
        <f>IF(I10158="fora",0%,G10158/QUÓRUM!$C$6)</f>
        <v>#DIV/0!</v>
      </c>
      <c r="I10158" s="87"/>
      <c r="J10158" s="88"/>
      <c r="K10158" s="88"/>
      <c r="L10158" s="89"/>
      <c r="M10158" s="89"/>
      <c r="O10158" s="105"/>
      <c r="P10158" s="105"/>
      <c r="Q10158" s="105"/>
      <c r="R10158" s="106"/>
      <c r="S10158" s="127"/>
      <c r="T10158" s="107"/>
    </row>
    <row r="10159" spans="1:20" x14ac:dyDescent="0.3">
      <c r="A10159" s="101"/>
      <c r="B10159" s="102"/>
      <c r="C10159" s="87"/>
      <c r="D10159" s="103"/>
      <c r="F10159" s="101"/>
      <c r="G10159" s="104"/>
      <c r="H10159" s="86" t="e">
        <f>IF(I10159="fora",0%,G10159/QUÓRUM!$C$6)</f>
        <v>#DIV/0!</v>
      </c>
      <c r="I10159" s="87"/>
      <c r="J10159" s="88"/>
      <c r="K10159" s="88"/>
      <c r="L10159" s="89"/>
      <c r="M10159" s="89"/>
      <c r="O10159" s="105"/>
      <c r="P10159" s="105"/>
      <c r="Q10159" s="105"/>
      <c r="R10159" s="106"/>
      <c r="S10159" s="127"/>
      <c r="T10159" s="107"/>
    </row>
    <row r="10160" spans="1:20" x14ac:dyDescent="0.3">
      <c r="A10160" s="101"/>
      <c r="B10160" s="102"/>
      <c r="C10160" s="87"/>
      <c r="D10160" s="103"/>
      <c r="F10160" s="101"/>
      <c r="G10160" s="109"/>
      <c r="H10160" s="86" t="e">
        <f>IF(I10160="fora",0%,G10160/QUÓRUM!$C$6)</f>
        <v>#DIV/0!</v>
      </c>
      <c r="I10160" s="87"/>
      <c r="J10160" s="88"/>
      <c r="K10160" s="88"/>
      <c r="L10160" s="89"/>
      <c r="M10160" s="89"/>
      <c r="O10160" s="105"/>
      <c r="P10160" s="105"/>
      <c r="Q10160" s="105"/>
      <c r="R10160" s="106"/>
      <c r="S10160" s="127"/>
      <c r="T10160" s="107"/>
    </row>
    <row r="10161" spans="1:20" x14ac:dyDescent="0.3">
      <c r="A10161" s="101"/>
      <c r="B10161" s="102"/>
      <c r="C10161" s="87"/>
      <c r="D10161" s="103"/>
      <c r="F10161" s="101"/>
      <c r="G10161" s="104"/>
      <c r="H10161" s="86" t="e">
        <f>IF(I10161="fora",0%,G10161/QUÓRUM!$C$6)</f>
        <v>#DIV/0!</v>
      </c>
      <c r="I10161" s="87"/>
      <c r="J10161" s="88"/>
      <c r="K10161" s="88"/>
      <c r="L10161" s="89"/>
      <c r="M10161" s="89"/>
      <c r="O10161" s="105"/>
      <c r="P10161" s="105"/>
      <c r="Q10161" s="105"/>
      <c r="R10161" s="106"/>
      <c r="S10161" s="127"/>
      <c r="T10161" s="107"/>
    </row>
    <row r="10162" spans="1:20" x14ac:dyDescent="0.3">
      <c r="A10162" s="101"/>
      <c r="B10162" s="102"/>
      <c r="C10162" s="87"/>
      <c r="D10162" s="103"/>
      <c r="F10162" s="101"/>
      <c r="G10162" s="104"/>
      <c r="H10162" s="86" t="e">
        <f>IF(I10162="fora",0%,G10162/QUÓRUM!$C$6)</f>
        <v>#DIV/0!</v>
      </c>
      <c r="I10162" s="87"/>
      <c r="J10162" s="88"/>
      <c r="K10162" s="88"/>
      <c r="L10162" s="89"/>
      <c r="M10162" s="89"/>
      <c r="O10162" s="105"/>
      <c r="P10162" s="105"/>
      <c r="Q10162" s="105"/>
      <c r="R10162" s="106"/>
      <c r="S10162" s="127"/>
      <c r="T10162" s="107"/>
    </row>
    <row r="10163" spans="1:20" x14ac:dyDescent="0.3">
      <c r="A10163" s="101"/>
      <c r="B10163" s="102"/>
      <c r="C10163" s="87"/>
      <c r="D10163" s="103"/>
      <c r="F10163" s="101"/>
      <c r="G10163" s="104"/>
      <c r="H10163" s="86" t="e">
        <f>IF(I10163="fora",0%,G10163/QUÓRUM!$C$6)</f>
        <v>#DIV/0!</v>
      </c>
      <c r="I10163" s="87"/>
      <c r="J10163" s="88"/>
      <c r="K10163" s="88"/>
      <c r="L10163" s="89"/>
      <c r="M10163" s="89"/>
      <c r="O10163" s="105"/>
      <c r="P10163" s="105"/>
      <c r="Q10163" s="105"/>
      <c r="R10163" s="106"/>
      <c r="S10163" s="127"/>
      <c r="T10163" s="107"/>
    </row>
    <row r="10164" spans="1:20" x14ac:dyDescent="0.3">
      <c r="A10164" s="101"/>
      <c r="B10164" s="102"/>
      <c r="C10164" s="87"/>
      <c r="D10164" s="103"/>
      <c r="F10164" s="101"/>
      <c r="G10164" s="104"/>
      <c r="H10164" s="86" t="e">
        <f>IF(I10164="fora",0%,G10164/QUÓRUM!$C$6)</f>
        <v>#DIV/0!</v>
      </c>
      <c r="I10164" s="87"/>
      <c r="J10164" s="88"/>
      <c r="K10164" s="88"/>
      <c r="L10164" s="89"/>
      <c r="M10164" s="89"/>
      <c r="O10164" s="105"/>
      <c r="P10164" s="105"/>
      <c r="Q10164" s="105"/>
      <c r="R10164" s="106"/>
      <c r="S10164" s="127"/>
      <c r="T10164" s="107"/>
    </row>
    <row r="10165" spans="1:20" x14ac:dyDescent="0.3">
      <c r="A10165" s="101"/>
      <c r="B10165" s="102"/>
      <c r="C10165" s="87"/>
      <c r="D10165" s="103"/>
      <c r="F10165" s="101"/>
      <c r="G10165" s="104"/>
      <c r="H10165" s="86" t="e">
        <f>IF(I10165="fora",0%,G10165/QUÓRUM!$C$6)</f>
        <v>#DIV/0!</v>
      </c>
      <c r="I10165" s="87"/>
      <c r="J10165" s="88"/>
      <c r="K10165" s="88"/>
      <c r="L10165" s="89"/>
      <c r="M10165" s="89"/>
      <c r="O10165" s="105"/>
      <c r="P10165" s="105"/>
      <c r="Q10165" s="105"/>
      <c r="R10165" s="106"/>
      <c r="S10165" s="127"/>
      <c r="T10165" s="107"/>
    </row>
    <row r="10166" spans="1:20" x14ac:dyDescent="0.3">
      <c r="A10166" s="101"/>
      <c r="B10166" s="102"/>
      <c r="C10166" s="87"/>
      <c r="D10166" s="103"/>
      <c r="F10166" s="101"/>
      <c r="G10166" s="104"/>
      <c r="H10166" s="86" t="e">
        <f>IF(I10166="fora",0%,G10166/QUÓRUM!$C$6)</f>
        <v>#DIV/0!</v>
      </c>
      <c r="I10166" s="87"/>
      <c r="J10166" s="88"/>
      <c r="K10166" s="88"/>
      <c r="L10166" s="89"/>
      <c r="M10166" s="89"/>
      <c r="O10166" s="105"/>
      <c r="P10166" s="105"/>
      <c r="Q10166" s="105"/>
      <c r="R10166" s="106"/>
      <c r="S10166" s="127"/>
      <c r="T10166" s="107"/>
    </row>
    <row r="10167" spans="1:20" x14ac:dyDescent="0.3">
      <c r="A10167" s="101"/>
      <c r="B10167" s="102"/>
      <c r="C10167" s="87"/>
      <c r="D10167" s="103"/>
      <c r="F10167" s="101"/>
      <c r="G10167" s="104"/>
      <c r="H10167" s="86" t="e">
        <f>IF(I10167="fora",0%,G10167/QUÓRUM!$C$6)</f>
        <v>#DIV/0!</v>
      </c>
      <c r="I10167" s="87"/>
      <c r="J10167" s="88"/>
      <c r="K10167" s="88"/>
      <c r="L10167" s="89"/>
      <c r="M10167" s="89"/>
      <c r="O10167" s="105"/>
      <c r="P10167" s="105"/>
      <c r="Q10167" s="105"/>
      <c r="R10167" s="106"/>
      <c r="S10167" s="127"/>
      <c r="T10167" s="107"/>
    </row>
    <row r="10168" spans="1:20" x14ac:dyDescent="0.3">
      <c r="A10168" s="101"/>
      <c r="B10168" s="102"/>
      <c r="C10168" s="87"/>
      <c r="D10168" s="103"/>
      <c r="F10168" s="101"/>
      <c r="G10168" s="104"/>
      <c r="H10168" s="86" t="e">
        <f>IF(I10168="fora",0%,G10168/QUÓRUM!$C$6)</f>
        <v>#DIV/0!</v>
      </c>
      <c r="I10168" s="87"/>
      <c r="J10168" s="88"/>
      <c r="K10168" s="88"/>
      <c r="L10168" s="89"/>
      <c r="M10168" s="89"/>
      <c r="O10168" s="105"/>
      <c r="P10168" s="105"/>
      <c r="Q10168" s="105"/>
      <c r="R10168" s="106"/>
      <c r="S10168" s="127"/>
      <c r="T10168" s="107"/>
    </row>
    <row r="10169" spans="1:20" x14ac:dyDescent="0.3">
      <c r="A10169" s="101"/>
      <c r="B10169" s="102"/>
      <c r="C10169" s="87"/>
      <c r="D10169" s="103"/>
      <c r="F10169" s="101"/>
      <c r="G10169" s="104"/>
      <c r="H10169" s="86" t="e">
        <f>IF(I10169="fora",0%,G10169/QUÓRUM!$C$6)</f>
        <v>#DIV/0!</v>
      </c>
      <c r="I10169" s="87"/>
      <c r="J10169" s="88"/>
      <c r="K10169" s="88"/>
      <c r="L10169" s="89"/>
      <c r="M10169" s="89"/>
      <c r="O10169" s="105"/>
      <c r="P10169" s="105"/>
      <c r="Q10169" s="105"/>
      <c r="R10169" s="106"/>
      <c r="S10169" s="127"/>
      <c r="T10169" s="107"/>
    </row>
    <row r="10170" spans="1:20" x14ac:dyDescent="0.3">
      <c r="A10170" s="101"/>
      <c r="B10170" s="102"/>
      <c r="C10170" s="87"/>
      <c r="D10170" s="103"/>
      <c r="F10170" s="101"/>
      <c r="G10170" s="104"/>
      <c r="H10170" s="86" t="e">
        <f>IF(I10170="fora",0%,G10170/QUÓRUM!$C$6)</f>
        <v>#DIV/0!</v>
      </c>
      <c r="I10170" s="87"/>
      <c r="J10170" s="88"/>
      <c r="K10170" s="88"/>
      <c r="L10170" s="89"/>
      <c r="M10170" s="89"/>
      <c r="O10170" s="105"/>
      <c r="P10170" s="105"/>
      <c r="Q10170" s="105"/>
      <c r="R10170" s="106"/>
      <c r="S10170" s="127"/>
      <c r="T10170" s="107"/>
    </row>
    <row r="10171" spans="1:20" x14ac:dyDescent="0.3">
      <c r="A10171" s="101"/>
      <c r="B10171" s="102"/>
      <c r="C10171" s="87"/>
      <c r="D10171" s="103"/>
      <c r="F10171" s="101"/>
      <c r="G10171" s="104"/>
      <c r="H10171" s="86" t="e">
        <f>IF(I10171="fora",0%,G10171/QUÓRUM!$C$6)</f>
        <v>#DIV/0!</v>
      </c>
      <c r="I10171" s="87"/>
      <c r="J10171" s="88"/>
      <c r="K10171" s="88"/>
      <c r="L10171" s="89"/>
      <c r="M10171" s="89"/>
      <c r="O10171" s="105"/>
      <c r="P10171" s="105"/>
      <c r="Q10171" s="105"/>
      <c r="R10171" s="106"/>
      <c r="S10171" s="127"/>
      <c r="T10171" s="107"/>
    </row>
    <row r="10172" spans="1:20" x14ac:dyDescent="0.3">
      <c r="A10172" s="101"/>
      <c r="B10172" s="102"/>
      <c r="C10172" s="87"/>
      <c r="D10172" s="103"/>
      <c r="F10172" s="101"/>
      <c r="G10172" s="104"/>
      <c r="H10172" s="86" t="e">
        <f>IF(I10172="fora",0%,G10172/QUÓRUM!$C$6)</f>
        <v>#DIV/0!</v>
      </c>
      <c r="I10172" s="87"/>
      <c r="J10172" s="88"/>
      <c r="K10172" s="88"/>
      <c r="L10172" s="89"/>
      <c r="M10172" s="89"/>
      <c r="O10172" s="105"/>
      <c r="P10172" s="105"/>
      <c r="Q10172" s="105"/>
      <c r="R10172" s="106"/>
      <c r="S10172" s="127"/>
      <c r="T10172" s="107"/>
    </row>
    <row r="10173" spans="1:20" x14ac:dyDescent="0.3">
      <c r="A10173" s="101"/>
      <c r="B10173" s="102"/>
      <c r="C10173" s="87"/>
      <c r="D10173" s="103"/>
      <c r="F10173" s="101"/>
      <c r="G10173" s="104"/>
      <c r="H10173" s="86" t="e">
        <f>IF(I10173="fora",0%,G10173/QUÓRUM!$C$6)</f>
        <v>#DIV/0!</v>
      </c>
      <c r="I10173" s="87"/>
      <c r="J10173" s="88"/>
      <c r="K10173" s="88"/>
      <c r="L10173" s="89"/>
      <c r="M10173" s="89"/>
      <c r="O10173" s="105"/>
      <c r="P10173" s="105"/>
      <c r="Q10173" s="105"/>
      <c r="R10173" s="106"/>
      <c r="S10173" s="127"/>
      <c r="T10173" s="107"/>
    </row>
    <row r="10174" spans="1:20" x14ac:dyDescent="0.3">
      <c r="A10174" s="101"/>
      <c r="B10174" s="102"/>
      <c r="C10174" s="87"/>
      <c r="D10174" s="103"/>
      <c r="F10174" s="101"/>
      <c r="G10174" s="104"/>
      <c r="H10174" s="86" t="e">
        <f>IF(I10174="fora",0%,G10174/QUÓRUM!$C$6)</f>
        <v>#DIV/0!</v>
      </c>
      <c r="I10174" s="87"/>
      <c r="J10174" s="88"/>
      <c r="K10174" s="88"/>
      <c r="L10174" s="89"/>
      <c r="M10174" s="89"/>
      <c r="O10174" s="105"/>
      <c r="P10174" s="105"/>
      <c r="Q10174" s="105"/>
      <c r="R10174" s="106"/>
      <c r="S10174" s="127"/>
      <c r="T10174" s="107"/>
    </row>
    <row r="10175" spans="1:20" x14ac:dyDescent="0.3">
      <c r="A10175" s="101"/>
      <c r="B10175" s="102"/>
      <c r="C10175" s="87"/>
      <c r="D10175" s="103"/>
      <c r="F10175" s="101"/>
      <c r="G10175" s="104"/>
      <c r="H10175" s="86" t="e">
        <f>IF(I10175="fora",0%,G10175/QUÓRUM!$C$6)</f>
        <v>#DIV/0!</v>
      </c>
      <c r="I10175" s="87"/>
      <c r="J10175" s="88"/>
      <c r="K10175" s="88"/>
      <c r="L10175" s="89"/>
      <c r="M10175" s="89"/>
      <c r="O10175" s="105"/>
      <c r="P10175" s="105"/>
      <c r="Q10175" s="105"/>
      <c r="R10175" s="106"/>
      <c r="S10175" s="127"/>
      <c r="T10175" s="107"/>
    </row>
    <row r="10176" spans="1:20" x14ac:dyDescent="0.3">
      <c r="A10176" s="101"/>
      <c r="B10176" s="102"/>
      <c r="C10176" s="87"/>
      <c r="D10176" s="103"/>
      <c r="F10176" s="101"/>
      <c r="G10176" s="104"/>
      <c r="H10176" s="86" t="e">
        <f>IF(I10176="fora",0%,G10176/QUÓRUM!$C$6)</f>
        <v>#DIV/0!</v>
      </c>
      <c r="I10176" s="87"/>
      <c r="J10176" s="88"/>
      <c r="K10176" s="88"/>
      <c r="L10176" s="89"/>
      <c r="M10176" s="89"/>
      <c r="O10176" s="105"/>
      <c r="P10176" s="105"/>
      <c r="Q10176" s="105"/>
      <c r="R10176" s="106"/>
      <c r="S10176" s="127"/>
      <c r="T10176" s="107"/>
    </row>
    <row r="10177" spans="1:20" x14ac:dyDescent="0.3">
      <c r="A10177" s="101"/>
      <c r="B10177" s="102"/>
      <c r="C10177" s="87"/>
      <c r="D10177" s="103"/>
      <c r="F10177" s="101"/>
      <c r="G10177" s="104"/>
      <c r="H10177" s="86" t="e">
        <f>IF(I10177="fora",0%,G10177/QUÓRUM!$C$6)</f>
        <v>#DIV/0!</v>
      </c>
      <c r="I10177" s="87"/>
      <c r="J10177" s="88"/>
      <c r="K10177" s="88"/>
      <c r="L10177" s="89"/>
      <c r="M10177" s="89"/>
      <c r="O10177" s="105"/>
      <c r="P10177" s="105"/>
      <c r="Q10177" s="105"/>
      <c r="R10177" s="106"/>
      <c r="S10177" s="127"/>
      <c r="T10177" s="107"/>
    </row>
    <row r="10178" spans="1:20" x14ac:dyDescent="0.3">
      <c r="A10178" s="101"/>
      <c r="B10178" s="102"/>
      <c r="C10178" s="87"/>
      <c r="D10178" s="103"/>
      <c r="F10178" s="101"/>
      <c r="G10178" s="104"/>
      <c r="H10178" s="86" t="e">
        <f>IF(I10178="fora",0%,G10178/QUÓRUM!$C$6)</f>
        <v>#DIV/0!</v>
      </c>
      <c r="I10178" s="87"/>
      <c r="J10178" s="88"/>
      <c r="K10178" s="88"/>
      <c r="L10178" s="89"/>
      <c r="M10178" s="89"/>
      <c r="O10178" s="105"/>
      <c r="P10178" s="105"/>
      <c r="Q10178" s="105"/>
      <c r="R10178" s="106"/>
      <c r="S10178" s="127"/>
      <c r="T10178" s="107"/>
    </row>
    <row r="10179" spans="1:20" x14ac:dyDescent="0.3">
      <c r="A10179" s="101"/>
      <c r="B10179" s="102"/>
      <c r="C10179" s="87"/>
      <c r="D10179" s="103"/>
      <c r="F10179" s="101"/>
      <c r="G10179" s="104"/>
      <c r="H10179" s="86" t="e">
        <f>IF(I10179="fora",0%,G10179/QUÓRUM!$C$6)</f>
        <v>#DIV/0!</v>
      </c>
      <c r="I10179" s="87"/>
      <c r="J10179" s="88"/>
      <c r="K10179" s="88"/>
      <c r="L10179" s="89"/>
      <c r="M10179" s="89"/>
      <c r="O10179" s="105"/>
      <c r="P10179" s="105"/>
      <c r="Q10179" s="105"/>
      <c r="R10179" s="106"/>
      <c r="S10179" s="127"/>
      <c r="T10179" s="107"/>
    </row>
    <row r="10180" spans="1:20" x14ac:dyDescent="0.3">
      <c r="A10180" s="101"/>
      <c r="B10180" s="102"/>
      <c r="C10180" s="87"/>
      <c r="D10180" s="103"/>
      <c r="F10180" s="101"/>
      <c r="G10180" s="104"/>
      <c r="H10180" s="86" t="e">
        <f>IF(I10180="fora",0%,G10180/QUÓRUM!$C$6)</f>
        <v>#DIV/0!</v>
      </c>
      <c r="I10180" s="87"/>
      <c r="J10180" s="88"/>
      <c r="K10180" s="88"/>
      <c r="L10180" s="89"/>
      <c r="M10180" s="89"/>
      <c r="O10180" s="105"/>
      <c r="P10180" s="105"/>
      <c r="Q10180" s="105"/>
      <c r="R10180" s="106"/>
      <c r="S10180" s="127"/>
      <c r="T10180" s="107"/>
    </row>
    <row r="10181" spans="1:20" x14ac:dyDescent="0.3">
      <c r="A10181" s="101"/>
      <c r="B10181" s="102"/>
      <c r="C10181" s="87"/>
      <c r="D10181" s="103"/>
      <c r="F10181" s="101"/>
      <c r="G10181" s="104"/>
      <c r="H10181" s="86" t="e">
        <f>IF(I10181="fora",0%,G10181/QUÓRUM!$C$6)</f>
        <v>#DIV/0!</v>
      </c>
      <c r="I10181" s="87"/>
      <c r="J10181" s="88"/>
      <c r="K10181" s="88"/>
      <c r="L10181" s="89"/>
      <c r="M10181" s="89"/>
      <c r="O10181" s="105"/>
      <c r="P10181" s="105"/>
      <c r="Q10181" s="105"/>
      <c r="R10181" s="106"/>
      <c r="S10181" s="127"/>
      <c r="T10181" s="107"/>
    </row>
    <row r="10182" spans="1:20" x14ac:dyDescent="0.3">
      <c r="A10182" s="101"/>
      <c r="B10182" s="102"/>
      <c r="C10182" s="87"/>
      <c r="D10182" s="103"/>
      <c r="F10182" s="101"/>
      <c r="G10182" s="104"/>
      <c r="H10182" s="86" t="e">
        <f>IF(I10182="fora",0%,G10182/QUÓRUM!$C$6)</f>
        <v>#DIV/0!</v>
      </c>
      <c r="I10182" s="87"/>
      <c r="J10182" s="88"/>
      <c r="K10182" s="88"/>
      <c r="L10182" s="89"/>
      <c r="M10182" s="89"/>
      <c r="O10182" s="105"/>
      <c r="P10182" s="105"/>
      <c r="Q10182" s="105"/>
      <c r="R10182" s="106"/>
      <c r="S10182" s="127"/>
      <c r="T10182" s="107"/>
    </row>
    <row r="10183" spans="1:20" x14ac:dyDescent="0.3">
      <c r="A10183" s="101"/>
      <c r="B10183" s="102"/>
      <c r="C10183" s="87"/>
      <c r="D10183" s="103"/>
      <c r="F10183" s="101"/>
      <c r="G10183" s="104"/>
      <c r="H10183" s="86" t="e">
        <f>IF(I10183="fora",0%,G10183/QUÓRUM!$C$6)</f>
        <v>#DIV/0!</v>
      </c>
      <c r="I10183" s="87"/>
      <c r="J10183" s="88"/>
      <c r="K10183" s="88"/>
      <c r="L10183" s="89"/>
      <c r="M10183" s="89"/>
      <c r="O10183" s="105"/>
      <c r="P10183" s="105"/>
      <c r="Q10183" s="105"/>
      <c r="R10183" s="106"/>
      <c r="S10183" s="127"/>
      <c r="T10183" s="107"/>
    </row>
    <row r="10184" spans="1:20" x14ac:dyDescent="0.3">
      <c r="A10184" s="101"/>
      <c r="B10184" s="102"/>
      <c r="C10184" s="87"/>
      <c r="D10184" s="103"/>
      <c r="F10184" s="101"/>
      <c r="G10184" s="104"/>
      <c r="H10184" s="86" t="e">
        <f>IF(I10184="fora",0%,G10184/QUÓRUM!$C$6)</f>
        <v>#DIV/0!</v>
      </c>
      <c r="I10184" s="87"/>
      <c r="J10184" s="88"/>
      <c r="K10184" s="88"/>
      <c r="L10184" s="89"/>
      <c r="M10184" s="89"/>
      <c r="O10184" s="105"/>
      <c r="P10184" s="105"/>
      <c r="Q10184" s="105"/>
      <c r="R10184" s="106"/>
      <c r="S10184" s="127"/>
      <c r="T10184" s="107"/>
    </row>
    <row r="10185" spans="1:20" x14ac:dyDescent="0.3">
      <c r="A10185" s="101"/>
      <c r="B10185" s="102"/>
      <c r="C10185" s="87"/>
      <c r="D10185" s="103"/>
      <c r="F10185" s="101"/>
      <c r="G10185" s="104"/>
      <c r="H10185" s="86" t="e">
        <f>IF(I10185="fora",0%,G10185/QUÓRUM!$C$6)</f>
        <v>#DIV/0!</v>
      </c>
      <c r="I10185" s="87"/>
      <c r="J10185" s="88"/>
      <c r="K10185" s="88"/>
      <c r="L10185" s="89"/>
      <c r="M10185" s="89"/>
      <c r="O10185" s="105"/>
      <c r="P10185" s="105"/>
      <c r="Q10185" s="105"/>
      <c r="R10185" s="106"/>
      <c r="S10185" s="127"/>
      <c r="T10185" s="107"/>
    </row>
    <row r="10186" spans="1:20" x14ac:dyDescent="0.3">
      <c r="A10186" s="101"/>
      <c r="B10186" s="102"/>
      <c r="C10186" s="87"/>
      <c r="D10186" s="103"/>
      <c r="F10186" s="101"/>
      <c r="G10186" s="104"/>
      <c r="H10186" s="86" t="e">
        <f>IF(I10186="fora",0%,G10186/QUÓRUM!$C$6)</f>
        <v>#DIV/0!</v>
      </c>
      <c r="I10186" s="87"/>
      <c r="J10186" s="88"/>
      <c r="K10186" s="88"/>
      <c r="L10186" s="89"/>
      <c r="M10186" s="89"/>
      <c r="O10186" s="105"/>
      <c r="P10186" s="105"/>
      <c r="Q10186" s="105"/>
      <c r="R10186" s="106"/>
      <c r="S10186" s="127"/>
      <c r="T10186" s="107"/>
    </row>
    <row r="10187" spans="1:20" x14ac:dyDescent="0.3">
      <c r="A10187" s="101"/>
      <c r="B10187" s="102"/>
      <c r="C10187" s="87"/>
      <c r="D10187" s="103"/>
      <c r="F10187" s="101"/>
      <c r="G10187" s="104"/>
      <c r="H10187" s="86" t="e">
        <f>IF(I10187="fora",0%,G10187/QUÓRUM!$C$6)</f>
        <v>#DIV/0!</v>
      </c>
      <c r="I10187" s="87"/>
      <c r="J10187" s="88"/>
      <c r="K10187" s="88"/>
      <c r="L10187" s="89"/>
      <c r="M10187" s="89"/>
      <c r="O10187" s="105"/>
      <c r="P10187" s="105"/>
      <c r="Q10187" s="105"/>
      <c r="R10187" s="106"/>
      <c r="S10187" s="127"/>
      <c r="T10187" s="107"/>
    </row>
    <row r="10188" spans="1:20" x14ac:dyDescent="0.3">
      <c r="A10188" s="101"/>
      <c r="B10188" s="102"/>
      <c r="C10188" s="87"/>
      <c r="D10188" s="103"/>
      <c r="F10188" s="101"/>
      <c r="G10188" s="104"/>
      <c r="H10188" s="86" t="e">
        <f>IF(I10188="fora",0%,G10188/QUÓRUM!$C$6)</f>
        <v>#DIV/0!</v>
      </c>
      <c r="I10188" s="87"/>
      <c r="J10188" s="88"/>
      <c r="K10188" s="88"/>
      <c r="L10188" s="89"/>
      <c r="M10188" s="89"/>
      <c r="O10188" s="105"/>
      <c r="P10188" s="105"/>
      <c r="Q10188" s="105"/>
      <c r="R10188" s="106"/>
      <c r="S10188" s="127"/>
      <c r="T10188" s="107"/>
    </row>
    <row r="10189" spans="1:20" x14ac:dyDescent="0.3">
      <c r="A10189" s="101"/>
      <c r="B10189" s="102"/>
      <c r="C10189" s="87"/>
      <c r="D10189" s="103"/>
      <c r="F10189" s="101"/>
      <c r="G10189" s="104"/>
      <c r="H10189" s="86" t="e">
        <f>IF(I10189="fora",0%,G10189/QUÓRUM!$C$6)</f>
        <v>#DIV/0!</v>
      </c>
      <c r="I10189" s="87"/>
      <c r="J10189" s="88"/>
      <c r="K10189" s="88"/>
      <c r="L10189" s="89"/>
      <c r="M10189" s="89"/>
      <c r="O10189" s="105"/>
      <c r="P10189" s="105"/>
      <c r="Q10189" s="105"/>
      <c r="R10189" s="106"/>
      <c r="S10189" s="127"/>
      <c r="T10189" s="107"/>
    </row>
    <row r="10190" spans="1:20" x14ac:dyDescent="0.3">
      <c r="A10190" s="101"/>
      <c r="B10190" s="102"/>
      <c r="C10190" s="87"/>
      <c r="D10190" s="103"/>
      <c r="F10190" s="101"/>
      <c r="G10190" s="104"/>
      <c r="H10190" s="86" t="e">
        <f>IF(I10190="fora",0%,G10190/QUÓRUM!$C$6)</f>
        <v>#DIV/0!</v>
      </c>
      <c r="I10190" s="87"/>
      <c r="J10190" s="88"/>
      <c r="K10190" s="88"/>
      <c r="L10190" s="89"/>
      <c r="M10190" s="89"/>
      <c r="O10190" s="105"/>
      <c r="P10190" s="105"/>
      <c r="Q10190" s="105"/>
      <c r="R10190" s="106"/>
      <c r="S10190" s="127"/>
      <c r="T10190" s="107"/>
    </row>
    <row r="10191" spans="1:20" x14ac:dyDescent="0.3">
      <c r="A10191" s="101"/>
      <c r="B10191" s="102"/>
      <c r="C10191" s="87"/>
      <c r="D10191" s="103"/>
      <c r="F10191" s="101"/>
      <c r="G10191" s="104"/>
      <c r="H10191" s="86" t="e">
        <f>IF(I10191="fora",0%,G10191/QUÓRUM!$C$6)</f>
        <v>#DIV/0!</v>
      </c>
      <c r="I10191" s="87"/>
      <c r="J10191" s="88"/>
      <c r="K10191" s="88"/>
      <c r="L10191" s="89"/>
      <c r="M10191" s="89"/>
      <c r="O10191" s="105"/>
      <c r="P10191" s="105"/>
      <c r="Q10191" s="105"/>
      <c r="R10191" s="106"/>
      <c r="S10191" s="127"/>
      <c r="T10191" s="107"/>
    </row>
    <row r="10192" spans="1:20" x14ac:dyDescent="0.3">
      <c r="A10192" s="101"/>
      <c r="B10192" s="102"/>
      <c r="C10192" s="87"/>
      <c r="D10192" s="103"/>
      <c r="F10192" s="101"/>
      <c r="G10192" s="104"/>
      <c r="H10192" s="86" t="e">
        <f>IF(I10192="fora",0%,G10192/QUÓRUM!$C$6)</f>
        <v>#DIV/0!</v>
      </c>
      <c r="I10192" s="87"/>
      <c r="J10192" s="88"/>
      <c r="K10192" s="88"/>
      <c r="L10192" s="89"/>
      <c r="M10192" s="89"/>
      <c r="O10192" s="105"/>
      <c r="P10192" s="105"/>
      <c r="Q10192" s="105"/>
      <c r="R10192" s="106"/>
      <c r="S10192" s="127"/>
      <c r="T10192" s="107"/>
    </row>
    <row r="10193" spans="1:20" x14ac:dyDescent="0.3">
      <c r="A10193" s="101"/>
      <c r="B10193" s="102"/>
      <c r="C10193" s="87"/>
      <c r="D10193" s="103"/>
      <c r="F10193" s="101"/>
      <c r="G10193" s="104"/>
      <c r="H10193" s="86" t="e">
        <f>IF(I10193="fora",0%,G10193/QUÓRUM!$C$6)</f>
        <v>#DIV/0!</v>
      </c>
      <c r="I10193" s="87"/>
      <c r="J10193" s="88"/>
      <c r="K10193" s="88"/>
      <c r="L10193" s="89"/>
      <c r="M10193" s="89"/>
      <c r="O10193" s="105"/>
      <c r="P10193" s="105"/>
      <c r="Q10193" s="105"/>
      <c r="R10193" s="106"/>
      <c r="S10193" s="127"/>
      <c r="T10193" s="107"/>
    </row>
    <row r="10194" spans="1:20" x14ac:dyDescent="0.3">
      <c r="A10194" s="101"/>
      <c r="B10194" s="102"/>
      <c r="C10194" s="87"/>
      <c r="D10194" s="103"/>
      <c r="F10194" s="101"/>
      <c r="G10194" s="104"/>
      <c r="H10194" s="86" t="e">
        <f>IF(I10194="fora",0%,G10194/QUÓRUM!$C$6)</f>
        <v>#DIV/0!</v>
      </c>
      <c r="I10194" s="87"/>
      <c r="J10194" s="88"/>
      <c r="K10194" s="88"/>
      <c r="L10194" s="89"/>
      <c r="M10194" s="89"/>
      <c r="O10194" s="105"/>
      <c r="P10194" s="105"/>
      <c r="Q10194" s="105"/>
      <c r="R10194" s="106"/>
      <c r="S10194" s="127"/>
      <c r="T10194" s="107"/>
    </row>
    <row r="10195" spans="1:20" x14ac:dyDescent="0.3">
      <c r="A10195" s="101"/>
      <c r="B10195" s="102"/>
      <c r="C10195" s="87"/>
      <c r="D10195" s="103"/>
      <c r="F10195" s="101"/>
      <c r="G10195" s="104"/>
      <c r="H10195" s="86" t="e">
        <f>IF(I10195="fora",0%,G10195/QUÓRUM!$C$6)</f>
        <v>#DIV/0!</v>
      </c>
      <c r="I10195" s="87"/>
      <c r="J10195" s="88"/>
      <c r="K10195" s="88"/>
      <c r="L10195" s="89"/>
      <c r="M10195" s="89"/>
      <c r="O10195" s="105"/>
      <c r="P10195" s="105"/>
      <c r="Q10195" s="105"/>
      <c r="R10195" s="106"/>
      <c r="S10195" s="127"/>
      <c r="T10195" s="107"/>
    </row>
    <row r="10196" spans="1:20" x14ac:dyDescent="0.3">
      <c r="A10196" s="101"/>
      <c r="B10196" s="102"/>
      <c r="C10196" s="87"/>
      <c r="D10196" s="103"/>
      <c r="F10196" s="101"/>
      <c r="G10196" s="104"/>
      <c r="H10196" s="86" t="e">
        <f>IF(I10196="fora",0%,G10196/QUÓRUM!$C$6)</f>
        <v>#DIV/0!</v>
      </c>
      <c r="I10196" s="87"/>
      <c r="J10196" s="88"/>
      <c r="K10196" s="88"/>
      <c r="L10196" s="89"/>
      <c r="M10196" s="89"/>
      <c r="O10196" s="105"/>
      <c r="P10196" s="105"/>
      <c r="Q10196" s="105"/>
      <c r="R10196" s="106"/>
      <c r="S10196" s="127"/>
      <c r="T10196" s="107"/>
    </row>
    <row r="10197" spans="1:20" x14ac:dyDescent="0.3">
      <c r="A10197" s="101"/>
      <c r="B10197" s="102"/>
      <c r="C10197" s="87"/>
      <c r="D10197" s="103"/>
      <c r="F10197" s="101"/>
      <c r="G10197" s="104"/>
      <c r="H10197" s="86" t="e">
        <f>IF(I10197="fora",0%,G10197/QUÓRUM!$C$6)</f>
        <v>#DIV/0!</v>
      </c>
      <c r="I10197" s="87"/>
      <c r="J10197" s="88"/>
      <c r="K10197" s="88"/>
      <c r="L10197" s="89"/>
      <c r="M10197" s="89"/>
      <c r="O10197" s="105"/>
      <c r="P10197" s="105"/>
      <c r="Q10197" s="105"/>
      <c r="R10197" s="106"/>
      <c r="S10197" s="127"/>
      <c r="T10197" s="107"/>
    </row>
    <row r="10198" spans="1:20" x14ac:dyDescent="0.3">
      <c r="A10198" s="101"/>
      <c r="B10198" s="102"/>
      <c r="C10198" s="87"/>
      <c r="D10198" s="103"/>
      <c r="F10198" s="101"/>
      <c r="G10198" s="109"/>
      <c r="H10198" s="86" t="e">
        <f>IF(I10198="fora",0%,G10198/QUÓRUM!$C$6)</f>
        <v>#DIV/0!</v>
      </c>
      <c r="I10198" s="87"/>
      <c r="J10198" s="88"/>
      <c r="K10198" s="88"/>
      <c r="L10198" s="89"/>
      <c r="M10198" s="89"/>
      <c r="O10198" s="105"/>
      <c r="P10198" s="105"/>
      <c r="Q10198" s="105"/>
      <c r="R10198" s="106"/>
      <c r="S10198" s="127"/>
      <c r="T10198" s="107"/>
    </row>
    <row r="10199" spans="1:20" x14ac:dyDescent="0.3">
      <c r="A10199" s="101"/>
      <c r="B10199" s="102"/>
      <c r="C10199" s="87"/>
      <c r="D10199" s="103"/>
      <c r="F10199" s="101"/>
      <c r="G10199" s="104"/>
      <c r="H10199" s="86" t="e">
        <f>IF(I10199="fora",0%,G10199/QUÓRUM!$C$6)</f>
        <v>#DIV/0!</v>
      </c>
      <c r="I10199" s="87"/>
      <c r="J10199" s="88"/>
      <c r="K10199" s="88"/>
      <c r="L10199" s="89"/>
      <c r="M10199" s="89"/>
      <c r="O10199" s="105"/>
      <c r="P10199" s="105"/>
      <c r="Q10199" s="105"/>
      <c r="R10199" s="106"/>
      <c r="S10199" s="127"/>
      <c r="T10199" s="107"/>
    </row>
    <row r="10200" spans="1:20" x14ac:dyDescent="0.3">
      <c r="A10200" s="101"/>
      <c r="B10200" s="102"/>
      <c r="C10200" s="87"/>
      <c r="D10200" s="103"/>
      <c r="F10200" s="101"/>
      <c r="G10200" s="104"/>
      <c r="H10200" s="86" t="e">
        <f>IF(I10200="fora",0%,G10200/QUÓRUM!$C$6)</f>
        <v>#DIV/0!</v>
      </c>
      <c r="I10200" s="87"/>
      <c r="J10200" s="88"/>
      <c r="K10200" s="88"/>
      <c r="L10200" s="89"/>
      <c r="M10200" s="89"/>
      <c r="O10200" s="105"/>
      <c r="P10200" s="105"/>
      <c r="Q10200" s="105"/>
      <c r="R10200" s="106"/>
      <c r="S10200" s="127"/>
      <c r="T10200" s="107"/>
    </row>
    <row r="10201" spans="1:20" x14ac:dyDescent="0.3">
      <c r="A10201" s="101"/>
      <c r="B10201" s="102"/>
      <c r="C10201" s="87"/>
      <c r="D10201" s="103"/>
      <c r="F10201" s="101"/>
      <c r="G10201" s="104"/>
      <c r="H10201" s="86" t="e">
        <f>IF(I10201="fora",0%,G10201/QUÓRUM!$C$6)</f>
        <v>#DIV/0!</v>
      </c>
      <c r="I10201" s="87"/>
      <c r="J10201" s="88"/>
      <c r="K10201" s="88"/>
      <c r="L10201" s="89"/>
      <c r="M10201" s="89"/>
      <c r="O10201" s="105"/>
      <c r="P10201" s="105"/>
      <c r="Q10201" s="105"/>
      <c r="R10201" s="106"/>
      <c r="S10201" s="127"/>
      <c r="T10201" s="107"/>
    </row>
    <row r="10202" spans="1:20" x14ac:dyDescent="0.3">
      <c r="A10202" s="101"/>
      <c r="B10202" s="102"/>
      <c r="C10202" s="87"/>
      <c r="D10202" s="103"/>
      <c r="F10202" s="101"/>
      <c r="G10202" s="109"/>
      <c r="H10202" s="86" t="e">
        <f>IF(I10202="fora",0%,G10202/QUÓRUM!$C$6)</f>
        <v>#DIV/0!</v>
      </c>
      <c r="I10202" s="87"/>
      <c r="J10202" s="88"/>
      <c r="K10202" s="88"/>
      <c r="L10202" s="89"/>
      <c r="M10202" s="89"/>
      <c r="O10202" s="105"/>
      <c r="P10202" s="105"/>
      <c r="Q10202" s="105"/>
      <c r="R10202" s="106"/>
      <c r="S10202" s="127"/>
      <c r="T10202" s="107"/>
    </row>
    <row r="10203" spans="1:20" x14ac:dyDescent="0.3">
      <c r="A10203" s="101"/>
      <c r="B10203" s="102"/>
      <c r="C10203" s="87"/>
      <c r="D10203" s="103"/>
      <c r="F10203" s="101"/>
      <c r="G10203" s="104"/>
      <c r="H10203" s="86" t="e">
        <f>IF(I10203="fora",0%,G10203/QUÓRUM!$C$6)</f>
        <v>#DIV/0!</v>
      </c>
      <c r="I10203" s="87"/>
      <c r="J10203" s="88"/>
      <c r="K10203" s="88"/>
      <c r="L10203" s="89"/>
      <c r="M10203" s="89"/>
      <c r="O10203" s="105"/>
      <c r="P10203" s="105"/>
      <c r="Q10203" s="105"/>
      <c r="R10203" s="106"/>
      <c r="S10203" s="127"/>
      <c r="T10203" s="107"/>
    </row>
    <row r="10204" spans="1:20" x14ac:dyDescent="0.3">
      <c r="A10204" s="101"/>
      <c r="B10204" s="102"/>
      <c r="C10204" s="87"/>
      <c r="D10204" s="103"/>
      <c r="F10204" s="101"/>
      <c r="G10204" s="104"/>
      <c r="H10204" s="86" t="e">
        <f>IF(I10204="fora",0%,G10204/QUÓRUM!$C$6)</f>
        <v>#DIV/0!</v>
      </c>
      <c r="I10204" s="87"/>
      <c r="J10204" s="88"/>
      <c r="K10204" s="88"/>
      <c r="L10204" s="89"/>
      <c r="M10204" s="89"/>
      <c r="O10204" s="105"/>
      <c r="P10204" s="105"/>
      <c r="Q10204" s="105"/>
      <c r="R10204" s="106"/>
      <c r="S10204" s="127"/>
      <c r="T10204" s="107"/>
    </row>
    <row r="10205" spans="1:20" x14ac:dyDescent="0.3">
      <c r="A10205" s="101"/>
      <c r="B10205" s="102"/>
      <c r="C10205" s="87"/>
      <c r="D10205" s="103"/>
      <c r="F10205" s="101"/>
      <c r="G10205" s="104"/>
      <c r="H10205" s="86" t="e">
        <f>IF(I10205="fora",0%,G10205/QUÓRUM!$C$6)</f>
        <v>#DIV/0!</v>
      </c>
      <c r="I10205" s="87"/>
      <c r="J10205" s="88"/>
      <c r="K10205" s="88"/>
      <c r="L10205" s="89"/>
      <c r="M10205" s="89"/>
      <c r="O10205" s="105"/>
      <c r="P10205" s="105"/>
      <c r="Q10205" s="105"/>
      <c r="R10205" s="106"/>
      <c r="S10205" s="127"/>
      <c r="T10205" s="107"/>
    </row>
    <row r="10206" spans="1:20" x14ac:dyDescent="0.3">
      <c r="A10206" s="101"/>
      <c r="B10206" s="102"/>
      <c r="C10206" s="87"/>
      <c r="D10206" s="103"/>
      <c r="F10206" s="101"/>
      <c r="G10206" s="104"/>
      <c r="H10206" s="86" t="e">
        <f>IF(I10206="fora",0%,G10206/QUÓRUM!$C$6)</f>
        <v>#DIV/0!</v>
      </c>
      <c r="I10206" s="87"/>
      <c r="J10206" s="88"/>
      <c r="K10206" s="88"/>
      <c r="L10206" s="89"/>
      <c r="M10206" s="89"/>
      <c r="O10206" s="105"/>
      <c r="P10206" s="105"/>
      <c r="Q10206" s="105"/>
      <c r="R10206" s="106"/>
      <c r="S10206" s="127"/>
      <c r="T10206" s="107"/>
    </row>
    <row r="10207" spans="1:20" x14ac:dyDescent="0.3">
      <c r="A10207" s="101"/>
      <c r="B10207" s="102"/>
      <c r="C10207" s="87"/>
      <c r="D10207" s="103"/>
      <c r="F10207" s="101"/>
      <c r="G10207" s="104"/>
      <c r="H10207" s="86" t="e">
        <f>IF(I10207="fora",0%,G10207/QUÓRUM!$C$6)</f>
        <v>#DIV/0!</v>
      </c>
      <c r="I10207" s="87"/>
      <c r="J10207" s="88"/>
      <c r="K10207" s="88"/>
      <c r="L10207" s="89"/>
      <c r="M10207" s="89"/>
      <c r="O10207" s="105"/>
      <c r="P10207" s="105"/>
      <c r="Q10207" s="105"/>
      <c r="R10207" s="106"/>
      <c r="S10207" s="127"/>
      <c r="T10207" s="107"/>
    </row>
    <row r="10208" spans="1:20" x14ac:dyDescent="0.3">
      <c r="A10208" s="101"/>
      <c r="B10208" s="102"/>
      <c r="C10208" s="87"/>
      <c r="D10208" s="103"/>
      <c r="F10208" s="101"/>
      <c r="G10208" s="104"/>
      <c r="H10208" s="86" t="e">
        <f>IF(I10208="fora",0%,G10208/QUÓRUM!$C$6)</f>
        <v>#DIV/0!</v>
      </c>
      <c r="I10208" s="87"/>
      <c r="J10208" s="88"/>
      <c r="K10208" s="88"/>
      <c r="L10208" s="89"/>
      <c r="M10208" s="89"/>
      <c r="O10208" s="105"/>
      <c r="P10208" s="105"/>
      <c r="Q10208" s="105"/>
      <c r="R10208" s="106"/>
      <c r="S10208" s="127"/>
      <c r="T10208" s="107"/>
    </row>
    <row r="10209" spans="1:20" x14ac:dyDescent="0.3">
      <c r="A10209" s="101"/>
      <c r="B10209" s="102"/>
      <c r="C10209" s="87"/>
      <c r="D10209" s="103"/>
      <c r="F10209" s="101"/>
      <c r="G10209" s="104"/>
      <c r="H10209" s="86" t="e">
        <f>IF(I10209="fora",0%,G10209/QUÓRUM!$C$6)</f>
        <v>#DIV/0!</v>
      </c>
      <c r="I10209" s="87"/>
      <c r="J10209" s="88"/>
      <c r="K10209" s="88"/>
      <c r="L10209" s="89"/>
      <c r="M10209" s="89"/>
      <c r="O10209" s="105"/>
      <c r="P10209" s="105"/>
      <c r="Q10209" s="105"/>
      <c r="R10209" s="106"/>
      <c r="S10209" s="127"/>
      <c r="T10209" s="107"/>
    </row>
    <row r="10210" spans="1:20" x14ac:dyDescent="0.3">
      <c r="A10210" s="101"/>
      <c r="B10210" s="102"/>
      <c r="C10210" s="87"/>
      <c r="D10210" s="103"/>
      <c r="F10210" s="101"/>
      <c r="G10210" s="104"/>
      <c r="H10210" s="86" t="e">
        <f>IF(I10210="fora",0%,G10210/QUÓRUM!$C$6)</f>
        <v>#DIV/0!</v>
      </c>
      <c r="I10210" s="87"/>
      <c r="J10210" s="88"/>
      <c r="K10210" s="88"/>
      <c r="L10210" s="89"/>
      <c r="M10210" s="89"/>
      <c r="O10210" s="105"/>
      <c r="P10210" s="105"/>
      <c r="Q10210" s="105"/>
      <c r="R10210" s="106"/>
      <c r="S10210" s="127"/>
      <c r="T10210" s="107"/>
    </row>
    <row r="10211" spans="1:20" x14ac:dyDescent="0.3">
      <c r="A10211" s="101"/>
      <c r="B10211" s="102"/>
      <c r="C10211" s="87"/>
      <c r="D10211" s="103"/>
      <c r="F10211" s="101"/>
      <c r="G10211" s="104"/>
      <c r="H10211" s="86" t="e">
        <f>IF(I10211="fora",0%,G10211/QUÓRUM!$C$6)</f>
        <v>#DIV/0!</v>
      </c>
      <c r="I10211" s="87"/>
      <c r="J10211" s="88"/>
      <c r="K10211" s="88"/>
      <c r="L10211" s="89"/>
      <c r="M10211" s="89"/>
      <c r="O10211" s="105"/>
      <c r="P10211" s="105"/>
      <c r="Q10211" s="105"/>
      <c r="R10211" s="106"/>
      <c r="S10211" s="127"/>
      <c r="T10211" s="107"/>
    </row>
    <row r="10212" spans="1:20" x14ac:dyDescent="0.3">
      <c r="A10212" s="101"/>
      <c r="B10212" s="102"/>
      <c r="C10212" s="87"/>
      <c r="D10212" s="103"/>
      <c r="F10212" s="101"/>
      <c r="G10212" s="104"/>
      <c r="H10212" s="86" t="e">
        <f>IF(I10212="fora",0%,G10212/QUÓRUM!$C$6)</f>
        <v>#DIV/0!</v>
      </c>
      <c r="I10212" s="87"/>
      <c r="J10212" s="88"/>
      <c r="K10212" s="88"/>
      <c r="L10212" s="89"/>
      <c r="M10212" s="89"/>
      <c r="O10212" s="105"/>
      <c r="P10212" s="105"/>
      <c r="Q10212" s="105"/>
      <c r="R10212" s="106"/>
      <c r="S10212" s="127"/>
      <c r="T10212" s="107"/>
    </row>
    <row r="10213" spans="1:20" x14ac:dyDescent="0.3">
      <c r="A10213" s="101"/>
      <c r="B10213" s="102"/>
      <c r="C10213" s="87"/>
      <c r="D10213" s="103"/>
      <c r="F10213" s="101"/>
      <c r="G10213" s="109"/>
      <c r="H10213" s="86" t="e">
        <f>IF(I10213="fora",0%,G10213/QUÓRUM!$C$6)</f>
        <v>#DIV/0!</v>
      </c>
      <c r="I10213" s="87"/>
      <c r="J10213" s="88"/>
      <c r="K10213" s="88"/>
      <c r="L10213" s="89"/>
      <c r="M10213" s="89"/>
      <c r="O10213" s="105"/>
      <c r="P10213" s="105"/>
      <c r="Q10213" s="105"/>
      <c r="R10213" s="106"/>
      <c r="S10213" s="127"/>
      <c r="T10213" s="107"/>
    </row>
    <row r="10214" spans="1:20" x14ac:dyDescent="0.3">
      <c r="A10214" s="101"/>
      <c r="B10214" s="102"/>
      <c r="C10214" s="87"/>
      <c r="D10214" s="103"/>
      <c r="F10214" s="101"/>
      <c r="G10214" s="104"/>
      <c r="H10214" s="86" t="e">
        <f>IF(I10214="fora",0%,G10214/QUÓRUM!$C$6)</f>
        <v>#DIV/0!</v>
      </c>
      <c r="I10214" s="87"/>
      <c r="J10214" s="88"/>
      <c r="K10214" s="88"/>
      <c r="L10214" s="89"/>
      <c r="M10214" s="89"/>
      <c r="O10214" s="105"/>
      <c r="P10214" s="105"/>
      <c r="Q10214" s="105"/>
      <c r="R10214" s="106"/>
      <c r="S10214" s="127"/>
      <c r="T10214" s="107"/>
    </row>
    <row r="10215" spans="1:20" x14ac:dyDescent="0.3">
      <c r="A10215" s="101"/>
      <c r="B10215" s="102"/>
      <c r="C10215" s="87"/>
      <c r="D10215" s="103"/>
      <c r="F10215" s="101"/>
      <c r="G10215" s="104"/>
      <c r="H10215" s="86" t="e">
        <f>IF(I10215="fora",0%,G10215/QUÓRUM!$C$6)</f>
        <v>#DIV/0!</v>
      </c>
      <c r="I10215" s="87"/>
      <c r="J10215" s="88"/>
      <c r="K10215" s="88"/>
      <c r="L10215" s="89"/>
      <c r="M10215" s="89"/>
      <c r="O10215" s="105"/>
      <c r="P10215" s="105"/>
      <c r="Q10215" s="105"/>
      <c r="R10215" s="106"/>
      <c r="S10215" s="127"/>
      <c r="T10215" s="107"/>
    </row>
    <row r="10216" spans="1:20" x14ac:dyDescent="0.3">
      <c r="A10216" s="101"/>
      <c r="B10216" s="102"/>
      <c r="C10216" s="87"/>
      <c r="D10216" s="103"/>
      <c r="F10216" s="101"/>
      <c r="G10216" s="104"/>
      <c r="H10216" s="86" t="e">
        <f>IF(I10216="fora",0%,G10216/QUÓRUM!$C$6)</f>
        <v>#DIV/0!</v>
      </c>
      <c r="I10216" s="87"/>
      <c r="J10216" s="88"/>
      <c r="K10216" s="88"/>
      <c r="L10216" s="89"/>
      <c r="M10216" s="89"/>
      <c r="O10216" s="105"/>
      <c r="P10216" s="105"/>
      <c r="Q10216" s="105"/>
      <c r="R10216" s="106"/>
      <c r="S10216" s="127"/>
      <c r="T10216" s="107"/>
    </row>
    <row r="10217" spans="1:20" x14ac:dyDescent="0.3">
      <c r="A10217" s="101"/>
      <c r="B10217" s="102"/>
      <c r="C10217" s="87"/>
      <c r="D10217" s="103"/>
      <c r="F10217" s="101"/>
      <c r="G10217" s="104"/>
      <c r="H10217" s="86" t="e">
        <f>IF(I10217="fora",0%,G10217/QUÓRUM!$C$6)</f>
        <v>#DIV/0!</v>
      </c>
      <c r="I10217" s="87"/>
      <c r="J10217" s="88"/>
      <c r="K10217" s="88"/>
      <c r="L10217" s="89"/>
      <c r="M10217" s="89"/>
      <c r="O10217" s="105"/>
      <c r="P10217" s="105"/>
      <c r="Q10217" s="105"/>
      <c r="R10217" s="106"/>
      <c r="S10217" s="127"/>
      <c r="T10217" s="107"/>
    </row>
    <row r="10218" spans="1:20" x14ac:dyDescent="0.3">
      <c r="A10218" s="101"/>
      <c r="B10218" s="102"/>
      <c r="C10218" s="87"/>
      <c r="D10218" s="103"/>
      <c r="F10218" s="101"/>
      <c r="G10218" s="104"/>
      <c r="H10218" s="86" t="e">
        <f>IF(I10218="fora",0%,G10218/QUÓRUM!$C$6)</f>
        <v>#DIV/0!</v>
      </c>
      <c r="I10218" s="87"/>
      <c r="J10218" s="88"/>
      <c r="K10218" s="88"/>
      <c r="L10218" s="89"/>
      <c r="M10218" s="89"/>
      <c r="O10218" s="105"/>
      <c r="P10218" s="105"/>
      <c r="Q10218" s="105"/>
      <c r="R10218" s="106"/>
      <c r="S10218" s="127"/>
      <c r="T10218" s="107"/>
    </row>
    <row r="10219" spans="1:20" x14ac:dyDescent="0.3">
      <c r="A10219" s="101"/>
      <c r="B10219" s="102"/>
      <c r="C10219" s="87"/>
      <c r="D10219" s="103"/>
      <c r="F10219" s="101"/>
      <c r="G10219" s="104"/>
      <c r="H10219" s="86" t="e">
        <f>IF(I10219="fora",0%,G10219/QUÓRUM!$C$6)</f>
        <v>#DIV/0!</v>
      </c>
      <c r="I10219" s="87"/>
      <c r="J10219" s="88"/>
      <c r="K10219" s="88"/>
      <c r="L10219" s="89"/>
      <c r="M10219" s="89"/>
      <c r="O10219" s="105"/>
      <c r="P10219" s="105"/>
      <c r="Q10219" s="105"/>
      <c r="R10219" s="106"/>
      <c r="S10219" s="127"/>
      <c r="T10219" s="107"/>
    </row>
    <row r="10220" spans="1:20" x14ac:dyDescent="0.3">
      <c r="A10220" s="101"/>
      <c r="B10220" s="102"/>
      <c r="C10220" s="87"/>
      <c r="D10220" s="103"/>
      <c r="F10220" s="101"/>
      <c r="G10220" s="104"/>
      <c r="H10220" s="86" t="e">
        <f>IF(I10220="fora",0%,G10220/QUÓRUM!$C$6)</f>
        <v>#DIV/0!</v>
      </c>
      <c r="I10220" s="87"/>
      <c r="J10220" s="88"/>
      <c r="K10220" s="88"/>
      <c r="L10220" s="89"/>
      <c r="M10220" s="89"/>
      <c r="O10220" s="105"/>
      <c r="P10220" s="105"/>
      <c r="Q10220" s="105"/>
      <c r="R10220" s="106"/>
      <c r="S10220" s="127"/>
      <c r="T10220" s="107"/>
    </row>
    <row r="10221" spans="1:20" x14ac:dyDescent="0.3">
      <c r="A10221" s="101"/>
      <c r="B10221" s="102"/>
      <c r="C10221" s="87"/>
      <c r="D10221" s="103"/>
      <c r="F10221" s="101"/>
      <c r="G10221" s="104"/>
      <c r="H10221" s="86" t="e">
        <f>IF(I10221="fora",0%,G10221/QUÓRUM!$C$6)</f>
        <v>#DIV/0!</v>
      </c>
      <c r="I10221" s="87"/>
      <c r="J10221" s="88"/>
      <c r="K10221" s="88"/>
      <c r="L10221" s="89"/>
      <c r="M10221" s="89"/>
      <c r="O10221" s="105"/>
      <c r="P10221" s="105"/>
      <c r="Q10221" s="105"/>
      <c r="R10221" s="106"/>
      <c r="S10221" s="127"/>
      <c r="T10221" s="107"/>
    </row>
    <row r="10222" spans="1:20" x14ac:dyDescent="0.3">
      <c r="A10222" s="101"/>
      <c r="B10222" s="102"/>
      <c r="C10222" s="87"/>
      <c r="D10222" s="103"/>
      <c r="F10222" s="101"/>
      <c r="G10222" s="104"/>
      <c r="H10222" s="86" t="e">
        <f>IF(I10222="fora",0%,G10222/QUÓRUM!$C$6)</f>
        <v>#DIV/0!</v>
      </c>
      <c r="I10222" s="87"/>
      <c r="J10222" s="88"/>
      <c r="K10222" s="88"/>
      <c r="L10222" s="89"/>
      <c r="M10222" s="89"/>
      <c r="O10222" s="105"/>
      <c r="P10222" s="105"/>
      <c r="Q10222" s="105"/>
      <c r="R10222" s="106"/>
      <c r="S10222" s="127"/>
      <c r="T10222" s="107"/>
    </row>
    <row r="10223" spans="1:20" x14ac:dyDescent="0.3">
      <c r="A10223" s="101"/>
      <c r="B10223" s="102"/>
      <c r="C10223" s="87"/>
      <c r="D10223" s="103"/>
      <c r="F10223" s="101"/>
      <c r="G10223" s="104"/>
      <c r="H10223" s="86" t="e">
        <f>IF(I10223="fora",0%,G10223/QUÓRUM!$C$6)</f>
        <v>#DIV/0!</v>
      </c>
      <c r="I10223" s="87"/>
      <c r="J10223" s="88"/>
      <c r="K10223" s="88"/>
      <c r="L10223" s="89"/>
      <c r="M10223" s="89"/>
      <c r="O10223" s="105"/>
      <c r="P10223" s="105"/>
      <c r="Q10223" s="105"/>
      <c r="R10223" s="106"/>
      <c r="S10223" s="127"/>
      <c r="T10223" s="107"/>
    </row>
    <row r="10224" spans="1:20" x14ac:dyDescent="0.3">
      <c r="A10224" s="101"/>
      <c r="B10224" s="102"/>
      <c r="C10224" s="87"/>
      <c r="D10224" s="103"/>
      <c r="F10224" s="101"/>
      <c r="G10224" s="104"/>
      <c r="H10224" s="86" t="e">
        <f>IF(I10224="fora",0%,G10224/QUÓRUM!$C$6)</f>
        <v>#DIV/0!</v>
      </c>
      <c r="I10224" s="87"/>
      <c r="J10224" s="88"/>
      <c r="K10224" s="88"/>
      <c r="L10224" s="89"/>
      <c r="M10224" s="89"/>
      <c r="O10224" s="105"/>
      <c r="P10224" s="105"/>
      <c r="Q10224" s="105"/>
      <c r="R10224" s="106"/>
      <c r="S10224" s="127"/>
      <c r="T10224" s="107"/>
    </row>
    <row r="10225" spans="1:20" x14ac:dyDescent="0.3">
      <c r="A10225" s="101"/>
      <c r="B10225" s="102"/>
      <c r="C10225" s="87"/>
      <c r="D10225" s="103"/>
      <c r="F10225" s="101"/>
      <c r="G10225" s="104"/>
      <c r="H10225" s="86" t="e">
        <f>IF(I10225="fora",0%,G10225/QUÓRUM!$C$6)</f>
        <v>#DIV/0!</v>
      </c>
      <c r="I10225" s="87"/>
      <c r="J10225" s="88"/>
      <c r="K10225" s="88"/>
      <c r="L10225" s="89"/>
      <c r="M10225" s="89"/>
      <c r="O10225" s="105"/>
      <c r="P10225" s="105"/>
      <c r="Q10225" s="105"/>
      <c r="R10225" s="106"/>
      <c r="S10225" s="127"/>
      <c r="T10225" s="107"/>
    </row>
    <row r="10226" spans="1:20" x14ac:dyDescent="0.3">
      <c r="A10226" s="101"/>
      <c r="B10226" s="102"/>
      <c r="C10226" s="87"/>
      <c r="D10226" s="103"/>
      <c r="F10226" s="101"/>
      <c r="G10226" s="104"/>
      <c r="H10226" s="86" t="e">
        <f>IF(I10226="fora",0%,G10226/QUÓRUM!$C$6)</f>
        <v>#DIV/0!</v>
      </c>
      <c r="I10226" s="87"/>
      <c r="J10226" s="88"/>
      <c r="K10226" s="88"/>
      <c r="L10226" s="89"/>
      <c r="M10226" s="89"/>
      <c r="O10226" s="105"/>
      <c r="P10226" s="105"/>
      <c r="Q10226" s="105"/>
      <c r="R10226" s="106"/>
      <c r="S10226" s="127"/>
      <c r="T10226" s="107"/>
    </row>
    <row r="10227" spans="1:20" x14ac:dyDescent="0.3">
      <c r="A10227" s="101"/>
      <c r="B10227" s="102"/>
      <c r="C10227" s="87"/>
      <c r="D10227" s="103"/>
      <c r="F10227" s="101"/>
      <c r="G10227" s="104"/>
      <c r="H10227" s="86" t="e">
        <f>IF(I10227="fora",0%,G10227/QUÓRUM!$C$6)</f>
        <v>#DIV/0!</v>
      </c>
      <c r="I10227" s="87"/>
      <c r="J10227" s="88"/>
      <c r="K10227" s="88"/>
      <c r="L10227" s="89"/>
      <c r="M10227" s="89"/>
      <c r="O10227" s="105"/>
      <c r="P10227" s="105"/>
      <c r="Q10227" s="105"/>
      <c r="R10227" s="106"/>
      <c r="S10227" s="127"/>
      <c r="T10227" s="107"/>
    </row>
    <row r="10228" spans="1:20" x14ac:dyDescent="0.3">
      <c r="A10228" s="101"/>
      <c r="B10228" s="102"/>
      <c r="C10228" s="87"/>
      <c r="D10228" s="103"/>
      <c r="F10228" s="101"/>
      <c r="G10228" s="104"/>
      <c r="H10228" s="86" t="e">
        <f>IF(I10228="fora",0%,G10228/QUÓRUM!$C$6)</f>
        <v>#DIV/0!</v>
      </c>
      <c r="I10228" s="87"/>
      <c r="J10228" s="88"/>
      <c r="K10228" s="88"/>
      <c r="L10228" s="89"/>
      <c r="M10228" s="89"/>
      <c r="O10228" s="105"/>
      <c r="P10228" s="105"/>
      <c r="Q10228" s="105"/>
      <c r="R10228" s="106"/>
      <c r="S10228" s="127"/>
      <c r="T10228" s="107"/>
    </row>
    <row r="10229" spans="1:20" x14ac:dyDescent="0.3">
      <c r="A10229" s="101"/>
      <c r="B10229" s="102"/>
      <c r="C10229" s="87"/>
      <c r="D10229" s="103"/>
      <c r="F10229" s="101"/>
      <c r="G10229" s="104"/>
      <c r="H10229" s="86" t="e">
        <f>IF(I10229="fora",0%,G10229/QUÓRUM!$C$6)</f>
        <v>#DIV/0!</v>
      </c>
      <c r="I10229" s="87"/>
      <c r="J10229" s="88"/>
      <c r="K10229" s="88"/>
      <c r="L10229" s="89"/>
      <c r="M10229" s="89"/>
      <c r="O10229" s="105"/>
      <c r="P10229" s="105"/>
      <c r="Q10229" s="105"/>
      <c r="R10229" s="106"/>
      <c r="S10229" s="127"/>
      <c r="T10229" s="107"/>
    </row>
    <row r="10230" spans="1:20" x14ac:dyDescent="0.3">
      <c r="A10230" s="101"/>
      <c r="B10230" s="102"/>
      <c r="C10230" s="87"/>
      <c r="D10230" s="103"/>
      <c r="F10230" s="101"/>
      <c r="G10230" s="104"/>
      <c r="H10230" s="86" t="e">
        <f>IF(I10230="fora",0%,G10230/QUÓRUM!$C$6)</f>
        <v>#DIV/0!</v>
      </c>
      <c r="I10230" s="87"/>
      <c r="J10230" s="88"/>
      <c r="K10230" s="88"/>
      <c r="L10230" s="89"/>
      <c r="M10230" s="89"/>
      <c r="O10230" s="105"/>
      <c r="P10230" s="105"/>
      <c r="Q10230" s="105"/>
      <c r="R10230" s="106"/>
      <c r="S10230" s="127"/>
      <c r="T10230" s="107"/>
    </row>
    <row r="10231" spans="1:20" x14ac:dyDescent="0.3">
      <c r="A10231" s="101"/>
      <c r="B10231" s="102"/>
      <c r="C10231" s="87"/>
      <c r="D10231" s="103"/>
      <c r="F10231" s="101"/>
      <c r="G10231" s="104"/>
      <c r="H10231" s="86" t="e">
        <f>IF(I10231="fora",0%,G10231/QUÓRUM!$C$6)</f>
        <v>#DIV/0!</v>
      </c>
      <c r="I10231" s="87"/>
      <c r="J10231" s="88"/>
      <c r="K10231" s="88"/>
      <c r="L10231" s="89"/>
      <c r="M10231" s="89"/>
      <c r="O10231" s="105"/>
      <c r="P10231" s="105"/>
      <c r="Q10231" s="105"/>
      <c r="R10231" s="106"/>
      <c r="S10231" s="127"/>
      <c r="T10231" s="107"/>
    </row>
    <row r="10232" spans="1:20" x14ac:dyDescent="0.3">
      <c r="A10232" s="101"/>
      <c r="B10232" s="102"/>
      <c r="C10232" s="87"/>
      <c r="D10232" s="103"/>
      <c r="F10232" s="101"/>
      <c r="G10232" s="104"/>
      <c r="H10232" s="86" t="e">
        <f>IF(I10232="fora",0%,G10232/QUÓRUM!$C$6)</f>
        <v>#DIV/0!</v>
      </c>
      <c r="I10232" s="87"/>
      <c r="J10232" s="88"/>
      <c r="K10232" s="88"/>
      <c r="L10232" s="89"/>
      <c r="M10232" s="89"/>
      <c r="O10232" s="105"/>
      <c r="P10232" s="105"/>
      <c r="Q10232" s="105"/>
      <c r="R10232" s="106"/>
      <c r="S10232" s="127"/>
      <c r="T10232" s="107"/>
    </row>
    <row r="10233" spans="1:20" x14ac:dyDescent="0.3">
      <c r="A10233" s="101"/>
      <c r="B10233" s="102"/>
      <c r="C10233" s="87"/>
      <c r="D10233" s="103"/>
      <c r="F10233" s="101"/>
      <c r="G10233" s="104"/>
      <c r="H10233" s="86" t="e">
        <f>IF(I10233="fora",0%,G10233/QUÓRUM!$C$6)</f>
        <v>#DIV/0!</v>
      </c>
      <c r="I10233" s="87"/>
      <c r="J10233" s="88"/>
      <c r="K10233" s="88"/>
      <c r="L10233" s="89"/>
      <c r="M10233" s="89"/>
      <c r="O10233" s="105"/>
      <c r="P10233" s="105"/>
      <c r="Q10233" s="105"/>
      <c r="R10233" s="106"/>
      <c r="S10233" s="127"/>
      <c r="T10233" s="107"/>
    </row>
    <row r="10234" spans="1:20" x14ac:dyDescent="0.3">
      <c r="A10234" s="101"/>
      <c r="B10234" s="102"/>
      <c r="C10234" s="87"/>
      <c r="D10234" s="103"/>
      <c r="F10234" s="101"/>
      <c r="G10234" s="104"/>
      <c r="H10234" s="86" t="e">
        <f>IF(I10234="fora",0%,G10234/QUÓRUM!$C$6)</f>
        <v>#DIV/0!</v>
      </c>
      <c r="I10234" s="87"/>
      <c r="J10234" s="88"/>
      <c r="K10234" s="88"/>
      <c r="L10234" s="89"/>
      <c r="M10234" s="89"/>
      <c r="O10234" s="105"/>
      <c r="P10234" s="105"/>
      <c r="Q10234" s="105"/>
      <c r="R10234" s="106"/>
      <c r="S10234" s="127"/>
      <c r="T10234" s="107"/>
    </row>
    <row r="10235" spans="1:20" x14ac:dyDescent="0.3">
      <c r="A10235" s="101"/>
      <c r="B10235" s="102"/>
      <c r="C10235" s="87"/>
      <c r="D10235" s="103"/>
      <c r="F10235" s="101"/>
      <c r="G10235" s="104"/>
      <c r="H10235" s="86" t="e">
        <f>IF(I10235="fora",0%,G10235/QUÓRUM!$C$6)</f>
        <v>#DIV/0!</v>
      </c>
      <c r="I10235" s="87"/>
      <c r="J10235" s="88"/>
      <c r="K10235" s="88"/>
      <c r="L10235" s="89"/>
      <c r="M10235" s="89"/>
      <c r="O10235" s="105"/>
      <c r="P10235" s="105"/>
      <c r="Q10235" s="105"/>
      <c r="R10235" s="106"/>
      <c r="S10235" s="127"/>
      <c r="T10235" s="107"/>
    </row>
    <row r="10236" spans="1:20" x14ac:dyDescent="0.3">
      <c r="A10236" s="101"/>
      <c r="B10236" s="102"/>
      <c r="C10236" s="87"/>
      <c r="D10236" s="103"/>
      <c r="F10236" s="101"/>
      <c r="G10236" s="104"/>
      <c r="H10236" s="86" t="e">
        <f>IF(I10236="fora",0%,G10236/QUÓRUM!$C$6)</f>
        <v>#DIV/0!</v>
      </c>
      <c r="I10236" s="87"/>
      <c r="J10236" s="88"/>
      <c r="K10236" s="88"/>
      <c r="L10236" s="89"/>
      <c r="M10236" s="89"/>
      <c r="O10236" s="105"/>
      <c r="P10236" s="105"/>
      <c r="Q10236" s="105"/>
      <c r="R10236" s="106"/>
      <c r="S10236" s="127"/>
      <c r="T10236" s="107"/>
    </row>
    <row r="10237" spans="1:20" x14ac:dyDescent="0.3">
      <c r="A10237" s="101"/>
      <c r="B10237" s="102"/>
      <c r="C10237" s="87"/>
      <c r="D10237" s="103"/>
      <c r="F10237" s="101"/>
      <c r="G10237" s="104"/>
      <c r="H10237" s="86" t="e">
        <f>IF(I10237="fora",0%,G10237/QUÓRUM!$C$6)</f>
        <v>#DIV/0!</v>
      </c>
      <c r="I10237" s="87"/>
      <c r="J10237" s="88"/>
      <c r="K10237" s="88"/>
      <c r="L10237" s="89"/>
      <c r="M10237" s="89"/>
      <c r="O10237" s="105"/>
      <c r="P10237" s="105"/>
      <c r="Q10237" s="105"/>
      <c r="R10237" s="106"/>
      <c r="S10237" s="127"/>
      <c r="T10237" s="107"/>
    </row>
    <row r="10238" spans="1:20" x14ac:dyDescent="0.3">
      <c r="A10238" s="101"/>
      <c r="B10238" s="102"/>
      <c r="C10238" s="87"/>
      <c r="D10238" s="103"/>
      <c r="F10238" s="101"/>
      <c r="G10238" s="104"/>
      <c r="H10238" s="86" t="e">
        <f>IF(I10238="fora",0%,G10238/QUÓRUM!$C$6)</f>
        <v>#DIV/0!</v>
      </c>
      <c r="I10238" s="87"/>
      <c r="J10238" s="88"/>
      <c r="K10238" s="88"/>
      <c r="L10238" s="89"/>
      <c r="M10238" s="89"/>
      <c r="O10238" s="105"/>
      <c r="P10238" s="105"/>
      <c r="Q10238" s="105"/>
      <c r="R10238" s="106"/>
      <c r="S10238" s="127"/>
      <c r="T10238" s="107"/>
    </row>
    <row r="10239" spans="1:20" x14ac:dyDescent="0.3">
      <c r="A10239" s="101"/>
      <c r="B10239" s="102"/>
      <c r="C10239" s="87"/>
      <c r="D10239" s="103"/>
      <c r="F10239" s="101"/>
      <c r="G10239" s="104"/>
      <c r="H10239" s="86" t="e">
        <f>IF(I10239="fora",0%,G10239/QUÓRUM!$C$6)</f>
        <v>#DIV/0!</v>
      </c>
      <c r="I10239" s="87"/>
      <c r="J10239" s="88"/>
      <c r="K10239" s="88"/>
      <c r="L10239" s="89"/>
      <c r="M10239" s="89"/>
      <c r="O10239" s="105"/>
      <c r="P10239" s="105"/>
      <c r="Q10239" s="105"/>
      <c r="R10239" s="106"/>
      <c r="S10239" s="127"/>
      <c r="T10239" s="107"/>
    </row>
    <row r="10240" spans="1:20" x14ac:dyDescent="0.3">
      <c r="A10240" s="101"/>
      <c r="B10240" s="102"/>
      <c r="C10240" s="87"/>
      <c r="D10240" s="103"/>
      <c r="F10240" s="101"/>
      <c r="G10240" s="104"/>
      <c r="H10240" s="86" t="e">
        <f>IF(I10240="fora",0%,G10240/QUÓRUM!$C$6)</f>
        <v>#DIV/0!</v>
      </c>
      <c r="I10240" s="87"/>
      <c r="J10240" s="88"/>
      <c r="K10240" s="88"/>
      <c r="L10240" s="89"/>
      <c r="M10240" s="89"/>
      <c r="O10240" s="105"/>
      <c r="P10240" s="105"/>
      <c r="Q10240" s="105"/>
      <c r="R10240" s="106"/>
      <c r="S10240" s="127"/>
      <c r="T10240" s="107"/>
    </row>
    <row r="10241" spans="1:20" x14ac:dyDescent="0.3">
      <c r="A10241" s="101"/>
      <c r="B10241" s="102"/>
      <c r="C10241" s="87"/>
      <c r="D10241" s="103"/>
      <c r="F10241" s="101"/>
      <c r="G10241" s="104"/>
      <c r="H10241" s="86" t="e">
        <f>IF(I10241="fora",0%,G10241/QUÓRUM!$C$6)</f>
        <v>#DIV/0!</v>
      </c>
      <c r="I10241" s="87"/>
      <c r="J10241" s="88"/>
      <c r="K10241" s="88"/>
      <c r="L10241" s="89"/>
      <c r="M10241" s="89"/>
      <c r="O10241" s="105"/>
      <c r="P10241" s="105"/>
      <c r="Q10241" s="105"/>
      <c r="R10241" s="106"/>
      <c r="S10241" s="127"/>
      <c r="T10241" s="107"/>
    </row>
    <row r="10242" spans="1:20" x14ac:dyDescent="0.3">
      <c r="A10242" s="101"/>
      <c r="B10242" s="102"/>
      <c r="C10242" s="87"/>
      <c r="D10242" s="103"/>
      <c r="F10242" s="101"/>
      <c r="G10242" s="104"/>
      <c r="H10242" s="86" t="e">
        <f>IF(I10242="fora",0%,G10242/QUÓRUM!$C$6)</f>
        <v>#DIV/0!</v>
      </c>
      <c r="I10242" s="87"/>
      <c r="J10242" s="88"/>
      <c r="K10242" s="88"/>
      <c r="L10242" s="89"/>
      <c r="M10242" s="89"/>
      <c r="O10242" s="105"/>
      <c r="P10242" s="105"/>
      <c r="Q10242" s="105"/>
      <c r="R10242" s="106"/>
      <c r="S10242" s="127"/>
      <c r="T10242" s="107"/>
    </row>
    <row r="10243" spans="1:20" x14ac:dyDescent="0.3">
      <c r="A10243" s="101"/>
      <c r="B10243" s="102"/>
      <c r="C10243" s="87"/>
      <c r="D10243" s="103"/>
      <c r="F10243" s="101"/>
      <c r="G10243" s="104"/>
      <c r="H10243" s="86" t="e">
        <f>IF(I10243="fora",0%,G10243/QUÓRUM!$C$6)</f>
        <v>#DIV/0!</v>
      </c>
      <c r="I10243" s="87"/>
      <c r="J10243" s="88"/>
      <c r="K10243" s="88"/>
      <c r="L10243" s="89"/>
      <c r="M10243" s="89"/>
      <c r="O10243" s="105"/>
      <c r="P10243" s="105"/>
      <c r="Q10243" s="105"/>
      <c r="R10243" s="106"/>
      <c r="S10243" s="127"/>
      <c r="T10243" s="107"/>
    </row>
    <row r="10244" spans="1:20" x14ac:dyDescent="0.3">
      <c r="A10244" s="101"/>
      <c r="B10244" s="102"/>
      <c r="C10244" s="87"/>
      <c r="D10244" s="103"/>
      <c r="F10244" s="101"/>
      <c r="G10244" s="104"/>
      <c r="H10244" s="86" t="e">
        <f>IF(I10244="fora",0%,G10244/QUÓRUM!$C$6)</f>
        <v>#DIV/0!</v>
      </c>
      <c r="I10244" s="87"/>
      <c r="J10244" s="88"/>
      <c r="K10244" s="88"/>
      <c r="L10244" s="89"/>
      <c r="M10244" s="89"/>
      <c r="O10244" s="105"/>
      <c r="P10244" s="105"/>
      <c r="Q10244" s="105"/>
      <c r="R10244" s="106"/>
      <c r="S10244" s="127"/>
      <c r="T10244" s="107"/>
    </row>
    <row r="10245" spans="1:20" x14ac:dyDescent="0.3">
      <c r="A10245" s="101"/>
      <c r="B10245" s="102"/>
      <c r="C10245" s="87"/>
      <c r="D10245" s="103"/>
      <c r="F10245" s="101"/>
      <c r="G10245" s="104"/>
      <c r="H10245" s="86" t="e">
        <f>IF(I10245="fora",0%,G10245/QUÓRUM!$C$6)</f>
        <v>#DIV/0!</v>
      </c>
      <c r="I10245" s="87"/>
      <c r="J10245" s="88"/>
      <c r="K10245" s="88"/>
      <c r="L10245" s="89"/>
      <c r="M10245" s="89"/>
      <c r="O10245" s="105"/>
      <c r="P10245" s="105"/>
      <c r="Q10245" s="105"/>
      <c r="R10245" s="106"/>
      <c r="S10245" s="127"/>
      <c r="T10245" s="107"/>
    </row>
    <row r="10246" spans="1:20" x14ac:dyDescent="0.3">
      <c r="A10246" s="101"/>
      <c r="B10246" s="102"/>
      <c r="C10246" s="87"/>
      <c r="D10246" s="103"/>
      <c r="F10246" s="101"/>
      <c r="G10246" s="104"/>
      <c r="H10246" s="86" t="e">
        <f>IF(I10246="fora",0%,G10246/QUÓRUM!$C$6)</f>
        <v>#DIV/0!</v>
      </c>
      <c r="I10246" s="87"/>
      <c r="J10246" s="88"/>
      <c r="K10246" s="88"/>
      <c r="L10246" s="89"/>
      <c r="M10246" s="89"/>
      <c r="O10246" s="105"/>
      <c r="P10246" s="105"/>
      <c r="Q10246" s="105"/>
      <c r="R10246" s="106"/>
      <c r="S10246" s="127"/>
      <c r="T10246" s="107"/>
    </row>
    <row r="10247" spans="1:20" x14ac:dyDescent="0.3">
      <c r="A10247" s="101"/>
      <c r="B10247" s="102"/>
      <c r="C10247" s="87"/>
      <c r="D10247" s="103"/>
      <c r="F10247" s="101"/>
      <c r="G10247" s="104"/>
      <c r="H10247" s="86" t="e">
        <f>IF(I10247="fora",0%,G10247/QUÓRUM!$C$6)</f>
        <v>#DIV/0!</v>
      </c>
      <c r="I10247" s="87"/>
      <c r="J10247" s="88"/>
      <c r="K10247" s="88"/>
      <c r="L10247" s="89"/>
      <c r="M10247" s="89"/>
      <c r="O10247" s="105"/>
      <c r="P10247" s="105"/>
      <c r="Q10247" s="105"/>
      <c r="R10247" s="106"/>
      <c r="S10247" s="127"/>
      <c r="T10247" s="107"/>
    </row>
    <row r="10248" spans="1:20" x14ac:dyDescent="0.3">
      <c r="A10248" s="101"/>
      <c r="B10248" s="102"/>
      <c r="C10248" s="87"/>
      <c r="D10248" s="103"/>
      <c r="F10248" s="101"/>
      <c r="G10248" s="104"/>
      <c r="H10248" s="86" t="e">
        <f>IF(I10248="fora",0%,G10248/QUÓRUM!$C$6)</f>
        <v>#DIV/0!</v>
      </c>
      <c r="I10248" s="87"/>
      <c r="J10248" s="88"/>
      <c r="K10248" s="88"/>
      <c r="L10248" s="89"/>
      <c r="M10248" s="89"/>
      <c r="O10248" s="105"/>
      <c r="P10248" s="105"/>
      <c r="Q10248" s="105"/>
      <c r="R10248" s="106"/>
      <c r="S10248" s="127"/>
      <c r="T10248" s="107"/>
    </row>
    <row r="10249" spans="1:20" x14ac:dyDescent="0.3">
      <c r="A10249" s="101"/>
      <c r="B10249" s="102"/>
      <c r="C10249" s="87"/>
      <c r="D10249" s="103"/>
      <c r="F10249" s="101"/>
      <c r="G10249" s="104"/>
      <c r="H10249" s="86" t="e">
        <f>IF(I10249="fora",0%,G10249/QUÓRUM!$C$6)</f>
        <v>#DIV/0!</v>
      </c>
      <c r="I10249" s="87"/>
      <c r="J10249" s="88"/>
      <c r="K10249" s="88"/>
      <c r="L10249" s="89"/>
      <c r="M10249" s="89"/>
      <c r="O10249" s="105"/>
      <c r="P10249" s="105"/>
      <c r="Q10249" s="105"/>
      <c r="R10249" s="106"/>
      <c r="S10249" s="127"/>
      <c r="T10249" s="107"/>
    </row>
    <row r="10250" spans="1:20" x14ac:dyDescent="0.3">
      <c r="A10250" s="101"/>
      <c r="B10250" s="102"/>
      <c r="C10250" s="87"/>
      <c r="D10250" s="103"/>
      <c r="F10250" s="101"/>
      <c r="G10250" s="104"/>
      <c r="H10250" s="86" t="e">
        <f>IF(I10250="fora",0%,G10250/QUÓRUM!$C$6)</f>
        <v>#DIV/0!</v>
      </c>
      <c r="I10250" s="87"/>
      <c r="J10250" s="88"/>
      <c r="K10250" s="88"/>
      <c r="L10250" s="89"/>
      <c r="M10250" s="89"/>
      <c r="O10250" s="105"/>
      <c r="P10250" s="105"/>
      <c r="Q10250" s="105"/>
      <c r="R10250" s="106"/>
      <c r="S10250" s="127"/>
      <c r="T10250" s="107"/>
    </row>
    <row r="10251" spans="1:20" x14ac:dyDescent="0.3">
      <c r="A10251" s="101"/>
      <c r="B10251" s="102"/>
      <c r="C10251" s="87"/>
      <c r="D10251" s="103"/>
      <c r="F10251" s="101"/>
      <c r="G10251" s="104"/>
      <c r="H10251" s="86" t="e">
        <f>IF(I10251="fora",0%,G10251/QUÓRUM!$C$6)</f>
        <v>#DIV/0!</v>
      </c>
      <c r="I10251" s="87"/>
      <c r="J10251" s="88"/>
      <c r="K10251" s="88"/>
      <c r="L10251" s="89"/>
      <c r="M10251" s="89"/>
      <c r="O10251" s="105"/>
      <c r="P10251" s="105"/>
      <c r="Q10251" s="105"/>
      <c r="R10251" s="106"/>
      <c r="S10251" s="127"/>
      <c r="T10251" s="107"/>
    </row>
    <row r="10252" spans="1:20" x14ac:dyDescent="0.3">
      <c r="A10252" s="101"/>
      <c r="B10252" s="102"/>
      <c r="C10252" s="87"/>
      <c r="D10252" s="103"/>
      <c r="F10252" s="101"/>
      <c r="G10252" s="104"/>
      <c r="H10252" s="86" t="e">
        <f>IF(I10252="fora",0%,G10252/QUÓRUM!$C$6)</f>
        <v>#DIV/0!</v>
      </c>
      <c r="I10252" s="87"/>
      <c r="J10252" s="88"/>
      <c r="K10252" s="88"/>
      <c r="L10252" s="89"/>
      <c r="M10252" s="89"/>
      <c r="O10252" s="105"/>
      <c r="P10252" s="105"/>
      <c r="Q10252" s="105"/>
      <c r="R10252" s="106"/>
      <c r="S10252" s="127"/>
      <c r="T10252" s="107"/>
    </row>
    <row r="10253" spans="1:20" x14ac:dyDescent="0.3">
      <c r="A10253" s="101"/>
      <c r="B10253" s="102"/>
      <c r="C10253" s="87"/>
      <c r="D10253" s="103"/>
      <c r="F10253" s="101"/>
      <c r="G10253" s="104"/>
      <c r="H10253" s="86" t="e">
        <f>IF(I10253="fora",0%,G10253/QUÓRUM!$C$6)</f>
        <v>#DIV/0!</v>
      </c>
      <c r="I10253" s="87"/>
      <c r="J10253" s="88"/>
      <c r="K10253" s="88"/>
      <c r="L10253" s="89"/>
      <c r="M10253" s="89"/>
      <c r="O10253" s="105"/>
      <c r="P10253" s="105"/>
      <c r="Q10253" s="105"/>
      <c r="R10253" s="106"/>
      <c r="S10253" s="127"/>
      <c r="T10253" s="107"/>
    </row>
    <row r="10254" spans="1:20" x14ac:dyDescent="0.3">
      <c r="A10254" s="101"/>
      <c r="B10254" s="102"/>
      <c r="C10254" s="87"/>
      <c r="D10254" s="103"/>
      <c r="F10254" s="101"/>
      <c r="G10254" s="104"/>
      <c r="H10254" s="86" t="e">
        <f>IF(I10254="fora",0%,G10254/QUÓRUM!$C$6)</f>
        <v>#DIV/0!</v>
      </c>
      <c r="I10254" s="87"/>
      <c r="J10254" s="88"/>
      <c r="K10254" s="88"/>
      <c r="L10254" s="89"/>
      <c r="M10254" s="89"/>
      <c r="O10254" s="105"/>
      <c r="P10254" s="105"/>
      <c r="Q10254" s="105"/>
      <c r="R10254" s="106"/>
      <c r="S10254" s="127"/>
      <c r="T10254" s="107"/>
    </row>
    <row r="10255" spans="1:20" x14ac:dyDescent="0.3">
      <c r="A10255" s="101"/>
      <c r="B10255" s="102"/>
      <c r="C10255" s="87"/>
      <c r="D10255" s="103"/>
      <c r="F10255" s="101"/>
      <c r="G10255" s="104"/>
      <c r="H10255" s="86" t="e">
        <f>IF(I10255="fora",0%,G10255/QUÓRUM!$C$6)</f>
        <v>#DIV/0!</v>
      </c>
      <c r="I10255" s="87"/>
      <c r="J10255" s="88"/>
      <c r="K10255" s="88"/>
      <c r="L10255" s="89"/>
      <c r="M10255" s="89"/>
      <c r="O10255" s="105"/>
      <c r="P10255" s="105"/>
      <c r="Q10255" s="105"/>
      <c r="R10255" s="106"/>
      <c r="S10255" s="127"/>
      <c r="T10255" s="107"/>
    </row>
    <row r="10256" spans="1:20" x14ac:dyDescent="0.3">
      <c r="A10256" s="101"/>
      <c r="B10256" s="102"/>
      <c r="C10256" s="87"/>
      <c r="D10256" s="103"/>
      <c r="F10256" s="101"/>
      <c r="G10256" s="104"/>
      <c r="H10256" s="86" t="e">
        <f>IF(I10256="fora",0%,G10256/QUÓRUM!$C$6)</f>
        <v>#DIV/0!</v>
      </c>
      <c r="I10256" s="87"/>
      <c r="J10256" s="88"/>
      <c r="K10256" s="88"/>
      <c r="L10256" s="89"/>
      <c r="M10256" s="89"/>
      <c r="O10256" s="105"/>
      <c r="P10256" s="105"/>
      <c r="Q10256" s="105"/>
      <c r="R10256" s="106"/>
      <c r="S10256" s="127"/>
      <c r="T10256" s="107"/>
    </row>
    <row r="10257" spans="1:20" x14ac:dyDescent="0.3">
      <c r="A10257" s="101"/>
      <c r="B10257" s="102"/>
      <c r="C10257" s="87"/>
      <c r="D10257" s="103"/>
      <c r="F10257" s="101"/>
      <c r="G10257" s="104"/>
      <c r="H10257" s="86" t="e">
        <f>IF(I10257="fora",0%,G10257/QUÓRUM!$C$6)</f>
        <v>#DIV/0!</v>
      </c>
      <c r="I10257" s="87"/>
      <c r="J10257" s="88"/>
      <c r="K10257" s="88"/>
      <c r="L10257" s="89"/>
      <c r="M10257" s="89"/>
      <c r="O10257" s="105"/>
      <c r="P10257" s="105"/>
      <c r="Q10257" s="105"/>
      <c r="R10257" s="106"/>
      <c r="S10257" s="127"/>
      <c r="T10257" s="107"/>
    </row>
    <row r="10258" spans="1:20" x14ac:dyDescent="0.3">
      <c r="A10258" s="101"/>
      <c r="B10258" s="102"/>
      <c r="C10258" s="87"/>
      <c r="D10258" s="103"/>
      <c r="F10258" s="101"/>
      <c r="G10258" s="104"/>
      <c r="H10258" s="86" t="e">
        <f>IF(I10258="fora",0%,G10258/QUÓRUM!$C$6)</f>
        <v>#DIV/0!</v>
      </c>
      <c r="I10258" s="87"/>
      <c r="J10258" s="88"/>
      <c r="K10258" s="88"/>
      <c r="L10258" s="89"/>
      <c r="M10258" s="89"/>
      <c r="O10258" s="105"/>
      <c r="P10258" s="105"/>
      <c r="Q10258" s="105"/>
      <c r="R10258" s="106"/>
      <c r="S10258" s="127"/>
      <c r="T10258" s="107"/>
    </row>
    <row r="10259" spans="1:20" x14ac:dyDescent="0.3">
      <c r="A10259" s="101"/>
      <c r="B10259" s="102"/>
      <c r="C10259" s="87"/>
      <c r="D10259" s="103"/>
      <c r="F10259" s="101"/>
      <c r="G10259" s="104"/>
      <c r="H10259" s="86" t="e">
        <f>IF(I10259="fora",0%,G10259/QUÓRUM!$C$6)</f>
        <v>#DIV/0!</v>
      </c>
      <c r="I10259" s="87"/>
      <c r="J10259" s="88"/>
      <c r="K10259" s="88"/>
      <c r="L10259" s="89"/>
      <c r="M10259" s="89"/>
      <c r="O10259" s="105"/>
      <c r="P10259" s="105"/>
      <c r="Q10259" s="105"/>
      <c r="R10259" s="106"/>
      <c r="S10259" s="127"/>
      <c r="T10259" s="107"/>
    </row>
    <row r="10260" spans="1:20" x14ac:dyDescent="0.3">
      <c r="A10260" s="101"/>
      <c r="B10260" s="102"/>
      <c r="C10260" s="87"/>
      <c r="D10260" s="103"/>
      <c r="F10260" s="101"/>
      <c r="G10260" s="104"/>
      <c r="H10260" s="86" t="e">
        <f>IF(I10260="fora",0%,G10260/QUÓRUM!$C$6)</f>
        <v>#DIV/0!</v>
      </c>
      <c r="I10260" s="87"/>
      <c r="J10260" s="88"/>
      <c r="K10260" s="88"/>
      <c r="L10260" s="89"/>
      <c r="M10260" s="89"/>
      <c r="O10260" s="105"/>
      <c r="P10260" s="105"/>
      <c r="Q10260" s="105"/>
      <c r="R10260" s="106"/>
      <c r="S10260" s="127"/>
      <c r="T10260" s="107"/>
    </row>
    <row r="10261" spans="1:20" x14ac:dyDescent="0.3">
      <c r="A10261" s="101"/>
      <c r="B10261" s="102"/>
      <c r="C10261" s="87"/>
      <c r="D10261" s="103"/>
      <c r="F10261" s="101"/>
      <c r="G10261" s="104"/>
      <c r="H10261" s="86" t="e">
        <f>IF(I10261="fora",0%,G10261/QUÓRUM!$C$6)</f>
        <v>#DIV/0!</v>
      </c>
      <c r="I10261" s="87"/>
      <c r="J10261" s="88"/>
      <c r="K10261" s="88"/>
      <c r="L10261" s="89"/>
      <c r="M10261" s="89"/>
      <c r="O10261" s="105"/>
      <c r="P10261" s="105"/>
      <c r="Q10261" s="105"/>
      <c r="R10261" s="106"/>
      <c r="S10261" s="127"/>
      <c r="T10261" s="107"/>
    </row>
    <row r="10262" spans="1:20" x14ac:dyDescent="0.3">
      <c r="A10262" s="101"/>
      <c r="B10262" s="102"/>
      <c r="C10262" s="87"/>
      <c r="D10262" s="103"/>
      <c r="F10262" s="101"/>
      <c r="G10262" s="104"/>
      <c r="H10262" s="86" t="e">
        <f>IF(I10262="fora",0%,G10262/QUÓRUM!$C$6)</f>
        <v>#DIV/0!</v>
      </c>
      <c r="I10262" s="87"/>
      <c r="J10262" s="88"/>
      <c r="K10262" s="88"/>
      <c r="L10262" s="89"/>
      <c r="M10262" s="89"/>
      <c r="O10262" s="105"/>
      <c r="P10262" s="105"/>
      <c r="Q10262" s="105"/>
      <c r="R10262" s="106"/>
      <c r="S10262" s="127"/>
      <c r="T10262" s="107"/>
    </row>
    <row r="10263" spans="1:20" x14ac:dyDescent="0.3">
      <c r="A10263" s="101"/>
      <c r="B10263" s="102"/>
      <c r="C10263" s="87"/>
      <c r="D10263" s="103"/>
      <c r="F10263" s="101"/>
      <c r="G10263" s="104"/>
      <c r="H10263" s="86" t="e">
        <f>IF(I10263="fora",0%,G10263/QUÓRUM!$C$6)</f>
        <v>#DIV/0!</v>
      </c>
      <c r="I10263" s="87"/>
      <c r="J10263" s="88"/>
      <c r="K10263" s="88"/>
      <c r="L10263" s="89"/>
      <c r="M10263" s="89"/>
      <c r="O10263" s="105"/>
      <c r="P10263" s="105"/>
      <c r="Q10263" s="105"/>
      <c r="R10263" s="106"/>
      <c r="S10263" s="127"/>
      <c r="T10263" s="107"/>
    </row>
    <row r="10264" spans="1:20" x14ac:dyDescent="0.3">
      <c r="A10264" s="101"/>
      <c r="B10264" s="102"/>
      <c r="C10264" s="87"/>
      <c r="D10264" s="103"/>
      <c r="F10264" s="101"/>
      <c r="G10264" s="104"/>
      <c r="H10264" s="86" t="e">
        <f>IF(I10264="fora",0%,G10264/QUÓRUM!$C$6)</f>
        <v>#DIV/0!</v>
      </c>
      <c r="I10264" s="87"/>
      <c r="J10264" s="88"/>
      <c r="K10264" s="88"/>
      <c r="L10264" s="89"/>
      <c r="M10264" s="89"/>
      <c r="O10264" s="105"/>
      <c r="P10264" s="105"/>
      <c r="Q10264" s="105"/>
      <c r="R10264" s="106"/>
      <c r="S10264" s="127"/>
      <c r="T10264" s="107"/>
    </row>
    <row r="10265" spans="1:20" x14ac:dyDescent="0.3">
      <c r="A10265" s="101"/>
      <c r="B10265" s="102"/>
      <c r="C10265" s="87"/>
      <c r="D10265" s="103"/>
      <c r="F10265" s="101"/>
      <c r="G10265" s="104"/>
      <c r="H10265" s="86" t="e">
        <f>IF(I10265="fora",0%,G10265/QUÓRUM!$C$6)</f>
        <v>#DIV/0!</v>
      </c>
      <c r="I10265" s="87"/>
      <c r="J10265" s="88"/>
      <c r="K10265" s="88"/>
      <c r="L10265" s="89"/>
      <c r="M10265" s="89"/>
      <c r="O10265" s="105"/>
      <c r="P10265" s="105"/>
      <c r="Q10265" s="105"/>
      <c r="R10265" s="106"/>
      <c r="S10265" s="127"/>
      <c r="T10265" s="107"/>
    </row>
    <row r="10266" spans="1:20" x14ac:dyDescent="0.3">
      <c r="A10266" s="101"/>
      <c r="B10266" s="102"/>
      <c r="C10266" s="87"/>
      <c r="D10266" s="103"/>
      <c r="F10266" s="101"/>
      <c r="G10266" s="104"/>
      <c r="H10266" s="86" t="e">
        <f>IF(I10266="fora",0%,G10266/QUÓRUM!$C$6)</f>
        <v>#DIV/0!</v>
      </c>
      <c r="I10266" s="87"/>
      <c r="J10266" s="88"/>
      <c r="K10266" s="88"/>
      <c r="L10266" s="89"/>
      <c r="M10266" s="89"/>
      <c r="O10266" s="105"/>
      <c r="P10266" s="105"/>
      <c r="Q10266" s="105"/>
      <c r="R10266" s="106"/>
      <c r="S10266" s="127"/>
      <c r="T10266" s="107"/>
    </row>
    <row r="10267" spans="1:20" x14ac:dyDescent="0.3">
      <c r="A10267" s="101"/>
      <c r="B10267" s="102"/>
      <c r="C10267" s="87"/>
      <c r="D10267" s="103"/>
      <c r="F10267" s="101"/>
      <c r="G10267" s="104"/>
      <c r="H10267" s="86" t="e">
        <f>IF(I10267="fora",0%,G10267/QUÓRUM!$C$6)</f>
        <v>#DIV/0!</v>
      </c>
      <c r="I10267" s="87"/>
      <c r="J10267" s="88"/>
      <c r="K10267" s="88"/>
      <c r="L10267" s="89"/>
      <c r="M10267" s="89"/>
      <c r="O10267" s="105"/>
      <c r="P10267" s="105"/>
      <c r="Q10267" s="105"/>
      <c r="R10267" s="106"/>
      <c r="S10267" s="127"/>
      <c r="T10267" s="107"/>
    </row>
    <row r="10268" spans="1:20" x14ac:dyDescent="0.3">
      <c r="A10268" s="101"/>
      <c r="B10268" s="102"/>
      <c r="C10268" s="87"/>
      <c r="D10268" s="103"/>
      <c r="F10268" s="101"/>
      <c r="G10268" s="104"/>
      <c r="H10268" s="86" t="e">
        <f>IF(I10268="fora",0%,G10268/QUÓRUM!$C$6)</f>
        <v>#DIV/0!</v>
      </c>
      <c r="I10268" s="87"/>
      <c r="J10268" s="88"/>
      <c r="K10268" s="88"/>
      <c r="L10268" s="89"/>
      <c r="M10268" s="89"/>
      <c r="O10268" s="105"/>
      <c r="P10268" s="105"/>
      <c r="Q10268" s="105"/>
      <c r="R10268" s="106"/>
      <c r="S10268" s="127"/>
      <c r="T10268" s="107"/>
    </row>
    <row r="10269" spans="1:20" x14ac:dyDescent="0.3">
      <c r="A10269" s="101"/>
      <c r="B10269" s="102"/>
      <c r="C10269" s="87"/>
      <c r="D10269" s="103"/>
      <c r="F10269" s="101"/>
      <c r="G10269" s="104"/>
      <c r="H10269" s="86" t="e">
        <f>IF(I10269="fora",0%,G10269/QUÓRUM!$C$6)</f>
        <v>#DIV/0!</v>
      </c>
      <c r="I10269" s="87"/>
      <c r="J10269" s="88"/>
      <c r="K10269" s="88"/>
      <c r="L10269" s="89"/>
      <c r="M10269" s="89"/>
      <c r="O10269" s="105"/>
      <c r="P10269" s="105"/>
      <c r="Q10269" s="105"/>
      <c r="R10269" s="106"/>
      <c r="S10269" s="127"/>
      <c r="T10269" s="107"/>
    </row>
    <row r="10270" spans="1:20" x14ac:dyDescent="0.3">
      <c r="A10270" s="101"/>
      <c r="B10270" s="102"/>
      <c r="C10270" s="87"/>
      <c r="D10270" s="103"/>
      <c r="F10270" s="101"/>
      <c r="G10270" s="104"/>
      <c r="H10270" s="86" t="e">
        <f>IF(I10270="fora",0%,G10270/QUÓRUM!$C$6)</f>
        <v>#DIV/0!</v>
      </c>
      <c r="I10270" s="87"/>
      <c r="J10270" s="88"/>
      <c r="K10270" s="88"/>
      <c r="L10270" s="89"/>
      <c r="M10270" s="89"/>
      <c r="O10270" s="105"/>
      <c r="P10270" s="105"/>
      <c r="Q10270" s="105"/>
      <c r="R10270" s="106"/>
      <c r="S10270" s="127"/>
      <c r="T10270" s="107"/>
    </row>
    <row r="10271" spans="1:20" x14ac:dyDescent="0.3">
      <c r="A10271" s="101"/>
      <c r="B10271" s="102"/>
      <c r="C10271" s="87"/>
      <c r="D10271" s="103"/>
      <c r="F10271" s="101"/>
      <c r="G10271" s="104"/>
      <c r="H10271" s="86" t="e">
        <f>IF(I10271="fora",0%,G10271/QUÓRUM!$C$6)</f>
        <v>#DIV/0!</v>
      </c>
      <c r="I10271" s="87"/>
      <c r="J10271" s="88"/>
      <c r="K10271" s="88"/>
      <c r="L10271" s="89"/>
      <c r="M10271" s="89"/>
      <c r="O10271" s="105"/>
      <c r="P10271" s="105"/>
      <c r="Q10271" s="105"/>
      <c r="R10271" s="106"/>
      <c r="S10271" s="127"/>
      <c r="T10271" s="107"/>
    </row>
    <row r="10272" spans="1:20" x14ac:dyDescent="0.3">
      <c r="A10272" s="101"/>
      <c r="B10272" s="102"/>
      <c r="C10272" s="87"/>
      <c r="D10272" s="103"/>
      <c r="F10272" s="101"/>
      <c r="G10272" s="104"/>
      <c r="H10272" s="86" t="e">
        <f>IF(I10272="fora",0%,G10272/QUÓRUM!$C$6)</f>
        <v>#DIV/0!</v>
      </c>
      <c r="I10272" s="87"/>
      <c r="J10272" s="88"/>
      <c r="K10272" s="88"/>
      <c r="L10272" s="89"/>
      <c r="M10272" s="89"/>
      <c r="O10272" s="105"/>
      <c r="P10272" s="105"/>
      <c r="Q10272" s="105"/>
      <c r="R10272" s="106"/>
      <c r="S10272" s="127"/>
      <c r="T10272" s="107"/>
    </row>
    <row r="10273" spans="1:20" x14ac:dyDescent="0.3">
      <c r="A10273" s="101"/>
      <c r="B10273" s="102"/>
      <c r="C10273" s="87"/>
      <c r="D10273" s="103"/>
      <c r="F10273" s="101"/>
      <c r="G10273" s="104"/>
      <c r="H10273" s="86" t="e">
        <f>IF(I10273="fora",0%,G10273/QUÓRUM!$C$6)</f>
        <v>#DIV/0!</v>
      </c>
      <c r="I10273" s="87"/>
      <c r="J10273" s="88"/>
      <c r="K10273" s="88"/>
      <c r="L10273" s="89"/>
      <c r="M10273" s="89"/>
      <c r="O10273" s="105"/>
      <c r="P10273" s="105"/>
      <c r="Q10273" s="105"/>
      <c r="R10273" s="106"/>
      <c r="S10273" s="127"/>
      <c r="T10273" s="107"/>
    </row>
    <row r="10274" spans="1:20" x14ac:dyDescent="0.3">
      <c r="A10274" s="101"/>
      <c r="B10274" s="102"/>
      <c r="C10274" s="87"/>
      <c r="D10274" s="103"/>
      <c r="F10274" s="101"/>
      <c r="G10274" s="104"/>
      <c r="H10274" s="86" t="e">
        <f>IF(I10274="fora",0%,G10274/QUÓRUM!$C$6)</f>
        <v>#DIV/0!</v>
      </c>
      <c r="I10274" s="87"/>
      <c r="J10274" s="88"/>
      <c r="K10274" s="88"/>
      <c r="L10274" s="89"/>
      <c r="M10274" s="89"/>
      <c r="O10274" s="105"/>
      <c r="P10274" s="105"/>
      <c r="Q10274" s="105"/>
      <c r="R10274" s="106"/>
      <c r="S10274" s="127"/>
      <c r="T10274" s="107"/>
    </row>
    <row r="10275" spans="1:20" x14ac:dyDescent="0.3">
      <c r="A10275" s="101"/>
      <c r="B10275" s="102"/>
      <c r="C10275" s="87"/>
      <c r="D10275" s="103"/>
      <c r="F10275" s="101"/>
      <c r="G10275" s="104"/>
      <c r="H10275" s="86" t="e">
        <f>IF(I10275="fora",0%,G10275/QUÓRUM!$C$6)</f>
        <v>#DIV/0!</v>
      </c>
      <c r="I10275" s="87"/>
      <c r="J10275" s="88"/>
      <c r="K10275" s="88"/>
      <c r="L10275" s="89"/>
      <c r="M10275" s="89"/>
      <c r="O10275" s="105"/>
      <c r="P10275" s="105"/>
      <c r="Q10275" s="105"/>
      <c r="R10275" s="106"/>
      <c r="S10275" s="127"/>
      <c r="T10275" s="107"/>
    </row>
    <row r="10276" spans="1:20" x14ac:dyDescent="0.3">
      <c r="A10276" s="101"/>
      <c r="B10276" s="102"/>
      <c r="C10276" s="87"/>
      <c r="D10276" s="103"/>
      <c r="F10276" s="101"/>
      <c r="G10276" s="104"/>
      <c r="H10276" s="86" t="e">
        <f>IF(I10276="fora",0%,G10276/QUÓRUM!$C$6)</f>
        <v>#DIV/0!</v>
      </c>
      <c r="I10276" s="87"/>
      <c r="J10276" s="88"/>
      <c r="K10276" s="88"/>
      <c r="L10276" s="89"/>
      <c r="M10276" s="89"/>
      <c r="O10276" s="105"/>
      <c r="P10276" s="105"/>
      <c r="Q10276" s="105"/>
      <c r="R10276" s="106"/>
      <c r="S10276" s="127"/>
      <c r="T10276" s="107"/>
    </row>
    <row r="10277" spans="1:20" x14ac:dyDescent="0.3">
      <c r="A10277" s="101"/>
      <c r="B10277" s="102"/>
      <c r="C10277" s="87"/>
      <c r="D10277" s="103"/>
      <c r="F10277" s="101"/>
      <c r="G10277" s="104"/>
      <c r="H10277" s="86" t="e">
        <f>IF(I10277="fora",0%,G10277/QUÓRUM!$C$6)</f>
        <v>#DIV/0!</v>
      </c>
      <c r="I10277" s="87"/>
      <c r="J10277" s="88"/>
      <c r="K10277" s="88"/>
      <c r="L10277" s="89"/>
      <c r="M10277" s="89"/>
      <c r="O10277" s="105"/>
      <c r="P10277" s="105"/>
      <c r="Q10277" s="105"/>
      <c r="R10277" s="106"/>
      <c r="S10277" s="127"/>
      <c r="T10277" s="107"/>
    </row>
    <row r="10278" spans="1:20" x14ac:dyDescent="0.3">
      <c r="A10278" s="101"/>
      <c r="B10278" s="102"/>
      <c r="C10278" s="87"/>
      <c r="D10278" s="103"/>
      <c r="F10278" s="101"/>
      <c r="G10278" s="104"/>
      <c r="H10278" s="86" t="e">
        <f>IF(I10278="fora",0%,G10278/QUÓRUM!$C$6)</f>
        <v>#DIV/0!</v>
      </c>
      <c r="I10278" s="87"/>
      <c r="J10278" s="88"/>
      <c r="K10278" s="88"/>
      <c r="L10278" s="89"/>
      <c r="M10278" s="89"/>
      <c r="O10278" s="105"/>
      <c r="P10278" s="105"/>
      <c r="Q10278" s="105"/>
      <c r="R10278" s="106"/>
      <c r="S10278" s="127"/>
      <c r="T10278" s="107"/>
    </row>
    <row r="10279" spans="1:20" x14ac:dyDescent="0.3">
      <c r="A10279" s="101"/>
      <c r="B10279" s="102"/>
      <c r="C10279" s="87"/>
      <c r="D10279" s="103"/>
      <c r="F10279" s="101"/>
      <c r="G10279" s="104"/>
      <c r="H10279" s="86" t="e">
        <f>IF(I10279="fora",0%,G10279/QUÓRUM!$C$6)</f>
        <v>#DIV/0!</v>
      </c>
      <c r="I10279" s="87"/>
      <c r="J10279" s="88"/>
      <c r="K10279" s="88"/>
      <c r="L10279" s="89"/>
      <c r="M10279" s="89"/>
      <c r="O10279" s="105"/>
      <c r="P10279" s="105"/>
      <c r="Q10279" s="105"/>
      <c r="R10279" s="106"/>
      <c r="S10279" s="127"/>
      <c r="T10279" s="107"/>
    </row>
    <row r="10280" spans="1:20" x14ac:dyDescent="0.3">
      <c r="A10280" s="101"/>
      <c r="B10280" s="102"/>
      <c r="C10280" s="87"/>
      <c r="D10280" s="103"/>
      <c r="F10280" s="101"/>
      <c r="G10280" s="104"/>
      <c r="H10280" s="86" t="e">
        <f>IF(I10280="fora",0%,G10280/QUÓRUM!$C$6)</f>
        <v>#DIV/0!</v>
      </c>
      <c r="I10280" s="87"/>
      <c r="J10280" s="88"/>
      <c r="K10280" s="88"/>
      <c r="L10280" s="89"/>
      <c r="M10280" s="89"/>
      <c r="O10280" s="105"/>
      <c r="P10280" s="105"/>
      <c r="Q10280" s="105"/>
      <c r="R10280" s="106"/>
      <c r="S10280" s="127"/>
      <c r="T10280" s="107"/>
    </row>
    <row r="10281" spans="1:20" x14ac:dyDescent="0.3">
      <c r="A10281" s="101"/>
      <c r="B10281" s="102"/>
      <c r="C10281" s="87"/>
      <c r="D10281" s="103"/>
      <c r="F10281" s="101"/>
      <c r="G10281" s="104"/>
      <c r="H10281" s="86" t="e">
        <f>IF(I10281="fora",0%,G10281/QUÓRUM!$C$6)</f>
        <v>#DIV/0!</v>
      </c>
      <c r="I10281" s="87"/>
      <c r="J10281" s="88"/>
      <c r="K10281" s="88"/>
      <c r="L10281" s="89"/>
      <c r="M10281" s="89"/>
      <c r="O10281" s="105"/>
      <c r="P10281" s="105"/>
      <c r="Q10281" s="105"/>
      <c r="R10281" s="106"/>
      <c r="S10281" s="127"/>
      <c r="T10281" s="107"/>
    </row>
    <row r="10282" spans="1:20" x14ac:dyDescent="0.3">
      <c r="A10282" s="101"/>
      <c r="B10282" s="102"/>
      <c r="C10282" s="87"/>
      <c r="D10282" s="103"/>
      <c r="F10282" s="101"/>
      <c r="G10282" s="109"/>
      <c r="H10282" s="86" t="e">
        <f>IF(I10282="fora",0%,G10282/QUÓRUM!$C$6)</f>
        <v>#DIV/0!</v>
      </c>
      <c r="I10282" s="87"/>
      <c r="J10282" s="88"/>
      <c r="K10282" s="88"/>
      <c r="L10282" s="89"/>
      <c r="M10282" s="89"/>
      <c r="O10282" s="105"/>
      <c r="P10282" s="105"/>
      <c r="Q10282" s="105"/>
      <c r="R10282" s="106"/>
      <c r="S10282" s="127"/>
      <c r="T10282" s="107"/>
    </row>
    <row r="10283" spans="1:20" x14ac:dyDescent="0.3">
      <c r="A10283" s="101"/>
      <c r="B10283" s="102"/>
      <c r="C10283" s="87"/>
      <c r="D10283" s="103"/>
      <c r="F10283" s="101"/>
      <c r="G10283" s="104"/>
      <c r="H10283" s="86" t="e">
        <f>IF(I10283="fora",0%,G10283/QUÓRUM!$C$6)</f>
        <v>#DIV/0!</v>
      </c>
      <c r="I10283" s="87"/>
      <c r="J10283" s="88"/>
      <c r="K10283" s="88"/>
      <c r="L10283" s="89"/>
      <c r="M10283" s="89"/>
      <c r="O10283" s="105"/>
      <c r="P10283" s="105"/>
      <c r="Q10283" s="105"/>
      <c r="R10283" s="106"/>
      <c r="S10283" s="127"/>
      <c r="T10283" s="107"/>
    </row>
    <row r="10284" spans="1:20" x14ac:dyDescent="0.3">
      <c r="A10284" s="101"/>
      <c r="B10284" s="102"/>
      <c r="C10284" s="87"/>
      <c r="D10284" s="103"/>
      <c r="F10284" s="101"/>
      <c r="G10284" s="104"/>
      <c r="H10284" s="86" t="e">
        <f>IF(I10284="fora",0%,G10284/QUÓRUM!$C$6)</f>
        <v>#DIV/0!</v>
      </c>
      <c r="I10284" s="87"/>
      <c r="J10284" s="88"/>
      <c r="K10284" s="88"/>
      <c r="L10284" s="89"/>
      <c r="M10284" s="89"/>
      <c r="O10284" s="105"/>
      <c r="P10284" s="105"/>
      <c r="Q10284" s="105"/>
      <c r="R10284" s="106"/>
      <c r="S10284" s="127"/>
      <c r="T10284" s="107"/>
    </row>
    <row r="10285" spans="1:20" x14ac:dyDescent="0.3">
      <c r="A10285" s="101"/>
      <c r="B10285" s="102"/>
      <c r="C10285" s="87"/>
      <c r="D10285" s="103"/>
      <c r="F10285" s="101"/>
      <c r="G10285" s="104"/>
      <c r="H10285" s="86" t="e">
        <f>IF(I10285="fora",0%,G10285/QUÓRUM!$C$6)</f>
        <v>#DIV/0!</v>
      </c>
      <c r="I10285" s="87"/>
      <c r="J10285" s="88"/>
      <c r="K10285" s="88"/>
      <c r="L10285" s="89"/>
      <c r="M10285" s="89"/>
      <c r="O10285" s="105"/>
      <c r="P10285" s="105"/>
      <c r="Q10285" s="105"/>
      <c r="R10285" s="106"/>
      <c r="S10285" s="127"/>
      <c r="T10285" s="107"/>
    </row>
    <row r="10286" spans="1:20" x14ac:dyDescent="0.3">
      <c r="A10286" s="101"/>
      <c r="B10286" s="102"/>
      <c r="C10286" s="87"/>
      <c r="D10286" s="103"/>
      <c r="F10286" s="101"/>
      <c r="G10286" s="104"/>
      <c r="H10286" s="86" t="e">
        <f>IF(I10286="fora",0%,G10286/QUÓRUM!$C$6)</f>
        <v>#DIV/0!</v>
      </c>
      <c r="I10286" s="87"/>
      <c r="J10286" s="88"/>
      <c r="K10286" s="88"/>
      <c r="L10286" s="89"/>
      <c r="M10286" s="89"/>
      <c r="O10286" s="105"/>
      <c r="P10286" s="105"/>
      <c r="Q10286" s="105"/>
      <c r="R10286" s="106"/>
      <c r="S10286" s="127"/>
      <c r="T10286" s="107"/>
    </row>
    <row r="10287" spans="1:20" x14ac:dyDescent="0.3">
      <c r="A10287" s="101"/>
      <c r="B10287" s="102"/>
      <c r="C10287" s="87"/>
      <c r="D10287" s="103"/>
      <c r="F10287" s="101"/>
      <c r="G10287" s="104"/>
      <c r="H10287" s="86" t="e">
        <f>IF(I10287="fora",0%,G10287/QUÓRUM!$C$6)</f>
        <v>#DIV/0!</v>
      </c>
      <c r="I10287" s="87"/>
      <c r="J10287" s="88"/>
      <c r="K10287" s="88"/>
      <c r="L10287" s="89"/>
      <c r="M10287" s="89"/>
      <c r="O10287" s="105"/>
      <c r="P10287" s="105"/>
      <c r="Q10287" s="105"/>
      <c r="R10287" s="106"/>
      <c r="S10287" s="127"/>
      <c r="T10287" s="107"/>
    </row>
    <row r="10288" spans="1:20" x14ac:dyDescent="0.3">
      <c r="A10288" s="101"/>
      <c r="B10288" s="102"/>
      <c r="C10288" s="87"/>
      <c r="D10288" s="103"/>
      <c r="F10288" s="101"/>
      <c r="G10288" s="104"/>
      <c r="H10288" s="86" t="e">
        <f>IF(I10288="fora",0%,G10288/QUÓRUM!$C$6)</f>
        <v>#DIV/0!</v>
      </c>
      <c r="I10288" s="87"/>
      <c r="J10288" s="88"/>
      <c r="K10288" s="88"/>
      <c r="L10288" s="89"/>
      <c r="M10288" s="89"/>
      <c r="O10288" s="105"/>
      <c r="P10288" s="105"/>
      <c r="Q10288" s="105"/>
      <c r="R10288" s="106"/>
      <c r="S10288" s="127"/>
      <c r="T10288" s="107"/>
    </row>
    <row r="10289" spans="1:20" x14ac:dyDescent="0.3">
      <c r="A10289" s="101"/>
      <c r="B10289" s="102"/>
      <c r="C10289" s="87"/>
      <c r="D10289" s="103"/>
      <c r="F10289" s="101"/>
      <c r="G10289" s="104"/>
      <c r="H10289" s="86" t="e">
        <f>IF(I10289="fora",0%,G10289/QUÓRUM!$C$6)</f>
        <v>#DIV/0!</v>
      </c>
      <c r="I10289" s="87"/>
      <c r="J10289" s="88"/>
      <c r="K10289" s="88"/>
      <c r="L10289" s="89"/>
      <c r="M10289" s="89"/>
      <c r="O10289" s="105"/>
      <c r="P10289" s="105"/>
      <c r="Q10289" s="105"/>
      <c r="R10289" s="106"/>
      <c r="S10289" s="127"/>
      <c r="T10289" s="107"/>
    </row>
    <row r="10290" spans="1:20" x14ac:dyDescent="0.3">
      <c r="A10290" s="101"/>
      <c r="B10290" s="102"/>
      <c r="C10290" s="87"/>
      <c r="D10290" s="103"/>
      <c r="F10290" s="101"/>
      <c r="G10290" s="104"/>
      <c r="H10290" s="86" t="e">
        <f>IF(I10290="fora",0%,G10290/QUÓRUM!$C$6)</f>
        <v>#DIV/0!</v>
      </c>
      <c r="I10290" s="87"/>
      <c r="J10290" s="88"/>
      <c r="K10290" s="88"/>
      <c r="L10290" s="89"/>
      <c r="M10290" s="89"/>
      <c r="O10290" s="105"/>
      <c r="P10290" s="105"/>
      <c r="Q10290" s="105"/>
      <c r="R10290" s="106"/>
      <c r="S10290" s="127"/>
      <c r="T10290" s="107"/>
    </row>
    <row r="10291" spans="1:20" x14ac:dyDescent="0.3">
      <c r="A10291" s="101"/>
      <c r="B10291" s="102"/>
      <c r="C10291" s="87"/>
      <c r="D10291" s="103"/>
      <c r="F10291" s="101"/>
      <c r="G10291" s="104"/>
      <c r="H10291" s="86" t="e">
        <f>IF(I10291="fora",0%,G10291/QUÓRUM!$C$6)</f>
        <v>#DIV/0!</v>
      </c>
      <c r="I10291" s="87"/>
      <c r="J10291" s="88"/>
      <c r="K10291" s="88"/>
      <c r="L10291" s="89"/>
      <c r="M10291" s="89"/>
      <c r="O10291" s="105"/>
      <c r="P10291" s="105"/>
      <c r="Q10291" s="105"/>
      <c r="R10291" s="106"/>
      <c r="S10291" s="127"/>
      <c r="T10291" s="107"/>
    </row>
    <row r="10292" spans="1:20" x14ac:dyDescent="0.3">
      <c r="A10292" s="101"/>
      <c r="B10292" s="102"/>
      <c r="C10292" s="87"/>
      <c r="D10292" s="103"/>
      <c r="F10292" s="101"/>
      <c r="G10292" s="104"/>
      <c r="H10292" s="86" t="e">
        <f>IF(I10292="fora",0%,G10292/QUÓRUM!$C$6)</f>
        <v>#DIV/0!</v>
      </c>
      <c r="I10292" s="87"/>
      <c r="J10292" s="88"/>
      <c r="K10292" s="88"/>
      <c r="L10292" s="89"/>
      <c r="M10292" s="89"/>
      <c r="O10292" s="105"/>
      <c r="P10292" s="105"/>
      <c r="Q10292" s="105"/>
      <c r="R10292" s="106"/>
      <c r="S10292" s="127"/>
      <c r="T10292" s="107"/>
    </row>
    <row r="10293" spans="1:20" x14ac:dyDescent="0.3">
      <c r="A10293" s="101"/>
      <c r="B10293" s="102"/>
      <c r="C10293" s="87"/>
      <c r="D10293" s="103"/>
      <c r="F10293" s="101"/>
      <c r="G10293" s="104"/>
      <c r="H10293" s="86" t="e">
        <f>IF(I10293="fora",0%,G10293/QUÓRUM!$C$6)</f>
        <v>#DIV/0!</v>
      </c>
      <c r="I10293" s="87"/>
      <c r="J10293" s="88"/>
      <c r="K10293" s="88"/>
      <c r="L10293" s="89"/>
      <c r="M10293" s="89"/>
      <c r="O10293" s="105"/>
      <c r="P10293" s="105"/>
      <c r="Q10293" s="105"/>
      <c r="R10293" s="106"/>
      <c r="S10293" s="127"/>
      <c r="T10293" s="107"/>
    </row>
    <row r="10294" spans="1:20" x14ac:dyDescent="0.3">
      <c r="A10294" s="101"/>
      <c r="B10294" s="102"/>
      <c r="C10294" s="87"/>
      <c r="D10294" s="103"/>
      <c r="F10294" s="101"/>
      <c r="G10294" s="104"/>
      <c r="H10294" s="86" t="e">
        <f>IF(I10294="fora",0%,G10294/QUÓRUM!$C$6)</f>
        <v>#DIV/0!</v>
      </c>
      <c r="I10294" s="87"/>
      <c r="J10294" s="88"/>
      <c r="K10294" s="88"/>
      <c r="L10294" s="89"/>
      <c r="M10294" s="89"/>
      <c r="O10294" s="105"/>
      <c r="P10294" s="105"/>
      <c r="Q10294" s="105"/>
      <c r="R10294" s="106"/>
      <c r="S10294" s="127"/>
      <c r="T10294" s="107"/>
    </row>
    <row r="10295" spans="1:20" x14ac:dyDescent="0.3">
      <c r="A10295" s="101"/>
      <c r="B10295" s="102"/>
      <c r="C10295" s="87"/>
      <c r="D10295" s="103"/>
      <c r="F10295" s="101"/>
      <c r="G10295" s="104"/>
      <c r="H10295" s="86" t="e">
        <f>IF(I10295="fora",0%,G10295/QUÓRUM!$C$6)</f>
        <v>#DIV/0!</v>
      </c>
      <c r="I10295" s="87"/>
      <c r="J10295" s="88"/>
      <c r="K10295" s="88"/>
      <c r="L10295" s="89"/>
      <c r="M10295" s="89"/>
      <c r="O10295" s="105"/>
      <c r="P10295" s="105"/>
      <c r="Q10295" s="105"/>
      <c r="R10295" s="106"/>
      <c r="S10295" s="127"/>
      <c r="T10295" s="107"/>
    </row>
    <row r="10296" spans="1:20" x14ac:dyDescent="0.3">
      <c r="A10296" s="101"/>
      <c r="B10296" s="102"/>
      <c r="C10296" s="87"/>
      <c r="D10296" s="103"/>
      <c r="F10296" s="101"/>
      <c r="G10296" s="104"/>
      <c r="H10296" s="86" t="e">
        <f>IF(I10296="fora",0%,G10296/QUÓRUM!$C$6)</f>
        <v>#DIV/0!</v>
      </c>
      <c r="I10296" s="87"/>
      <c r="J10296" s="88"/>
      <c r="K10296" s="88"/>
      <c r="L10296" s="89"/>
      <c r="M10296" s="89"/>
      <c r="O10296" s="105"/>
      <c r="P10296" s="105"/>
      <c r="Q10296" s="105"/>
      <c r="R10296" s="106"/>
      <c r="S10296" s="127"/>
      <c r="T10296" s="107"/>
    </row>
    <row r="10297" spans="1:20" x14ac:dyDescent="0.3">
      <c r="A10297" s="101"/>
      <c r="B10297" s="102"/>
      <c r="C10297" s="87"/>
      <c r="D10297" s="103"/>
      <c r="F10297" s="101"/>
      <c r="G10297" s="104"/>
      <c r="H10297" s="86" t="e">
        <f>IF(I10297="fora",0%,G10297/QUÓRUM!$C$6)</f>
        <v>#DIV/0!</v>
      </c>
      <c r="I10297" s="87"/>
      <c r="J10297" s="88"/>
      <c r="K10297" s="88"/>
      <c r="L10297" s="89"/>
      <c r="M10297" s="89"/>
      <c r="O10297" s="105"/>
      <c r="P10297" s="105"/>
      <c r="Q10297" s="105"/>
      <c r="R10297" s="106"/>
      <c r="S10297" s="127"/>
      <c r="T10297" s="107"/>
    </row>
    <row r="10298" spans="1:20" x14ac:dyDescent="0.3">
      <c r="A10298" s="101"/>
      <c r="B10298" s="102"/>
      <c r="C10298" s="87"/>
      <c r="D10298" s="103"/>
      <c r="F10298" s="101"/>
      <c r="G10298" s="104"/>
      <c r="H10298" s="86" t="e">
        <f>IF(I10298="fora",0%,G10298/QUÓRUM!$C$6)</f>
        <v>#DIV/0!</v>
      </c>
      <c r="I10298" s="87"/>
      <c r="J10298" s="88"/>
      <c r="K10298" s="88"/>
      <c r="L10298" s="89"/>
      <c r="M10298" s="89"/>
      <c r="O10298" s="105"/>
      <c r="P10298" s="105"/>
      <c r="Q10298" s="105"/>
      <c r="R10298" s="106"/>
      <c r="S10298" s="127"/>
      <c r="T10298" s="107"/>
    </row>
    <row r="10299" spans="1:20" x14ac:dyDescent="0.3">
      <c r="A10299" s="101"/>
      <c r="B10299" s="102"/>
      <c r="C10299" s="87"/>
      <c r="D10299" s="103"/>
      <c r="F10299" s="101"/>
      <c r="G10299" s="104"/>
      <c r="H10299" s="86" t="e">
        <f>IF(I10299="fora",0%,G10299/QUÓRUM!$C$6)</f>
        <v>#DIV/0!</v>
      </c>
      <c r="I10299" s="87"/>
      <c r="J10299" s="88"/>
      <c r="K10299" s="88"/>
      <c r="L10299" s="89"/>
      <c r="M10299" s="89"/>
      <c r="O10299" s="105"/>
      <c r="P10299" s="105"/>
      <c r="Q10299" s="105"/>
      <c r="R10299" s="106"/>
      <c r="S10299" s="127"/>
      <c r="T10299" s="107"/>
    </row>
    <row r="10300" spans="1:20" x14ac:dyDescent="0.3">
      <c r="A10300" s="101"/>
      <c r="B10300" s="102"/>
      <c r="C10300" s="87"/>
      <c r="D10300" s="103"/>
      <c r="F10300" s="101"/>
      <c r="G10300" s="104"/>
      <c r="H10300" s="86" t="e">
        <f>IF(I10300="fora",0%,G10300/QUÓRUM!$C$6)</f>
        <v>#DIV/0!</v>
      </c>
      <c r="I10300" s="87"/>
      <c r="J10300" s="88"/>
      <c r="K10300" s="88"/>
      <c r="L10300" s="89"/>
      <c r="M10300" s="89"/>
      <c r="O10300" s="105"/>
      <c r="P10300" s="105"/>
      <c r="Q10300" s="105"/>
      <c r="R10300" s="106"/>
      <c r="S10300" s="127"/>
      <c r="T10300" s="107"/>
    </row>
    <row r="10301" spans="1:20" x14ac:dyDescent="0.3">
      <c r="A10301" s="101"/>
      <c r="B10301" s="102"/>
      <c r="C10301" s="87"/>
      <c r="D10301" s="103"/>
      <c r="F10301" s="101"/>
      <c r="G10301" s="104"/>
      <c r="H10301" s="86" t="e">
        <f>IF(I10301="fora",0%,G10301/QUÓRUM!$C$6)</f>
        <v>#DIV/0!</v>
      </c>
      <c r="I10301" s="87"/>
      <c r="J10301" s="88"/>
      <c r="K10301" s="88"/>
      <c r="L10301" s="89"/>
      <c r="M10301" s="89"/>
      <c r="O10301" s="105"/>
      <c r="P10301" s="105"/>
      <c r="Q10301" s="105"/>
      <c r="R10301" s="106"/>
      <c r="S10301" s="127"/>
      <c r="T10301" s="107"/>
    </row>
    <row r="10302" spans="1:20" x14ac:dyDescent="0.3">
      <c r="A10302" s="101"/>
      <c r="B10302" s="102"/>
      <c r="C10302" s="87"/>
      <c r="D10302" s="103"/>
      <c r="F10302" s="101"/>
      <c r="G10302" s="104"/>
      <c r="H10302" s="86" t="e">
        <f>IF(I10302="fora",0%,G10302/QUÓRUM!$C$6)</f>
        <v>#DIV/0!</v>
      </c>
      <c r="I10302" s="87"/>
      <c r="J10302" s="88"/>
      <c r="K10302" s="88"/>
      <c r="L10302" s="89"/>
      <c r="M10302" s="89"/>
      <c r="O10302" s="105"/>
      <c r="P10302" s="105"/>
      <c r="Q10302" s="105"/>
      <c r="R10302" s="106"/>
      <c r="S10302" s="127"/>
      <c r="T10302" s="107"/>
    </row>
    <row r="10303" spans="1:20" x14ac:dyDescent="0.3">
      <c r="A10303" s="101"/>
      <c r="B10303" s="102"/>
      <c r="C10303" s="87"/>
      <c r="D10303" s="103"/>
      <c r="F10303" s="101"/>
      <c r="G10303" s="104"/>
      <c r="H10303" s="86" t="e">
        <f>IF(I10303="fora",0%,G10303/QUÓRUM!$C$6)</f>
        <v>#DIV/0!</v>
      </c>
      <c r="I10303" s="87"/>
      <c r="J10303" s="88"/>
      <c r="K10303" s="88"/>
      <c r="L10303" s="89"/>
      <c r="M10303" s="89"/>
      <c r="O10303" s="105"/>
      <c r="P10303" s="105"/>
      <c r="Q10303" s="105"/>
      <c r="R10303" s="106"/>
      <c r="S10303" s="127"/>
      <c r="T10303" s="107"/>
    </row>
    <row r="10304" spans="1:20" x14ac:dyDescent="0.3">
      <c r="A10304" s="101"/>
      <c r="B10304" s="102"/>
      <c r="C10304" s="87"/>
      <c r="D10304" s="103"/>
      <c r="F10304" s="101"/>
      <c r="G10304" s="104"/>
      <c r="H10304" s="86" t="e">
        <f>IF(I10304="fora",0%,G10304/QUÓRUM!$C$6)</f>
        <v>#DIV/0!</v>
      </c>
      <c r="I10304" s="87"/>
      <c r="J10304" s="88"/>
      <c r="K10304" s="88"/>
      <c r="L10304" s="89"/>
      <c r="M10304" s="89"/>
      <c r="O10304" s="105"/>
      <c r="P10304" s="105"/>
      <c r="Q10304" s="105"/>
      <c r="R10304" s="106"/>
      <c r="S10304" s="127"/>
      <c r="T10304" s="107"/>
    </row>
    <row r="10305" spans="1:20" x14ac:dyDescent="0.3">
      <c r="A10305" s="101"/>
      <c r="B10305" s="102"/>
      <c r="C10305" s="87"/>
      <c r="D10305" s="103"/>
      <c r="F10305" s="101"/>
      <c r="G10305" s="104"/>
      <c r="H10305" s="86" t="e">
        <f>IF(I10305="fora",0%,G10305/QUÓRUM!$C$6)</f>
        <v>#DIV/0!</v>
      </c>
      <c r="I10305" s="87"/>
      <c r="J10305" s="88"/>
      <c r="K10305" s="88"/>
      <c r="L10305" s="89"/>
      <c r="M10305" s="89"/>
      <c r="O10305" s="105"/>
      <c r="P10305" s="105"/>
      <c r="Q10305" s="105"/>
      <c r="R10305" s="106"/>
      <c r="S10305" s="127"/>
      <c r="T10305" s="107"/>
    </row>
    <row r="10306" spans="1:20" x14ac:dyDescent="0.3">
      <c r="A10306" s="101"/>
      <c r="B10306" s="102"/>
      <c r="C10306" s="87"/>
      <c r="D10306" s="103"/>
      <c r="F10306" s="101"/>
      <c r="G10306" s="104"/>
      <c r="H10306" s="86" t="e">
        <f>IF(I10306="fora",0%,G10306/QUÓRUM!$C$6)</f>
        <v>#DIV/0!</v>
      </c>
      <c r="I10306" s="87"/>
      <c r="J10306" s="88"/>
      <c r="K10306" s="88"/>
      <c r="L10306" s="89"/>
      <c r="M10306" s="89"/>
      <c r="O10306" s="105"/>
      <c r="P10306" s="105"/>
      <c r="Q10306" s="105"/>
      <c r="R10306" s="106"/>
      <c r="S10306" s="127"/>
      <c r="T10306" s="107"/>
    </row>
    <row r="10307" spans="1:20" x14ac:dyDescent="0.3">
      <c r="A10307" s="101"/>
      <c r="B10307" s="102"/>
      <c r="C10307" s="87"/>
      <c r="D10307" s="103"/>
      <c r="F10307" s="101"/>
      <c r="G10307" s="104"/>
      <c r="H10307" s="86" t="e">
        <f>IF(I10307="fora",0%,G10307/QUÓRUM!$C$6)</f>
        <v>#DIV/0!</v>
      </c>
      <c r="I10307" s="87"/>
      <c r="J10307" s="88"/>
      <c r="K10307" s="88"/>
      <c r="L10307" s="89"/>
      <c r="M10307" s="89"/>
      <c r="O10307" s="105"/>
      <c r="P10307" s="105"/>
      <c r="Q10307" s="105"/>
      <c r="R10307" s="106"/>
      <c r="S10307" s="127"/>
      <c r="T10307" s="107"/>
    </row>
    <row r="10308" spans="1:20" x14ac:dyDescent="0.3">
      <c r="A10308" s="101"/>
      <c r="B10308" s="102"/>
      <c r="C10308" s="87"/>
      <c r="D10308" s="103"/>
      <c r="F10308" s="101"/>
      <c r="G10308" s="104"/>
      <c r="H10308" s="86" t="e">
        <f>IF(I10308="fora",0%,G10308/QUÓRUM!$C$6)</f>
        <v>#DIV/0!</v>
      </c>
      <c r="I10308" s="87"/>
      <c r="J10308" s="88"/>
      <c r="K10308" s="88"/>
      <c r="L10308" s="89"/>
      <c r="M10308" s="89"/>
      <c r="O10308" s="105"/>
      <c r="P10308" s="105"/>
      <c r="Q10308" s="105"/>
      <c r="R10308" s="106"/>
      <c r="S10308" s="127"/>
      <c r="T10308" s="107"/>
    </row>
    <row r="10309" spans="1:20" x14ac:dyDescent="0.3">
      <c r="A10309" s="101"/>
      <c r="B10309" s="102"/>
      <c r="C10309" s="87"/>
      <c r="D10309" s="103"/>
      <c r="F10309" s="101"/>
      <c r="G10309" s="104"/>
      <c r="H10309" s="86" t="e">
        <f>IF(I10309="fora",0%,G10309/QUÓRUM!$C$6)</f>
        <v>#DIV/0!</v>
      </c>
      <c r="I10309" s="87"/>
      <c r="J10309" s="88"/>
      <c r="K10309" s="88"/>
      <c r="L10309" s="89"/>
      <c r="M10309" s="89"/>
      <c r="O10309" s="105"/>
      <c r="P10309" s="105"/>
      <c r="Q10309" s="105"/>
      <c r="R10309" s="106"/>
      <c r="S10309" s="127"/>
      <c r="T10309" s="107"/>
    </row>
    <row r="10310" spans="1:20" x14ac:dyDescent="0.3">
      <c r="A10310" s="101"/>
      <c r="B10310" s="102"/>
      <c r="C10310" s="87"/>
      <c r="D10310" s="103"/>
      <c r="F10310" s="101"/>
      <c r="G10310" s="104"/>
      <c r="H10310" s="86" t="e">
        <f>IF(I10310="fora",0%,G10310/QUÓRUM!$C$6)</f>
        <v>#DIV/0!</v>
      </c>
      <c r="I10310" s="87"/>
      <c r="J10310" s="88"/>
      <c r="K10310" s="88"/>
      <c r="L10310" s="89"/>
      <c r="M10310" s="89"/>
      <c r="O10310" s="105"/>
      <c r="P10310" s="105"/>
      <c r="Q10310" s="105"/>
      <c r="R10310" s="106"/>
      <c r="S10310" s="127"/>
      <c r="T10310" s="107"/>
    </row>
    <row r="10311" spans="1:20" x14ac:dyDescent="0.3">
      <c r="A10311" s="101"/>
      <c r="B10311" s="102"/>
      <c r="C10311" s="87"/>
      <c r="D10311" s="103"/>
      <c r="F10311" s="101"/>
      <c r="G10311" s="104"/>
      <c r="H10311" s="86" t="e">
        <f>IF(I10311="fora",0%,G10311/QUÓRUM!$C$6)</f>
        <v>#DIV/0!</v>
      </c>
      <c r="I10311" s="87"/>
      <c r="J10311" s="88"/>
      <c r="K10311" s="88"/>
      <c r="L10311" s="89"/>
      <c r="M10311" s="89"/>
      <c r="O10311" s="105"/>
      <c r="P10311" s="105"/>
      <c r="Q10311" s="105"/>
      <c r="R10311" s="106"/>
      <c r="S10311" s="127"/>
      <c r="T10311" s="107"/>
    </row>
    <row r="10312" spans="1:20" x14ac:dyDescent="0.3">
      <c r="A10312" s="101"/>
      <c r="B10312" s="102"/>
      <c r="C10312" s="87"/>
      <c r="D10312" s="103"/>
      <c r="F10312" s="101"/>
      <c r="G10312" s="104"/>
      <c r="H10312" s="86" t="e">
        <f>IF(I10312="fora",0%,G10312/QUÓRUM!$C$6)</f>
        <v>#DIV/0!</v>
      </c>
      <c r="I10312" s="87"/>
      <c r="J10312" s="88"/>
      <c r="K10312" s="88"/>
      <c r="L10312" s="89"/>
      <c r="M10312" s="89"/>
      <c r="O10312" s="105"/>
      <c r="P10312" s="105"/>
      <c r="Q10312" s="105"/>
      <c r="R10312" s="106"/>
      <c r="S10312" s="127"/>
      <c r="T10312" s="107"/>
    </row>
    <row r="10313" spans="1:20" x14ac:dyDescent="0.3">
      <c r="A10313" s="101"/>
      <c r="B10313" s="102"/>
      <c r="C10313" s="87"/>
      <c r="D10313" s="103"/>
      <c r="F10313" s="101"/>
      <c r="G10313" s="104"/>
      <c r="H10313" s="86" t="e">
        <f>IF(I10313="fora",0%,G10313/QUÓRUM!$C$6)</f>
        <v>#DIV/0!</v>
      </c>
      <c r="I10313" s="87"/>
      <c r="J10313" s="88"/>
      <c r="K10313" s="88"/>
      <c r="L10313" s="89"/>
      <c r="M10313" s="89"/>
      <c r="O10313" s="105"/>
      <c r="P10313" s="105"/>
      <c r="Q10313" s="105"/>
      <c r="R10313" s="106"/>
      <c r="S10313" s="127"/>
      <c r="T10313" s="107"/>
    </row>
    <row r="10314" spans="1:20" x14ac:dyDescent="0.3">
      <c r="A10314" s="101"/>
      <c r="B10314" s="102"/>
      <c r="C10314" s="87"/>
      <c r="D10314" s="103"/>
      <c r="F10314" s="101"/>
      <c r="G10314" s="104"/>
      <c r="H10314" s="86" t="e">
        <f>IF(I10314="fora",0%,G10314/QUÓRUM!$C$6)</f>
        <v>#DIV/0!</v>
      </c>
      <c r="I10314" s="87"/>
      <c r="J10314" s="88"/>
      <c r="K10314" s="88"/>
      <c r="L10314" s="89"/>
      <c r="M10314" s="89"/>
      <c r="O10314" s="105"/>
      <c r="P10314" s="105"/>
      <c r="Q10314" s="105"/>
      <c r="R10314" s="106"/>
      <c r="S10314" s="127"/>
      <c r="T10314" s="107"/>
    </row>
    <row r="10315" spans="1:20" x14ac:dyDescent="0.3">
      <c r="A10315" s="101"/>
      <c r="B10315" s="102"/>
      <c r="C10315" s="87"/>
      <c r="D10315" s="103"/>
      <c r="F10315" s="101"/>
      <c r="G10315" s="104"/>
      <c r="H10315" s="86" t="e">
        <f>IF(I10315="fora",0%,G10315/QUÓRUM!$C$6)</f>
        <v>#DIV/0!</v>
      </c>
      <c r="I10315" s="87"/>
      <c r="J10315" s="88"/>
      <c r="K10315" s="88"/>
      <c r="L10315" s="89"/>
      <c r="M10315" s="89"/>
      <c r="O10315" s="105"/>
      <c r="P10315" s="105"/>
      <c r="Q10315" s="105"/>
      <c r="R10315" s="106"/>
      <c r="S10315" s="127"/>
      <c r="T10315" s="107"/>
    </row>
    <row r="10316" spans="1:20" x14ac:dyDescent="0.3">
      <c r="A10316" s="101"/>
      <c r="B10316" s="102"/>
      <c r="C10316" s="87"/>
      <c r="D10316" s="103"/>
      <c r="F10316" s="101"/>
      <c r="G10316" s="104"/>
      <c r="H10316" s="86" t="e">
        <f>IF(I10316="fora",0%,G10316/QUÓRUM!$C$6)</f>
        <v>#DIV/0!</v>
      </c>
      <c r="I10316" s="87"/>
      <c r="J10316" s="88"/>
      <c r="K10316" s="88"/>
      <c r="L10316" s="89"/>
      <c r="M10316" s="89"/>
      <c r="O10316" s="105"/>
      <c r="P10316" s="105"/>
      <c r="Q10316" s="105"/>
      <c r="R10316" s="106"/>
      <c r="S10316" s="127"/>
      <c r="T10316" s="107"/>
    </row>
    <row r="10317" spans="1:20" x14ac:dyDescent="0.3">
      <c r="A10317" s="101"/>
      <c r="B10317" s="102"/>
      <c r="C10317" s="87"/>
      <c r="D10317" s="103"/>
      <c r="F10317" s="101"/>
      <c r="G10317" s="104"/>
      <c r="H10317" s="86" t="e">
        <f>IF(I10317="fora",0%,G10317/QUÓRUM!$C$6)</f>
        <v>#DIV/0!</v>
      </c>
      <c r="I10317" s="87"/>
      <c r="J10317" s="88"/>
      <c r="K10317" s="88"/>
      <c r="L10317" s="89"/>
      <c r="M10317" s="89"/>
      <c r="O10317" s="105"/>
      <c r="P10317" s="105"/>
      <c r="Q10317" s="105"/>
      <c r="R10317" s="106"/>
      <c r="S10317" s="127"/>
      <c r="T10317" s="107"/>
    </row>
    <row r="10318" spans="1:20" x14ac:dyDescent="0.3">
      <c r="A10318" s="101"/>
      <c r="B10318" s="102"/>
      <c r="C10318" s="87"/>
      <c r="D10318" s="103"/>
      <c r="F10318" s="101"/>
      <c r="G10318" s="104"/>
      <c r="H10318" s="86" t="e">
        <f>IF(I10318="fora",0%,G10318/QUÓRUM!$C$6)</f>
        <v>#DIV/0!</v>
      </c>
      <c r="I10318" s="87"/>
      <c r="J10318" s="88"/>
      <c r="K10318" s="88"/>
      <c r="L10318" s="89"/>
      <c r="M10318" s="89"/>
      <c r="O10318" s="105"/>
      <c r="P10318" s="105"/>
      <c r="Q10318" s="105"/>
      <c r="R10318" s="106"/>
      <c r="S10318" s="127"/>
      <c r="T10318" s="107"/>
    </row>
    <row r="10319" spans="1:20" x14ac:dyDescent="0.3">
      <c r="A10319" s="101"/>
      <c r="B10319" s="102"/>
      <c r="C10319" s="87"/>
      <c r="D10319" s="103"/>
      <c r="F10319" s="101"/>
      <c r="G10319" s="104"/>
      <c r="H10319" s="86" t="e">
        <f>IF(I10319="fora",0%,G10319/QUÓRUM!$C$6)</f>
        <v>#DIV/0!</v>
      </c>
      <c r="I10319" s="87"/>
      <c r="J10319" s="88"/>
      <c r="K10319" s="88"/>
      <c r="L10319" s="89"/>
      <c r="M10319" s="89"/>
      <c r="O10319" s="105"/>
      <c r="P10319" s="105"/>
      <c r="Q10319" s="105"/>
      <c r="R10319" s="106"/>
      <c r="S10319" s="127"/>
      <c r="T10319" s="107"/>
    </row>
    <row r="10320" spans="1:20" x14ac:dyDescent="0.3">
      <c r="A10320" s="101"/>
      <c r="B10320" s="102"/>
      <c r="C10320" s="87"/>
      <c r="D10320" s="103"/>
      <c r="F10320" s="101"/>
      <c r="G10320" s="104"/>
      <c r="H10320" s="86" t="e">
        <f>IF(I10320="fora",0%,G10320/QUÓRUM!$C$6)</f>
        <v>#DIV/0!</v>
      </c>
      <c r="I10320" s="87"/>
      <c r="J10320" s="88"/>
      <c r="K10320" s="88"/>
      <c r="L10320" s="89"/>
      <c r="M10320" s="89"/>
      <c r="O10320" s="105"/>
      <c r="P10320" s="105"/>
      <c r="Q10320" s="105"/>
      <c r="R10320" s="106"/>
      <c r="S10320" s="127"/>
      <c r="T10320" s="107"/>
    </row>
    <row r="10321" spans="1:20" x14ac:dyDescent="0.3">
      <c r="A10321" s="101"/>
      <c r="B10321" s="102"/>
      <c r="C10321" s="87"/>
      <c r="D10321" s="103"/>
      <c r="F10321" s="101"/>
      <c r="G10321" s="104"/>
      <c r="H10321" s="86" t="e">
        <f>IF(I10321="fora",0%,G10321/QUÓRUM!$C$6)</f>
        <v>#DIV/0!</v>
      </c>
      <c r="I10321" s="87"/>
      <c r="J10321" s="88"/>
      <c r="K10321" s="88"/>
      <c r="L10321" s="89"/>
      <c r="M10321" s="89"/>
      <c r="O10321" s="105"/>
      <c r="P10321" s="105"/>
      <c r="Q10321" s="105"/>
      <c r="R10321" s="106"/>
      <c r="S10321" s="127"/>
      <c r="T10321" s="107"/>
    </row>
    <row r="10322" spans="1:20" x14ac:dyDescent="0.3">
      <c r="A10322" s="101"/>
      <c r="B10322" s="102"/>
      <c r="C10322" s="87"/>
      <c r="D10322" s="103"/>
      <c r="F10322" s="101"/>
      <c r="G10322" s="104"/>
      <c r="H10322" s="86" t="e">
        <f>IF(I10322="fora",0%,G10322/QUÓRUM!$C$6)</f>
        <v>#DIV/0!</v>
      </c>
      <c r="I10322" s="87"/>
      <c r="J10322" s="88"/>
      <c r="K10322" s="88"/>
      <c r="L10322" s="89"/>
      <c r="M10322" s="89"/>
      <c r="O10322" s="105"/>
      <c r="P10322" s="105"/>
      <c r="Q10322" s="105"/>
      <c r="R10322" s="106"/>
      <c r="S10322" s="127"/>
      <c r="T10322" s="107"/>
    </row>
    <row r="10323" spans="1:20" x14ac:dyDescent="0.3">
      <c r="A10323" s="101"/>
      <c r="B10323" s="102"/>
      <c r="C10323" s="87"/>
      <c r="D10323" s="103"/>
      <c r="F10323" s="101"/>
      <c r="G10323" s="104"/>
      <c r="H10323" s="86" t="e">
        <f>IF(I10323="fora",0%,G10323/QUÓRUM!$C$6)</f>
        <v>#DIV/0!</v>
      </c>
      <c r="I10323" s="87"/>
      <c r="J10323" s="88"/>
      <c r="K10323" s="88"/>
      <c r="L10323" s="89"/>
      <c r="M10323" s="89"/>
      <c r="O10323" s="105"/>
      <c r="P10323" s="105"/>
      <c r="Q10323" s="105"/>
      <c r="R10323" s="106"/>
      <c r="S10323" s="127"/>
      <c r="T10323" s="107"/>
    </row>
    <row r="10324" spans="1:20" x14ac:dyDescent="0.3">
      <c r="A10324" s="101"/>
      <c r="B10324" s="102"/>
      <c r="C10324" s="87"/>
      <c r="D10324" s="103"/>
      <c r="F10324" s="101"/>
      <c r="G10324" s="109"/>
      <c r="H10324" s="86" t="e">
        <f>IF(I10324="fora",0%,G10324/QUÓRUM!$C$6)</f>
        <v>#DIV/0!</v>
      </c>
      <c r="I10324" s="87"/>
      <c r="J10324" s="88"/>
      <c r="K10324" s="88"/>
      <c r="L10324" s="89"/>
      <c r="M10324" s="89"/>
      <c r="O10324" s="105"/>
      <c r="P10324" s="105"/>
      <c r="Q10324" s="105"/>
      <c r="R10324" s="106"/>
      <c r="S10324" s="127"/>
      <c r="T10324" s="107"/>
    </row>
    <row r="10325" spans="1:20" x14ac:dyDescent="0.3">
      <c r="A10325" s="101"/>
      <c r="B10325" s="102"/>
      <c r="C10325" s="87"/>
      <c r="D10325" s="103"/>
      <c r="F10325" s="101"/>
      <c r="G10325" s="104"/>
      <c r="H10325" s="86" t="e">
        <f>IF(I10325="fora",0%,G10325/QUÓRUM!$C$6)</f>
        <v>#DIV/0!</v>
      </c>
      <c r="I10325" s="87"/>
      <c r="J10325" s="88"/>
      <c r="K10325" s="88"/>
      <c r="L10325" s="89"/>
      <c r="M10325" s="89"/>
      <c r="O10325" s="105"/>
      <c r="P10325" s="105"/>
      <c r="Q10325" s="105"/>
      <c r="R10325" s="106"/>
      <c r="S10325" s="127"/>
      <c r="T10325" s="107"/>
    </row>
    <row r="10326" spans="1:20" x14ac:dyDescent="0.3">
      <c r="A10326" s="101"/>
      <c r="B10326" s="102"/>
      <c r="C10326" s="87"/>
      <c r="D10326" s="103"/>
      <c r="F10326" s="101"/>
      <c r="G10326" s="104"/>
      <c r="H10326" s="86" t="e">
        <f>IF(I10326="fora",0%,G10326/QUÓRUM!$C$6)</f>
        <v>#DIV/0!</v>
      </c>
      <c r="I10326" s="87"/>
      <c r="J10326" s="88"/>
      <c r="K10326" s="88"/>
      <c r="L10326" s="89"/>
      <c r="M10326" s="89"/>
      <c r="O10326" s="105"/>
      <c r="P10326" s="105"/>
      <c r="Q10326" s="105"/>
      <c r="R10326" s="106"/>
      <c r="S10326" s="127"/>
      <c r="T10326" s="107"/>
    </row>
    <row r="10327" spans="1:20" x14ac:dyDescent="0.3">
      <c r="A10327" s="101"/>
      <c r="B10327" s="102"/>
      <c r="C10327" s="87"/>
      <c r="D10327" s="103"/>
      <c r="F10327" s="101"/>
      <c r="G10327" s="104"/>
      <c r="H10327" s="86" t="e">
        <f>IF(I10327="fora",0%,G10327/QUÓRUM!$C$6)</f>
        <v>#DIV/0!</v>
      </c>
      <c r="I10327" s="87"/>
      <c r="J10327" s="88"/>
      <c r="K10327" s="88"/>
      <c r="L10327" s="89"/>
      <c r="M10327" s="89"/>
      <c r="O10327" s="105"/>
      <c r="P10327" s="105"/>
      <c r="Q10327" s="105"/>
      <c r="R10327" s="106"/>
      <c r="S10327" s="127"/>
      <c r="T10327" s="107"/>
    </row>
    <row r="10328" spans="1:20" x14ac:dyDescent="0.3">
      <c r="A10328" s="101"/>
      <c r="B10328" s="102"/>
      <c r="C10328" s="87"/>
      <c r="D10328" s="103"/>
      <c r="F10328" s="101"/>
      <c r="G10328" s="104"/>
      <c r="H10328" s="86" t="e">
        <f>IF(I10328="fora",0%,G10328/QUÓRUM!$C$6)</f>
        <v>#DIV/0!</v>
      </c>
      <c r="I10328" s="87"/>
      <c r="J10328" s="88"/>
      <c r="K10328" s="88"/>
      <c r="L10328" s="89"/>
      <c r="M10328" s="89"/>
      <c r="O10328" s="105"/>
      <c r="P10328" s="105"/>
      <c r="Q10328" s="105"/>
      <c r="R10328" s="106"/>
      <c r="S10328" s="127"/>
      <c r="T10328" s="107"/>
    </row>
    <row r="10329" spans="1:20" x14ac:dyDescent="0.3">
      <c r="A10329" s="101"/>
      <c r="B10329" s="102"/>
      <c r="C10329" s="87"/>
      <c r="D10329" s="103"/>
      <c r="F10329" s="101"/>
      <c r="G10329" s="104"/>
      <c r="H10329" s="86" t="e">
        <f>IF(I10329="fora",0%,G10329/QUÓRUM!$C$6)</f>
        <v>#DIV/0!</v>
      </c>
      <c r="I10329" s="87"/>
      <c r="J10329" s="88"/>
      <c r="K10329" s="88"/>
      <c r="L10329" s="89"/>
      <c r="M10329" s="89"/>
      <c r="O10329" s="105"/>
      <c r="P10329" s="105"/>
      <c r="Q10329" s="105"/>
      <c r="R10329" s="106"/>
      <c r="S10329" s="127"/>
      <c r="T10329" s="107"/>
    </row>
    <row r="10330" spans="1:20" x14ac:dyDescent="0.3">
      <c r="A10330" s="101"/>
      <c r="B10330" s="102"/>
      <c r="C10330" s="87"/>
      <c r="D10330" s="103"/>
      <c r="F10330" s="101"/>
      <c r="G10330" s="104"/>
      <c r="H10330" s="86" t="e">
        <f>IF(I10330="fora",0%,G10330/QUÓRUM!$C$6)</f>
        <v>#DIV/0!</v>
      </c>
      <c r="I10330" s="87"/>
      <c r="J10330" s="88"/>
      <c r="K10330" s="88"/>
      <c r="L10330" s="89"/>
      <c r="M10330" s="89"/>
      <c r="O10330" s="105"/>
      <c r="P10330" s="105"/>
      <c r="Q10330" s="105"/>
      <c r="R10330" s="106"/>
      <c r="S10330" s="127"/>
      <c r="T10330" s="107"/>
    </row>
    <row r="10331" spans="1:20" x14ac:dyDescent="0.3">
      <c r="A10331" s="101"/>
      <c r="B10331" s="102"/>
      <c r="C10331" s="87"/>
      <c r="D10331" s="103"/>
      <c r="F10331" s="101"/>
      <c r="G10331" s="104"/>
      <c r="H10331" s="86" t="e">
        <f>IF(I10331="fora",0%,G10331/QUÓRUM!$C$6)</f>
        <v>#DIV/0!</v>
      </c>
      <c r="I10331" s="87"/>
      <c r="J10331" s="88"/>
      <c r="K10331" s="88"/>
      <c r="L10331" s="89"/>
      <c r="M10331" s="89"/>
      <c r="O10331" s="105"/>
      <c r="P10331" s="105"/>
      <c r="Q10331" s="105"/>
      <c r="R10331" s="106"/>
      <c r="S10331" s="127"/>
      <c r="T10331" s="107"/>
    </row>
    <row r="10332" spans="1:20" x14ac:dyDescent="0.3">
      <c r="A10332" s="101"/>
      <c r="B10332" s="102"/>
      <c r="C10332" s="87"/>
      <c r="D10332" s="103"/>
      <c r="F10332" s="101"/>
      <c r="G10332" s="104"/>
      <c r="H10332" s="86" t="e">
        <f>IF(I10332="fora",0%,G10332/QUÓRUM!$C$6)</f>
        <v>#DIV/0!</v>
      </c>
      <c r="I10332" s="87"/>
      <c r="J10332" s="88"/>
      <c r="K10332" s="88"/>
      <c r="L10332" s="89"/>
      <c r="M10332" s="89"/>
      <c r="O10332" s="105"/>
      <c r="P10332" s="105"/>
      <c r="Q10332" s="105"/>
      <c r="R10332" s="106"/>
      <c r="S10332" s="127"/>
      <c r="T10332" s="107"/>
    </row>
    <row r="10333" spans="1:20" x14ac:dyDescent="0.3">
      <c r="A10333" s="101"/>
      <c r="B10333" s="102"/>
      <c r="C10333" s="87"/>
      <c r="D10333" s="103"/>
      <c r="F10333" s="101"/>
      <c r="G10333" s="104"/>
      <c r="H10333" s="86" t="e">
        <f>IF(I10333="fora",0%,G10333/QUÓRUM!$C$6)</f>
        <v>#DIV/0!</v>
      </c>
      <c r="I10333" s="87"/>
      <c r="J10333" s="88"/>
      <c r="K10333" s="88"/>
      <c r="L10333" s="89"/>
      <c r="M10333" s="89"/>
      <c r="O10333" s="105"/>
      <c r="P10333" s="105"/>
      <c r="Q10333" s="105"/>
      <c r="R10333" s="106"/>
      <c r="S10333" s="127"/>
      <c r="T10333" s="107"/>
    </row>
    <row r="10334" spans="1:20" x14ac:dyDescent="0.3">
      <c r="A10334" s="101"/>
      <c r="B10334" s="102"/>
      <c r="C10334" s="87"/>
      <c r="D10334" s="103"/>
      <c r="F10334" s="101"/>
      <c r="G10334" s="104"/>
      <c r="H10334" s="86" t="e">
        <f>IF(I10334="fora",0%,G10334/QUÓRUM!$C$6)</f>
        <v>#DIV/0!</v>
      </c>
      <c r="I10334" s="87"/>
      <c r="J10334" s="88"/>
      <c r="K10334" s="88"/>
      <c r="L10334" s="89"/>
      <c r="M10334" s="89"/>
      <c r="O10334" s="105"/>
      <c r="P10334" s="105"/>
      <c r="Q10334" s="105"/>
      <c r="R10334" s="106"/>
      <c r="S10334" s="127"/>
      <c r="T10334" s="107"/>
    </row>
    <row r="10335" spans="1:20" x14ac:dyDescent="0.3">
      <c r="A10335" s="101"/>
      <c r="B10335" s="102"/>
      <c r="C10335" s="87"/>
      <c r="D10335" s="103"/>
      <c r="F10335" s="101"/>
      <c r="G10335" s="104"/>
      <c r="H10335" s="86" t="e">
        <f>IF(I10335="fora",0%,G10335/QUÓRUM!$C$6)</f>
        <v>#DIV/0!</v>
      </c>
      <c r="I10335" s="87"/>
      <c r="J10335" s="88"/>
      <c r="K10335" s="88"/>
      <c r="L10335" s="89"/>
      <c r="M10335" s="89"/>
      <c r="O10335" s="105"/>
      <c r="P10335" s="105"/>
      <c r="Q10335" s="105"/>
      <c r="R10335" s="106"/>
      <c r="S10335" s="127"/>
      <c r="T10335" s="107"/>
    </row>
    <row r="10336" spans="1:20" x14ac:dyDescent="0.3">
      <c r="A10336" s="101"/>
      <c r="B10336" s="102"/>
      <c r="C10336" s="87"/>
      <c r="D10336" s="103"/>
      <c r="F10336" s="101"/>
      <c r="G10336" s="104"/>
      <c r="H10336" s="86" t="e">
        <f>IF(I10336="fora",0%,G10336/QUÓRUM!$C$6)</f>
        <v>#DIV/0!</v>
      </c>
      <c r="I10336" s="87"/>
      <c r="J10336" s="88"/>
      <c r="K10336" s="88"/>
      <c r="L10336" s="89"/>
      <c r="M10336" s="89"/>
      <c r="O10336" s="105"/>
      <c r="P10336" s="105"/>
      <c r="Q10336" s="105"/>
      <c r="R10336" s="106"/>
      <c r="S10336" s="127"/>
      <c r="T10336" s="107"/>
    </row>
    <row r="10337" spans="1:20" x14ac:dyDescent="0.3">
      <c r="A10337" s="101"/>
      <c r="B10337" s="102"/>
      <c r="C10337" s="87"/>
      <c r="D10337" s="103"/>
      <c r="F10337" s="101"/>
      <c r="G10337" s="104"/>
      <c r="H10337" s="86" t="e">
        <f>IF(I10337="fora",0%,G10337/QUÓRUM!$C$6)</f>
        <v>#DIV/0!</v>
      </c>
      <c r="I10337" s="87"/>
      <c r="J10337" s="88"/>
      <c r="K10337" s="88"/>
      <c r="L10337" s="89"/>
      <c r="M10337" s="89"/>
      <c r="O10337" s="105"/>
      <c r="P10337" s="105"/>
      <c r="Q10337" s="105"/>
      <c r="R10337" s="106"/>
      <c r="S10337" s="127"/>
      <c r="T10337" s="107"/>
    </row>
    <row r="10338" spans="1:20" x14ac:dyDescent="0.3">
      <c r="A10338" s="101"/>
      <c r="B10338" s="102"/>
      <c r="C10338" s="87"/>
      <c r="D10338" s="103"/>
      <c r="F10338" s="101"/>
      <c r="G10338" s="104"/>
      <c r="H10338" s="86" t="e">
        <f>IF(I10338="fora",0%,G10338/QUÓRUM!$C$6)</f>
        <v>#DIV/0!</v>
      </c>
      <c r="I10338" s="87"/>
      <c r="J10338" s="88"/>
      <c r="K10338" s="88"/>
      <c r="L10338" s="89"/>
      <c r="M10338" s="89"/>
      <c r="O10338" s="105"/>
      <c r="P10338" s="105"/>
      <c r="Q10338" s="105"/>
      <c r="R10338" s="106"/>
      <c r="S10338" s="127"/>
      <c r="T10338" s="107"/>
    </row>
    <row r="10339" spans="1:20" x14ac:dyDescent="0.3">
      <c r="A10339" s="101"/>
      <c r="B10339" s="102"/>
      <c r="C10339" s="87"/>
      <c r="D10339" s="103"/>
      <c r="F10339" s="101"/>
      <c r="G10339" s="104"/>
      <c r="H10339" s="86" t="e">
        <f>IF(I10339="fora",0%,G10339/QUÓRUM!$C$6)</f>
        <v>#DIV/0!</v>
      </c>
      <c r="I10339" s="87"/>
      <c r="J10339" s="88"/>
      <c r="K10339" s="88"/>
      <c r="L10339" s="89"/>
      <c r="M10339" s="89"/>
      <c r="O10339" s="105"/>
      <c r="P10339" s="105"/>
      <c r="Q10339" s="105"/>
      <c r="R10339" s="106"/>
      <c r="S10339" s="127"/>
      <c r="T10339" s="107"/>
    </row>
    <row r="10340" spans="1:20" x14ac:dyDescent="0.3">
      <c r="A10340" s="101"/>
      <c r="B10340" s="102"/>
      <c r="C10340" s="87"/>
      <c r="D10340" s="103"/>
      <c r="F10340" s="101"/>
      <c r="G10340" s="104"/>
      <c r="H10340" s="86" t="e">
        <f>IF(I10340="fora",0%,G10340/QUÓRUM!$C$6)</f>
        <v>#DIV/0!</v>
      </c>
      <c r="I10340" s="87"/>
      <c r="J10340" s="88"/>
      <c r="K10340" s="88"/>
      <c r="L10340" s="89"/>
      <c r="M10340" s="89"/>
      <c r="O10340" s="105"/>
      <c r="P10340" s="105"/>
      <c r="Q10340" s="105"/>
      <c r="R10340" s="106"/>
      <c r="S10340" s="127"/>
      <c r="T10340" s="107"/>
    </row>
    <row r="10341" spans="1:20" x14ac:dyDescent="0.3">
      <c r="A10341" s="101"/>
      <c r="B10341" s="102"/>
      <c r="C10341" s="87"/>
      <c r="D10341" s="103"/>
      <c r="F10341" s="101"/>
      <c r="G10341" s="104"/>
      <c r="H10341" s="86" t="e">
        <f>IF(I10341="fora",0%,G10341/QUÓRUM!$C$6)</f>
        <v>#DIV/0!</v>
      </c>
      <c r="I10341" s="87"/>
      <c r="J10341" s="88"/>
      <c r="K10341" s="88"/>
      <c r="L10341" s="89"/>
      <c r="M10341" s="89"/>
      <c r="O10341" s="105"/>
      <c r="P10341" s="105"/>
      <c r="Q10341" s="105"/>
      <c r="R10341" s="106"/>
      <c r="S10341" s="127"/>
      <c r="T10341" s="107"/>
    </row>
    <row r="10342" spans="1:20" x14ac:dyDescent="0.3">
      <c r="A10342" s="101"/>
      <c r="B10342" s="102"/>
      <c r="C10342" s="87"/>
      <c r="D10342" s="103"/>
      <c r="F10342" s="101"/>
      <c r="G10342" s="104"/>
      <c r="H10342" s="86" t="e">
        <f>IF(I10342="fora",0%,G10342/QUÓRUM!$C$6)</f>
        <v>#DIV/0!</v>
      </c>
      <c r="I10342" s="87"/>
      <c r="J10342" s="88"/>
      <c r="K10342" s="88"/>
      <c r="L10342" s="89"/>
      <c r="M10342" s="89"/>
      <c r="O10342" s="105"/>
      <c r="P10342" s="105"/>
      <c r="Q10342" s="105"/>
      <c r="R10342" s="106"/>
      <c r="S10342" s="127"/>
      <c r="T10342" s="107"/>
    </row>
    <row r="10343" spans="1:20" x14ac:dyDescent="0.3">
      <c r="A10343" s="101"/>
      <c r="B10343" s="102"/>
      <c r="C10343" s="87"/>
      <c r="D10343" s="103"/>
      <c r="F10343" s="101"/>
      <c r="G10343" s="104"/>
      <c r="H10343" s="86" t="e">
        <f>IF(I10343="fora",0%,G10343/QUÓRUM!$C$6)</f>
        <v>#DIV/0!</v>
      </c>
      <c r="I10343" s="87"/>
      <c r="J10343" s="88"/>
      <c r="K10343" s="88"/>
      <c r="L10343" s="89"/>
      <c r="M10343" s="89"/>
      <c r="O10343" s="105"/>
      <c r="P10343" s="105"/>
      <c r="Q10343" s="105"/>
      <c r="R10343" s="106"/>
      <c r="S10343" s="127"/>
      <c r="T10343" s="107"/>
    </row>
    <row r="10344" spans="1:20" x14ac:dyDescent="0.3">
      <c r="A10344" s="101"/>
      <c r="B10344" s="102"/>
      <c r="C10344" s="87"/>
      <c r="D10344" s="103"/>
      <c r="F10344" s="101"/>
      <c r="G10344" s="104"/>
      <c r="H10344" s="86" t="e">
        <f>IF(I10344="fora",0%,G10344/QUÓRUM!$C$6)</f>
        <v>#DIV/0!</v>
      </c>
      <c r="I10344" s="87"/>
      <c r="J10344" s="88"/>
      <c r="K10344" s="88"/>
      <c r="L10344" s="89"/>
      <c r="M10344" s="89"/>
      <c r="O10344" s="105"/>
      <c r="P10344" s="105"/>
      <c r="Q10344" s="105"/>
      <c r="R10344" s="106"/>
      <c r="S10344" s="127"/>
      <c r="T10344" s="107"/>
    </row>
    <row r="10345" spans="1:20" x14ac:dyDescent="0.3">
      <c r="A10345" s="101"/>
      <c r="B10345" s="102"/>
      <c r="C10345" s="87"/>
      <c r="D10345" s="103"/>
      <c r="F10345" s="101"/>
      <c r="G10345" s="104"/>
      <c r="H10345" s="86" t="e">
        <f>IF(I10345="fora",0%,G10345/QUÓRUM!$C$6)</f>
        <v>#DIV/0!</v>
      </c>
      <c r="I10345" s="87"/>
      <c r="J10345" s="88"/>
      <c r="K10345" s="88"/>
      <c r="L10345" s="89"/>
      <c r="M10345" s="89"/>
      <c r="O10345" s="105"/>
      <c r="P10345" s="105"/>
      <c r="Q10345" s="105"/>
      <c r="R10345" s="106"/>
      <c r="S10345" s="127"/>
      <c r="T10345" s="107"/>
    </row>
    <row r="10346" spans="1:20" x14ac:dyDescent="0.3">
      <c r="A10346" s="101"/>
      <c r="B10346" s="102"/>
      <c r="C10346" s="87"/>
      <c r="D10346" s="103"/>
      <c r="F10346" s="101"/>
      <c r="G10346" s="104"/>
      <c r="H10346" s="86" t="e">
        <f>IF(I10346="fora",0%,G10346/QUÓRUM!$C$6)</f>
        <v>#DIV/0!</v>
      </c>
      <c r="I10346" s="87"/>
      <c r="J10346" s="88"/>
      <c r="K10346" s="88"/>
      <c r="L10346" s="89"/>
      <c r="M10346" s="89"/>
      <c r="O10346" s="105"/>
      <c r="P10346" s="105"/>
      <c r="Q10346" s="105"/>
      <c r="R10346" s="106"/>
      <c r="S10346" s="127"/>
      <c r="T10346" s="107"/>
    </row>
    <row r="10347" spans="1:20" x14ac:dyDescent="0.3">
      <c r="A10347" s="101"/>
      <c r="B10347" s="102"/>
      <c r="C10347" s="87"/>
      <c r="D10347" s="103"/>
      <c r="F10347" s="101"/>
      <c r="G10347" s="104"/>
      <c r="H10347" s="86" t="e">
        <f>IF(I10347="fora",0%,G10347/QUÓRUM!$C$6)</f>
        <v>#DIV/0!</v>
      </c>
      <c r="I10347" s="87"/>
      <c r="J10347" s="88"/>
      <c r="K10347" s="88"/>
      <c r="L10347" s="89"/>
      <c r="M10347" s="89"/>
      <c r="O10347" s="105"/>
      <c r="P10347" s="105"/>
      <c r="Q10347" s="105"/>
      <c r="R10347" s="106"/>
      <c r="S10347" s="127"/>
      <c r="T10347" s="107"/>
    </row>
    <row r="10348" spans="1:20" x14ac:dyDescent="0.3">
      <c r="A10348" s="101"/>
      <c r="B10348" s="102"/>
      <c r="C10348" s="87"/>
      <c r="D10348" s="103"/>
      <c r="F10348" s="101"/>
      <c r="G10348" s="104"/>
      <c r="H10348" s="86" t="e">
        <f>IF(I10348="fora",0%,G10348/QUÓRUM!$C$6)</f>
        <v>#DIV/0!</v>
      </c>
      <c r="I10348" s="87"/>
      <c r="J10348" s="88"/>
      <c r="K10348" s="88"/>
      <c r="L10348" s="89"/>
      <c r="M10348" s="89"/>
      <c r="O10348" s="105"/>
      <c r="P10348" s="105"/>
      <c r="Q10348" s="105"/>
      <c r="R10348" s="106"/>
      <c r="S10348" s="127"/>
      <c r="T10348" s="107"/>
    </row>
    <row r="10349" spans="1:20" x14ac:dyDescent="0.3">
      <c r="C10349" s="87"/>
      <c r="H10349" s="86" t="e">
        <f>IF(I10349="fora",0%,G10349/QUÓRUM!$C$6)</f>
        <v>#DIV/0!</v>
      </c>
      <c r="I10349" s="87"/>
      <c r="J10349" s="88"/>
      <c r="K10349" s="88"/>
      <c r="L10349" s="89"/>
      <c r="M10349" s="89"/>
      <c r="Q10349" s="105"/>
    </row>
    <row r="10350" spans="1:20" x14ac:dyDescent="0.3">
      <c r="C10350" s="87"/>
      <c r="H10350" s="86" t="e">
        <f>IF(I10350="fora",0%,G10350/QUÓRUM!$C$6)</f>
        <v>#DIV/0!</v>
      </c>
      <c r="I10350" s="87"/>
      <c r="J10350" s="88"/>
      <c r="K10350" s="88"/>
      <c r="L10350" s="89"/>
      <c r="M10350" s="89"/>
      <c r="Q10350" s="105"/>
    </row>
    <row r="10351" spans="1:20" x14ac:dyDescent="0.3">
      <c r="C10351" s="87"/>
      <c r="H10351" s="86" t="e">
        <f>IF(I10351="fora",0%,G10351/QUÓRUM!$C$6)</f>
        <v>#DIV/0!</v>
      </c>
      <c r="I10351" s="87"/>
      <c r="J10351" s="88"/>
      <c r="K10351" s="88"/>
      <c r="L10351" s="89"/>
      <c r="M10351" s="89"/>
      <c r="Q10351" s="105"/>
    </row>
    <row r="10352" spans="1:20" x14ac:dyDescent="0.3">
      <c r="C10352" s="87"/>
      <c r="H10352" s="86" t="e">
        <f>IF(I10352="fora",0%,G10352/QUÓRUM!$C$6)</f>
        <v>#DIV/0!</v>
      </c>
      <c r="I10352" s="87"/>
      <c r="J10352" s="88"/>
      <c r="K10352" s="88"/>
      <c r="L10352" s="89"/>
      <c r="M10352" s="89"/>
      <c r="Q10352" s="105"/>
    </row>
    <row r="10353" spans="3:17" x14ac:dyDescent="0.3">
      <c r="C10353" s="87"/>
      <c r="H10353" s="86" t="e">
        <f>IF(I10353="fora",0%,G10353/QUÓRUM!$C$6)</f>
        <v>#DIV/0!</v>
      </c>
      <c r="I10353" s="87"/>
      <c r="J10353" s="88"/>
      <c r="K10353" s="88"/>
      <c r="L10353" s="89"/>
      <c r="M10353" s="89"/>
      <c r="Q10353" s="105"/>
    </row>
    <row r="10354" spans="3:17" x14ac:dyDescent="0.3">
      <c r="C10354" s="87"/>
      <c r="H10354" s="86" t="e">
        <f>IF(I10354="fora",0%,G10354/QUÓRUM!$C$6)</f>
        <v>#DIV/0!</v>
      </c>
      <c r="I10354" s="87"/>
      <c r="J10354" s="88"/>
      <c r="K10354" s="88"/>
      <c r="L10354" s="89"/>
      <c r="M10354" s="89"/>
      <c r="Q10354" s="105"/>
    </row>
    <row r="10355" spans="3:17" x14ac:dyDescent="0.3">
      <c r="C10355" s="87"/>
      <c r="H10355" s="86" t="e">
        <f>IF(I10355="fora",0%,G10355/QUÓRUM!$C$6)</f>
        <v>#DIV/0!</v>
      </c>
      <c r="I10355" s="87"/>
      <c r="J10355" s="88"/>
      <c r="K10355" s="88"/>
      <c r="L10355" s="89"/>
      <c r="M10355" s="89"/>
      <c r="Q10355" s="105"/>
    </row>
    <row r="10356" spans="3:17" x14ac:dyDescent="0.3">
      <c r="C10356" s="87"/>
      <c r="H10356" s="86" t="e">
        <f>IF(I10356="fora",0%,G10356/QUÓRUM!$C$6)</f>
        <v>#DIV/0!</v>
      </c>
      <c r="I10356" s="87"/>
      <c r="J10356" s="88"/>
      <c r="K10356" s="88"/>
      <c r="L10356" s="89"/>
      <c r="M10356" s="89"/>
      <c r="Q10356" s="105"/>
    </row>
    <row r="10357" spans="3:17" x14ac:dyDescent="0.3">
      <c r="C10357" s="87"/>
      <c r="H10357" s="86" t="e">
        <f>IF(I10357="fora",0%,G10357/QUÓRUM!$C$6)</f>
        <v>#DIV/0!</v>
      </c>
      <c r="I10357" s="87"/>
      <c r="J10357" s="88"/>
      <c r="K10357" s="88"/>
      <c r="L10357" s="89"/>
      <c r="M10357" s="89"/>
      <c r="Q10357" s="105"/>
    </row>
    <row r="10358" spans="3:17" x14ac:dyDescent="0.3">
      <c r="C10358" s="87"/>
      <c r="H10358" s="86" t="e">
        <f>IF(I10358="fora",0%,G10358/QUÓRUM!$C$6)</f>
        <v>#DIV/0!</v>
      </c>
      <c r="I10358" s="87"/>
      <c r="J10358" s="88"/>
      <c r="K10358" s="88"/>
      <c r="L10358" s="89"/>
      <c r="M10358" s="89"/>
      <c r="Q10358" s="105"/>
    </row>
    <row r="10359" spans="3:17" x14ac:dyDescent="0.3">
      <c r="C10359" s="87"/>
      <c r="H10359" s="86" t="e">
        <f>IF(I10359="fora",0%,G10359/QUÓRUM!$C$6)</f>
        <v>#DIV/0!</v>
      </c>
      <c r="I10359" s="87"/>
      <c r="J10359" s="88"/>
      <c r="K10359" s="88"/>
      <c r="L10359" s="89"/>
      <c r="M10359" s="89"/>
      <c r="Q10359" s="105"/>
    </row>
    <row r="10360" spans="3:17" x14ac:dyDescent="0.3">
      <c r="C10360" s="87"/>
      <c r="H10360" s="86" t="e">
        <f>IF(I10360="fora",0%,G10360/QUÓRUM!$C$6)</f>
        <v>#DIV/0!</v>
      </c>
      <c r="I10360" s="87"/>
      <c r="J10360" s="88"/>
      <c r="K10360" s="88"/>
      <c r="L10360" s="89"/>
      <c r="M10360" s="89"/>
      <c r="Q10360" s="105"/>
    </row>
    <row r="10361" spans="3:17" x14ac:dyDescent="0.3">
      <c r="C10361" s="87"/>
      <c r="H10361" s="86" t="e">
        <f>IF(I10361="fora",0%,G10361/QUÓRUM!$C$6)</f>
        <v>#DIV/0!</v>
      </c>
      <c r="I10361" s="87"/>
      <c r="J10361" s="88"/>
      <c r="K10361" s="88"/>
      <c r="L10361" s="89"/>
      <c r="M10361" s="89"/>
      <c r="Q10361" s="105"/>
    </row>
    <row r="10362" spans="3:17" x14ac:dyDescent="0.3">
      <c r="C10362" s="87"/>
      <c r="H10362" s="86" t="e">
        <f>IF(I10362="fora",0%,G10362/QUÓRUM!$C$6)</f>
        <v>#DIV/0!</v>
      </c>
      <c r="I10362" s="87"/>
      <c r="J10362" s="88"/>
      <c r="K10362" s="88"/>
      <c r="L10362" s="89"/>
      <c r="M10362" s="89"/>
      <c r="Q10362" s="105"/>
    </row>
    <row r="10363" spans="3:17" x14ac:dyDescent="0.3">
      <c r="C10363" s="87"/>
      <c r="H10363" s="86" t="e">
        <f>IF(I10363="fora",0%,G10363/QUÓRUM!$C$6)</f>
        <v>#DIV/0!</v>
      </c>
      <c r="I10363" s="87"/>
      <c r="J10363" s="88"/>
      <c r="K10363" s="88"/>
      <c r="L10363" s="89"/>
      <c r="M10363" s="89"/>
      <c r="Q10363" s="105"/>
    </row>
    <row r="10364" spans="3:17" x14ac:dyDescent="0.3">
      <c r="C10364" s="87"/>
      <c r="H10364" s="86" t="e">
        <f>IF(I10364="fora",0%,G10364/QUÓRUM!$C$6)</f>
        <v>#DIV/0!</v>
      </c>
      <c r="I10364" s="87"/>
      <c r="J10364" s="88"/>
      <c r="K10364" s="88"/>
      <c r="L10364" s="89"/>
      <c r="M10364" s="89"/>
      <c r="Q10364" s="105"/>
    </row>
    <row r="10365" spans="3:17" x14ac:dyDescent="0.3">
      <c r="C10365" s="87"/>
      <c r="H10365" s="86" t="e">
        <f>IF(I10365="fora",0%,G10365/QUÓRUM!$C$6)</f>
        <v>#DIV/0!</v>
      </c>
      <c r="I10365" s="87"/>
      <c r="J10365" s="88"/>
      <c r="K10365" s="88"/>
      <c r="L10365" s="89"/>
      <c r="M10365" s="89"/>
      <c r="Q10365" s="105"/>
    </row>
    <row r="10366" spans="3:17" x14ac:dyDescent="0.3">
      <c r="C10366" s="87"/>
      <c r="H10366" s="86" t="e">
        <f>IF(I10366="fora",0%,G10366/QUÓRUM!$C$6)</f>
        <v>#DIV/0!</v>
      </c>
      <c r="I10366" s="87"/>
      <c r="J10366" s="88"/>
      <c r="K10366" s="88"/>
      <c r="L10366" s="89"/>
      <c r="M10366" s="89"/>
      <c r="Q10366" s="105"/>
    </row>
    <row r="10367" spans="3:17" x14ac:dyDescent="0.3">
      <c r="C10367" s="87"/>
      <c r="H10367" s="86" t="e">
        <f>IF(I10367="fora",0%,G10367/QUÓRUM!$C$6)</f>
        <v>#DIV/0!</v>
      </c>
      <c r="I10367" s="87"/>
      <c r="J10367" s="88"/>
      <c r="K10367" s="88"/>
      <c r="L10367" s="89"/>
      <c r="M10367" s="89"/>
      <c r="Q10367" s="105"/>
    </row>
    <row r="10368" spans="3:17" x14ac:dyDescent="0.3">
      <c r="C10368" s="87"/>
      <c r="H10368" s="86" t="e">
        <f>IF(I10368="fora",0%,G10368/QUÓRUM!$C$6)</f>
        <v>#DIV/0!</v>
      </c>
      <c r="I10368" s="87"/>
      <c r="J10368" s="88"/>
      <c r="K10368" s="88"/>
      <c r="L10368" s="89"/>
      <c r="M10368" s="89"/>
      <c r="Q10368" s="105"/>
    </row>
    <row r="10369" spans="3:17" x14ac:dyDescent="0.3">
      <c r="C10369" s="87"/>
      <c r="H10369" s="86" t="e">
        <f>IF(I10369="fora",0%,G10369/QUÓRUM!$C$6)</f>
        <v>#DIV/0!</v>
      </c>
      <c r="I10369" s="87"/>
      <c r="J10369" s="88"/>
      <c r="K10369" s="88"/>
      <c r="L10369" s="89"/>
      <c r="M10369" s="89"/>
      <c r="Q10369" s="105"/>
    </row>
    <row r="10370" spans="3:17" x14ac:dyDescent="0.3">
      <c r="C10370" s="87"/>
      <c r="H10370" s="86" t="e">
        <f>IF(I10370="fora",0%,G10370/QUÓRUM!$C$6)</f>
        <v>#DIV/0!</v>
      </c>
      <c r="I10370" s="87"/>
      <c r="J10370" s="88"/>
      <c r="K10370" s="88"/>
      <c r="L10370" s="89"/>
      <c r="M10370" s="89"/>
      <c r="Q10370" s="105"/>
    </row>
    <row r="10371" spans="3:17" x14ac:dyDescent="0.3">
      <c r="C10371" s="87"/>
      <c r="H10371" s="86" t="e">
        <f>IF(I10371="fora",0%,G10371/QUÓRUM!$C$6)</f>
        <v>#DIV/0!</v>
      </c>
      <c r="I10371" s="87"/>
      <c r="J10371" s="88"/>
      <c r="K10371" s="88"/>
      <c r="L10371" s="89"/>
      <c r="M10371" s="89"/>
      <c r="Q10371" s="105"/>
    </row>
    <row r="10372" spans="3:17" x14ac:dyDescent="0.3">
      <c r="C10372" s="87"/>
      <c r="H10372" s="86" t="e">
        <f>IF(I10372="fora",0%,G10372/QUÓRUM!$C$6)</f>
        <v>#DIV/0!</v>
      </c>
      <c r="I10372" s="87"/>
      <c r="J10372" s="88"/>
      <c r="K10372" s="88"/>
      <c r="L10372" s="89"/>
      <c r="M10372" s="89"/>
      <c r="Q10372" s="105"/>
    </row>
    <row r="10373" spans="3:17" x14ac:dyDescent="0.3">
      <c r="C10373" s="87"/>
      <c r="H10373" s="86" t="e">
        <f>IF(I10373="fora",0%,G10373/QUÓRUM!$C$6)</f>
        <v>#DIV/0!</v>
      </c>
      <c r="I10373" s="87"/>
      <c r="J10373" s="88"/>
      <c r="K10373" s="88"/>
      <c r="L10373" s="89"/>
      <c r="M10373" s="89"/>
      <c r="Q10373" s="105"/>
    </row>
    <row r="10374" spans="3:17" x14ac:dyDescent="0.3">
      <c r="C10374" s="87"/>
      <c r="H10374" s="86" t="e">
        <f>IF(I10374="fora",0%,G10374/QUÓRUM!$C$6)</f>
        <v>#DIV/0!</v>
      </c>
      <c r="I10374" s="87"/>
      <c r="J10374" s="88"/>
      <c r="K10374" s="88"/>
      <c r="L10374" s="89"/>
      <c r="M10374" s="89"/>
      <c r="Q10374" s="105"/>
    </row>
    <row r="10375" spans="3:17" x14ac:dyDescent="0.3">
      <c r="C10375" s="87"/>
      <c r="H10375" s="86" t="e">
        <f>IF(I10375="fora",0%,G10375/QUÓRUM!$C$6)</f>
        <v>#DIV/0!</v>
      </c>
      <c r="I10375" s="87"/>
      <c r="J10375" s="88"/>
      <c r="K10375" s="88"/>
      <c r="L10375" s="89"/>
      <c r="M10375" s="89"/>
      <c r="Q10375" s="105"/>
    </row>
    <row r="10376" spans="3:17" x14ac:dyDescent="0.3">
      <c r="C10376" s="87"/>
      <c r="H10376" s="86" t="e">
        <f>IF(I10376="fora",0%,G10376/QUÓRUM!$C$6)</f>
        <v>#DIV/0!</v>
      </c>
      <c r="I10376" s="87"/>
      <c r="J10376" s="88"/>
      <c r="K10376" s="88"/>
      <c r="L10376" s="89"/>
      <c r="M10376" s="89"/>
      <c r="Q10376" s="105"/>
    </row>
    <row r="10377" spans="3:17" x14ac:dyDescent="0.3">
      <c r="C10377" s="87"/>
      <c r="H10377" s="86" t="e">
        <f>IF(I10377="fora",0%,G10377/QUÓRUM!$C$6)</f>
        <v>#DIV/0!</v>
      </c>
      <c r="I10377" s="87"/>
      <c r="J10377" s="88"/>
      <c r="K10377" s="88"/>
      <c r="L10377" s="89"/>
      <c r="M10377" s="89"/>
      <c r="Q10377" s="105"/>
    </row>
    <row r="10378" spans="3:17" x14ac:dyDescent="0.3">
      <c r="C10378" s="87"/>
      <c r="H10378" s="86" t="e">
        <f>IF(I10378="fora",0%,G10378/QUÓRUM!$C$6)</f>
        <v>#DIV/0!</v>
      </c>
      <c r="I10378" s="87"/>
      <c r="J10378" s="88"/>
      <c r="K10378" s="88"/>
      <c r="L10378" s="89"/>
      <c r="M10378" s="89"/>
      <c r="Q10378" s="105"/>
    </row>
    <row r="10379" spans="3:17" x14ac:dyDescent="0.3">
      <c r="C10379" s="87"/>
      <c r="H10379" s="86" t="e">
        <f>IF(I10379="fora",0%,G10379/QUÓRUM!$C$6)</f>
        <v>#DIV/0!</v>
      </c>
      <c r="I10379" s="87"/>
      <c r="J10379" s="88"/>
      <c r="K10379" s="88"/>
      <c r="L10379" s="89"/>
      <c r="M10379" s="89"/>
      <c r="Q10379" s="105"/>
    </row>
    <row r="10380" spans="3:17" x14ac:dyDescent="0.3">
      <c r="C10380" s="87"/>
      <c r="H10380" s="86" t="e">
        <f>IF(I10380="fora",0%,G10380/QUÓRUM!$C$6)</f>
        <v>#DIV/0!</v>
      </c>
      <c r="I10380" s="87"/>
      <c r="J10380" s="88"/>
      <c r="K10380" s="88"/>
      <c r="L10380" s="89"/>
      <c r="M10380" s="89"/>
      <c r="Q10380" s="105"/>
    </row>
    <row r="10381" spans="3:17" x14ac:dyDescent="0.3">
      <c r="C10381" s="87"/>
      <c r="H10381" s="86" t="e">
        <f>IF(I10381="fora",0%,G10381/QUÓRUM!$C$6)</f>
        <v>#DIV/0!</v>
      </c>
      <c r="I10381" s="87"/>
      <c r="J10381" s="88"/>
      <c r="K10381" s="88"/>
      <c r="L10381" s="89"/>
      <c r="M10381" s="89"/>
      <c r="Q10381" s="105"/>
    </row>
    <row r="10382" spans="3:17" x14ac:dyDescent="0.3">
      <c r="C10382" s="87"/>
      <c r="H10382" s="86" t="e">
        <f>IF(I10382="fora",0%,G10382/QUÓRUM!$C$6)</f>
        <v>#DIV/0!</v>
      </c>
      <c r="I10382" s="87"/>
      <c r="J10382" s="88"/>
      <c r="K10382" s="88"/>
      <c r="L10382" s="89"/>
      <c r="M10382" s="89"/>
      <c r="Q10382" s="105"/>
    </row>
    <row r="10383" spans="3:17" x14ac:dyDescent="0.3">
      <c r="C10383" s="87"/>
      <c r="H10383" s="86" t="e">
        <f>IF(I10383="fora",0%,G10383/QUÓRUM!$C$6)</f>
        <v>#DIV/0!</v>
      </c>
      <c r="I10383" s="87"/>
      <c r="J10383" s="88"/>
      <c r="K10383" s="88"/>
      <c r="L10383" s="89"/>
      <c r="M10383" s="89"/>
      <c r="Q10383" s="105"/>
    </row>
    <row r="10384" spans="3:17" x14ac:dyDescent="0.3">
      <c r="C10384" s="87"/>
      <c r="H10384" s="86" t="e">
        <f>IF(I10384="fora",0%,G10384/QUÓRUM!$C$6)</f>
        <v>#DIV/0!</v>
      </c>
      <c r="I10384" s="87"/>
      <c r="J10384" s="88"/>
      <c r="K10384" s="88"/>
      <c r="L10384" s="89"/>
      <c r="M10384" s="89"/>
      <c r="Q10384" s="105"/>
    </row>
    <row r="10385" spans="3:17" x14ac:dyDescent="0.3">
      <c r="C10385" s="87"/>
      <c r="H10385" s="86" t="e">
        <f>IF(I10385="fora",0%,G10385/QUÓRUM!$C$6)</f>
        <v>#DIV/0!</v>
      </c>
      <c r="I10385" s="87"/>
      <c r="J10385" s="88"/>
      <c r="K10385" s="88"/>
      <c r="L10385" s="89"/>
      <c r="M10385" s="89"/>
      <c r="Q10385" s="105"/>
    </row>
    <row r="10386" spans="3:17" x14ac:dyDescent="0.3">
      <c r="C10386" s="87"/>
      <c r="H10386" s="86" t="e">
        <f>IF(I10386="fora",0%,G10386/QUÓRUM!$C$6)</f>
        <v>#DIV/0!</v>
      </c>
      <c r="I10386" s="87"/>
      <c r="J10386" s="88"/>
      <c r="K10386" s="88"/>
      <c r="L10386" s="89"/>
      <c r="M10386" s="89"/>
      <c r="Q10386" s="105"/>
    </row>
    <row r="10387" spans="3:17" x14ac:dyDescent="0.3">
      <c r="C10387" s="87"/>
      <c r="H10387" s="86" t="e">
        <f>IF(I10387="fora",0%,G10387/QUÓRUM!$C$6)</f>
        <v>#DIV/0!</v>
      </c>
      <c r="I10387" s="87"/>
      <c r="J10387" s="88"/>
      <c r="K10387" s="88"/>
      <c r="L10387" s="89"/>
      <c r="M10387" s="89"/>
      <c r="Q10387" s="105"/>
    </row>
    <row r="10388" spans="3:17" x14ac:dyDescent="0.3">
      <c r="C10388" s="87"/>
      <c r="H10388" s="86" t="e">
        <f>IF(I10388="fora",0%,G10388/QUÓRUM!$C$6)</f>
        <v>#DIV/0!</v>
      </c>
      <c r="I10388" s="87"/>
      <c r="J10388" s="88"/>
      <c r="K10388" s="88"/>
      <c r="L10388" s="89"/>
      <c r="M10388" s="89"/>
      <c r="Q10388" s="105"/>
    </row>
    <row r="10389" spans="3:17" x14ac:dyDescent="0.3">
      <c r="C10389" s="87"/>
      <c r="H10389" s="86" t="e">
        <f>IF(I10389="fora",0%,G10389/QUÓRUM!$C$6)</f>
        <v>#DIV/0!</v>
      </c>
      <c r="I10389" s="87"/>
      <c r="J10389" s="88"/>
      <c r="K10389" s="88"/>
      <c r="L10389" s="89"/>
      <c r="M10389" s="89"/>
      <c r="Q10389" s="105"/>
    </row>
    <row r="10390" spans="3:17" x14ac:dyDescent="0.3">
      <c r="C10390" s="87"/>
      <c r="H10390" s="86" t="e">
        <f>IF(I10390="fora",0%,G10390/QUÓRUM!$C$6)</f>
        <v>#DIV/0!</v>
      </c>
      <c r="I10390" s="87"/>
      <c r="J10390" s="88"/>
      <c r="K10390" s="88"/>
      <c r="L10390" s="89"/>
      <c r="M10390" s="89"/>
      <c r="Q10390" s="105"/>
    </row>
    <row r="10391" spans="3:17" x14ac:dyDescent="0.3">
      <c r="C10391" s="87"/>
      <c r="H10391" s="86" t="e">
        <f>IF(I10391="fora",0%,G10391/QUÓRUM!$C$6)</f>
        <v>#DIV/0!</v>
      </c>
      <c r="I10391" s="87"/>
      <c r="J10391" s="88"/>
      <c r="K10391" s="88"/>
      <c r="L10391" s="89"/>
      <c r="M10391" s="89"/>
      <c r="Q10391" s="105"/>
    </row>
    <row r="10392" spans="3:17" x14ac:dyDescent="0.3">
      <c r="C10392" s="87"/>
      <c r="H10392" s="86" t="e">
        <f>IF(I10392="fora",0%,G10392/QUÓRUM!$C$6)</f>
        <v>#DIV/0!</v>
      </c>
      <c r="I10392" s="87"/>
      <c r="J10392" s="88"/>
      <c r="K10392" s="88"/>
      <c r="L10392" s="89"/>
      <c r="M10392" s="89"/>
      <c r="Q10392" s="105"/>
    </row>
    <row r="10393" spans="3:17" x14ac:dyDescent="0.3">
      <c r="C10393" s="87"/>
      <c r="H10393" s="86" t="e">
        <f>IF(I10393="fora",0%,G10393/QUÓRUM!$C$6)</f>
        <v>#DIV/0!</v>
      </c>
      <c r="I10393" s="87"/>
      <c r="J10393" s="88"/>
      <c r="K10393" s="88"/>
      <c r="L10393" s="89"/>
      <c r="M10393" s="89"/>
      <c r="Q10393" s="105"/>
    </row>
    <row r="10394" spans="3:17" x14ac:dyDescent="0.3">
      <c r="C10394" s="87"/>
      <c r="H10394" s="86" t="e">
        <f>IF(I10394="fora",0%,G10394/QUÓRUM!$C$6)</f>
        <v>#DIV/0!</v>
      </c>
      <c r="I10394" s="87"/>
      <c r="J10394" s="88"/>
      <c r="K10394" s="88"/>
      <c r="L10394" s="89"/>
      <c r="M10394" s="89"/>
      <c r="Q10394" s="105"/>
    </row>
    <row r="10395" spans="3:17" x14ac:dyDescent="0.3">
      <c r="C10395" s="87"/>
      <c r="H10395" s="86" t="e">
        <f>IF(I10395="fora",0%,G10395/QUÓRUM!$C$6)</f>
        <v>#DIV/0!</v>
      </c>
      <c r="I10395" s="87"/>
      <c r="J10395" s="88"/>
      <c r="K10395" s="88"/>
      <c r="L10395" s="89"/>
      <c r="M10395" s="89"/>
      <c r="Q10395" s="105"/>
    </row>
    <row r="10396" spans="3:17" x14ac:dyDescent="0.3">
      <c r="C10396" s="87"/>
      <c r="H10396" s="86" t="e">
        <f>IF(I10396="fora",0%,G10396/QUÓRUM!$C$6)</f>
        <v>#DIV/0!</v>
      </c>
      <c r="I10396" s="87"/>
      <c r="J10396" s="88"/>
      <c r="K10396" s="88"/>
      <c r="L10396" s="89"/>
      <c r="M10396" s="89"/>
      <c r="Q10396" s="105"/>
    </row>
    <row r="10397" spans="3:17" x14ac:dyDescent="0.3">
      <c r="C10397" s="87"/>
      <c r="H10397" s="86" t="e">
        <f>IF(I10397="fora",0%,G10397/QUÓRUM!$C$6)</f>
        <v>#DIV/0!</v>
      </c>
      <c r="I10397" s="87"/>
      <c r="J10397" s="88"/>
      <c r="K10397" s="88"/>
      <c r="L10397" s="89"/>
      <c r="M10397" s="89"/>
      <c r="Q10397" s="105"/>
    </row>
    <row r="10398" spans="3:17" x14ac:dyDescent="0.3">
      <c r="C10398" s="87"/>
      <c r="H10398" s="86" t="e">
        <f>IF(I10398="fora",0%,G10398/QUÓRUM!$C$6)</f>
        <v>#DIV/0!</v>
      </c>
      <c r="I10398" s="87"/>
      <c r="J10398" s="88"/>
      <c r="K10398" s="88"/>
      <c r="L10398" s="89"/>
      <c r="M10398" s="89"/>
      <c r="Q10398" s="105"/>
    </row>
    <row r="10399" spans="3:17" x14ac:dyDescent="0.3">
      <c r="C10399" s="87"/>
      <c r="H10399" s="86" t="e">
        <f>IF(I10399="fora",0%,G10399/QUÓRUM!$C$6)</f>
        <v>#DIV/0!</v>
      </c>
      <c r="I10399" s="87"/>
      <c r="J10399" s="88"/>
      <c r="K10399" s="88"/>
      <c r="L10399" s="89"/>
      <c r="M10399" s="89"/>
      <c r="Q10399" s="105"/>
    </row>
    <row r="10400" spans="3:17" x14ac:dyDescent="0.3">
      <c r="C10400" s="87"/>
      <c r="H10400" s="86" t="e">
        <f>IF(I10400="fora",0%,G10400/QUÓRUM!$C$6)</f>
        <v>#DIV/0!</v>
      </c>
      <c r="I10400" s="87"/>
      <c r="J10400" s="88"/>
      <c r="K10400" s="88"/>
      <c r="L10400" s="89"/>
      <c r="M10400" s="89"/>
      <c r="Q10400" s="105"/>
    </row>
    <row r="10401" spans="3:17" x14ac:dyDescent="0.3">
      <c r="C10401" s="87"/>
      <c r="H10401" s="86" t="e">
        <f>IF(I10401="fora",0%,G10401/QUÓRUM!$C$6)</f>
        <v>#DIV/0!</v>
      </c>
      <c r="I10401" s="87"/>
      <c r="J10401" s="88"/>
      <c r="K10401" s="88"/>
      <c r="L10401" s="89"/>
      <c r="M10401" s="89"/>
      <c r="Q10401" s="105"/>
    </row>
    <row r="10402" spans="3:17" x14ac:dyDescent="0.3">
      <c r="C10402" s="87"/>
      <c r="H10402" s="86" t="e">
        <f>IF(I10402="fora",0%,G10402/QUÓRUM!$C$6)</f>
        <v>#DIV/0!</v>
      </c>
      <c r="I10402" s="87"/>
      <c r="J10402" s="88"/>
      <c r="K10402" s="88"/>
      <c r="L10402" s="89"/>
      <c r="M10402" s="89"/>
      <c r="Q10402" s="105"/>
    </row>
    <row r="10403" spans="3:17" x14ac:dyDescent="0.3">
      <c r="C10403" s="87"/>
      <c r="H10403" s="86" t="e">
        <f>IF(I10403="fora",0%,G10403/QUÓRUM!$C$6)</f>
        <v>#DIV/0!</v>
      </c>
      <c r="I10403" s="87"/>
      <c r="J10403" s="88"/>
      <c r="K10403" s="88"/>
      <c r="L10403" s="89"/>
      <c r="M10403" s="89"/>
      <c r="Q10403" s="105"/>
    </row>
    <row r="10404" spans="3:17" x14ac:dyDescent="0.3">
      <c r="C10404" s="87"/>
      <c r="H10404" s="86" t="e">
        <f>IF(I10404="fora",0%,G10404/QUÓRUM!$C$6)</f>
        <v>#DIV/0!</v>
      </c>
      <c r="I10404" s="87"/>
      <c r="J10404" s="88"/>
      <c r="K10404" s="88"/>
      <c r="L10404" s="89"/>
      <c r="M10404" s="89"/>
      <c r="Q10404" s="105"/>
    </row>
    <row r="10405" spans="3:17" x14ac:dyDescent="0.3">
      <c r="C10405" s="87"/>
      <c r="H10405" s="86" t="e">
        <f>IF(I10405="fora",0%,G10405/QUÓRUM!$C$6)</f>
        <v>#DIV/0!</v>
      </c>
      <c r="I10405" s="87"/>
      <c r="J10405" s="88"/>
      <c r="K10405" s="88"/>
      <c r="L10405" s="89"/>
      <c r="M10405" s="89"/>
      <c r="Q10405" s="105"/>
    </row>
    <row r="10406" spans="3:17" x14ac:dyDescent="0.3">
      <c r="C10406" s="87"/>
      <c r="H10406" s="86" t="e">
        <f>IF(I10406="fora",0%,G10406/QUÓRUM!$C$6)</f>
        <v>#DIV/0!</v>
      </c>
      <c r="I10406" s="87"/>
      <c r="J10406" s="88"/>
      <c r="K10406" s="88"/>
      <c r="L10406" s="89"/>
      <c r="M10406" s="89"/>
      <c r="Q10406" s="105"/>
    </row>
    <row r="10407" spans="3:17" x14ac:dyDescent="0.3">
      <c r="C10407" s="87"/>
      <c r="H10407" s="86" t="e">
        <f>IF(I10407="fora",0%,G10407/QUÓRUM!$C$6)</f>
        <v>#DIV/0!</v>
      </c>
      <c r="I10407" s="87"/>
      <c r="J10407" s="88"/>
      <c r="K10407" s="88"/>
      <c r="L10407" s="89"/>
      <c r="M10407" s="89"/>
      <c r="Q10407" s="105"/>
    </row>
    <row r="10408" spans="3:17" x14ac:dyDescent="0.3">
      <c r="C10408" s="87"/>
      <c r="H10408" s="86" t="e">
        <f>IF(I10408="fora",0%,G10408/QUÓRUM!$C$6)</f>
        <v>#DIV/0!</v>
      </c>
      <c r="I10408" s="87"/>
      <c r="J10408" s="88"/>
      <c r="K10408" s="88"/>
      <c r="L10408" s="89"/>
      <c r="M10408" s="89"/>
      <c r="Q10408" s="105"/>
    </row>
    <row r="10409" spans="3:17" x14ac:dyDescent="0.3">
      <c r="C10409" s="87"/>
      <c r="H10409" s="86" t="e">
        <f>IF(I10409="fora",0%,G10409/QUÓRUM!$C$6)</f>
        <v>#DIV/0!</v>
      </c>
      <c r="I10409" s="87"/>
      <c r="J10409" s="88"/>
      <c r="K10409" s="88"/>
      <c r="L10409" s="89"/>
      <c r="M10409" s="89"/>
      <c r="Q10409" s="105"/>
    </row>
    <row r="10410" spans="3:17" x14ac:dyDescent="0.3">
      <c r="C10410" s="87"/>
      <c r="G10410" s="115"/>
      <c r="H10410" s="86" t="e">
        <f>IF(I10410="fora",0%,G10410/QUÓRUM!$C$6)</f>
        <v>#DIV/0!</v>
      </c>
      <c r="I10410" s="87"/>
      <c r="J10410" s="88"/>
      <c r="K10410" s="88"/>
      <c r="L10410" s="89"/>
      <c r="M10410" s="89"/>
      <c r="Q10410" s="105"/>
    </row>
    <row r="10411" spans="3:17" x14ac:dyDescent="0.3">
      <c r="C10411" s="87"/>
      <c r="H10411" s="86" t="e">
        <f>IF(I10411="fora",0%,G10411/QUÓRUM!$C$6)</f>
        <v>#DIV/0!</v>
      </c>
      <c r="I10411" s="87"/>
      <c r="J10411" s="88"/>
      <c r="K10411" s="88"/>
      <c r="L10411" s="89"/>
      <c r="M10411" s="89"/>
      <c r="Q10411" s="105"/>
    </row>
    <row r="10412" spans="3:17" x14ac:dyDescent="0.3">
      <c r="C10412" s="87"/>
      <c r="H10412" s="86" t="e">
        <f>IF(I10412="fora",0%,G10412/QUÓRUM!$C$6)</f>
        <v>#DIV/0!</v>
      </c>
      <c r="I10412" s="87"/>
      <c r="J10412" s="88"/>
      <c r="K10412" s="88"/>
      <c r="L10412" s="89"/>
      <c r="M10412" s="89"/>
      <c r="Q10412" s="105"/>
    </row>
    <row r="10413" spans="3:17" x14ac:dyDescent="0.3">
      <c r="C10413" s="87"/>
      <c r="G10413" s="115"/>
      <c r="H10413" s="86" t="e">
        <f>IF(I10413="fora",0%,G10413/QUÓRUM!$C$6)</f>
        <v>#DIV/0!</v>
      </c>
      <c r="I10413" s="87"/>
      <c r="J10413" s="88"/>
      <c r="K10413" s="88"/>
      <c r="L10413" s="89"/>
      <c r="M10413" s="89"/>
      <c r="Q10413" s="105"/>
    </row>
    <row r="10414" spans="3:17" x14ac:dyDescent="0.3">
      <c r="C10414" s="87"/>
      <c r="H10414" s="86" t="e">
        <f>IF(I10414="fora",0%,G10414/QUÓRUM!$C$6)</f>
        <v>#DIV/0!</v>
      </c>
      <c r="I10414" s="87"/>
      <c r="J10414" s="88"/>
      <c r="K10414" s="88"/>
      <c r="L10414" s="89"/>
      <c r="M10414" s="89"/>
      <c r="Q10414" s="105"/>
    </row>
    <row r="10415" spans="3:17" x14ac:dyDescent="0.3">
      <c r="C10415" s="87"/>
      <c r="H10415" s="86" t="e">
        <f>IF(I10415="fora",0%,G10415/QUÓRUM!$C$6)</f>
        <v>#DIV/0!</v>
      </c>
      <c r="I10415" s="87"/>
      <c r="J10415" s="88"/>
      <c r="K10415" s="88"/>
      <c r="L10415" s="89"/>
      <c r="M10415" s="89"/>
      <c r="Q10415" s="105"/>
    </row>
    <row r="10416" spans="3:17" x14ac:dyDescent="0.3">
      <c r="C10416" s="87"/>
      <c r="H10416" s="86" t="e">
        <f>IF(I10416="fora",0%,G10416/QUÓRUM!$C$6)</f>
        <v>#DIV/0!</v>
      </c>
      <c r="I10416" s="87"/>
      <c r="J10416" s="88"/>
      <c r="K10416" s="88"/>
      <c r="L10416" s="89"/>
      <c r="M10416" s="89"/>
      <c r="Q10416" s="105"/>
    </row>
    <row r="10417" spans="3:17" x14ac:dyDescent="0.3">
      <c r="C10417" s="87"/>
      <c r="H10417" s="86" t="e">
        <f>IF(I10417="fora",0%,G10417/QUÓRUM!$C$6)</f>
        <v>#DIV/0!</v>
      </c>
      <c r="I10417" s="87"/>
      <c r="J10417" s="88"/>
      <c r="K10417" s="88"/>
      <c r="L10417" s="89"/>
      <c r="M10417" s="89"/>
      <c r="Q10417" s="105"/>
    </row>
    <row r="10418" spans="3:17" x14ac:dyDescent="0.3">
      <c r="C10418" s="87"/>
      <c r="H10418" s="86" t="e">
        <f>IF(I10418="fora",0%,G10418/QUÓRUM!$C$6)</f>
        <v>#DIV/0!</v>
      </c>
      <c r="I10418" s="87"/>
      <c r="J10418" s="88"/>
      <c r="K10418" s="88"/>
      <c r="L10418" s="89"/>
      <c r="M10418" s="89"/>
      <c r="Q10418" s="105"/>
    </row>
    <row r="10419" spans="3:17" x14ac:dyDescent="0.3">
      <c r="C10419" s="87"/>
      <c r="H10419" s="86" t="e">
        <f>IF(I10419="fora",0%,G10419/QUÓRUM!$C$6)</f>
        <v>#DIV/0!</v>
      </c>
      <c r="I10419" s="87"/>
      <c r="J10419" s="88"/>
      <c r="K10419" s="88"/>
      <c r="L10419" s="89"/>
      <c r="M10419" s="89"/>
      <c r="Q10419" s="105"/>
    </row>
    <row r="10420" spans="3:17" x14ac:dyDescent="0.3">
      <c r="C10420" s="87"/>
      <c r="H10420" s="86" t="e">
        <f>IF(I10420="fora",0%,G10420/QUÓRUM!$C$6)</f>
        <v>#DIV/0!</v>
      </c>
      <c r="I10420" s="87"/>
      <c r="J10420" s="88"/>
      <c r="K10420" s="88"/>
      <c r="L10420" s="89"/>
      <c r="M10420" s="89"/>
      <c r="Q10420" s="105"/>
    </row>
    <row r="10421" spans="3:17" x14ac:dyDescent="0.3">
      <c r="C10421" s="87"/>
      <c r="H10421" s="86" t="e">
        <f>IF(I10421="fora",0%,G10421/QUÓRUM!$C$6)</f>
        <v>#DIV/0!</v>
      </c>
      <c r="I10421" s="87"/>
      <c r="J10421" s="88"/>
      <c r="K10421" s="88"/>
      <c r="L10421" s="89"/>
      <c r="M10421" s="89"/>
      <c r="Q10421" s="105"/>
    </row>
    <row r="10422" spans="3:17" x14ac:dyDescent="0.3">
      <c r="C10422" s="87"/>
      <c r="H10422" s="86" t="e">
        <f>IF(I10422="fora",0%,G10422/QUÓRUM!$C$6)</f>
        <v>#DIV/0!</v>
      </c>
      <c r="I10422" s="87"/>
      <c r="J10422" s="88"/>
      <c r="K10422" s="88"/>
      <c r="L10422" s="89"/>
      <c r="M10422" s="89"/>
      <c r="Q10422" s="105"/>
    </row>
    <row r="10423" spans="3:17" x14ac:dyDescent="0.3">
      <c r="C10423" s="87"/>
      <c r="H10423" s="86" t="e">
        <f>IF(I10423="fora",0%,G10423/QUÓRUM!$C$6)</f>
        <v>#DIV/0!</v>
      </c>
      <c r="I10423" s="87"/>
      <c r="J10423" s="88"/>
      <c r="K10423" s="88"/>
      <c r="L10423" s="89"/>
      <c r="M10423" s="89"/>
      <c r="Q10423" s="105"/>
    </row>
    <row r="10424" spans="3:17" x14ac:dyDescent="0.3">
      <c r="C10424" s="87"/>
      <c r="H10424" s="86" t="e">
        <f>IF(I10424="fora",0%,G10424/QUÓRUM!$C$6)</f>
        <v>#DIV/0!</v>
      </c>
      <c r="I10424" s="87"/>
      <c r="J10424" s="88"/>
      <c r="K10424" s="88"/>
      <c r="L10424" s="89"/>
      <c r="M10424" s="89"/>
      <c r="Q10424" s="105"/>
    </row>
    <row r="10425" spans="3:17" x14ac:dyDescent="0.3">
      <c r="C10425" s="87"/>
      <c r="H10425" s="86" t="e">
        <f>IF(I10425="fora",0%,G10425/QUÓRUM!$C$6)</f>
        <v>#DIV/0!</v>
      </c>
      <c r="I10425" s="87"/>
      <c r="J10425" s="88"/>
      <c r="K10425" s="88"/>
      <c r="L10425" s="89"/>
      <c r="M10425" s="89"/>
      <c r="Q10425" s="105"/>
    </row>
    <row r="10426" spans="3:17" x14ac:dyDescent="0.3">
      <c r="C10426" s="87"/>
      <c r="H10426" s="86" t="e">
        <f>IF(I10426="fora",0%,G10426/QUÓRUM!$C$6)</f>
        <v>#DIV/0!</v>
      </c>
      <c r="I10426" s="87"/>
      <c r="J10426" s="88"/>
      <c r="K10426" s="88"/>
      <c r="L10426" s="89"/>
      <c r="M10426" s="89"/>
      <c r="Q10426" s="105"/>
    </row>
    <row r="10427" spans="3:17" x14ac:dyDescent="0.3">
      <c r="C10427" s="87"/>
      <c r="H10427" s="86" t="e">
        <f>IF(I10427="fora",0%,G10427/QUÓRUM!$C$6)</f>
        <v>#DIV/0!</v>
      </c>
      <c r="I10427" s="87"/>
      <c r="J10427" s="88"/>
      <c r="K10427" s="88"/>
      <c r="L10427" s="89"/>
      <c r="M10427" s="89"/>
      <c r="Q10427" s="105"/>
    </row>
    <row r="10428" spans="3:17" x14ac:dyDescent="0.3">
      <c r="C10428" s="87"/>
      <c r="H10428" s="86" t="e">
        <f>IF(I10428="fora",0%,G10428/QUÓRUM!$C$6)</f>
        <v>#DIV/0!</v>
      </c>
      <c r="I10428" s="87"/>
      <c r="J10428" s="88"/>
      <c r="K10428" s="88"/>
      <c r="L10428" s="89"/>
      <c r="M10428" s="89"/>
      <c r="Q10428" s="105"/>
    </row>
    <row r="10429" spans="3:17" x14ac:dyDescent="0.3">
      <c r="C10429" s="87"/>
      <c r="H10429" s="86" t="e">
        <f>IF(I10429="fora",0%,G10429/QUÓRUM!$C$6)</f>
        <v>#DIV/0!</v>
      </c>
      <c r="I10429" s="87"/>
      <c r="J10429" s="88"/>
      <c r="K10429" s="88"/>
      <c r="L10429" s="89"/>
      <c r="M10429" s="89"/>
      <c r="Q10429" s="105"/>
    </row>
    <row r="10430" spans="3:17" x14ac:dyDescent="0.3">
      <c r="C10430" s="87"/>
      <c r="H10430" s="86" t="e">
        <f>IF(I10430="fora",0%,G10430/QUÓRUM!$C$6)</f>
        <v>#DIV/0!</v>
      </c>
      <c r="I10430" s="87"/>
      <c r="J10430" s="88"/>
      <c r="K10430" s="88"/>
      <c r="L10430" s="89"/>
      <c r="M10430" s="89"/>
      <c r="Q10430" s="105"/>
    </row>
    <row r="10431" spans="3:17" x14ac:dyDescent="0.3">
      <c r="C10431" s="87"/>
      <c r="G10431" s="115"/>
      <c r="H10431" s="86" t="e">
        <f>IF(I10431="fora",0%,G10431/QUÓRUM!$C$6)</f>
        <v>#DIV/0!</v>
      </c>
      <c r="I10431" s="87"/>
      <c r="J10431" s="88"/>
      <c r="K10431" s="88"/>
      <c r="L10431" s="89"/>
      <c r="M10431" s="89"/>
      <c r="Q10431" s="105"/>
    </row>
    <row r="10432" spans="3:17" x14ac:dyDescent="0.3">
      <c r="C10432" s="87"/>
      <c r="H10432" s="86" t="e">
        <f>IF(I10432="fora",0%,G10432/QUÓRUM!$C$6)</f>
        <v>#DIV/0!</v>
      </c>
      <c r="I10432" s="87"/>
      <c r="J10432" s="88"/>
      <c r="K10432" s="88"/>
      <c r="L10432" s="89"/>
      <c r="M10432" s="89"/>
      <c r="Q10432" s="105"/>
    </row>
    <row r="10433" spans="3:17" x14ac:dyDescent="0.3">
      <c r="C10433" s="87"/>
      <c r="H10433" s="86" t="e">
        <f>IF(I10433="fora",0%,G10433/QUÓRUM!$C$6)</f>
        <v>#DIV/0!</v>
      </c>
      <c r="I10433" s="87"/>
      <c r="J10433" s="88"/>
      <c r="K10433" s="88"/>
      <c r="L10433" s="89"/>
      <c r="M10433" s="89"/>
      <c r="Q10433" s="105"/>
    </row>
    <row r="10434" spans="3:17" x14ac:dyDescent="0.3">
      <c r="C10434" s="87"/>
      <c r="H10434" s="86" t="e">
        <f>IF(I10434="fora",0%,G10434/QUÓRUM!$C$6)</f>
        <v>#DIV/0!</v>
      </c>
      <c r="I10434" s="87"/>
      <c r="J10434" s="88"/>
      <c r="K10434" s="88"/>
      <c r="L10434" s="89"/>
      <c r="M10434" s="89"/>
      <c r="Q10434" s="105"/>
    </row>
    <row r="10435" spans="3:17" x14ac:dyDescent="0.3">
      <c r="C10435" s="87"/>
      <c r="H10435" s="86" t="e">
        <f>IF(I10435="fora",0%,G10435/QUÓRUM!$C$6)</f>
        <v>#DIV/0!</v>
      </c>
      <c r="I10435" s="87"/>
      <c r="J10435" s="88"/>
      <c r="K10435" s="88"/>
      <c r="L10435" s="89"/>
      <c r="M10435" s="89"/>
      <c r="Q10435" s="105"/>
    </row>
    <row r="10436" spans="3:17" x14ac:dyDescent="0.3">
      <c r="C10436" s="87"/>
      <c r="H10436" s="86" t="e">
        <f>IF(I10436="fora",0%,G10436/QUÓRUM!$C$6)</f>
        <v>#DIV/0!</v>
      </c>
      <c r="I10436" s="87"/>
      <c r="J10436" s="88"/>
      <c r="K10436" s="88"/>
      <c r="L10436" s="89"/>
      <c r="M10436" s="89"/>
      <c r="Q10436" s="105"/>
    </row>
    <row r="10437" spans="3:17" x14ac:dyDescent="0.3">
      <c r="C10437" s="87"/>
      <c r="H10437" s="86" t="e">
        <f>IF(I10437="fora",0%,G10437/QUÓRUM!$C$6)</f>
        <v>#DIV/0!</v>
      </c>
      <c r="I10437" s="87"/>
      <c r="J10437" s="88"/>
      <c r="K10437" s="88"/>
      <c r="L10437" s="89"/>
      <c r="M10437" s="89"/>
      <c r="Q10437" s="105"/>
    </row>
    <row r="10438" spans="3:17" x14ac:dyDescent="0.3">
      <c r="C10438" s="87"/>
      <c r="H10438" s="86" t="e">
        <f>IF(I10438="fora",0%,G10438/QUÓRUM!$C$6)</f>
        <v>#DIV/0!</v>
      </c>
      <c r="I10438" s="87"/>
      <c r="J10438" s="88"/>
      <c r="K10438" s="88"/>
      <c r="L10438" s="89"/>
      <c r="M10438" s="89"/>
      <c r="Q10438" s="105"/>
    </row>
    <row r="10439" spans="3:17" x14ac:dyDescent="0.3">
      <c r="C10439" s="87"/>
      <c r="H10439" s="86" t="e">
        <f>IF(I10439="fora",0%,G10439/QUÓRUM!$C$6)</f>
        <v>#DIV/0!</v>
      </c>
      <c r="I10439" s="87"/>
      <c r="J10439" s="88"/>
      <c r="K10439" s="88"/>
      <c r="L10439" s="89"/>
      <c r="M10439" s="89"/>
      <c r="Q10439" s="105"/>
    </row>
    <row r="10440" spans="3:17" x14ac:dyDescent="0.3">
      <c r="C10440" s="87"/>
      <c r="H10440" s="86" t="e">
        <f>IF(I10440="fora",0%,G10440/QUÓRUM!$C$6)</f>
        <v>#DIV/0!</v>
      </c>
      <c r="I10440" s="87"/>
      <c r="J10440" s="88"/>
      <c r="K10440" s="88"/>
      <c r="L10440" s="89"/>
      <c r="M10440" s="89"/>
      <c r="Q10440" s="105"/>
    </row>
    <row r="10441" spans="3:17" x14ac:dyDescent="0.3">
      <c r="C10441" s="87"/>
      <c r="H10441" s="86" t="e">
        <f>IF(I10441="fora",0%,G10441/QUÓRUM!$C$6)</f>
        <v>#DIV/0!</v>
      </c>
      <c r="I10441" s="87"/>
      <c r="J10441" s="88"/>
      <c r="K10441" s="88"/>
      <c r="L10441" s="89"/>
      <c r="M10441" s="89"/>
      <c r="Q10441" s="105"/>
    </row>
    <row r="10442" spans="3:17" x14ac:dyDescent="0.3">
      <c r="C10442" s="87"/>
      <c r="H10442" s="86" t="e">
        <f>IF(I10442="fora",0%,G10442/QUÓRUM!$C$6)</f>
        <v>#DIV/0!</v>
      </c>
      <c r="I10442" s="87"/>
      <c r="J10442" s="88"/>
      <c r="K10442" s="88"/>
      <c r="L10442" s="89"/>
      <c r="M10442" s="89"/>
      <c r="Q10442" s="105"/>
    </row>
    <row r="10443" spans="3:17" x14ac:dyDescent="0.3">
      <c r="C10443" s="87"/>
      <c r="H10443" s="86" t="e">
        <f>IF(I10443="fora",0%,G10443/QUÓRUM!$C$6)</f>
        <v>#DIV/0!</v>
      </c>
      <c r="I10443" s="87"/>
      <c r="J10443" s="88"/>
      <c r="K10443" s="88"/>
      <c r="L10443" s="89"/>
      <c r="M10443" s="89"/>
      <c r="Q10443" s="105"/>
    </row>
    <row r="10444" spans="3:17" x14ac:dyDescent="0.3">
      <c r="C10444" s="87"/>
      <c r="H10444" s="86" t="e">
        <f>IF(I10444="fora",0%,G10444/QUÓRUM!$C$6)</f>
        <v>#DIV/0!</v>
      </c>
      <c r="I10444" s="87"/>
      <c r="J10444" s="88"/>
      <c r="K10444" s="88"/>
      <c r="L10444" s="89"/>
      <c r="M10444" s="89"/>
      <c r="Q10444" s="105"/>
    </row>
    <row r="10445" spans="3:17" x14ac:dyDescent="0.3">
      <c r="C10445" s="87"/>
      <c r="H10445" s="86" t="e">
        <f>IF(I10445="fora",0%,G10445/QUÓRUM!$C$6)</f>
        <v>#DIV/0!</v>
      </c>
      <c r="I10445" s="87"/>
      <c r="J10445" s="88"/>
      <c r="K10445" s="88"/>
      <c r="L10445" s="89"/>
      <c r="M10445" s="89"/>
      <c r="Q10445" s="105"/>
    </row>
    <row r="10446" spans="3:17" x14ac:dyDescent="0.3">
      <c r="C10446" s="87"/>
      <c r="H10446" s="86" t="e">
        <f>IF(I10446="fora",0%,G10446/QUÓRUM!$C$6)</f>
        <v>#DIV/0!</v>
      </c>
      <c r="I10446" s="87"/>
      <c r="J10446" s="88"/>
      <c r="K10446" s="88"/>
      <c r="L10446" s="89"/>
      <c r="M10446" s="89"/>
      <c r="Q10446" s="105"/>
    </row>
    <row r="10447" spans="3:17" x14ac:dyDescent="0.3">
      <c r="C10447" s="87"/>
      <c r="G10447" s="115"/>
      <c r="H10447" s="86" t="e">
        <f>IF(I10447="fora",0%,G10447/QUÓRUM!$C$6)</f>
        <v>#DIV/0!</v>
      </c>
      <c r="I10447" s="87"/>
      <c r="J10447" s="88"/>
      <c r="K10447" s="88"/>
      <c r="L10447" s="89"/>
      <c r="M10447" s="89"/>
      <c r="Q10447" s="105"/>
    </row>
    <row r="10448" spans="3:17" x14ac:dyDescent="0.3">
      <c r="C10448" s="87"/>
      <c r="H10448" s="86" t="e">
        <f>IF(I10448="fora",0%,G10448/QUÓRUM!$C$6)</f>
        <v>#DIV/0!</v>
      </c>
      <c r="I10448" s="87"/>
      <c r="J10448" s="88"/>
      <c r="K10448" s="88"/>
      <c r="L10448" s="89"/>
      <c r="M10448" s="89"/>
      <c r="Q10448" s="105"/>
    </row>
    <row r="10449" spans="3:17" x14ac:dyDescent="0.3">
      <c r="C10449" s="87"/>
      <c r="H10449" s="86" t="e">
        <f>IF(I10449="fora",0%,G10449/QUÓRUM!$C$6)</f>
        <v>#DIV/0!</v>
      </c>
      <c r="I10449" s="87"/>
      <c r="J10449" s="88"/>
      <c r="K10449" s="88"/>
      <c r="L10449" s="89"/>
      <c r="M10449" s="89"/>
      <c r="Q10449" s="105"/>
    </row>
    <row r="10450" spans="3:17" x14ac:dyDescent="0.3">
      <c r="C10450" s="87"/>
      <c r="H10450" s="86" t="e">
        <f>IF(I10450="fora",0%,G10450/QUÓRUM!$C$6)</f>
        <v>#DIV/0!</v>
      </c>
      <c r="I10450" s="87"/>
      <c r="J10450" s="88"/>
      <c r="K10450" s="88"/>
      <c r="L10450" s="89"/>
      <c r="M10450" s="89"/>
      <c r="Q10450" s="105"/>
    </row>
    <row r="10451" spans="3:17" x14ac:dyDescent="0.3">
      <c r="C10451" s="87"/>
      <c r="H10451" s="86" t="e">
        <f>IF(I10451="fora",0%,G10451/QUÓRUM!$C$6)</f>
        <v>#DIV/0!</v>
      </c>
      <c r="I10451" s="87"/>
      <c r="J10451" s="88"/>
      <c r="K10451" s="88"/>
      <c r="L10451" s="89"/>
      <c r="M10451" s="89"/>
      <c r="Q10451" s="105"/>
    </row>
    <row r="10452" spans="3:17" x14ac:dyDescent="0.3">
      <c r="C10452" s="87"/>
      <c r="H10452" s="86" t="e">
        <f>IF(I10452="fora",0%,G10452/QUÓRUM!$C$6)</f>
        <v>#DIV/0!</v>
      </c>
      <c r="I10452" s="87"/>
      <c r="J10452" s="88"/>
      <c r="K10452" s="88"/>
      <c r="L10452" s="89"/>
      <c r="M10452" s="89"/>
      <c r="Q10452" s="105"/>
    </row>
    <row r="10453" spans="3:17" x14ac:dyDescent="0.3">
      <c r="C10453" s="87"/>
      <c r="H10453" s="86" t="e">
        <f>IF(I10453="fora",0%,G10453/QUÓRUM!$C$6)</f>
        <v>#DIV/0!</v>
      </c>
      <c r="I10453" s="87"/>
      <c r="J10453" s="88"/>
      <c r="K10453" s="88"/>
      <c r="L10453" s="89"/>
      <c r="M10453" s="89"/>
      <c r="Q10453" s="105"/>
    </row>
    <row r="10454" spans="3:17" x14ac:dyDescent="0.3">
      <c r="C10454" s="87"/>
      <c r="H10454" s="86" t="e">
        <f>IF(I10454="fora",0%,G10454/QUÓRUM!$C$6)</f>
        <v>#DIV/0!</v>
      </c>
      <c r="I10454" s="87"/>
      <c r="J10454" s="88"/>
      <c r="K10454" s="88"/>
      <c r="L10454" s="89"/>
      <c r="M10454" s="89"/>
      <c r="Q10454" s="105"/>
    </row>
    <row r="10455" spans="3:17" x14ac:dyDescent="0.3">
      <c r="C10455" s="87"/>
      <c r="H10455" s="86" t="e">
        <f>IF(I10455="fora",0%,G10455/QUÓRUM!$C$6)</f>
        <v>#DIV/0!</v>
      </c>
      <c r="I10455" s="87"/>
      <c r="J10455" s="88"/>
      <c r="K10455" s="88"/>
      <c r="L10455" s="89"/>
      <c r="M10455" s="89"/>
      <c r="Q10455" s="105"/>
    </row>
    <row r="10456" spans="3:17" x14ac:dyDescent="0.3">
      <c r="C10456" s="87"/>
      <c r="H10456" s="86" t="e">
        <f>IF(I10456="fora",0%,G10456/QUÓRUM!$C$6)</f>
        <v>#DIV/0!</v>
      </c>
      <c r="I10456" s="87"/>
      <c r="J10456" s="88"/>
      <c r="K10456" s="88"/>
      <c r="L10456" s="89"/>
      <c r="M10456" s="89"/>
      <c r="Q10456" s="105"/>
    </row>
    <row r="10457" spans="3:17" x14ac:dyDescent="0.3">
      <c r="C10457" s="87"/>
      <c r="H10457" s="86" t="e">
        <f>IF(I10457="fora",0%,G10457/QUÓRUM!$C$6)</f>
        <v>#DIV/0!</v>
      </c>
      <c r="I10457" s="87"/>
      <c r="J10457" s="88"/>
      <c r="K10457" s="88"/>
      <c r="L10457" s="89"/>
      <c r="M10457" s="89"/>
      <c r="Q10457" s="105"/>
    </row>
    <row r="10458" spans="3:17" x14ac:dyDescent="0.3">
      <c r="C10458" s="87"/>
      <c r="H10458" s="86" t="e">
        <f>IF(I10458="fora",0%,G10458/QUÓRUM!$C$6)</f>
        <v>#DIV/0!</v>
      </c>
      <c r="I10458" s="87"/>
      <c r="J10458" s="88"/>
      <c r="K10458" s="88"/>
      <c r="L10458" s="89"/>
      <c r="M10458" s="89"/>
      <c r="Q10458" s="105"/>
    </row>
    <row r="10459" spans="3:17" x14ac:dyDescent="0.3">
      <c r="C10459" s="87"/>
      <c r="H10459" s="86" t="e">
        <f>IF(I10459="fora",0%,G10459/QUÓRUM!$C$6)</f>
        <v>#DIV/0!</v>
      </c>
      <c r="I10459" s="87"/>
      <c r="J10459" s="88"/>
      <c r="K10459" s="88"/>
      <c r="L10459" s="89"/>
      <c r="M10459" s="89"/>
      <c r="Q10459" s="105"/>
    </row>
    <row r="10460" spans="3:17" x14ac:dyDescent="0.3">
      <c r="C10460" s="87"/>
      <c r="H10460" s="86" t="e">
        <f>IF(I10460="fora",0%,G10460/QUÓRUM!$C$6)</f>
        <v>#DIV/0!</v>
      </c>
      <c r="I10460" s="87"/>
      <c r="J10460" s="88"/>
      <c r="K10460" s="88"/>
      <c r="L10460" s="89"/>
      <c r="M10460" s="89"/>
      <c r="Q10460" s="105"/>
    </row>
    <row r="10461" spans="3:17" x14ac:dyDescent="0.3">
      <c r="C10461" s="87"/>
      <c r="H10461" s="86" t="e">
        <f>IF(I10461="fora",0%,G10461/QUÓRUM!$C$6)</f>
        <v>#DIV/0!</v>
      </c>
      <c r="I10461" s="87"/>
      <c r="J10461" s="88"/>
      <c r="K10461" s="88"/>
      <c r="L10461" s="89"/>
      <c r="M10461" s="89"/>
      <c r="Q10461" s="105"/>
    </row>
    <row r="10462" spans="3:17" x14ac:dyDescent="0.3">
      <c r="C10462" s="87"/>
      <c r="H10462" s="86" t="e">
        <f>IF(I10462="fora",0%,G10462/QUÓRUM!$C$6)</f>
        <v>#DIV/0!</v>
      </c>
      <c r="I10462" s="87"/>
      <c r="J10462" s="88"/>
      <c r="K10462" s="88"/>
      <c r="L10462" s="89"/>
      <c r="M10462" s="89"/>
      <c r="Q10462" s="105"/>
    </row>
    <row r="10463" spans="3:17" x14ac:dyDescent="0.3">
      <c r="C10463" s="87"/>
      <c r="H10463" s="86" t="e">
        <f>IF(I10463="fora",0%,G10463/QUÓRUM!$C$6)</f>
        <v>#DIV/0!</v>
      </c>
      <c r="I10463" s="87"/>
      <c r="J10463" s="88"/>
      <c r="K10463" s="88"/>
      <c r="L10463" s="89"/>
      <c r="M10463" s="89"/>
      <c r="Q10463" s="105"/>
    </row>
    <row r="10464" spans="3:17" x14ac:dyDescent="0.3">
      <c r="C10464" s="87"/>
      <c r="H10464" s="86" t="e">
        <f>IF(I10464="fora",0%,G10464/QUÓRUM!$C$6)</f>
        <v>#DIV/0!</v>
      </c>
      <c r="I10464" s="87"/>
      <c r="J10464" s="88"/>
      <c r="K10464" s="88"/>
      <c r="L10464" s="89"/>
      <c r="M10464" s="89"/>
      <c r="Q10464" s="105"/>
    </row>
    <row r="10465" spans="3:17" x14ac:dyDescent="0.3">
      <c r="C10465" s="87"/>
      <c r="H10465" s="86" t="e">
        <f>IF(I10465="fora",0%,G10465/QUÓRUM!$C$6)</f>
        <v>#DIV/0!</v>
      </c>
      <c r="I10465" s="87"/>
      <c r="J10465" s="88"/>
      <c r="K10465" s="88"/>
      <c r="L10465" s="89"/>
      <c r="M10465" s="89"/>
      <c r="Q10465" s="105"/>
    </row>
    <row r="10466" spans="3:17" x14ac:dyDescent="0.3">
      <c r="C10466" s="87"/>
      <c r="H10466" s="86" t="e">
        <f>IF(I10466="fora",0%,G10466/QUÓRUM!$C$6)</f>
        <v>#DIV/0!</v>
      </c>
      <c r="I10466" s="87"/>
      <c r="J10466" s="88"/>
      <c r="K10466" s="88"/>
      <c r="L10466" s="89"/>
      <c r="M10466" s="89"/>
      <c r="Q10466" s="105"/>
    </row>
    <row r="10467" spans="3:17" x14ac:dyDescent="0.3">
      <c r="C10467" s="87"/>
      <c r="H10467" s="86" t="e">
        <f>IF(I10467="fora",0%,G10467/QUÓRUM!$C$6)</f>
        <v>#DIV/0!</v>
      </c>
      <c r="I10467" s="87"/>
      <c r="J10467" s="88"/>
      <c r="K10467" s="88"/>
      <c r="L10467" s="89"/>
      <c r="M10467" s="89"/>
      <c r="Q10467" s="105"/>
    </row>
    <row r="10468" spans="3:17" x14ac:dyDescent="0.3">
      <c r="C10468" s="87"/>
      <c r="H10468" s="86" t="e">
        <f>IF(I10468="fora",0%,G10468/QUÓRUM!$C$6)</f>
        <v>#DIV/0!</v>
      </c>
      <c r="I10468" s="87"/>
      <c r="J10468" s="88"/>
      <c r="K10468" s="88"/>
      <c r="L10468" s="89"/>
      <c r="M10468" s="89"/>
      <c r="Q10468" s="105"/>
    </row>
    <row r="10469" spans="3:17" x14ac:dyDescent="0.3">
      <c r="C10469" s="87"/>
      <c r="H10469" s="86" t="e">
        <f>IF(I10469="fora",0%,G10469/QUÓRUM!$C$6)</f>
        <v>#DIV/0!</v>
      </c>
      <c r="I10469" s="87"/>
      <c r="J10469" s="88"/>
      <c r="K10469" s="88"/>
      <c r="L10469" s="89"/>
      <c r="M10469" s="89"/>
      <c r="Q10469" s="105"/>
    </row>
    <row r="10470" spans="3:17" x14ac:dyDescent="0.3">
      <c r="C10470" s="87"/>
      <c r="H10470" s="86" t="e">
        <f>IF(I10470="fora",0%,G10470/QUÓRUM!$C$6)</f>
        <v>#DIV/0!</v>
      </c>
      <c r="I10470" s="87"/>
      <c r="J10470" s="88"/>
      <c r="K10470" s="88"/>
      <c r="L10470" s="89"/>
      <c r="M10470" s="89"/>
      <c r="Q10470" s="105"/>
    </row>
    <row r="10471" spans="3:17" x14ac:dyDescent="0.3">
      <c r="C10471" s="87"/>
      <c r="H10471" s="86" t="e">
        <f>IF(I10471="fora",0%,G10471/QUÓRUM!$C$6)</f>
        <v>#DIV/0!</v>
      </c>
      <c r="I10471" s="87"/>
      <c r="J10471" s="88"/>
      <c r="K10471" s="88"/>
      <c r="L10471" s="89"/>
      <c r="M10471" s="89"/>
      <c r="Q10471" s="105"/>
    </row>
    <row r="10472" spans="3:17" x14ac:dyDescent="0.3">
      <c r="C10472" s="87"/>
      <c r="H10472" s="86" t="e">
        <f>IF(I10472="fora",0%,G10472/QUÓRUM!$C$6)</f>
        <v>#DIV/0!</v>
      </c>
      <c r="I10472" s="87"/>
      <c r="J10472" s="88"/>
      <c r="K10472" s="88"/>
      <c r="L10472" s="89"/>
      <c r="M10472" s="89"/>
      <c r="Q10472" s="105"/>
    </row>
    <row r="10473" spans="3:17" x14ac:dyDescent="0.3">
      <c r="C10473" s="87"/>
      <c r="H10473" s="86" t="e">
        <f>IF(I10473="fora",0%,G10473/QUÓRUM!$C$6)</f>
        <v>#DIV/0!</v>
      </c>
      <c r="I10473" s="87"/>
      <c r="J10473" s="88"/>
      <c r="K10473" s="88"/>
      <c r="L10473" s="89"/>
      <c r="M10473" s="89"/>
      <c r="Q10473" s="105"/>
    </row>
    <row r="10474" spans="3:17" x14ac:dyDescent="0.3">
      <c r="C10474" s="87"/>
      <c r="H10474" s="86" t="e">
        <f>IF(I10474="fora",0%,G10474/QUÓRUM!$C$6)</f>
        <v>#DIV/0!</v>
      </c>
      <c r="I10474" s="87"/>
      <c r="J10474" s="88"/>
      <c r="K10474" s="88"/>
      <c r="L10474" s="89"/>
      <c r="M10474" s="89"/>
      <c r="Q10474" s="105"/>
    </row>
    <row r="10475" spans="3:17" x14ac:dyDescent="0.3">
      <c r="C10475" s="87"/>
      <c r="H10475" s="86" t="e">
        <f>IF(I10475="fora",0%,G10475/QUÓRUM!$C$6)</f>
        <v>#DIV/0!</v>
      </c>
      <c r="I10475" s="87"/>
      <c r="J10475" s="88"/>
      <c r="K10475" s="88"/>
      <c r="L10475" s="89"/>
      <c r="M10475" s="89"/>
      <c r="Q10475" s="105"/>
    </row>
    <row r="10476" spans="3:17" x14ac:dyDescent="0.3">
      <c r="C10476" s="87"/>
      <c r="H10476" s="86" t="e">
        <f>IF(I10476="fora",0%,G10476/QUÓRUM!$C$6)</f>
        <v>#DIV/0!</v>
      </c>
      <c r="I10476" s="87"/>
      <c r="J10476" s="88"/>
      <c r="K10476" s="88"/>
      <c r="L10476" s="89"/>
      <c r="M10476" s="89"/>
      <c r="Q10476" s="105"/>
    </row>
    <row r="10477" spans="3:17" x14ac:dyDescent="0.3">
      <c r="C10477" s="87"/>
      <c r="H10477" s="86" t="e">
        <f>IF(I10477="fora",0%,G10477/QUÓRUM!$C$6)</f>
        <v>#DIV/0!</v>
      </c>
      <c r="I10477" s="87"/>
      <c r="J10477" s="88"/>
      <c r="K10477" s="88"/>
      <c r="L10477" s="89"/>
      <c r="M10477" s="89"/>
      <c r="Q10477" s="105"/>
    </row>
    <row r="10478" spans="3:17" x14ac:dyDescent="0.3">
      <c r="C10478" s="87"/>
      <c r="H10478" s="86" t="e">
        <f>IF(I10478="fora",0%,G10478/QUÓRUM!$C$6)</f>
        <v>#DIV/0!</v>
      </c>
      <c r="I10478" s="87"/>
      <c r="J10478" s="88"/>
      <c r="K10478" s="88"/>
      <c r="L10478" s="89"/>
      <c r="M10478" s="89"/>
      <c r="Q10478" s="105"/>
    </row>
    <row r="10479" spans="3:17" x14ac:dyDescent="0.3">
      <c r="C10479" s="87"/>
      <c r="H10479" s="86" t="e">
        <f>IF(I10479="fora",0%,G10479/QUÓRUM!$C$6)</f>
        <v>#DIV/0!</v>
      </c>
      <c r="I10479" s="87"/>
      <c r="J10479" s="88"/>
      <c r="K10479" s="88"/>
      <c r="L10479" s="89"/>
      <c r="M10479" s="89"/>
      <c r="Q10479" s="105"/>
    </row>
    <row r="10480" spans="3:17" x14ac:dyDescent="0.3">
      <c r="C10480" s="87"/>
      <c r="G10480" s="115"/>
      <c r="H10480" s="86" t="e">
        <f>IF(I10480="fora",0%,G10480/QUÓRUM!$C$6)</f>
        <v>#DIV/0!</v>
      </c>
      <c r="I10480" s="87"/>
      <c r="J10480" s="88"/>
      <c r="K10480" s="88"/>
      <c r="L10480" s="89"/>
      <c r="M10480" s="89"/>
      <c r="Q10480" s="105"/>
    </row>
    <row r="10481" spans="3:17" x14ac:dyDescent="0.3">
      <c r="C10481" s="87"/>
      <c r="H10481" s="86" t="e">
        <f>IF(I10481="fora",0%,G10481/QUÓRUM!$C$6)</f>
        <v>#DIV/0!</v>
      </c>
      <c r="I10481" s="87"/>
      <c r="J10481" s="88"/>
      <c r="K10481" s="88"/>
      <c r="L10481" s="89"/>
      <c r="M10481" s="89"/>
      <c r="Q10481" s="105"/>
    </row>
    <row r="10482" spans="3:17" x14ac:dyDescent="0.3">
      <c r="C10482" s="87"/>
      <c r="H10482" s="86" t="e">
        <f>IF(I10482="fora",0%,G10482/QUÓRUM!$C$6)</f>
        <v>#DIV/0!</v>
      </c>
      <c r="I10482" s="87"/>
      <c r="J10482" s="88"/>
      <c r="K10482" s="88"/>
      <c r="L10482" s="89"/>
      <c r="M10482" s="89"/>
      <c r="Q10482" s="105"/>
    </row>
    <row r="10483" spans="3:17" x14ac:dyDescent="0.3">
      <c r="C10483" s="87"/>
      <c r="H10483" s="86" t="e">
        <f>IF(I10483="fora",0%,G10483/QUÓRUM!$C$6)</f>
        <v>#DIV/0!</v>
      </c>
      <c r="I10483" s="87"/>
      <c r="J10483" s="88"/>
      <c r="K10483" s="88"/>
      <c r="L10483" s="89"/>
      <c r="M10483" s="89"/>
      <c r="Q10483" s="105"/>
    </row>
    <row r="10484" spans="3:17" x14ac:dyDescent="0.3">
      <c r="C10484" s="87"/>
      <c r="H10484" s="86" t="e">
        <f>IF(I10484="fora",0%,G10484/QUÓRUM!$C$6)</f>
        <v>#DIV/0!</v>
      </c>
      <c r="I10484" s="87"/>
      <c r="J10484" s="88"/>
      <c r="K10484" s="88"/>
      <c r="L10484" s="89"/>
      <c r="M10484" s="89"/>
      <c r="Q10484" s="105"/>
    </row>
    <row r="10485" spans="3:17" x14ac:dyDescent="0.3">
      <c r="C10485" s="87"/>
      <c r="H10485" s="86" t="e">
        <f>IF(I10485="fora",0%,G10485/QUÓRUM!$C$6)</f>
        <v>#DIV/0!</v>
      </c>
      <c r="I10485" s="87"/>
      <c r="J10485" s="88"/>
      <c r="K10485" s="88"/>
      <c r="L10485" s="89"/>
      <c r="M10485" s="89"/>
      <c r="Q10485" s="105"/>
    </row>
    <row r="10486" spans="3:17" x14ac:dyDescent="0.3">
      <c r="C10486" s="87"/>
      <c r="H10486" s="86" t="e">
        <f>IF(I10486="fora",0%,G10486/QUÓRUM!$C$6)</f>
        <v>#DIV/0!</v>
      </c>
      <c r="I10486" s="87"/>
      <c r="J10486" s="88"/>
      <c r="K10486" s="88"/>
      <c r="L10486" s="89"/>
      <c r="M10486" s="89"/>
      <c r="Q10486" s="105"/>
    </row>
    <row r="10487" spans="3:17" x14ac:dyDescent="0.3">
      <c r="C10487" s="87"/>
      <c r="H10487" s="86" t="e">
        <f>IF(I10487="fora",0%,G10487/QUÓRUM!$C$6)</f>
        <v>#DIV/0!</v>
      </c>
      <c r="I10487" s="87"/>
      <c r="J10487" s="88"/>
      <c r="K10487" s="88"/>
      <c r="L10487" s="89"/>
      <c r="M10487" s="89"/>
      <c r="Q10487" s="105"/>
    </row>
    <row r="10488" spans="3:17" x14ac:dyDescent="0.3">
      <c r="C10488" s="87"/>
      <c r="H10488" s="86" t="e">
        <f>IF(I10488="fora",0%,G10488/QUÓRUM!$C$6)</f>
        <v>#DIV/0!</v>
      </c>
      <c r="I10488" s="87"/>
      <c r="J10488" s="88"/>
      <c r="K10488" s="88"/>
      <c r="L10488" s="89"/>
      <c r="M10488" s="89"/>
      <c r="Q10488" s="105"/>
    </row>
    <row r="10489" spans="3:17" x14ac:dyDescent="0.3">
      <c r="C10489" s="87"/>
      <c r="H10489" s="86" t="e">
        <f>IF(I10489="fora",0%,G10489/QUÓRUM!$C$6)</f>
        <v>#DIV/0!</v>
      </c>
      <c r="I10489" s="87"/>
      <c r="J10489" s="88"/>
      <c r="K10489" s="88"/>
      <c r="L10489" s="89"/>
      <c r="M10489" s="89"/>
      <c r="Q10489" s="105"/>
    </row>
    <row r="10490" spans="3:17" x14ac:dyDescent="0.3">
      <c r="C10490" s="87"/>
      <c r="H10490" s="86" t="e">
        <f>IF(I10490="fora",0%,G10490/QUÓRUM!$C$6)</f>
        <v>#DIV/0!</v>
      </c>
      <c r="I10490" s="87"/>
      <c r="J10490" s="88"/>
      <c r="K10490" s="88"/>
      <c r="L10490" s="89"/>
      <c r="M10490" s="89"/>
      <c r="Q10490" s="105"/>
    </row>
    <row r="10491" spans="3:17" x14ac:dyDescent="0.3">
      <c r="C10491" s="87"/>
      <c r="H10491" s="86" t="e">
        <f>IF(I10491="fora",0%,G10491/QUÓRUM!$C$6)</f>
        <v>#DIV/0!</v>
      </c>
      <c r="I10491" s="87"/>
      <c r="J10491" s="88"/>
      <c r="K10491" s="88"/>
      <c r="L10491" s="89"/>
      <c r="M10491" s="89"/>
      <c r="Q10491" s="105"/>
    </row>
    <row r="10492" spans="3:17" x14ac:dyDescent="0.3">
      <c r="C10492" s="87"/>
      <c r="H10492" s="86" t="e">
        <f>IF(I10492="fora",0%,G10492/QUÓRUM!$C$6)</f>
        <v>#DIV/0!</v>
      </c>
      <c r="I10492" s="87"/>
      <c r="J10492" s="88"/>
      <c r="K10492" s="88"/>
      <c r="L10492" s="89"/>
      <c r="M10492" s="89"/>
      <c r="Q10492" s="105"/>
    </row>
    <row r="10493" spans="3:17" x14ac:dyDescent="0.3">
      <c r="C10493" s="87"/>
      <c r="H10493" s="86" t="e">
        <f>IF(I10493="fora",0%,G10493/QUÓRUM!$C$6)</f>
        <v>#DIV/0!</v>
      </c>
      <c r="I10493" s="87"/>
      <c r="J10493" s="88"/>
      <c r="K10493" s="88"/>
      <c r="L10493" s="89"/>
      <c r="M10493" s="89"/>
      <c r="Q10493" s="105"/>
    </row>
    <row r="10494" spans="3:17" x14ac:dyDescent="0.3">
      <c r="C10494" s="87"/>
      <c r="H10494" s="86" t="e">
        <f>IF(I10494="fora",0%,G10494/QUÓRUM!$C$6)</f>
        <v>#DIV/0!</v>
      </c>
      <c r="I10494" s="87"/>
      <c r="J10494" s="88"/>
      <c r="K10494" s="88"/>
      <c r="L10494" s="89"/>
      <c r="M10494" s="89"/>
      <c r="Q10494" s="105"/>
    </row>
    <row r="10495" spans="3:17" x14ac:dyDescent="0.3">
      <c r="C10495" s="87"/>
      <c r="H10495" s="86" t="e">
        <f>IF(I10495="fora",0%,G10495/QUÓRUM!$C$6)</f>
        <v>#DIV/0!</v>
      </c>
      <c r="I10495" s="87"/>
      <c r="J10495" s="88"/>
      <c r="K10495" s="88"/>
      <c r="L10495" s="89"/>
      <c r="M10495" s="89"/>
      <c r="Q10495" s="105"/>
    </row>
    <row r="10496" spans="3:17" x14ac:dyDescent="0.3">
      <c r="C10496" s="87"/>
      <c r="H10496" s="86" t="e">
        <f>IF(I10496="fora",0%,G10496/QUÓRUM!$C$6)</f>
        <v>#DIV/0!</v>
      </c>
      <c r="I10496" s="87"/>
      <c r="J10496" s="88"/>
      <c r="K10496" s="88"/>
      <c r="L10496" s="89"/>
      <c r="M10496" s="89"/>
      <c r="Q10496" s="105"/>
    </row>
    <row r="10497" spans="1:20" x14ac:dyDescent="0.3">
      <c r="C10497" s="87"/>
      <c r="H10497" s="86" t="e">
        <f>IF(I10497="fora",0%,G10497/QUÓRUM!$C$6)</f>
        <v>#DIV/0!</v>
      </c>
      <c r="I10497" s="87"/>
      <c r="J10497" s="88"/>
      <c r="K10497" s="88"/>
      <c r="L10497" s="89"/>
      <c r="M10497" s="89"/>
      <c r="Q10497" s="105"/>
    </row>
    <row r="10498" spans="1:20" x14ac:dyDescent="0.3">
      <c r="C10498" s="87"/>
      <c r="H10498" s="86" t="e">
        <f>IF(I10498="fora",0%,G10498/QUÓRUM!$C$6)</f>
        <v>#DIV/0!</v>
      </c>
      <c r="I10498" s="87"/>
      <c r="J10498" s="88"/>
      <c r="K10498" s="88"/>
      <c r="L10498" s="89"/>
      <c r="M10498" s="89"/>
      <c r="Q10498" s="105"/>
    </row>
    <row r="10499" spans="1:20" x14ac:dyDescent="0.3">
      <c r="C10499" s="87"/>
      <c r="H10499" s="86" t="e">
        <f>IF(I10499="fora",0%,G10499/QUÓRUM!$C$6)</f>
        <v>#DIV/0!</v>
      </c>
      <c r="I10499" s="87"/>
      <c r="J10499" s="88"/>
      <c r="K10499" s="88"/>
      <c r="L10499" s="89"/>
      <c r="M10499" s="89"/>
      <c r="Q10499" s="105"/>
    </row>
    <row r="10500" spans="1:20" x14ac:dyDescent="0.3">
      <c r="C10500" s="87"/>
      <c r="H10500" s="86" t="e">
        <f>IF(I10500="fora",0%,G10500/QUÓRUM!$C$6)</f>
        <v>#DIV/0!</v>
      </c>
      <c r="I10500" s="87"/>
      <c r="J10500" s="88"/>
      <c r="K10500" s="88"/>
      <c r="L10500" s="89"/>
      <c r="M10500" s="89"/>
      <c r="Q10500" s="105"/>
    </row>
    <row r="10501" spans="1:20" x14ac:dyDescent="0.3">
      <c r="C10501" s="87"/>
      <c r="H10501" s="86" t="e">
        <f>IF(I10501="fora",0%,G10501/QUÓRUM!$C$6)</f>
        <v>#DIV/0!</v>
      </c>
      <c r="I10501" s="87"/>
      <c r="J10501" s="88"/>
      <c r="K10501" s="88"/>
      <c r="L10501" s="89"/>
      <c r="M10501" s="89"/>
      <c r="Q10501" s="105"/>
    </row>
    <row r="10502" spans="1:20" x14ac:dyDescent="0.3">
      <c r="C10502" s="87"/>
      <c r="H10502" s="86" t="e">
        <f>IF(I10502="fora",0%,G10502/QUÓRUM!$C$6)</f>
        <v>#DIV/0!</v>
      </c>
      <c r="I10502" s="87"/>
      <c r="J10502" s="88"/>
      <c r="K10502" s="88"/>
      <c r="L10502" s="89"/>
      <c r="M10502" s="89"/>
      <c r="Q10502" s="105"/>
    </row>
    <row r="10503" spans="1:20" x14ac:dyDescent="0.3">
      <c r="C10503" s="87"/>
      <c r="H10503" s="86" t="e">
        <f>IF(I10503="fora",0%,G10503/QUÓRUM!$C$6)</f>
        <v>#DIV/0!</v>
      </c>
      <c r="I10503" s="87"/>
      <c r="J10503" s="88"/>
      <c r="K10503" s="88"/>
      <c r="L10503" s="89"/>
      <c r="M10503" s="89"/>
      <c r="Q10503" s="105"/>
    </row>
    <row r="10504" spans="1:20" x14ac:dyDescent="0.3">
      <c r="C10504" s="87"/>
      <c r="H10504" s="86" t="e">
        <f>IF(I10504="fora",0%,G10504/QUÓRUM!$C$6)</f>
        <v>#DIV/0!</v>
      </c>
      <c r="I10504" s="87"/>
      <c r="J10504" s="88"/>
      <c r="K10504" s="88"/>
      <c r="L10504" s="89"/>
      <c r="M10504" s="89"/>
      <c r="Q10504" s="105"/>
    </row>
    <row r="10505" spans="1:20" x14ac:dyDescent="0.3">
      <c r="C10505" s="87"/>
      <c r="H10505" s="86" t="e">
        <f>IF(I10505="fora",0%,G10505/QUÓRUM!$C$6)</f>
        <v>#DIV/0!</v>
      </c>
      <c r="I10505" s="87"/>
      <c r="J10505" s="88"/>
      <c r="K10505" s="88"/>
      <c r="L10505" s="89"/>
      <c r="M10505" s="89"/>
      <c r="Q10505" s="105"/>
    </row>
    <row r="10506" spans="1:20" x14ac:dyDescent="0.3">
      <c r="A10506" s="101"/>
      <c r="B10506" s="102"/>
      <c r="C10506" s="87"/>
      <c r="D10506" s="103"/>
      <c r="F10506" s="101"/>
      <c r="G10506" s="104"/>
      <c r="H10506" s="86" t="e">
        <f>IF(I10506="fora",0%,G10506/QUÓRUM!$C$6)</f>
        <v>#DIV/0!</v>
      </c>
      <c r="I10506" s="87"/>
      <c r="J10506" s="88"/>
      <c r="K10506" s="88"/>
      <c r="L10506" s="89"/>
      <c r="M10506" s="89"/>
      <c r="O10506" s="105"/>
      <c r="P10506" s="105"/>
      <c r="Q10506" s="105"/>
      <c r="R10506" s="106"/>
      <c r="S10506" s="127">
        <f>R10506*G10506</f>
        <v>0</v>
      </c>
      <c r="T10506" s="107" t="e">
        <f>IF(I10506="fora",0%,S10506/QUÓRUM!$M$7)</f>
        <v>#DIV/0!</v>
      </c>
    </row>
    <row r="10507" spans="1:20" x14ac:dyDescent="0.3">
      <c r="A10507" s="101"/>
      <c r="B10507" s="102"/>
      <c r="C10507" s="87"/>
      <c r="D10507" s="103"/>
      <c r="F10507" s="101"/>
      <c r="G10507" s="104"/>
      <c r="H10507" s="86" t="e">
        <f>IF(I10507="fora",0%,G10507/QUÓRUM!$C$6)</f>
        <v>#DIV/0!</v>
      </c>
      <c r="I10507" s="87"/>
      <c r="J10507" s="88"/>
      <c r="K10507" s="88"/>
      <c r="L10507" s="89"/>
      <c r="M10507" s="89"/>
      <c r="O10507" s="105"/>
      <c r="P10507" s="105"/>
      <c r="Q10507" s="105"/>
      <c r="R10507" s="106"/>
      <c r="S10507" s="127"/>
      <c r="T10507" s="107"/>
    </row>
    <row r="10508" spans="1:20" x14ac:dyDescent="0.3">
      <c r="A10508" s="101"/>
      <c r="B10508" s="102"/>
      <c r="C10508" s="87"/>
      <c r="D10508" s="103"/>
      <c r="F10508" s="101"/>
      <c r="G10508" s="104"/>
      <c r="H10508" s="86" t="e">
        <f>IF(I10508="fora",0%,G10508/QUÓRUM!$C$6)</f>
        <v>#DIV/0!</v>
      </c>
      <c r="I10508" s="87"/>
      <c r="J10508" s="88"/>
      <c r="K10508" s="88"/>
      <c r="L10508" s="89"/>
      <c r="M10508" s="89"/>
      <c r="O10508" s="105"/>
      <c r="P10508" s="105"/>
      <c r="Q10508" s="105"/>
      <c r="R10508" s="106"/>
      <c r="S10508" s="127"/>
      <c r="T10508" s="107"/>
    </row>
    <row r="10509" spans="1:20" x14ac:dyDescent="0.3">
      <c r="A10509" s="101"/>
      <c r="B10509" s="102"/>
      <c r="C10509" s="87"/>
      <c r="D10509" s="103"/>
      <c r="F10509" s="101"/>
      <c r="G10509" s="104"/>
      <c r="H10509" s="86" t="e">
        <f>IF(I10509="fora",0%,G10509/QUÓRUM!$C$6)</f>
        <v>#DIV/0!</v>
      </c>
      <c r="I10509" s="87"/>
      <c r="J10509" s="88"/>
      <c r="K10509" s="88"/>
      <c r="L10509" s="89"/>
      <c r="M10509" s="89"/>
      <c r="O10509" s="105"/>
      <c r="P10509" s="105"/>
      <c r="Q10509" s="105"/>
      <c r="R10509" s="106"/>
      <c r="S10509" s="127"/>
      <c r="T10509" s="107"/>
    </row>
    <row r="10510" spans="1:20" x14ac:dyDescent="0.3">
      <c r="C10510" s="87"/>
      <c r="H10510" s="86" t="e">
        <f>IF(I10510="fora",0%,G10510/QUÓRUM!$C$6)</f>
        <v>#DIV/0!</v>
      </c>
      <c r="I10510" s="87"/>
      <c r="J10510" s="88"/>
      <c r="K10510" s="88"/>
      <c r="L10510" s="89"/>
      <c r="M10510" s="89"/>
      <c r="Q10510" s="105"/>
    </row>
    <row r="10511" spans="1:20" x14ac:dyDescent="0.3">
      <c r="C10511" s="87"/>
      <c r="H10511" s="86" t="e">
        <f>IF(I10511="fora",0%,G10511/QUÓRUM!$C$6)</f>
        <v>#DIV/0!</v>
      </c>
      <c r="I10511" s="87"/>
      <c r="J10511" s="88"/>
      <c r="K10511" s="88"/>
      <c r="L10511" s="89"/>
      <c r="M10511" s="89"/>
      <c r="Q10511" s="105"/>
    </row>
    <row r="10512" spans="1:20" x14ac:dyDescent="0.3">
      <c r="C10512" s="87"/>
      <c r="H10512" s="86" t="e">
        <f>IF(I10512="fora",0%,G10512/QUÓRUM!$C$6)</f>
        <v>#DIV/0!</v>
      </c>
      <c r="I10512" s="87"/>
      <c r="J10512" s="88"/>
      <c r="K10512" s="88"/>
      <c r="L10512" s="89"/>
      <c r="M10512" s="89"/>
      <c r="Q10512" s="105"/>
    </row>
    <row r="10513" spans="1:20" x14ac:dyDescent="0.3">
      <c r="C10513" s="87"/>
      <c r="H10513" s="86" t="e">
        <f>IF(I10513="fora",0%,G10513/QUÓRUM!$C$6)</f>
        <v>#DIV/0!</v>
      </c>
      <c r="I10513" s="87"/>
      <c r="J10513" s="88"/>
      <c r="K10513" s="88"/>
      <c r="L10513" s="89"/>
      <c r="M10513" s="89"/>
      <c r="Q10513" s="105"/>
    </row>
    <row r="10514" spans="1:20" x14ac:dyDescent="0.3">
      <c r="C10514" s="87"/>
      <c r="H10514" s="86" t="e">
        <f>IF(I10514="fora",0%,G10514/QUÓRUM!$C$6)</f>
        <v>#DIV/0!</v>
      </c>
      <c r="I10514" s="87"/>
      <c r="J10514" s="88"/>
      <c r="K10514" s="88"/>
      <c r="L10514" s="89"/>
      <c r="M10514" s="89"/>
      <c r="Q10514" s="105"/>
    </row>
    <row r="10515" spans="1:20" x14ac:dyDescent="0.3">
      <c r="C10515" s="87"/>
      <c r="H10515" s="86" t="e">
        <f>IF(I10515="fora",0%,G10515/QUÓRUM!$C$6)</f>
        <v>#DIV/0!</v>
      </c>
      <c r="I10515" s="87"/>
      <c r="J10515" s="88"/>
      <c r="K10515" s="88"/>
      <c r="L10515" s="89"/>
      <c r="M10515" s="89"/>
      <c r="Q10515" s="105"/>
    </row>
    <row r="10516" spans="1:20" x14ac:dyDescent="0.3">
      <c r="C10516" s="87"/>
      <c r="H10516" s="86" t="e">
        <f>IF(I10516="fora",0%,G10516/QUÓRUM!$C$6)</f>
        <v>#DIV/0!</v>
      </c>
      <c r="I10516" s="87"/>
      <c r="J10516" s="88"/>
      <c r="K10516" s="88"/>
      <c r="L10516" s="89"/>
      <c r="M10516" s="89"/>
      <c r="Q10516" s="105"/>
    </row>
    <row r="10517" spans="1:20" x14ac:dyDescent="0.3">
      <c r="C10517" s="87"/>
      <c r="H10517" s="86" t="e">
        <f>IF(I10517="fora",0%,G10517/QUÓRUM!$C$6)</f>
        <v>#DIV/0!</v>
      </c>
      <c r="I10517" s="87"/>
      <c r="J10517" s="88"/>
      <c r="K10517" s="88"/>
      <c r="L10517" s="89"/>
      <c r="M10517" s="89"/>
      <c r="Q10517" s="105"/>
    </row>
    <row r="10518" spans="1:20" x14ac:dyDescent="0.3">
      <c r="A10518" s="101"/>
      <c r="B10518" s="102"/>
      <c r="C10518" s="87"/>
      <c r="D10518" s="103"/>
      <c r="F10518" s="101"/>
      <c r="G10518" s="104"/>
      <c r="H10518" s="86" t="e">
        <f>IF(I10518="fora",0%,G10518/QUÓRUM!$C$6)</f>
        <v>#DIV/0!</v>
      </c>
      <c r="I10518" s="87"/>
      <c r="J10518" s="88"/>
      <c r="K10518" s="88"/>
      <c r="L10518" s="89"/>
      <c r="M10518" s="89"/>
      <c r="O10518" s="105"/>
      <c r="P10518" s="105"/>
      <c r="Q10518" s="105"/>
      <c r="R10518" s="106"/>
      <c r="S10518" s="127"/>
      <c r="T10518" s="107"/>
    </row>
    <row r="10519" spans="1:20" x14ac:dyDescent="0.3">
      <c r="A10519" s="101"/>
      <c r="B10519" s="102"/>
      <c r="C10519" s="87"/>
      <c r="D10519" s="103"/>
      <c r="F10519" s="101"/>
      <c r="G10519" s="104"/>
      <c r="H10519" s="86" t="e">
        <f>IF(I10519="fora",0%,G10519/QUÓRUM!$C$6)</f>
        <v>#DIV/0!</v>
      </c>
      <c r="I10519" s="87"/>
      <c r="J10519" s="88"/>
      <c r="K10519" s="88"/>
      <c r="L10519" s="89"/>
      <c r="M10519" s="89"/>
      <c r="O10519" s="105"/>
      <c r="P10519" s="105"/>
      <c r="Q10519" s="105"/>
      <c r="R10519" s="106"/>
      <c r="S10519" s="127"/>
      <c r="T10519" s="107"/>
    </row>
    <row r="10520" spans="1:20" x14ac:dyDescent="0.3">
      <c r="A10520" s="101"/>
      <c r="B10520" s="102"/>
      <c r="C10520" s="87"/>
      <c r="D10520" s="103"/>
      <c r="F10520" s="101"/>
      <c r="G10520" s="104"/>
      <c r="H10520" s="86" t="e">
        <f>IF(I10520="fora",0%,G10520/QUÓRUM!$C$6)</f>
        <v>#DIV/0!</v>
      </c>
      <c r="I10520" s="87"/>
      <c r="J10520" s="88"/>
      <c r="K10520" s="88"/>
      <c r="L10520" s="89"/>
      <c r="M10520" s="89"/>
      <c r="O10520" s="105"/>
      <c r="P10520" s="105"/>
      <c r="Q10520" s="105"/>
      <c r="R10520" s="106"/>
      <c r="S10520" s="127"/>
      <c r="T10520" s="107"/>
    </row>
    <row r="10521" spans="1:20" x14ac:dyDescent="0.3">
      <c r="A10521" s="101"/>
      <c r="B10521" s="102"/>
      <c r="C10521" s="87"/>
      <c r="D10521" s="103"/>
      <c r="F10521" s="101"/>
      <c r="G10521" s="104"/>
      <c r="H10521" s="86" t="e">
        <f>IF(I10521="fora",0%,G10521/QUÓRUM!$C$6)</f>
        <v>#DIV/0!</v>
      </c>
      <c r="I10521" s="87"/>
      <c r="J10521" s="88"/>
      <c r="K10521" s="88"/>
      <c r="L10521" s="89"/>
      <c r="M10521" s="89"/>
      <c r="O10521" s="105"/>
      <c r="P10521" s="105"/>
      <c r="Q10521" s="105"/>
      <c r="R10521" s="106"/>
      <c r="S10521" s="127"/>
      <c r="T10521" s="107"/>
    </row>
    <row r="10522" spans="1:20" x14ac:dyDescent="0.3">
      <c r="A10522" s="101"/>
      <c r="B10522" s="102"/>
      <c r="C10522" s="87"/>
      <c r="D10522" s="103"/>
      <c r="F10522" s="101"/>
      <c r="G10522" s="104"/>
      <c r="H10522" s="86" t="e">
        <f>IF(I10522="fora",0%,G10522/QUÓRUM!$C$6)</f>
        <v>#DIV/0!</v>
      </c>
      <c r="I10522" s="87"/>
      <c r="J10522" s="88"/>
      <c r="K10522" s="88"/>
      <c r="L10522" s="89"/>
      <c r="M10522" s="89"/>
      <c r="O10522" s="105"/>
      <c r="P10522" s="105"/>
      <c r="Q10522" s="105"/>
      <c r="R10522" s="106"/>
      <c r="S10522" s="127"/>
      <c r="T10522" s="107"/>
    </row>
    <row r="10523" spans="1:20" x14ac:dyDescent="0.3">
      <c r="A10523" s="101"/>
      <c r="B10523" s="102"/>
      <c r="C10523" s="87"/>
      <c r="D10523" s="103"/>
      <c r="F10523" s="101"/>
      <c r="G10523" s="104"/>
      <c r="H10523" s="86" t="e">
        <f>IF(I10523="fora",0%,G10523/QUÓRUM!$C$6)</f>
        <v>#DIV/0!</v>
      </c>
      <c r="I10523" s="87"/>
      <c r="J10523" s="88"/>
      <c r="K10523" s="88"/>
      <c r="L10523" s="89"/>
      <c r="M10523" s="89"/>
      <c r="O10523" s="105"/>
      <c r="P10523" s="105"/>
      <c r="Q10523" s="105"/>
      <c r="R10523" s="106"/>
      <c r="S10523" s="127"/>
      <c r="T10523" s="107"/>
    </row>
    <row r="10524" spans="1:20" x14ac:dyDescent="0.3">
      <c r="A10524" s="101"/>
      <c r="B10524" s="102"/>
      <c r="C10524" s="87"/>
      <c r="D10524" s="103"/>
      <c r="F10524" s="101"/>
      <c r="G10524" s="104"/>
      <c r="H10524" s="86" t="e">
        <f>IF(I10524="fora",0%,G10524/QUÓRUM!$C$6)</f>
        <v>#DIV/0!</v>
      </c>
      <c r="I10524" s="87"/>
      <c r="J10524" s="88"/>
      <c r="K10524" s="88"/>
      <c r="L10524" s="89"/>
      <c r="M10524" s="89"/>
      <c r="O10524" s="105"/>
      <c r="P10524" s="105"/>
      <c r="Q10524" s="105"/>
      <c r="R10524" s="106"/>
      <c r="S10524" s="127"/>
      <c r="T10524" s="107"/>
    </row>
    <row r="10525" spans="1:20" x14ac:dyDescent="0.3">
      <c r="A10525" s="101"/>
      <c r="B10525" s="102"/>
      <c r="C10525" s="87"/>
      <c r="D10525" s="103"/>
      <c r="F10525" s="101"/>
      <c r="G10525" s="104"/>
      <c r="H10525" s="86" t="e">
        <f>IF(I10525="fora",0%,G10525/QUÓRUM!$C$6)</f>
        <v>#DIV/0!</v>
      </c>
      <c r="I10525" s="87"/>
      <c r="J10525" s="88"/>
      <c r="K10525" s="88"/>
      <c r="L10525" s="89"/>
      <c r="M10525" s="89"/>
      <c r="O10525" s="105"/>
      <c r="P10525" s="105"/>
      <c r="Q10525" s="105"/>
      <c r="R10525" s="106"/>
      <c r="S10525" s="127"/>
      <c r="T10525" s="107"/>
    </row>
    <row r="10526" spans="1:20" x14ac:dyDescent="0.3">
      <c r="A10526" s="101"/>
      <c r="B10526" s="102"/>
      <c r="C10526" s="87"/>
      <c r="D10526" s="103"/>
      <c r="F10526" s="101"/>
      <c r="G10526" s="104"/>
      <c r="H10526" s="86" t="e">
        <f>IF(I10526="fora",0%,G10526/QUÓRUM!$C$6)</f>
        <v>#DIV/0!</v>
      </c>
      <c r="I10526" s="87"/>
      <c r="J10526" s="88"/>
      <c r="K10526" s="88"/>
      <c r="L10526" s="89"/>
      <c r="M10526" s="89"/>
      <c r="O10526" s="105"/>
      <c r="P10526" s="105"/>
      <c r="Q10526" s="105"/>
      <c r="R10526" s="106"/>
      <c r="S10526" s="127"/>
      <c r="T10526" s="107"/>
    </row>
    <row r="10527" spans="1:20" x14ac:dyDescent="0.3">
      <c r="A10527" s="101"/>
      <c r="B10527" s="102"/>
      <c r="C10527" s="87"/>
      <c r="D10527" s="103"/>
      <c r="F10527" s="101"/>
      <c r="G10527" s="109"/>
      <c r="H10527" s="86" t="e">
        <f>IF(I10527="fora",0%,G10527/QUÓRUM!$C$6)</f>
        <v>#DIV/0!</v>
      </c>
      <c r="I10527" s="87"/>
      <c r="J10527" s="88"/>
      <c r="K10527" s="88"/>
      <c r="L10527" s="89"/>
      <c r="M10527" s="89"/>
      <c r="O10527" s="105"/>
      <c r="P10527" s="105"/>
      <c r="Q10527" s="105"/>
      <c r="R10527" s="106"/>
      <c r="S10527" s="127"/>
      <c r="T10527" s="107"/>
    </row>
    <row r="10528" spans="1:20" x14ac:dyDescent="0.3">
      <c r="A10528" s="101"/>
      <c r="B10528" s="102"/>
      <c r="C10528" s="87"/>
      <c r="D10528" s="103"/>
      <c r="F10528" s="101"/>
      <c r="G10528" s="104"/>
      <c r="H10528" s="86" t="e">
        <f>IF(I10528="fora",0%,G10528/QUÓRUM!$C$6)</f>
        <v>#DIV/0!</v>
      </c>
      <c r="I10528" s="87"/>
      <c r="J10528" s="88"/>
      <c r="K10528" s="88"/>
      <c r="L10528" s="89"/>
      <c r="M10528" s="89"/>
      <c r="O10528" s="105"/>
      <c r="P10528" s="105"/>
      <c r="Q10528" s="105"/>
      <c r="R10528" s="106"/>
      <c r="S10528" s="127"/>
      <c r="T10528" s="107"/>
    </row>
    <row r="10529" spans="3:17" x14ac:dyDescent="0.3">
      <c r="C10529" s="87"/>
      <c r="H10529" s="86" t="e">
        <f>IF(I10529="fora",0%,G10529/QUÓRUM!$C$6)</f>
        <v>#DIV/0!</v>
      </c>
      <c r="I10529" s="87"/>
      <c r="J10529" s="88"/>
      <c r="K10529" s="88"/>
      <c r="L10529" s="89"/>
      <c r="M10529" s="89"/>
      <c r="Q10529" s="105"/>
    </row>
    <row r="10530" spans="3:17" x14ac:dyDescent="0.3">
      <c r="C10530" s="87"/>
      <c r="H10530" s="86" t="e">
        <f>IF(I10530="fora",0%,G10530/QUÓRUM!$C$6)</f>
        <v>#DIV/0!</v>
      </c>
      <c r="I10530" s="87"/>
      <c r="J10530" s="88"/>
      <c r="K10530" s="88"/>
      <c r="L10530" s="89"/>
      <c r="M10530" s="89"/>
      <c r="Q10530" s="105"/>
    </row>
    <row r="10531" spans="3:17" x14ac:dyDescent="0.3">
      <c r="C10531" s="87"/>
      <c r="H10531" s="86" t="e">
        <f>IF(I10531="fora",0%,G10531/QUÓRUM!$C$6)</f>
        <v>#DIV/0!</v>
      </c>
      <c r="I10531" s="87"/>
      <c r="J10531" s="88"/>
      <c r="K10531" s="88"/>
      <c r="L10531" s="89"/>
      <c r="M10531" s="89"/>
      <c r="Q10531" s="105"/>
    </row>
    <row r="10532" spans="3:17" x14ac:dyDescent="0.3">
      <c r="C10532" s="87"/>
      <c r="H10532" s="86" t="e">
        <f>IF(I10532="fora",0%,G10532/QUÓRUM!$C$6)</f>
        <v>#DIV/0!</v>
      </c>
      <c r="I10532" s="87"/>
      <c r="J10532" s="88"/>
      <c r="K10532" s="88"/>
      <c r="L10532" s="89"/>
      <c r="M10532" s="89"/>
      <c r="Q10532" s="105"/>
    </row>
    <row r="10533" spans="3:17" x14ac:dyDescent="0.3">
      <c r="C10533" s="87"/>
      <c r="H10533" s="86" t="e">
        <f>IF(I10533="fora",0%,G10533/QUÓRUM!$C$6)</f>
        <v>#DIV/0!</v>
      </c>
      <c r="I10533" s="87"/>
      <c r="J10533" s="88"/>
      <c r="K10533" s="88"/>
      <c r="L10533" s="89"/>
      <c r="M10533" s="89"/>
      <c r="Q10533" s="105"/>
    </row>
    <row r="10534" spans="3:17" x14ac:dyDescent="0.3">
      <c r="C10534" s="87"/>
      <c r="H10534" s="86" t="e">
        <f>IF(I10534="fora",0%,G10534/QUÓRUM!$C$6)</f>
        <v>#DIV/0!</v>
      </c>
      <c r="I10534" s="87"/>
      <c r="J10534" s="88"/>
      <c r="K10534" s="88"/>
      <c r="L10534" s="89"/>
      <c r="M10534" s="89"/>
      <c r="Q10534" s="105"/>
    </row>
    <row r="10535" spans="3:17" x14ac:dyDescent="0.3">
      <c r="C10535" s="87"/>
      <c r="H10535" s="86" t="e">
        <f>IF(I10535="fora",0%,G10535/QUÓRUM!$C$6)</f>
        <v>#DIV/0!</v>
      </c>
      <c r="I10535" s="87"/>
      <c r="J10535" s="88"/>
      <c r="K10535" s="88"/>
      <c r="L10535" s="89"/>
      <c r="M10535" s="89"/>
      <c r="Q10535" s="105"/>
    </row>
    <row r="10536" spans="3:17" x14ac:dyDescent="0.3">
      <c r="C10536" s="87"/>
      <c r="H10536" s="86" t="e">
        <f>IF(I10536="fora",0%,G10536/QUÓRUM!$C$6)</f>
        <v>#DIV/0!</v>
      </c>
      <c r="I10536" s="87"/>
      <c r="J10536" s="88"/>
      <c r="K10536" s="88"/>
      <c r="L10536" s="89"/>
      <c r="M10536" s="89"/>
      <c r="Q10536" s="105"/>
    </row>
    <row r="10537" spans="3:17" x14ac:dyDescent="0.3">
      <c r="C10537" s="87"/>
      <c r="H10537" s="86" t="e">
        <f>IF(I10537="fora",0%,G10537/QUÓRUM!$C$6)</f>
        <v>#DIV/0!</v>
      </c>
      <c r="I10537" s="87"/>
      <c r="J10537" s="88"/>
      <c r="K10537" s="88"/>
      <c r="L10537" s="89"/>
      <c r="M10537" s="89"/>
      <c r="Q10537" s="105"/>
    </row>
    <row r="10538" spans="3:17" x14ac:dyDescent="0.3">
      <c r="C10538" s="87"/>
      <c r="H10538" s="86" t="e">
        <f>IF(I10538="fora",0%,G10538/QUÓRUM!$C$6)</f>
        <v>#DIV/0!</v>
      </c>
      <c r="I10538" s="87"/>
      <c r="J10538" s="88"/>
      <c r="K10538" s="88"/>
      <c r="L10538" s="89"/>
      <c r="M10538" s="89"/>
      <c r="Q10538" s="105"/>
    </row>
    <row r="10539" spans="3:17" x14ac:dyDescent="0.3">
      <c r="C10539" s="87"/>
      <c r="H10539" s="86" t="e">
        <f>IF(I10539="fora",0%,G10539/QUÓRUM!$C$6)</f>
        <v>#DIV/0!</v>
      </c>
      <c r="I10539" s="87"/>
      <c r="J10539" s="88"/>
      <c r="K10539" s="88"/>
      <c r="L10539" s="89"/>
      <c r="M10539" s="89"/>
      <c r="Q10539" s="105"/>
    </row>
    <row r="10540" spans="3:17" x14ac:dyDescent="0.3">
      <c r="C10540" s="87"/>
      <c r="H10540" s="86" t="e">
        <f>IF(I10540="fora",0%,G10540/QUÓRUM!$C$6)</f>
        <v>#DIV/0!</v>
      </c>
      <c r="I10540" s="87"/>
      <c r="J10540" s="88"/>
      <c r="K10540" s="88"/>
      <c r="L10540" s="89"/>
      <c r="M10540" s="89"/>
      <c r="Q10540" s="105"/>
    </row>
    <row r="10541" spans="3:17" x14ac:dyDescent="0.3">
      <c r="C10541" s="87"/>
      <c r="H10541" s="86" t="e">
        <f>IF(I10541="fora",0%,G10541/QUÓRUM!$C$6)</f>
        <v>#DIV/0!</v>
      </c>
      <c r="I10541" s="87"/>
      <c r="J10541" s="88"/>
      <c r="K10541" s="88"/>
      <c r="L10541" s="89"/>
      <c r="M10541" s="89"/>
      <c r="Q10541" s="105"/>
    </row>
    <row r="10542" spans="3:17" x14ac:dyDescent="0.3">
      <c r="C10542" s="87"/>
      <c r="H10542" s="86" t="e">
        <f>IF(I10542="fora",0%,G10542/QUÓRUM!$C$6)</f>
        <v>#DIV/0!</v>
      </c>
      <c r="I10542" s="87"/>
      <c r="J10542" s="88"/>
      <c r="K10542" s="88"/>
      <c r="L10542" s="89"/>
      <c r="M10542" s="89"/>
      <c r="Q10542" s="105"/>
    </row>
    <row r="10543" spans="3:17" x14ac:dyDescent="0.3">
      <c r="C10543" s="87"/>
      <c r="H10543" s="86" t="e">
        <f>IF(I10543="fora",0%,G10543/QUÓRUM!$C$6)</f>
        <v>#DIV/0!</v>
      </c>
      <c r="I10543" s="87"/>
      <c r="J10543" s="88"/>
      <c r="K10543" s="88"/>
      <c r="L10543" s="89"/>
      <c r="M10543" s="89"/>
      <c r="Q10543" s="105"/>
    </row>
    <row r="10544" spans="3:17" x14ac:dyDescent="0.3">
      <c r="C10544" s="87"/>
      <c r="H10544" s="86" t="e">
        <f>IF(I10544="fora",0%,G10544/QUÓRUM!$C$6)</f>
        <v>#DIV/0!</v>
      </c>
      <c r="I10544" s="87"/>
      <c r="J10544" s="88"/>
      <c r="K10544" s="88"/>
      <c r="L10544" s="89"/>
      <c r="M10544" s="89"/>
      <c r="Q10544" s="105"/>
    </row>
    <row r="10545" spans="3:17" x14ac:dyDescent="0.3">
      <c r="C10545" s="87"/>
      <c r="H10545" s="86" t="e">
        <f>IF(I10545="fora",0%,G10545/QUÓRUM!$C$6)</f>
        <v>#DIV/0!</v>
      </c>
      <c r="I10545" s="87"/>
      <c r="J10545" s="88"/>
      <c r="K10545" s="88"/>
      <c r="L10545" s="89"/>
      <c r="M10545" s="89"/>
      <c r="Q10545" s="105"/>
    </row>
    <row r="10546" spans="3:17" x14ac:dyDescent="0.3">
      <c r="C10546" s="87"/>
      <c r="H10546" s="86" t="e">
        <f>IF(I10546="fora",0%,G10546/QUÓRUM!$C$6)</f>
        <v>#DIV/0!</v>
      </c>
      <c r="I10546" s="87"/>
      <c r="J10546" s="88"/>
      <c r="K10546" s="88"/>
      <c r="L10546" s="89"/>
      <c r="M10546" s="89"/>
      <c r="Q10546" s="105"/>
    </row>
    <row r="10547" spans="3:17" x14ac:dyDescent="0.3">
      <c r="C10547" s="87"/>
      <c r="H10547" s="86" t="e">
        <f>IF(I10547="fora",0%,G10547/QUÓRUM!$C$6)</f>
        <v>#DIV/0!</v>
      </c>
      <c r="I10547" s="87"/>
      <c r="J10547" s="88"/>
      <c r="K10547" s="88"/>
      <c r="L10547" s="89"/>
      <c r="M10547" s="89"/>
      <c r="Q10547" s="105"/>
    </row>
    <row r="10548" spans="3:17" x14ac:dyDescent="0.3">
      <c r="C10548" s="87"/>
      <c r="H10548" s="86" t="e">
        <f>IF(I10548="fora",0%,G10548/QUÓRUM!$C$6)</f>
        <v>#DIV/0!</v>
      </c>
      <c r="I10548" s="87"/>
      <c r="J10548" s="88"/>
      <c r="K10548" s="88"/>
      <c r="L10548" s="89"/>
      <c r="M10548" s="89"/>
      <c r="Q10548" s="105"/>
    </row>
    <row r="10549" spans="3:17" x14ac:dyDescent="0.3">
      <c r="C10549" s="87"/>
      <c r="H10549" s="86" t="e">
        <f>IF(I10549="fora",0%,G10549/QUÓRUM!$C$6)</f>
        <v>#DIV/0!</v>
      </c>
      <c r="I10549" s="87"/>
      <c r="J10549" s="88"/>
      <c r="K10549" s="88"/>
      <c r="L10549" s="89"/>
      <c r="M10549" s="89"/>
      <c r="Q10549" s="105"/>
    </row>
    <row r="10550" spans="3:17" x14ac:dyDescent="0.3">
      <c r="C10550" s="87"/>
      <c r="H10550" s="86" t="e">
        <f>IF(I10550="fora",0%,G10550/QUÓRUM!$C$6)</f>
        <v>#DIV/0!</v>
      </c>
      <c r="I10550" s="87"/>
      <c r="J10550" s="88"/>
      <c r="K10550" s="88"/>
      <c r="L10550" s="89"/>
      <c r="M10550" s="89"/>
      <c r="Q10550" s="105"/>
    </row>
    <row r="10551" spans="3:17" x14ac:dyDescent="0.3">
      <c r="C10551" s="87"/>
      <c r="H10551" s="86" t="e">
        <f>IF(I10551="fora",0%,G10551/QUÓRUM!$C$6)</f>
        <v>#DIV/0!</v>
      </c>
      <c r="I10551" s="87"/>
      <c r="J10551" s="88"/>
      <c r="K10551" s="88"/>
      <c r="L10551" s="89"/>
      <c r="M10551" s="89"/>
      <c r="Q10551" s="105"/>
    </row>
    <row r="10552" spans="3:17" x14ac:dyDescent="0.3">
      <c r="C10552" s="87"/>
      <c r="H10552" s="86" t="e">
        <f>IF(I10552="fora",0%,G10552/QUÓRUM!$C$6)</f>
        <v>#DIV/0!</v>
      </c>
      <c r="I10552" s="87"/>
      <c r="J10552" s="88"/>
      <c r="K10552" s="88"/>
      <c r="L10552" s="89"/>
      <c r="M10552" s="89"/>
      <c r="Q10552" s="105"/>
    </row>
    <row r="10553" spans="3:17" x14ac:dyDescent="0.3">
      <c r="C10553" s="87"/>
      <c r="H10553" s="86" t="e">
        <f>IF(I10553="fora",0%,G10553/QUÓRUM!$C$6)</f>
        <v>#DIV/0!</v>
      </c>
      <c r="I10553" s="87"/>
      <c r="J10553" s="88"/>
      <c r="K10553" s="88"/>
      <c r="L10553" s="89"/>
      <c r="M10553" s="89"/>
      <c r="Q10553" s="105"/>
    </row>
    <row r="10554" spans="3:17" x14ac:dyDescent="0.3">
      <c r="C10554" s="87"/>
      <c r="H10554" s="86" t="e">
        <f>IF(I10554="fora",0%,G10554/QUÓRUM!$C$6)</f>
        <v>#DIV/0!</v>
      </c>
      <c r="I10554" s="87"/>
      <c r="J10554" s="88"/>
      <c r="K10554" s="88"/>
      <c r="L10554" s="89"/>
      <c r="M10554" s="89"/>
      <c r="Q10554" s="105"/>
    </row>
    <row r="10555" spans="3:17" x14ac:dyDescent="0.3">
      <c r="C10555" s="87"/>
      <c r="H10555" s="86" t="e">
        <f>IF(I10555="fora",0%,G10555/QUÓRUM!$C$6)</f>
        <v>#DIV/0!</v>
      </c>
      <c r="I10555" s="87"/>
      <c r="J10555" s="88"/>
      <c r="K10555" s="88"/>
      <c r="L10555" s="89"/>
      <c r="M10555" s="89"/>
      <c r="Q10555" s="105"/>
    </row>
    <row r="10556" spans="3:17" x14ac:dyDescent="0.3">
      <c r="C10556" s="87"/>
      <c r="H10556" s="86" t="e">
        <f>IF(I10556="fora",0%,G10556/QUÓRUM!$C$6)</f>
        <v>#DIV/0!</v>
      </c>
      <c r="I10556" s="87"/>
      <c r="J10556" s="88"/>
      <c r="K10556" s="88"/>
      <c r="L10556" s="89"/>
      <c r="M10556" s="89"/>
      <c r="Q10556" s="105"/>
    </row>
    <row r="10557" spans="3:17" x14ac:dyDescent="0.3">
      <c r="C10557" s="87"/>
      <c r="H10557" s="86" t="e">
        <f>IF(I10557="fora",0%,G10557/QUÓRUM!$C$6)</f>
        <v>#DIV/0!</v>
      </c>
      <c r="I10557" s="87"/>
      <c r="J10557" s="88"/>
      <c r="K10557" s="88"/>
      <c r="L10557" s="89"/>
      <c r="M10557" s="89"/>
      <c r="Q10557" s="105"/>
    </row>
    <row r="10558" spans="3:17" x14ac:dyDescent="0.3">
      <c r="C10558" s="87"/>
      <c r="H10558" s="86" t="e">
        <f>IF(I10558="fora",0%,G10558/QUÓRUM!$C$6)</f>
        <v>#DIV/0!</v>
      </c>
      <c r="I10558" s="87"/>
      <c r="J10558" s="88"/>
      <c r="K10558" s="88"/>
      <c r="L10558" s="89"/>
      <c r="M10558" s="89"/>
      <c r="Q10558" s="105"/>
    </row>
    <row r="10559" spans="3:17" x14ac:dyDescent="0.3">
      <c r="C10559" s="87"/>
      <c r="H10559" s="86" t="e">
        <f>IF(I10559="fora",0%,G10559/QUÓRUM!$C$6)</f>
        <v>#DIV/0!</v>
      </c>
      <c r="I10559" s="87"/>
      <c r="J10559" s="88"/>
      <c r="K10559" s="88"/>
      <c r="L10559" s="89"/>
      <c r="M10559" s="89"/>
      <c r="Q10559" s="105"/>
    </row>
    <row r="10560" spans="3:17" x14ac:dyDescent="0.3">
      <c r="C10560" s="87"/>
      <c r="H10560" s="86" t="e">
        <f>IF(I10560="fora",0%,G10560/QUÓRUM!$C$6)</f>
        <v>#DIV/0!</v>
      </c>
      <c r="I10560" s="87"/>
      <c r="J10560" s="88"/>
      <c r="K10560" s="88"/>
      <c r="L10560" s="89"/>
      <c r="M10560" s="89"/>
      <c r="Q10560" s="105"/>
    </row>
    <row r="10561" spans="1:20" x14ac:dyDescent="0.3">
      <c r="C10561" s="87"/>
      <c r="H10561" s="86" t="e">
        <f>IF(I10561="fora",0%,G10561/QUÓRUM!$C$6)</f>
        <v>#DIV/0!</v>
      </c>
      <c r="I10561" s="87"/>
      <c r="J10561" s="88"/>
      <c r="K10561" s="88"/>
      <c r="L10561" s="89"/>
      <c r="M10561" s="89"/>
      <c r="Q10561" s="105"/>
    </row>
    <row r="10562" spans="1:20" x14ac:dyDescent="0.3">
      <c r="C10562" s="87"/>
      <c r="H10562" s="86" t="e">
        <f>IF(I10562="fora",0%,G10562/QUÓRUM!$C$6)</f>
        <v>#DIV/0!</v>
      </c>
      <c r="I10562" s="87"/>
      <c r="J10562" s="88"/>
      <c r="K10562" s="88"/>
      <c r="L10562" s="89"/>
      <c r="M10562" s="89"/>
      <c r="Q10562" s="105"/>
    </row>
    <row r="10563" spans="1:20" x14ac:dyDescent="0.3">
      <c r="C10563" s="87"/>
      <c r="H10563" s="86" t="e">
        <f>IF(I10563="fora",0%,G10563/QUÓRUM!$C$6)</f>
        <v>#DIV/0!</v>
      </c>
      <c r="I10563" s="87"/>
      <c r="J10563" s="88"/>
      <c r="K10563" s="88"/>
      <c r="L10563" s="89"/>
      <c r="M10563" s="89"/>
      <c r="Q10563" s="105"/>
    </row>
    <row r="10564" spans="1:20" x14ac:dyDescent="0.3">
      <c r="C10564" s="87"/>
      <c r="H10564" s="86" t="e">
        <f>IF(I10564="fora",0%,G10564/QUÓRUM!$C$6)</f>
        <v>#DIV/0!</v>
      </c>
      <c r="I10564" s="87"/>
      <c r="J10564" s="88"/>
      <c r="K10564" s="88"/>
      <c r="L10564" s="89"/>
      <c r="M10564" s="89"/>
      <c r="Q10564" s="105"/>
    </row>
    <row r="10565" spans="1:20" x14ac:dyDescent="0.3">
      <c r="C10565" s="87"/>
      <c r="H10565" s="86" t="e">
        <f>IF(I10565="fora",0%,G10565/QUÓRUM!$C$6)</f>
        <v>#DIV/0!</v>
      </c>
      <c r="I10565" s="87"/>
      <c r="J10565" s="88"/>
      <c r="K10565" s="88"/>
      <c r="L10565" s="89"/>
      <c r="M10565" s="89"/>
      <c r="Q10565" s="105"/>
    </row>
    <row r="10566" spans="1:20" x14ac:dyDescent="0.3">
      <c r="C10566" s="87"/>
      <c r="H10566" s="86" t="e">
        <f>IF(I10566="fora",0%,G10566/QUÓRUM!$C$6)</f>
        <v>#DIV/0!</v>
      </c>
      <c r="I10566" s="87"/>
      <c r="J10566" s="88"/>
      <c r="K10566" s="88"/>
      <c r="L10566" s="89"/>
      <c r="M10566" s="89"/>
      <c r="Q10566" s="105"/>
    </row>
    <row r="10567" spans="1:20" x14ac:dyDescent="0.3">
      <c r="C10567" s="87"/>
      <c r="H10567" s="86" t="e">
        <f>IF(I10567="fora",0%,G10567/QUÓRUM!$C$6)</f>
        <v>#DIV/0!</v>
      </c>
      <c r="I10567" s="87"/>
      <c r="J10567" s="88"/>
      <c r="K10567" s="88"/>
      <c r="L10567" s="89"/>
      <c r="M10567" s="89"/>
      <c r="Q10567" s="105"/>
    </row>
    <row r="10568" spans="1:20" x14ac:dyDescent="0.3">
      <c r="A10568" s="101"/>
      <c r="B10568" s="102"/>
      <c r="C10568" s="87"/>
      <c r="D10568" s="103"/>
      <c r="F10568" s="101"/>
      <c r="G10568" s="104"/>
      <c r="H10568" s="86" t="e">
        <f>IF(I10568="fora",0%,G10568/QUÓRUM!$C$6)</f>
        <v>#DIV/0!</v>
      </c>
      <c r="I10568" s="87"/>
      <c r="J10568" s="88"/>
      <c r="K10568" s="88"/>
      <c r="L10568" s="89"/>
      <c r="M10568" s="89"/>
      <c r="O10568" s="105"/>
      <c r="P10568" s="105"/>
      <c r="Q10568" s="105"/>
      <c r="R10568" s="106"/>
      <c r="S10568" s="127"/>
      <c r="T10568" s="107"/>
    </row>
    <row r="10569" spans="1:20" x14ac:dyDescent="0.3">
      <c r="A10569" s="101"/>
      <c r="B10569" s="102"/>
      <c r="C10569" s="87"/>
      <c r="D10569" s="103"/>
      <c r="F10569" s="101"/>
      <c r="G10569" s="104"/>
      <c r="H10569" s="86" t="e">
        <f>IF(I10569="fora",0%,G10569/QUÓRUM!$C$6)</f>
        <v>#DIV/0!</v>
      </c>
      <c r="I10569" s="87"/>
      <c r="J10569" s="88"/>
      <c r="K10569" s="88"/>
      <c r="L10569" s="89"/>
      <c r="M10569" s="89"/>
      <c r="O10569" s="105"/>
      <c r="P10569" s="105"/>
      <c r="Q10569" s="105"/>
      <c r="R10569" s="106"/>
      <c r="S10569" s="127"/>
      <c r="T10569" s="107"/>
    </row>
    <row r="10570" spans="1:20" x14ac:dyDescent="0.3">
      <c r="A10570" s="101"/>
      <c r="B10570" s="102"/>
      <c r="C10570" s="87"/>
      <c r="D10570" s="103"/>
      <c r="F10570" s="101"/>
      <c r="G10570" s="104"/>
      <c r="H10570" s="86" t="e">
        <f>IF(I10570="fora",0%,G10570/QUÓRUM!$C$6)</f>
        <v>#DIV/0!</v>
      </c>
      <c r="I10570" s="87"/>
      <c r="J10570" s="88"/>
      <c r="K10570" s="88"/>
      <c r="L10570" s="89"/>
      <c r="M10570" s="89"/>
      <c r="O10570" s="105"/>
      <c r="P10570" s="105"/>
      <c r="Q10570" s="105"/>
      <c r="R10570" s="106"/>
      <c r="S10570" s="127"/>
      <c r="T10570" s="107"/>
    </row>
    <row r="10571" spans="1:20" x14ac:dyDescent="0.3">
      <c r="A10571" s="101"/>
      <c r="B10571" s="102"/>
      <c r="C10571" s="87"/>
      <c r="D10571" s="103"/>
      <c r="F10571" s="101"/>
      <c r="G10571" s="104"/>
      <c r="H10571" s="86" t="e">
        <f>IF(I10571="fora",0%,G10571/QUÓRUM!$C$6)</f>
        <v>#DIV/0!</v>
      </c>
      <c r="I10571" s="87"/>
      <c r="J10571" s="88"/>
      <c r="K10571" s="88"/>
      <c r="L10571" s="89"/>
      <c r="M10571" s="89"/>
      <c r="O10571" s="105"/>
      <c r="P10571" s="105"/>
      <c r="Q10571" s="105"/>
      <c r="R10571" s="106"/>
      <c r="S10571" s="127"/>
      <c r="T10571" s="107"/>
    </row>
    <row r="10572" spans="1:20" x14ac:dyDescent="0.3">
      <c r="A10572" s="101"/>
      <c r="B10572" s="102"/>
      <c r="C10572" s="87"/>
      <c r="D10572" s="103"/>
      <c r="F10572" s="101"/>
      <c r="G10572" s="104"/>
      <c r="H10572" s="86" t="e">
        <f>IF(I10572="fora",0%,G10572/QUÓRUM!$C$6)</f>
        <v>#DIV/0!</v>
      </c>
      <c r="I10572" s="87"/>
      <c r="J10572" s="88"/>
      <c r="K10572" s="88"/>
      <c r="L10572" s="89"/>
      <c r="M10572" s="89"/>
      <c r="O10572" s="105"/>
      <c r="P10572" s="105"/>
      <c r="Q10572" s="105"/>
      <c r="R10572" s="106"/>
      <c r="S10572" s="127"/>
      <c r="T10572" s="107"/>
    </row>
    <row r="10573" spans="1:20" x14ac:dyDescent="0.3">
      <c r="A10573" s="101"/>
      <c r="B10573" s="102"/>
      <c r="C10573" s="87"/>
      <c r="D10573" s="103"/>
      <c r="F10573" s="101"/>
      <c r="G10573" s="104"/>
      <c r="H10573" s="86" t="e">
        <f>IF(I10573="fora",0%,G10573/QUÓRUM!$C$6)</f>
        <v>#DIV/0!</v>
      </c>
      <c r="I10573" s="87"/>
      <c r="J10573" s="88"/>
      <c r="K10573" s="88"/>
      <c r="L10573" s="89"/>
      <c r="M10573" s="89"/>
      <c r="O10573" s="105"/>
      <c r="P10573" s="105"/>
      <c r="Q10573" s="105"/>
      <c r="R10573" s="106"/>
      <c r="S10573" s="127"/>
      <c r="T10573" s="107"/>
    </row>
    <row r="10574" spans="1:20" x14ac:dyDescent="0.3">
      <c r="A10574" s="101"/>
      <c r="B10574" s="102"/>
      <c r="C10574" s="87"/>
      <c r="D10574" s="103"/>
      <c r="F10574" s="101"/>
      <c r="G10574" s="104"/>
      <c r="H10574" s="86" t="e">
        <f>IF(I10574="fora",0%,G10574/QUÓRUM!$C$6)</f>
        <v>#DIV/0!</v>
      </c>
      <c r="I10574" s="87"/>
      <c r="J10574" s="88"/>
      <c r="K10574" s="88"/>
      <c r="L10574" s="89"/>
      <c r="M10574" s="89"/>
      <c r="O10574" s="105"/>
      <c r="P10574" s="105"/>
      <c r="Q10574" s="105"/>
      <c r="R10574" s="106"/>
      <c r="S10574" s="127"/>
      <c r="T10574" s="107"/>
    </row>
    <row r="10575" spans="1:20" x14ac:dyDescent="0.3">
      <c r="A10575" s="101"/>
      <c r="B10575" s="102"/>
      <c r="C10575" s="87"/>
      <c r="D10575" s="103"/>
      <c r="F10575" s="101"/>
      <c r="G10575" s="104"/>
      <c r="H10575" s="86" t="e">
        <f>IF(I10575="fora",0%,G10575/QUÓRUM!$C$6)</f>
        <v>#DIV/0!</v>
      </c>
      <c r="I10575" s="87"/>
      <c r="J10575" s="88"/>
      <c r="K10575" s="88"/>
      <c r="L10575" s="89"/>
      <c r="M10575" s="89"/>
      <c r="O10575" s="105"/>
      <c r="P10575" s="105"/>
      <c r="Q10575" s="105"/>
      <c r="R10575" s="106"/>
      <c r="S10575" s="127"/>
      <c r="T10575" s="107"/>
    </row>
    <row r="10576" spans="1:20" x14ac:dyDescent="0.3">
      <c r="A10576" s="101"/>
      <c r="B10576" s="102"/>
      <c r="C10576" s="87"/>
      <c r="D10576" s="103"/>
      <c r="F10576" s="101"/>
      <c r="G10576" s="104"/>
      <c r="H10576" s="86" t="e">
        <f>IF(I10576="fora",0%,G10576/QUÓRUM!$C$6)</f>
        <v>#DIV/0!</v>
      </c>
      <c r="I10576" s="87"/>
      <c r="J10576" s="88"/>
      <c r="K10576" s="88"/>
      <c r="L10576" s="89"/>
      <c r="M10576" s="89"/>
      <c r="O10576" s="105"/>
      <c r="P10576" s="105"/>
      <c r="Q10576" s="105"/>
      <c r="R10576" s="106"/>
      <c r="S10576" s="127"/>
      <c r="T10576" s="107"/>
    </row>
    <row r="10577" spans="1:20" x14ac:dyDescent="0.3">
      <c r="A10577" s="101"/>
      <c r="B10577" s="102"/>
      <c r="C10577" s="87"/>
      <c r="D10577" s="103"/>
      <c r="F10577" s="101"/>
      <c r="G10577" s="104"/>
      <c r="H10577" s="86" t="e">
        <f>IF(I10577="fora",0%,G10577/QUÓRUM!$C$6)</f>
        <v>#DIV/0!</v>
      </c>
      <c r="I10577" s="87"/>
      <c r="J10577" s="88"/>
      <c r="K10577" s="88"/>
      <c r="L10577" s="89"/>
      <c r="M10577" s="89"/>
      <c r="O10577" s="105"/>
      <c r="P10577" s="105"/>
      <c r="Q10577" s="105"/>
      <c r="R10577" s="106"/>
      <c r="S10577" s="127"/>
      <c r="T10577" s="107"/>
    </row>
    <row r="10578" spans="1:20" x14ac:dyDescent="0.3">
      <c r="A10578" s="101"/>
      <c r="B10578" s="102"/>
      <c r="C10578" s="87"/>
      <c r="D10578" s="103"/>
      <c r="F10578" s="101"/>
      <c r="G10578" s="104"/>
      <c r="H10578" s="86" t="e">
        <f>IF(I10578="fora",0%,G10578/QUÓRUM!$C$6)</f>
        <v>#DIV/0!</v>
      </c>
      <c r="I10578" s="87"/>
      <c r="J10578" s="88"/>
      <c r="K10578" s="88"/>
      <c r="L10578" s="89"/>
      <c r="M10578" s="89"/>
      <c r="O10578" s="105"/>
      <c r="P10578" s="105"/>
      <c r="Q10578" s="105"/>
      <c r="R10578" s="106"/>
      <c r="S10578" s="127"/>
      <c r="T10578" s="107"/>
    </row>
    <row r="10579" spans="1:20" x14ac:dyDescent="0.3">
      <c r="A10579" s="101"/>
      <c r="B10579" s="102"/>
      <c r="C10579" s="87"/>
      <c r="D10579" s="103"/>
      <c r="F10579" s="101"/>
      <c r="G10579" s="104"/>
      <c r="H10579" s="86" t="e">
        <f>IF(I10579="fora",0%,G10579/QUÓRUM!$C$6)</f>
        <v>#DIV/0!</v>
      </c>
      <c r="I10579" s="87"/>
      <c r="J10579" s="88"/>
      <c r="K10579" s="88"/>
      <c r="L10579" s="89"/>
      <c r="M10579" s="89"/>
      <c r="O10579" s="105"/>
      <c r="P10579" s="105"/>
      <c r="Q10579" s="105"/>
      <c r="R10579" s="106"/>
      <c r="S10579" s="127"/>
      <c r="T10579" s="107"/>
    </row>
    <row r="10580" spans="1:20" x14ac:dyDescent="0.3">
      <c r="A10580" s="101"/>
      <c r="B10580" s="102"/>
      <c r="C10580" s="87"/>
      <c r="D10580" s="103"/>
      <c r="F10580" s="101"/>
      <c r="G10580" s="104"/>
      <c r="H10580" s="86" t="e">
        <f>IF(I10580="fora",0%,G10580/QUÓRUM!$C$6)</f>
        <v>#DIV/0!</v>
      </c>
      <c r="I10580" s="87"/>
      <c r="J10580" s="88"/>
      <c r="K10580" s="88"/>
      <c r="L10580" s="89"/>
      <c r="M10580" s="89"/>
      <c r="O10580" s="105"/>
      <c r="P10580" s="105"/>
      <c r="Q10580" s="105"/>
      <c r="R10580" s="106"/>
      <c r="S10580" s="127"/>
      <c r="T10580" s="107"/>
    </row>
    <row r="10581" spans="1:20" x14ac:dyDescent="0.3">
      <c r="C10581" s="87"/>
      <c r="H10581" s="86" t="e">
        <f>IF(I10581="fora",0%,G10581/QUÓRUM!$C$6)</f>
        <v>#DIV/0!</v>
      </c>
      <c r="I10581" s="87"/>
      <c r="J10581" s="88"/>
      <c r="K10581" s="88"/>
      <c r="L10581" s="89"/>
      <c r="M10581" s="89"/>
      <c r="Q10581" s="105"/>
    </row>
    <row r="10582" spans="1:20" x14ac:dyDescent="0.3">
      <c r="C10582" s="87"/>
      <c r="H10582" s="86" t="e">
        <f>IF(I10582="fora",0%,G10582/QUÓRUM!$C$6)</f>
        <v>#DIV/0!</v>
      </c>
      <c r="I10582" s="87"/>
      <c r="J10582" s="88"/>
      <c r="K10582" s="88"/>
      <c r="L10582" s="89"/>
      <c r="M10582" s="89"/>
      <c r="Q10582" s="105"/>
    </row>
    <row r="10583" spans="1:20" x14ac:dyDescent="0.3">
      <c r="C10583" s="87"/>
      <c r="H10583" s="86" t="e">
        <f>IF(I10583="fora",0%,G10583/QUÓRUM!$C$6)</f>
        <v>#DIV/0!</v>
      </c>
      <c r="I10583" s="87"/>
      <c r="J10583" s="88"/>
      <c r="K10583" s="88"/>
      <c r="L10583" s="89"/>
      <c r="M10583" s="89"/>
      <c r="Q10583" s="105"/>
    </row>
    <row r="10584" spans="1:20" x14ac:dyDescent="0.3">
      <c r="C10584" s="87"/>
      <c r="H10584" s="86" t="e">
        <f>IF(I10584="fora",0%,G10584/QUÓRUM!$C$6)</f>
        <v>#DIV/0!</v>
      </c>
      <c r="I10584" s="87"/>
      <c r="J10584" s="88"/>
      <c r="K10584" s="88"/>
      <c r="L10584" s="89"/>
      <c r="M10584" s="89"/>
      <c r="Q10584" s="105"/>
    </row>
    <row r="10585" spans="1:20" x14ac:dyDescent="0.3">
      <c r="C10585" s="87"/>
      <c r="H10585" s="86" t="e">
        <f>IF(I10585="fora",0%,G10585/QUÓRUM!$C$6)</f>
        <v>#DIV/0!</v>
      </c>
      <c r="I10585" s="87"/>
      <c r="J10585" s="88"/>
      <c r="K10585" s="88"/>
      <c r="L10585" s="89"/>
      <c r="M10585" s="89"/>
      <c r="Q10585" s="105"/>
    </row>
    <row r="10586" spans="1:20" x14ac:dyDescent="0.3">
      <c r="C10586" s="87"/>
      <c r="H10586" s="86" t="e">
        <f>IF(I10586="fora",0%,G10586/QUÓRUM!$C$6)</f>
        <v>#DIV/0!</v>
      </c>
      <c r="I10586" s="87"/>
      <c r="J10586" s="88"/>
      <c r="K10586" s="88"/>
      <c r="L10586" s="89"/>
      <c r="M10586" s="89"/>
      <c r="Q10586" s="105"/>
    </row>
    <row r="10587" spans="1:20" x14ac:dyDescent="0.3">
      <c r="C10587" s="87"/>
      <c r="H10587" s="86" t="e">
        <f>IF(I10587="fora",0%,G10587/QUÓRUM!$C$6)</f>
        <v>#DIV/0!</v>
      </c>
      <c r="I10587" s="87"/>
      <c r="J10587" s="88"/>
      <c r="K10587" s="88"/>
      <c r="L10587" s="89"/>
      <c r="M10587" s="89"/>
      <c r="Q10587" s="105"/>
    </row>
    <row r="10588" spans="1:20" x14ac:dyDescent="0.3">
      <c r="A10588" s="101"/>
      <c r="B10588" s="102"/>
      <c r="C10588" s="87"/>
      <c r="D10588" s="103"/>
      <c r="F10588" s="101"/>
      <c r="G10588" s="104"/>
      <c r="H10588" s="86" t="e">
        <f>IF(I10588="fora",0%,G10588/QUÓRUM!$C$6)</f>
        <v>#DIV/0!</v>
      </c>
      <c r="I10588" s="87"/>
      <c r="J10588" s="88"/>
      <c r="K10588" s="88"/>
      <c r="L10588" s="89"/>
      <c r="M10588" s="89"/>
      <c r="O10588" s="105"/>
      <c r="P10588" s="105"/>
      <c r="Q10588" s="105"/>
      <c r="R10588" s="106"/>
      <c r="S10588" s="127">
        <f>R10588*G10588</f>
        <v>0</v>
      </c>
      <c r="T10588" s="107" t="e">
        <f>IF(I10588="fora",0%,S10588/QUÓRUM!$M$7)</f>
        <v>#DIV/0!</v>
      </c>
    </row>
    <row r="10589" spans="1:20" x14ac:dyDescent="0.3">
      <c r="A10589" s="101"/>
      <c r="B10589" s="102"/>
      <c r="C10589" s="87"/>
      <c r="D10589" s="103"/>
      <c r="F10589" s="101"/>
      <c r="G10589" s="104"/>
      <c r="H10589" s="86" t="e">
        <f>IF(I10589="fora",0%,G10589/QUÓRUM!$C$6)</f>
        <v>#DIV/0!</v>
      </c>
      <c r="I10589" s="87"/>
      <c r="J10589" s="88"/>
      <c r="K10589" s="88"/>
      <c r="L10589" s="89"/>
      <c r="M10589" s="89"/>
      <c r="O10589" s="105"/>
      <c r="P10589" s="105"/>
      <c r="Q10589" s="105"/>
      <c r="R10589" s="106"/>
      <c r="S10589" s="127"/>
      <c r="T10589" s="107"/>
    </row>
    <row r="10590" spans="1:20" x14ac:dyDescent="0.3">
      <c r="A10590" s="101"/>
      <c r="B10590" s="102"/>
      <c r="C10590" s="87"/>
      <c r="D10590" s="103"/>
      <c r="F10590" s="101"/>
      <c r="G10590" s="104"/>
      <c r="H10590" s="86" t="e">
        <f>IF(I10590="fora",0%,G10590/QUÓRUM!$C$6)</f>
        <v>#DIV/0!</v>
      </c>
      <c r="I10590" s="87"/>
      <c r="J10590" s="88"/>
      <c r="K10590" s="88"/>
      <c r="L10590" s="89"/>
      <c r="M10590" s="89"/>
      <c r="O10590" s="105"/>
      <c r="P10590" s="105"/>
      <c r="Q10590" s="105"/>
      <c r="R10590" s="106"/>
      <c r="S10590" s="127"/>
      <c r="T10590" s="107"/>
    </row>
    <row r="10591" spans="1:20" x14ac:dyDescent="0.3">
      <c r="A10591" s="101"/>
      <c r="B10591" s="102"/>
      <c r="C10591" s="87"/>
      <c r="D10591" s="103"/>
      <c r="F10591" s="101"/>
      <c r="G10591" s="104"/>
      <c r="H10591" s="86" t="e">
        <f>IF(I10591="fora",0%,G10591/QUÓRUM!$C$6)</f>
        <v>#DIV/0!</v>
      </c>
      <c r="I10591" s="87"/>
      <c r="J10591" s="88"/>
      <c r="K10591" s="88"/>
      <c r="L10591" s="89"/>
      <c r="M10591" s="89"/>
      <c r="O10591" s="105"/>
      <c r="P10591" s="105"/>
      <c r="Q10591" s="105"/>
      <c r="R10591" s="106"/>
      <c r="S10591" s="127"/>
      <c r="T10591" s="107"/>
    </row>
    <row r="10592" spans="1:20" x14ac:dyDescent="0.3">
      <c r="A10592" s="101"/>
      <c r="B10592" s="102"/>
      <c r="C10592" s="87"/>
      <c r="D10592" s="103"/>
      <c r="F10592" s="101"/>
      <c r="G10592" s="104"/>
      <c r="H10592" s="86" t="e">
        <f>IF(I10592="fora",0%,G10592/QUÓRUM!$C$6)</f>
        <v>#DIV/0!</v>
      </c>
      <c r="I10592" s="87"/>
      <c r="J10592" s="88"/>
      <c r="K10592" s="88"/>
      <c r="L10592" s="89"/>
      <c r="M10592" s="89"/>
      <c r="O10592" s="105"/>
      <c r="P10592" s="105"/>
      <c r="Q10592" s="105"/>
      <c r="R10592" s="106"/>
      <c r="S10592" s="127"/>
      <c r="T10592" s="107"/>
    </row>
    <row r="10593" spans="1:20" x14ac:dyDescent="0.3">
      <c r="A10593" s="101"/>
      <c r="B10593" s="102"/>
      <c r="C10593" s="87"/>
      <c r="D10593" s="103"/>
      <c r="F10593" s="101"/>
      <c r="G10593" s="104"/>
      <c r="H10593" s="86" t="e">
        <f>IF(I10593="fora",0%,G10593/QUÓRUM!$C$6)</f>
        <v>#DIV/0!</v>
      </c>
      <c r="I10593" s="87"/>
      <c r="J10593" s="88"/>
      <c r="K10593" s="88"/>
      <c r="L10593" s="89"/>
      <c r="M10593" s="89"/>
      <c r="O10593" s="105"/>
      <c r="P10593" s="105"/>
      <c r="Q10593" s="105"/>
      <c r="R10593" s="106"/>
      <c r="S10593" s="127"/>
      <c r="T10593" s="107"/>
    </row>
    <row r="10594" spans="1:20" x14ac:dyDescent="0.3">
      <c r="A10594" s="101"/>
      <c r="B10594" s="102"/>
      <c r="C10594" s="87"/>
      <c r="D10594" s="103"/>
      <c r="F10594" s="101"/>
      <c r="G10594" s="104"/>
      <c r="H10594" s="86" t="e">
        <f>IF(I10594="fora",0%,G10594/QUÓRUM!$C$6)</f>
        <v>#DIV/0!</v>
      </c>
      <c r="I10594" s="87"/>
      <c r="J10594" s="88"/>
      <c r="K10594" s="88"/>
      <c r="L10594" s="89"/>
      <c r="M10594" s="89"/>
      <c r="O10594" s="105"/>
      <c r="P10594" s="105"/>
      <c r="Q10594" s="105"/>
      <c r="R10594" s="106"/>
      <c r="S10594" s="127"/>
      <c r="T10594" s="107"/>
    </row>
    <row r="10595" spans="1:20" x14ac:dyDescent="0.3">
      <c r="A10595" s="101"/>
      <c r="B10595" s="102"/>
      <c r="C10595" s="87"/>
      <c r="D10595" s="103"/>
      <c r="F10595" s="101"/>
      <c r="G10595" s="104"/>
      <c r="H10595" s="86" t="e">
        <f>IF(I10595="fora",0%,G10595/QUÓRUM!$C$6)</f>
        <v>#DIV/0!</v>
      </c>
      <c r="I10595" s="87"/>
      <c r="J10595" s="88"/>
      <c r="K10595" s="88"/>
      <c r="L10595" s="89"/>
      <c r="M10595" s="89"/>
      <c r="O10595" s="105"/>
      <c r="P10595" s="105"/>
      <c r="Q10595" s="105"/>
      <c r="R10595" s="106"/>
      <c r="S10595" s="127"/>
      <c r="T10595" s="107"/>
    </row>
    <row r="10596" spans="1:20" x14ac:dyDescent="0.3">
      <c r="A10596" s="101"/>
      <c r="B10596" s="102"/>
      <c r="C10596" s="87"/>
      <c r="D10596" s="103"/>
      <c r="F10596" s="101"/>
      <c r="G10596" s="104"/>
      <c r="H10596" s="86" t="e">
        <f>IF(I10596="fora",0%,G10596/QUÓRUM!$C$6)</f>
        <v>#DIV/0!</v>
      </c>
      <c r="I10596" s="87"/>
      <c r="J10596" s="88"/>
      <c r="K10596" s="88"/>
      <c r="L10596" s="89"/>
      <c r="M10596" s="89"/>
      <c r="O10596" s="105"/>
      <c r="P10596" s="105"/>
      <c r="Q10596" s="105"/>
      <c r="R10596" s="106"/>
      <c r="S10596" s="127"/>
      <c r="T10596" s="107"/>
    </row>
    <row r="10597" spans="1:20" x14ac:dyDescent="0.3">
      <c r="A10597" s="101"/>
      <c r="B10597" s="102"/>
      <c r="C10597" s="87"/>
      <c r="D10597" s="103"/>
      <c r="F10597" s="101"/>
      <c r="G10597" s="104"/>
      <c r="H10597" s="86" t="e">
        <f>IF(I10597="fora",0%,G10597/QUÓRUM!$C$6)</f>
        <v>#DIV/0!</v>
      </c>
      <c r="I10597" s="87"/>
      <c r="J10597" s="88"/>
      <c r="K10597" s="88"/>
      <c r="L10597" s="89"/>
      <c r="M10597" s="89"/>
      <c r="O10597" s="105"/>
      <c r="P10597" s="105"/>
      <c r="Q10597" s="105"/>
      <c r="R10597" s="106"/>
      <c r="S10597" s="127"/>
      <c r="T10597" s="107"/>
    </row>
    <row r="10598" spans="1:20" x14ac:dyDescent="0.3">
      <c r="A10598" s="101"/>
      <c r="B10598" s="102"/>
      <c r="C10598" s="87"/>
      <c r="D10598" s="103"/>
      <c r="F10598" s="101"/>
      <c r="G10598" s="104"/>
      <c r="H10598" s="86" t="e">
        <f>IF(I10598="fora",0%,G10598/QUÓRUM!$C$6)</f>
        <v>#DIV/0!</v>
      </c>
      <c r="I10598" s="87"/>
      <c r="J10598" s="88"/>
      <c r="K10598" s="88"/>
      <c r="L10598" s="89"/>
      <c r="M10598" s="89"/>
      <c r="O10598" s="105"/>
      <c r="P10598" s="105"/>
      <c r="Q10598" s="105"/>
      <c r="R10598" s="106"/>
      <c r="S10598" s="127"/>
      <c r="T10598" s="107"/>
    </row>
    <row r="10599" spans="1:20" x14ac:dyDescent="0.3">
      <c r="A10599" s="101"/>
      <c r="B10599" s="102"/>
      <c r="C10599" s="87"/>
      <c r="D10599" s="103"/>
      <c r="F10599" s="101"/>
      <c r="G10599" s="104"/>
      <c r="H10599" s="86" t="e">
        <f>IF(I10599="fora",0%,G10599/QUÓRUM!$C$6)</f>
        <v>#DIV/0!</v>
      </c>
      <c r="I10599" s="87"/>
      <c r="J10599" s="88"/>
      <c r="K10599" s="88"/>
      <c r="L10599" s="89"/>
      <c r="M10599" s="89"/>
      <c r="O10599" s="105"/>
      <c r="P10599" s="105"/>
      <c r="Q10599" s="105"/>
      <c r="R10599" s="106"/>
      <c r="S10599" s="127"/>
      <c r="T10599" s="107"/>
    </row>
    <row r="10600" spans="1:20" x14ac:dyDescent="0.3">
      <c r="A10600" s="101"/>
      <c r="B10600" s="102"/>
      <c r="C10600" s="87"/>
      <c r="D10600" s="103"/>
      <c r="F10600" s="101"/>
      <c r="G10600" s="104"/>
      <c r="H10600" s="86" t="e">
        <f>IF(I10600="fora",0%,G10600/QUÓRUM!$C$6)</f>
        <v>#DIV/0!</v>
      </c>
      <c r="I10600" s="87"/>
      <c r="J10600" s="88"/>
      <c r="K10600" s="88"/>
      <c r="L10600" s="89"/>
      <c r="M10600" s="89"/>
      <c r="O10600" s="105"/>
      <c r="P10600" s="105"/>
      <c r="Q10600" s="105"/>
      <c r="R10600" s="106"/>
      <c r="S10600" s="127"/>
      <c r="T10600" s="107"/>
    </row>
    <row r="10601" spans="1:20" x14ac:dyDescent="0.3">
      <c r="A10601" s="101"/>
      <c r="B10601" s="102"/>
      <c r="C10601" s="87"/>
      <c r="D10601" s="103"/>
      <c r="F10601" s="101"/>
      <c r="G10601" s="104"/>
      <c r="H10601" s="86" t="e">
        <f>IF(I10601="fora",0%,G10601/QUÓRUM!$C$6)</f>
        <v>#DIV/0!</v>
      </c>
      <c r="I10601" s="87"/>
      <c r="J10601" s="88"/>
      <c r="K10601" s="88"/>
      <c r="L10601" s="89"/>
      <c r="M10601" s="89"/>
      <c r="O10601" s="105"/>
      <c r="P10601" s="105"/>
      <c r="Q10601" s="105"/>
      <c r="R10601" s="106"/>
      <c r="S10601" s="127"/>
      <c r="T10601" s="107"/>
    </row>
    <row r="10602" spans="1:20" x14ac:dyDescent="0.3">
      <c r="A10602" s="101"/>
      <c r="B10602" s="102"/>
      <c r="C10602" s="87"/>
      <c r="D10602" s="103"/>
      <c r="F10602" s="101"/>
      <c r="G10602" s="104"/>
      <c r="H10602" s="86" t="e">
        <f>IF(I10602="fora",0%,G10602/QUÓRUM!$C$6)</f>
        <v>#DIV/0!</v>
      </c>
      <c r="I10602" s="87"/>
      <c r="J10602" s="88"/>
      <c r="K10602" s="88"/>
      <c r="L10602" s="89"/>
      <c r="M10602" s="89"/>
      <c r="O10602" s="105"/>
      <c r="P10602" s="105"/>
      <c r="Q10602" s="105"/>
      <c r="R10602" s="106"/>
      <c r="S10602" s="127"/>
      <c r="T10602" s="107"/>
    </row>
    <row r="10603" spans="1:20" x14ac:dyDescent="0.3">
      <c r="A10603" s="101"/>
      <c r="B10603" s="102"/>
      <c r="C10603" s="87"/>
      <c r="D10603" s="103"/>
      <c r="F10603" s="101"/>
      <c r="G10603" s="104"/>
      <c r="H10603" s="86" t="e">
        <f>IF(I10603="fora",0%,G10603/QUÓRUM!$C$6)</f>
        <v>#DIV/0!</v>
      </c>
      <c r="I10603" s="87"/>
      <c r="J10603" s="88"/>
      <c r="K10603" s="88"/>
      <c r="L10603" s="89"/>
      <c r="M10603" s="89"/>
      <c r="O10603" s="105"/>
      <c r="P10603" s="105"/>
      <c r="Q10603" s="105"/>
      <c r="R10603" s="106"/>
      <c r="S10603" s="127"/>
      <c r="T10603" s="107"/>
    </row>
    <row r="10604" spans="1:20" x14ac:dyDescent="0.3">
      <c r="A10604" s="101"/>
      <c r="B10604" s="102"/>
      <c r="C10604" s="87"/>
      <c r="D10604" s="103"/>
      <c r="F10604" s="101"/>
      <c r="G10604" s="104"/>
      <c r="H10604" s="86" t="e">
        <f>IF(I10604="fora",0%,G10604/QUÓRUM!$C$6)</f>
        <v>#DIV/0!</v>
      </c>
      <c r="I10604" s="87"/>
      <c r="J10604" s="88"/>
      <c r="K10604" s="88"/>
      <c r="L10604" s="89"/>
      <c r="M10604" s="89"/>
      <c r="O10604" s="105"/>
      <c r="P10604" s="105"/>
      <c r="Q10604" s="105"/>
      <c r="R10604" s="106"/>
      <c r="S10604" s="127"/>
      <c r="T10604" s="107"/>
    </row>
    <row r="10605" spans="1:20" x14ac:dyDescent="0.3">
      <c r="A10605" s="101"/>
      <c r="B10605" s="102"/>
      <c r="C10605" s="87"/>
      <c r="D10605" s="103"/>
      <c r="F10605" s="101"/>
      <c r="G10605" s="104"/>
      <c r="H10605" s="86" t="e">
        <f>IF(I10605="fora",0%,G10605/QUÓRUM!$C$6)</f>
        <v>#DIV/0!</v>
      </c>
      <c r="I10605" s="87"/>
      <c r="J10605" s="88"/>
      <c r="K10605" s="88"/>
      <c r="L10605" s="89"/>
      <c r="M10605" s="89"/>
      <c r="O10605" s="105"/>
      <c r="P10605" s="105"/>
      <c r="Q10605" s="105"/>
      <c r="R10605" s="106"/>
      <c r="S10605" s="127"/>
      <c r="T10605" s="107"/>
    </row>
    <row r="10606" spans="1:20" x14ac:dyDescent="0.3">
      <c r="A10606" s="101"/>
      <c r="B10606" s="102"/>
      <c r="C10606" s="87"/>
      <c r="D10606" s="103"/>
      <c r="F10606" s="101"/>
      <c r="G10606" s="104"/>
      <c r="H10606" s="86" t="e">
        <f>IF(I10606="fora",0%,G10606/QUÓRUM!$C$6)</f>
        <v>#DIV/0!</v>
      </c>
      <c r="I10606" s="87"/>
      <c r="J10606" s="88"/>
      <c r="K10606" s="88"/>
      <c r="L10606" s="89"/>
      <c r="M10606" s="89"/>
      <c r="O10606" s="105"/>
      <c r="P10606" s="105"/>
      <c r="Q10606" s="105"/>
      <c r="R10606" s="106"/>
      <c r="S10606" s="127"/>
      <c r="T10606" s="107"/>
    </row>
    <row r="10607" spans="1:20" x14ac:dyDescent="0.3">
      <c r="A10607" s="101"/>
      <c r="B10607" s="102"/>
      <c r="C10607" s="87"/>
      <c r="D10607" s="103"/>
      <c r="F10607" s="101"/>
      <c r="G10607" s="104"/>
      <c r="H10607" s="86" t="e">
        <f>IF(I10607="fora",0%,G10607/QUÓRUM!$C$6)</f>
        <v>#DIV/0!</v>
      </c>
      <c r="I10607" s="87"/>
      <c r="J10607" s="88"/>
      <c r="K10607" s="88"/>
      <c r="L10607" s="89"/>
      <c r="M10607" s="89"/>
      <c r="O10607" s="105"/>
      <c r="P10607" s="105"/>
      <c r="Q10607" s="105"/>
      <c r="R10607" s="106"/>
      <c r="S10607" s="127"/>
      <c r="T10607" s="107"/>
    </row>
    <row r="10608" spans="1:20" x14ac:dyDescent="0.3">
      <c r="C10608" s="87"/>
      <c r="H10608" s="86" t="e">
        <f>IF(I10608="fora",0%,G10608/QUÓRUM!$C$6)</f>
        <v>#DIV/0!</v>
      </c>
      <c r="I10608" s="87"/>
      <c r="J10608" s="88"/>
      <c r="K10608" s="88"/>
      <c r="L10608" s="89"/>
      <c r="M10608" s="89"/>
      <c r="Q10608" s="105"/>
    </row>
    <row r="10609" spans="1:20" x14ac:dyDescent="0.3">
      <c r="C10609" s="87"/>
      <c r="H10609" s="86" t="e">
        <f>IF(I10609="fora",0%,G10609/QUÓRUM!$C$6)</f>
        <v>#DIV/0!</v>
      </c>
      <c r="I10609" s="87"/>
      <c r="J10609" s="88"/>
      <c r="K10609" s="88"/>
      <c r="L10609" s="89"/>
      <c r="M10609" s="89"/>
      <c r="Q10609" s="105"/>
    </row>
    <row r="10610" spans="1:20" x14ac:dyDescent="0.3">
      <c r="C10610" s="87"/>
      <c r="H10610" s="86" t="e">
        <f>IF(I10610="fora",0%,G10610/QUÓRUM!$C$6)</f>
        <v>#DIV/0!</v>
      </c>
      <c r="I10610" s="87"/>
      <c r="J10610" s="88"/>
      <c r="K10610" s="88"/>
      <c r="L10610" s="89"/>
      <c r="M10610" s="89"/>
      <c r="Q10610" s="105"/>
    </row>
    <row r="10611" spans="1:20" x14ac:dyDescent="0.3">
      <c r="C10611" s="87"/>
      <c r="H10611" s="86" t="e">
        <f>IF(I10611="fora",0%,G10611/QUÓRUM!$C$6)</f>
        <v>#DIV/0!</v>
      </c>
      <c r="I10611" s="87"/>
      <c r="J10611" s="88"/>
      <c r="K10611" s="88"/>
      <c r="L10611" s="89"/>
      <c r="M10611" s="89"/>
      <c r="Q10611" s="105"/>
    </row>
    <row r="10612" spans="1:20" x14ac:dyDescent="0.3">
      <c r="C10612" s="87"/>
      <c r="H10612" s="86" t="e">
        <f>IF(I10612="fora",0%,G10612/QUÓRUM!$C$6)</f>
        <v>#DIV/0!</v>
      </c>
      <c r="I10612" s="87"/>
      <c r="J10612" s="88"/>
      <c r="K10612" s="88"/>
      <c r="L10612" s="89"/>
      <c r="M10612" s="89"/>
      <c r="Q10612" s="105"/>
    </row>
    <row r="10613" spans="1:20" x14ac:dyDescent="0.3">
      <c r="C10613" s="87"/>
      <c r="H10613" s="86" t="e">
        <f>IF(I10613="fora",0%,G10613/QUÓRUM!$C$6)</f>
        <v>#DIV/0!</v>
      </c>
      <c r="I10613" s="87"/>
      <c r="J10613" s="88"/>
      <c r="K10613" s="88"/>
      <c r="L10613" s="89"/>
      <c r="M10613" s="89"/>
      <c r="Q10613" s="105"/>
    </row>
    <row r="10614" spans="1:20" x14ac:dyDescent="0.3">
      <c r="C10614" s="87"/>
      <c r="H10614" s="86" t="e">
        <f>IF(I10614="fora",0%,G10614/QUÓRUM!$C$6)</f>
        <v>#DIV/0!</v>
      </c>
      <c r="I10614" s="87"/>
      <c r="J10614" s="88"/>
      <c r="K10614" s="88"/>
      <c r="L10614" s="89"/>
      <c r="M10614" s="89"/>
      <c r="Q10614" s="105"/>
    </row>
    <row r="10615" spans="1:20" x14ac:dyDescent="0.3">
      <c r="C10615" s="87"/>
      <c r="H10615" s="86" t="e">
        <f>IF(I10615="fora",0%,G10615/QUÓRUM!$C$6)</f>
        <v>#DIV/0!</v>
      </c>
      <c r="I10615" s="87"/>
      <c r="J10615" s="88"/>
      <c r="K10615" s="88"/>
      <c r="L10615" s="89"/>
      <c r="M10615" s="89"/>
      <c r="Q10615" s="105"/>
    </row>
    <row r="10616" spans="1:20" x14ac:dyDescent="0.3">
      <c r="C10616" s="87"/>
      <c r="H10616" s="86" t="e">
        <f>IF(I10616="fora",0%,G10616/QUÓRUM!$C$6)</f>
        <v>#DIV/0!</v>
      </c>
      <c r="I10616" s="87"/>
      <c r="J10616" s="88"/>
      <c r="K10616" s="88"/>
      <c r="L10616" s="89"/>
      <c r="M10616" s="89"/>
      <c r="Q10616" s="105"/>
    </row>
    <row r="10617" spans="1:20" x14ac:dyDescent="0.3">
      <c r="C10617" s="87"/>
      <c r="H10617" s="86" t="e">
        <f>IF(I10617="fora",0%,G10617/QUÓRUM!$C$6)</f>
        <v>#DIV/0!</v>
      </c>
      <c r="I10617" s="87"/>
      <c r="J10617" s="88"/>
      <c r="K10617" s="88"/>
      <c r="L10617" s="89"/>
      <c r="M10617" s="89"/>
      <c r="Q10617" s="105"/>
    </row>
    <row r="10618" spans="1:20" x14ac:dyDescent="0.3">
      <c r="C10618" s="87"/>
      <c r="H10618" s="86" t="e">
        <f>IF(I10618="fora",0%,G10618/QUÓRUM!$C$6)</f>
        <v>#DIV/0!</v>
      </c>
      <c r="I10618" s="87"/>
      <c r="J10618" s="88"/>
      <c r="K10618" s="88"/>
      <c r="L10618" s="89"/>
      <c r="M10618" s="89"/>
      <c r="Q10618" s="105"/>
    </row>
    <row r="10619" spans="1:20" x14ac:dyDescent="0.3">
      <c r="C10619" s="87"/>
      <c r="H10619" s="86" t="e">
        <f>IF(I10619="fora",0%,G10619/QUÓRUM!$C$6)</f>
        <v>#DIV/0!</v>
      </c>
      <c r="I10619" s="87"/>
      <c r="J10619" s="88"/>
      <c r="K10619" s="88"/>
      <c r="L10619" s="89"/>
      <c r="M10619" s="89"/>
      <c r="Q10619" s="105"/>
    </row>
    <row r="10620" spans="1:20" x14ac:dyDescent="0.3">
      <c r="C10620" s="87"/>
      <c r="H10620" s="86" t="e">
        <f>IF(I10620="fora",0%,G10620/QUÓRUM!$C$6)</f>
        <v>#DIV/0!</v>
      </c>
      <c r="I10620" s="87"/>
      <c r="J10620" s="88"/>
      <c r="K10620" s="88"/>
      <c r="L10620" s="89"/>
      <c r="M10620" s="89"/>
      <c r="Q10620" s="105"/>
    </row>
    <row r="10621" spans="1:20" x14ac:dyDescent="0.3">
      <c r="A10621" s="101"/>
      <c r="B10621" s="102"/>
      <c r="C10621" s="87"/>
      <c r="D10621" s="103"/>
      <c r="F10621" s="101"/>
      <c r="G10621" s="104"/>
      <c r="H10621" s="86" t="e">
        <f>IF(I10621="fora",0%,G10621/QUÓRUM!$C$6)</f>
        <v>#DIV/0!</v>
      </c>
      <c r="I10621" s="87"/>
      <c r="J10621" s="88"/>
      <c r="K10621" s="88"/>
      <c r="L10621" s="89"/>
      <c r="M10621" s="89"/>
      <c r="O10621" s="105"/>
      <c r="P10621" s="105"/>
      <c r="Q10621" s="105"/>
      <c r="R10621" s="106"/>
      <c r="S10621" s="127">
        <f>R10621*G10621</f>
        <v>0</v>
      </c>
      <c r="T10621" s="107" t="e">
        <f>IF(I10621="fora",0%,S10621/QUÓRUM!$M$7)</f>
        <v>#DIV/0!</v>
      </c>
    </row>
    <row r="10622" spans="1:20" x14ac:dyDescent="0.3">
      <c r="A10622" s="101"/>
      <c r="B10622" s="102"/>
      <c r="C10622" s="87"/>
      <c r="D10622" s="103"/>
      <c r="F10622" s="101"/>
      <c r="G10622" s="104"/>
      <c r="H10622" s="86" t="e">
        <f>IF(I10622="fora",0%,G10622/QUÓRUM!$C$6)</f>
        <v>#DIV/0!</v>
      </c>
      <c r="I10622" s="87"/>
      <c r="J10622" s="88"/>
      <c r="K10622" s="88"/>
      <c r="L10622" s="89"/>
      <c r="M10622" s="89"/>
      <c r="O10622" s="105"/>
      <c r="P10622" s="105"/>
      <c r="Q10622" s="105"/>
      <c r="R10622" s="106"/>
      <c r="S10622" s="127">
        <f>R10622*G10622</f>
        <v>0</v>
      </c>
      <c r="T10622" s="107" t="e">
        <f>IF(I10622="fora",0%,S10622/QUÓRUM!$M$7)</f>
        <v>#DIV/0!</v>
      </c>
    </row>
    <row r="10623" spans="1:20" x14ac:dyDescent="0.3">
      <c r="A10623" s="101"/>
      <c r="B10623" s="102"/>
      <c r="C10623" s="87"/>
      <c r="D10623" s="103"/>
      <c r="F10623" s="101"/>
      <c r="G10623" s="104"/>
      <c r="H10623" s="86" t="e">
        <f>IF(I10623="fora",0%,G10623/QUÓRUM!$C$6)</f>
        <v>#DIV/0!</v>
      </c>
      <c r="I10623" s="87"/>
      <c r="J10623" s="88"/>
      <c r="K10623" s="88"/>
      <c r="L10623" s="89"/>
      <c r="M10623" s="89"/>
      <c r="O10623" s="105"/>
      <c r="P10623" s="105"/>
      <c r="Q10623" s="105"/>
      <c r="R10623" s="106"/>
      <c r="S10623" s="127"/>
      <c r="T10623" s="107"/>
    </row>
    <row r="10624" spans="1:20" x14ac:dyDescent="0.3">
      <c r="A10624" s="101"/>
      <c r="B10624" s="102"/>
      <c r="C10624" s="87"/>
      <c r="D10624" s="103"/>
      <c r="F10624" s="101"/>
      <c r="G10624" s="104"/>
      <c r="H10624" s="86" t="e">
        <f>IF(I10624="fora",0%,G10624/QUÓRUM!$C$6)</f>
        <v>#DIV/0!</v>
      </c>
      <c r="I10624" s="87"/>
      <c r="J10624" s="88"/>
      <c r="K10624" s="88"/>
      <c r="L10624" s="89"/>
      <c r="M10624" s="89"/>
      <c r="O10624" s="105"/>
      <c r="P10624" s="105"/>
      <c r="Q10624" s="105"/>
      <c r="R10624" s="106"/>
      <c r="S10624" s="127"/>
      <c r="T10624" s="107"/>
    </row>
    <row r="10625" spans="1:20" x14ac:dyDescent="0.3">
      <c r="A10625" s="101"/>
      <c r="B10625" s="102"/>
      <c r="C10625" s="87"/>
      <c r="D10625" s="103"/>
      <c r="F10625" s="101"/>
      <c r="G10625" s="104"/>
      <c r="H10625" s="86" t="e">
        <f>IF(I10625="fora",0%,G10625/QUÓRUM!$C$6)</f>
        <v>#DIV/0!</v>
      </c>
      <c r="I10625" s="87"/>
      <c r="J10625" s="88"/>
      <c r="K10625" s="88"/>
      <c r="L10625" s="89"/>
      <c r="M10625" s="89"/>
      <c r="O10625" s="105"/>
      <c r="P10625" s="105"/>
      <c r="Q10625" s="105"/>
      <c r="R10625" s="106"/>
      <c r="S10625" s="127"/>
      <c r="T10625" s="107"/>
    </row>
    <row r="10626" spans="1:20" x14ac:dyDescent="0.3">
      <c r="A10626" s="101"/>
      <c r="B10626" s="102"/>
      <c r="C10626" s="87"/>
      <c r="D10626" s="103"/>
      <c r="F10626" s="101"/>
      <c r="G10626" s="104"/>
      <c r="H10626" s="86" t="e">
        <f>IF(I10626="fora",0%,G10626/QUÓRUM!$C$6)</f>
        <v>#DIV/0!</v>
      </c>
      <c r="I10626" s="87"/>
      <c r="J10626" s="88"/>
      <c r="K10626" s="88"/>
      <c r="L10626" s="89"/>
      <c r="M10626" s="89"/>
      <c r="O10626" s="105"/>
      <c r="P10626" s="105"/>
      <c r="Q10626" s="105"/>
      <c r="R10626" s="106"/>
      <c r="S10626" s="127"/>
      <c r="T10626" s="107"/>
    </row>
    <row r="10627" spans="1:20" x14ac:dyDescent="0.3">
      <c r="A10627" s="101"/>
      <c r="B10627" s="102"/>
      <c r="C10627" s="87"/>
      <c r="D10627" s="103"/>
      <c r="F10627" s="101"/>
      <c r="G10627" s="104"/>
      <c r="H10627" s="86" t="e">
        <f>IF(I10627="fora",0%,G10627/QUÓRUM!$C$6)</f>
        <v>#DIV/0!</v>
      </c>
      <c r="I10627" s="87"/>
      <c r="J10627" s="88"/>
      <c r="K10627" s="88"/>
      <c r="L10627" s="89"/>
      <c r="M10627" s="89"/>
      <c r="O10627" s="105"/>
      <c r="P10627" s="105"/>
      <c r="Q10627" s="105"/>
      <c r="R10627" s="106"/>
      <c r="S10627" s="127"/>
      <c r="T10627" s="107"/>
    </row>
    <row r="10628" spans="1:20" x14ac:dyDescent="0.3">
      <c r="A10628" s="101"/>
      <c r="B10628" s="102"/>
      <c r="C10628" s="87"/>
      <c r="D10628" s="103"/>
      <c r="F10628" s="101"/>
      <c r="G10628" s="104"/>
      <c r="H10628" s="86" t="e">
        <f>IF(I10628="fora",0%,G10628/QUÓRUM!$C$6)</f>
        <v>#DIV/0!</v>
      </c>
      <c r="I10628" s="87"/>
      <c r="J10628" s="88"/>
      <c r="K10628" s="88"/>
      <c r="L10628" s="89"/>
      <c r="M10628" s="89"/>
      <c r="O10628" s="105"/>
      <c r="P10628" s="105"/>
      <c r="Q10628" s="105"/>
      <c r="R10628" s="106"/>
      <c r="S10628" s="127"/>
      <c r="T10628" s="107"/>
    </row>
    <row r="10629" spans="1:20" x14ac:dyDescent="0.3">
      <c r="A10629" s="101"/>
      <c r="B10629" s="102"/>
      <c r="C10629" s="87"/>
      <c r="D10629" s="103"/>
      <c r="F10629" s="101"/>
      <c r="G10629" s="104"/>
      <c r="H10629" s="86" t="e">
        <f>IF(I10629="fora",0%,G10629/QUÓRUM!$C$6)</f>
        <v>#DIV/0!</v>
      </c>
      <c r="I10629" s="87"/>
      <c r="J10629" s="88"/>
      <c r="K10629" s="88"/>
      <c r="L10629" s="89"/>
      <c r="M10629" s="89"/>
      <c r="O10629" s="105"/>
      <c r="P10629" s="105"/>
      <c r="Q10629" s="105"/>
      <c r="R10629" s="106"/>
      <c r="S10629" s="127"/>
      <c r="T10629" s="107"/>
    </row>
    <row r="10630" spans="1:20" x14ac:dyDescent="0.3">
      <c r="A10630" s="101"/>
      <c r="B10630" s="102"/>
      <c r="C10630" s="87"/>
      <c r="D10630" s="103"/>
      <c r="F10630" s="101"/>
      <c r="G10630" s="104"/>
      <c r="H10630" s="86" t="e">
        <f>IF(I10630="fora",0%,G10630/QUÓRUM!$C$6)</f>
        <v>#DIV/0!</v>
      </c>
      <c r="I10630" s="87"/>
      <c r="J10630" s="88"/>
      <c r="K10630" s="88"/>
      <c r="L10630" s="89"/>
      <c r="M10630" s="89"/>
      <c r="O10630" s="105"/>
      <c r="P10630" s="105"/>
      <c r="Q10630" s="105"/>
      <c r="R10630" s="106"/>
      <c r="S10630" s="127"/>
      <c r="T10630" s="107"/>
    </row>
    <row r="10631" spans="1:20" x14ac:dyDescent="0.3">
      <c r="A10631" s="101"/>
      <c r="B10631" s="102"/>
      <c r="C10631" s="87"/>
      <c r="D10631" s="103"/>
      <c r="F10631" s="101"/>
      <c r="G10631" s="104"/>
      <c r="H10631" s="86" t="e">
        <f>IF(I10631="fora",0%,G10631/QUÓRUM!$C$6)</f>
        <v>#DIV/0!</v>
      </c>
      <c r="I10631" s="87"/>
      <c r="J10631" s="88"/>
      <c r="K10631" s="88"/>
      <c r="L10631" s="89"/>
      <c r="M10631" s="89"/>
      <c r="O10631" s="105"/>
      <c r="P10631" s="105"/>
      <c r="Q10631" s="105"/>
      <c r="R10631" s="106"/>
      <c r="S10631" s="127"/>
      <c r="T10631" s="107"/>
    </row>
    <row r="10632" spans="1:20" x14ac:dyDescent="0.3">
      <c r="A10632" s="101"/>
      <c r="B10632" s="102"/>
      <c r="C10632" s="87"/>
      <c r="D10632" s="103"/>
      <c r="F10632" s="101"/>
      <c r="G10632" s="104"/>
      <c r="H10632" s="86" t="e">
        <f>IF(I10632="fora",0%,G10632/QUÓRUM!$C$6)</f>
        <v>#DIV/0!</v>
      </c>
      <c r="I10632" s="87"/>
      <c r="J10632" s="88"/>
      <c r="K10632" s="88"/>
      <c r="L10632" s="89"/>
      <c r="M10632" s="89"/>
      <c r="O10632" s="105"/>
      <c r="P10632" s="105"/>
      <c r="Q10632" s="105"/>
      <c r="R10632" s="106"/>
      <c r="S10632" s="127"/>
      <c r="T10632" s="107"/>
    </row>
    <row r="10633" spans="1:20" x14ac:dyDescent="0.3">
      <c r="A10633" s="101"/>
      <c r="B10633" s="102"/>
      <c r="C10633" s="87"/>
      <c r="D10633" s="103"/>
      <c r="F10633" s="101"/>
      <c r="G10633" s="104"/>
      <c r="H10633" s="86" t="e">
        <f>IF(I10633="fora",0%,G10633/QUÓRUM!$C$6)</f>
        <v>#DIV/0!</v>
      </c>
      <c r="I10633" s="87"/>
      <c r="J10633" s="88"/>
      <c r="K10633" s="88"/>
      <c r="L10633" s="89"/>
      <c r="M10633" s="89"/>
      <c r="O10633" s="105"/>
      <c r="P10633" s="105"/>
      <c r="Q10633" s="105"/>
      <c r="R10633" s="106"/>
      <c r="S10633" s="127"/>
      <c r="T10633" s="107"/>
    </row>
    <row r="10634" spans="1:20" x14ac:dyDescent="0.3">
      <c r="A10634" s="101"/>
      <c r="B10634" s="102"/>
      <c r="C10634" s="87"/>
      <c r="D10634" s="103"/>
      <c r="F10634" s="101"/>
      <c r="G10634" s="104"/>
      <c r="H10634" s="86" t="e">
        <f>IF(I10634="fora",0%,G10634/QUÓRUM!$C$6)</f>
        <v>#DIV/0!</v>
      </c>
      <c r="I10634" s="87"/>
      <c r="J10634" s="88"/>
      <c r="K10634" s="88"/>
      <c r="L10634" s="89"/>
      <c r="M10634" s="89"/>
      <c r="O10634" s="105"/>
      <c r="P10634" s="105"/>
      <c r="Q10634" s="105"/>
      <c r="R10634" s="106"/>
      <c r="S10634" s="127"/>
      <c r="T10634" s="107"/>
    </row>
    <row r="10635" spans="1:20" x14ac:dyDescent="0.3">
      <c r="A10635" s="101"/>
      <c r="B10635" s="102"/>
      <c r="C10635" s="87"/>
      <c r="D10635" s="103"/>
      <c r="F10635" s="101"/>
      <c r="G10635" s="104"/>
      <c r="H10635" s="86" t="e">
        <f>IF(I10635="fora",0%,G10635/QUÓRUM!$C$6)</f>
        <v>#DIV/0!</v>
      </c>
      <c r="I10635" s="87"/>
      <c r="J10635" s="88"/>
      <c r="K10635" s="88"/>
      <c r="L10635" s="89"/>
      <c r="M10635" s="89"/>
      <c r="O10635" s="105"/>
      <c r="P10635" s="105"/>
      <c r="Q10635" s="105"/>
      <c r="R10635" s="106"/>
      <c r="S10635" s="127"/>
      <c r="T10635" s="107"/>
    </row>
    <row r="10636" spans="1:20" x14ac:dyDescent="0.3">
      <c r="A10636" s="101"/>
      <c r="B10636" s="102"/>
      <c r="C10636" s="87"/>
      <c r="D10636" s="103"/>
      <c r="F10636" s="101"/>
      <c r="G10636" s="109"/>
      <c r="H10636" s="86" t="e">
        <f>IF(I10636="fora",0%,G10636/QUÓRUM!$C$6)</f>
        <v>#DIV/0!</v>
      </c>
      <c r="I10636" s="87"/>
      <c r="J10636" s="88"/>
      <c r="K10636" s="88"/>
      <c r="L10636" s="89"/>
      <c r="M10636" s="89"/>
      <c r="O10636" s="105"/>
      <c r="P10636" s="105"/>
      <c r="Q10636" s="105"/>
      <c r="R10636" s="106"/>
      <c r="S10636" s="127"/>
      <c r="T10636" s="107"/>
    </row>
    <row r="10637" spans="1:20" x14ac:dyDescent="0.3">
      <c r="A10637" s="101"/>
      <c r="B10637" s="102"/>
      <c r="C10637" s="87"/>
      <c r="D10637" s="103"/>
      <c r="F10637" s="101"/>
      <c r="G10637" s="104"/>
      <c r="H10637" s="86" t="e">
        <f>IF(I10637="fora",0%,G10637/QUÓRUM!$C$6)</f>
        <v>#DIV/0!</v>
      </c>
      <c r="I10637" s="87"/>
      <c r="J10637" s="88"/>
      <c r="K10637" s="88"/>
      <c r="L10637" s="89"/>
      <c r="M10637" s="89"/>
      <c r="O10637" s="105"/>
      <c r="P10637" s="105"/>
      <c r="Q10637" s="105"/>
      <c r="R10637" s="106"/>
      <c r="S10637" s="127"/>
      <c r="T10637" s="107"/>
    </row>
    <row r="10638" spans="1:20" x14ac:dyDescent="0.3">
      <c r="A10638" s="101"/>
      <c r="B10638" s="102"/>
      <c r="C10638" s="87"/>
      <c r="D10638" s="103"/>
      <c r="F10638" s="101"/>
      <c r="G10638" s="104"/>
      <c r="H10638" s="86" t="e">
        <f>IF(I10638="fora",0%,G10638/QUÓRUM!$C$6)</f>
        <v>#DIV/0!</v>
      </c>
      <c r="I10638" s="87"/>
      <c r="J10638" s="88"/>
      <c r="K10638" s="88"/>
      <c r="L10638" s="89"/>
      <c r="M10638" s="89"/>
      <c r="O10638" s="105"/>
      <c r="P10638" s="105"/>
      <c r="Q10638" s="105"/>
      <c r="R10638" s="106"/>
      <c r="S10638" s="127"/>
      <c r="T10638" s="107"/>
    </row>
    <row r="10639" spans="1:20" x14ac:dyDescent="0.3">
      <c r="A10639" s="101"/>
      <c r="B10639" s="102"/>
      <c r="C10639" s="87"/>
      <c r="D10639" s="103"/>
      <c r="F10639" s="101"/>
      <c r="G10639" s="104"/>
      <c r="H10639" s="86" t="e">
        <f>IF(I10639="fora",0%,G10639/QUÓRUM!$C$6)</f>
        <v>#DIV/0!</v>
      </c>
      <c r="I10639" s="87"/>
      <c r="J10639" s="88"/>
      <c r="K10639" s="88"/>
      <c r="L10639" s="89"/>
      <c r="M10639" s="89"/>
      <c r="O10639" s="105"/>
      <c r="P10639" s="105"/>
      <c r="Q10639" s="105"/>
      <c r="R10639" s="106"/>
      <c r="S10639" s="127"/>
      <c r="T10639" s="107"/>
    </row>
    <row r="10640" spans="1:20" x14ac:dyDescent="0.3">
      <c r="A10640" s="101"/>
      <c r="B10640" s="102"/>
      <c r="C10640" s="87"/>
      <c r="D10640" s="103"/>
      <c r="F10640" s="101"/>
      <c r="G10640" s="104"/>
      <c r="H10640" s="86" t="e">
        <f>IF(I10640="fora",0%,G10640/QUÓRUM!$C$6)</f>
        <v>#DIV/0!</v>
      </c>
      <c r="I10640" s="87"/>
      <c r="J10640" s="88"/>
      <c r="K10640" s="88"/>
      <c r="L10640" s="89"/>
      <c r="M10640" s="89"/>
      <c r="O10640" s="105"/>
      <c r="P10640" s="105"/>
      <c r="Q10640" s="105"/>
      <c r="R10640" s="106"/>
      <c r="S10640" s="127"/>
      <c r="T10640" s="107"/>
    </row>
    <row r="10641" spans="1:20" x14ac:dyDescent="0.3">
      <c r="A10641" s="101"/>
      <c r="B10641" s="102"/>
      <c r="C10641" s="87"/>
      <c r="D10641" s="103"/>
      <c r="F10641" s="101"/>
      <c r="G10641" s="104"/>
      <c r="H10641" s="86" t="e">
        <f>IF(I10641="fora",0%,G10641/QUÓRUM!$C$6)</f>
        <v>#DIV/0!</v>
      </c>
      <c r="I10641" s="87"/>
      <c r="J10641" s="88"/>
      <c r="K10641" s="88"/>
      <c r="L10641" s="89"/>
      <c r="M10641" s="89"/>
      <c r="O10641" s="105"/>
      <c r="P10641" s="105"/>
      <c r="Q10641" s="105"/>
      <c r="R10641" s="106"/>
      <c r="S10641" s="127"/>
      <c r="T10641" s="107"/>
    </row>
    <row r="10642" spans="1:20" x14ac:dyDescent="0.3">
      <c r="A10642" s="101"/>
      <c r="B10642" s="102"/>
      <c r="C10642" s="87"/>
      <c r="D10642" s="103"/>
      <c r="F10642" s="101"/>
      <c r="G10642" s="104"/>
      <c r="H10642" s="86" t="e">
        <f>IF(I10642="fora",0%,G10642/QUÓRUM!$C$6)</f>
        <v>#DIV/0!</v>
      </c>
      <c r="I10642" s="87"/>
      <c r="J10642" s="88"/>
      <c r="K10642" s="88"/>
      <c r="L10642" s="89"/>
      <c r="M10642" s="89"/>
      <c r="O10642" s="105"/>
      <c r="P10642" s="105"/>
      <c r="Q10642" s="105"/>
      <c r="R10642" s="106"/>
      <c r="S10642" s="127"/>
      <c r="T10642" s="107"/>
    </row>
    <row r="10643" spans="1:20" x14ac:dyDescent="0.3">
      <c r="A10643" s="101"/>
      <c r="B10643" s="102"/>
      <c r="C10643" s="87"/>
      <c r="D10643" s="103"/>
      <c r="F10643" s="101"/>
      <c r="G10643" s="104"/>
      <c r="H10643" s="86" t="e">
        <f>IF(I10643="fora",0%,G10643/QUÓRUM!$C$6)</f>
        <v>#DIV/0!</v>
      </c>
      <c r="I10643" s="87"/>
      <c r="J10643" s="88"/>
      <c r="K10643" s="88"/>
      <c r="L10643" s="89"/>
      <c r="M10643" s="89"/>
      <c r="O10643" s="105"/>
      <c r="P10643" s="105"/>
      <c r="Q10643" s="105"/>
      <c r="R10643" s="106"/>
      <c r="S10643" s="127"/>
      <c r="T10643" s="107"/>
    </row>
    <row r="10644" spans="1:20" x14ac:dyDescent="0.3">
      <c r="A10644" s="101"/>
      <c r="B10644" s="102"/>
      <c r="C10644" s="87"/>
      <c r="D10644" s="103"/>
      <c r="F10644" s="101"/>
      <c r="G10644" s="104"/>
      <c r="H10644" s="86" t="e">
        <f>IF(I10644="fora",0%,G10644/QUÓRUM!$C$6)</f>
        <v>#DIV/0!</v>
      </c>
      <c r="I10644" s="87"/>
      <c r="J10644" s="88"/>
      <c r="K10644" s="88"/>
      <c r="L10644" s="89"/>
      <c r="M10644" s="89"/>
      <c r="O10644" s="105"/>
      <c r="P10644" s="105"/>
      <c r="Q10644" s="105"/>
      <c r="R10644" s="106"/>
      <c r="S10644" s="127"/>
      <c r="T10644" s="107"/>
    </row>
    <row r="10645" spans="1:20" x14ac:dyDescent="0.3">
      <c r="A10645" s="101"/>
      <c r="B10645" s="102"/>
      <c r="C10645" s="87"/>
      <c r="D10645" s="103"/>
      <c r="F10645" s="101"/>
      <c r="G10645" s="104"/>
      <c r="H10645" s="86" t="e">
        <f>IF(I10645="fora",0%,G10645/QUÓRUM!$C$6)</f>
        <v>#DIV/0!</v>
      </c>
      <c r="I10645" s="87"/>
      <c r="J10645" s="88"/>
      <c r="K10645" s="88"/>
      <c r="L10645" s="89"/>
      <c r="M10645" s="89"/>
      <c r="O10645" s="105"/>
      <c r="P10645" s="105"/>
      <c r="Q10645" s="105"/>
      <c r="R10645" s="106"/>
      <c r="S10645" s="127"/>
      <c r="T10645" s="107"/>
    </row>
    <row r="10646" spans="1:20" x14ac:dyDescent="0.3">
      <c r="A10646" s="101"/>
      <c r="B10646" s="102"/>
      <c r="C10646" s="87"/>
      <c r="D10646" s="103"/>
      <c r="F10646" s="101"/>
      <c r="G10646" s="104"/>
      <c r="H10646" s="86" t="e">
        <f>IF(I10646="fora",0%,G10646/QUÓRUM!$C$6)</f>
        <v>#DIV/0!</v>
      </c>
      <c r="I10646" s="87"/>
      <c r="J10646" s="88"/>
      <c r="K10646" s="88"/>
      <c r="L10646" s="89"/>
      <c r="M10646" s="89"/>
      <c r="O10646" s="105"/>
      <c r="P10646" s="105"/>
      <c r="Q10646" s="105"/>
      <c r="R10646" s="106"/>
      <c r="S10646" s="127"/>
      <c r="T10646" s="107"/>
    </row>
    <row r="10647" spans="1:20" x14ac:dyDescent="0.3">
      <c r="A10647" s="101"/>
      <c r="B10647" s="102"/>
      <c r="C10647" s="87"/>
      <c r="D10647" s="103"/>
      <c r="F10647" s="101"/>
      <c r="G10647" s="109"/>
      <c r="H10647" s="86" t="e">
        <f>IF(I10647="fora",0%,G10647/QUÓRUM!$C$6)</f>
        <v>#DIV/0!</v>
      </c>
      <c r="I10647" s="87"/>
      <c r="J10647" s="88"/>
      <c r="K10647" s="88"/>
      <c r="L10647" s="89"/>
      <c r="M10647" s="89"/>
      <c r="O10647" s="105"/>
      <c r="P10647" s="105"/>
      <c r="Q10647" s="105"/>
      <c r="R10647" s="106"/>
      <c r="S10647" s="127"/>
      <c r="T10647" s="107"/>
    </row>
    <row r="10648" spans="1:20" x14ac:dyDescent="0.3">
      <c r="A10648" s="101"/>
      <c r="B10648" s="102"/>
      <c r="C10648" s="87"/>
      <c r="D10648" s="103"/>
      <c r="F10648" s="101"/>
      <c r="G10648" s="104"/>
      <c r="H10648" s="86" t="e">
        <f>IF(I10648="fora",0%,G10648/QUÓRUM!$C$6)</f>
        <v>#DIV/0!</v>
      </c>
      <c r="I10648" s="87"/>
      <c r="J10648" s="88"/>
      <c r="K10648" s="88"/>
      <c r="L10648" s="89"/>
      <c r="M10648" s="89"/>
      <c r="O10648" s="105"/>
      <c r="P10648" s="105"/>
      <c r="Q10648" s="105"/>
      <c r="R10648" s="106"/>
      <c r="S10648" s="127"/>
      <c r="T10648" s="107"/>
    </row>
    <row r="10649" spans="1:20" x14ac:dyDescent="0.3">
      <c r="A10649" s="101"/>
      <c r="B10649" s="102"/>
      <c r="C10649" s="87"/>
      <c r="D10649" s="103"/>
      <c r="F10649" s="101"/>
      <c r="G10649" s="104"/>
      <c r="H10649" s="86" t="e">
        <f>IF(I10649="fora",0%,G10649/QUÓRUM!$C$6)</f>
        <v>#DIV/0!</v>
      </c>
      <c r="I10649" s="87"/>
      <c r="J10649" s="88"/>
      <c r="K10649" s="88"/>
      <c r="L10649" s="89"/>
      <c r="M10649" s="89"/>
      <c r="O10649" s="105"/>
      <c r="P10649" s="105"/>
      <c r="Q10649" s="105"/>
      <c r="R10649" s="106"/>
      <c r="S10649" s="127"/>
      <c r="T10649" s="107"/>
    </row>
    <row r="10650" spans="1:20" x14ac:dyDescent="0.3">
      <c r="A10650" s="101"/>
      <c r="B10650" s="102"/>
      <c r="C10650" s="87"/>
      <c r="D10650" s="103"/>
      <c r="F10650" s="101"/>
      <c r="G10650" s="104"/>
      <c r="H10650" s="86" t="e">
        <f>IF(I10650="fora",0%,G10650/QUÓRUM!$C$6)</f>
        <v>#DIV/0!</v>
      </c>
      <c r="I10650" s="87"/>
      <c r="J10650" s="88"/>
      <c r="K10650" s="88"/>
      <c r="L10650" s="89"/>
      <c r="M10650" s="89"/>
      <c r="O10650" s="105"/>
      <c r="P10650" s="105"/>
      <c r="Q10650" s="105"/>
      <c r="R10650" s="106"/>
      <c r="S10650" s="127"/>
      <c r="T10650" s="107"/>
    </row>
    <row r="10651" spans="1:20" x14ac:dyDescent="0.3">
      <c r="A10651" s="101"/>
      <c r="B10651" s="102"/>
      <c r="C10651" s="87"/>
      <c r="D10651" s="103"/>
      <c r="F10651" s="101"/>
      <c r="G10651" s="104"/>
      <c r="H10651" s="86" t="e">
        <f>IF(I10651="fora",0%,G10651/QUÓRUM!$C$6)</f>
        <v>#DIV/0!</v>
      </c>
      <c r="I10651" s="87"/>
      <c r="J10651" s="88"/>
      <c r="K10651" s="88"/>
      <c r="L10651" s="89"/>
      <c r="M10651" s="89"/>
      <c r="O10651" s="105"/>
      <c r="P10651" s="105"/>
      <c r="Q10651" s="105"/>
      <c r="R10651" s="106"/>
      <c r="S10651" s="127"/>
      <c r="T10651" s="107"/>
    </row>
    <row r="10652" spans="1:20" x14ac:dyDescent="0.3">
      <c r="A10652" s="101"/>
      <c r="B10652" s="102"/>
      <c r="C10652" s="87"/>
      <c r="D10652" s="103"/>
      <c r="F10652" s="101"/>
      <c r="G10652" s="104"/>
      <c r="H10652" s="86" t="e">
        <f>IF(I10652="fora",0%,G10652/QUÓRUM!$C$6)</f>
        <v>#DIV/0!</v>
      </c>
      <c r="I10652" s="87"/>
      <c r="J10652" s="88"/>
      <c r="K10652" s="88"/>
      <c r="L10652" s="89"/>
      <c r="M10652" s="89"/>
      <c r="O10652" s="105"/>
      <c r="P10652" s="105"/>
      <c r="Q10652" s="105"/>
      <c r="R10652" s="106"/>
      <c r="S10652" s="127"/>
      <c r="T10652" s="107"/>
    </row>
    <row r="10653" spans="1:20" x14ac:dyDescent="0.3">
      <c r="A10653" s="101"/>
      <c r="B10653" s="102"/>
      <c r="C10653" s="87"/>
      <c r="D10653" s="103"/>
      <c r="F10653" s="101"/>
      <c r="G10653" s="104"/>
      <c r="H10653" s="86" t="e">
        <f>IF(I10653="fora",0%,G10653/QUÓRUM!$C$6)</f>
        <v>#DIV/0!</v>
      </c>
      <c r="I10653" s="87"/>
      <c r="J10653" s="88"/>
      <c r="K10653" s="88"/>
      <c r="L10653" s="89"/>
      <c r="M10653" s="89"/>
      <c r="O10653" s="105"/>
      <c r="P10653" s="105"/>
      <c r="Q10653" s="105"/>
      <c r="R10653" s="106"/>
      <c r="S10653" s="127"/>
      <c r="T10653" s="107"/>
    </row>
    <row r="10654" spans="1:20" x14ac:dyDescent="0.3">
      <c r="A10654" s="101"/>
      <c r="B10654" s="102"/>
      <c r="C10654" s="87"/>
      <c r="D10654" s="103"/>
      <c r="F10654" s="101"/>
      <c r="G10654" s="104"/>
      <c r="H10654" s="86" t="e">
        <f>IF(I10654="fora",0%,G10654/QUÓRUM!$C$6)</f>
        <v>#DIV/0!</v>
      </c>
      <c r="I10654" s="87"/>
      <c r="J10654" s="88"/>
      <c r="K10654" s="88"/>
      <c r="L10654" s="89"/>
      <c r="M10654" s="89"/>
      <c r="O10654" s="105"/>
      <c r="P10654" s="105"/>
      <c r="Q10654" s="105"/>
      <c r="R10654" s="106"/>
      <c r="S10654" s="127"/>
      <c r="T10654" s="107"/>
    </row>
    <row r="10655" spans="1:20" x14ac:dyDescent="0.3">
      <c r="A10655" s="101"/>
      <c r="B10655" s="102"/>
      <c r="C10655" s="87"/>
      <c r="D10655" s="103"/>
      <c r="F10655" s="101"/>
      <c r="G10655" s="104"/>
      <c r="H10655" s="86" t="e">
        <f>IF(I10655="fora",0%,G10655/QUÓRUM!$C$6)</f>
        <v>#DIV/0!</v>
      </c>
      <c r="I10655" s="87"/>
      <c r="J10655" s="88"/>
      <c r="K10655" s="88"/>
      <c r="L10655" s="89"/>
      <c r="M10655" s="89"/>
      <c r="O10655" s="105"/>
      <c r="P10655" s="105"/>
      <c r="Q10655" s="105"/>
      <c r="R10655" s="106"/>
      <c r="S10655" s="127"/>
      <c r="T10655" s="107"/>
    </row>
    <row r="10656" spans="1:20" x14ac:dyDescent="0.3">
      <c r="A10656" s="101"/>
      <c r="B10656" s="102"/>
      <c r="C10656" s="87"/>
      <c r="D10656" s="103"/>
      <c r="F10656" s="101"/>
      <c r="G10656" s="104"/>
      <c r="H10656" s="86" t="e">
        <f>IF(I10656="fora",0%,G10656/QUÓRUM!$C$6)</f>
        <v>#DIV/0!</v>
      </c>
      <c r="I10656" s="87"/>
      <c r="J10656" s="88"/>
      <c r="K10656" s="88"/>
      <c r="L10656" s="89"/>
      <c r="M10656" s="89"/>
      <c r="O10656" s="105"/>
      <c r="P10656" s="105"/>
      <c r="Q10656" s="105"/>
      <c r="R10656" s="106"/>
      <c r="S10656" s="127"/>
      <c r="T10656" s="107"/>
    </row>
    <row r="10657" spans="1:20" x14ac:dyDescent="0.3">
      <c r="A10657" s="101"/>
      <c r="B10657" s="102"/>
      <c r="C10657" s="87"/>
      <c r="D10657" s="103"/>
      <c r="F10657" s="101"/>
      <c r="G10657" s="104"/>
      <c r="H10657" s="86" t="e">
        <f>IF(I10657="fora",0%,G10657/QUÓRUM!$C$6)</f>
        <v>#DIV/0!</v>
      </c>
      <c r="I10657" s="87"/>
      <c r="J10657" s="88"/>
      <c r="K10657" s="88"/>
      <c r="L10657" s="89"/>
      <c r="M10657" s="89"/>
      <c r="O10657" s="105"/>
      <c r="P10657" s="105"/>
      <c r="Q10657" s="105"/>
      <c r="R10657" s="106"/>
      <c r="S10657" s="127"/>
      <c r="T10657" s="107"/>
    </row>
    <row r="10658" spans="1:20" x14ac:dyDescent="0.3">
      <c r="A10658" s="101"/>
      <c r="B10658" s="102"/>
      <c r="C10658" s="87"/>
      <c r="D10658" s="103"/>
      <c r="F10658" s="101"/>
      <c r="G10658" s="104"/>
      <c r="H10658" s="86" t="e">
        <f>IF(I10658="fora",0%,G10658/QUÓRUM!$C$6)</f>
        <v>#DIV/0!</v>
      </c>
      <c r="I10658" s="87"/>
      <c r="J10658" s="88"/>
      <c r="K10658" s="88"/>
      <c r="L10658" s="89"/>
      <c r="M10658" s="89"/>
      <c r="O10658" s="105"/>
      <c r="P10658" s="105"/>
      <c r="Q10658" s="105"/>
      <c r="R10658" s="106"/>
      <c r="S10658" s="127"/>
      <c r="T10658" s="107"/>
    </row>
    <row r="10659" spans="1:20" x14ac:dyDescent="0.3">
      <c r="A10659" s="101"/>
      <c r="B10659" s="102"/>
      <c r="C10659" s="87"/>
      <c r="D10659" s="103"/>
      <c r="F10659" s="101"/>
      <c r="G10659" s="104"/>
      <c r="H10659" s="86" t="e">
        <f>IF(I10659="fora",0%,G10659/QUÓRUM!$C$6)</f>
        <v>#DIV/0!</v>
      </c>
      <c r="I10659" s="87"/>
      <c r="J10659" s="88"/>
      <c r="K10659" s="88"/>
      <c r="L10659" s="89"/>
      <c r="M10659" s="89"/>
      <c r="O10659" s="105"/>
      <c r="P10659" s="105"/>
      <c r="Q10659" s="105"/>
      <c r="R10659" s="106"/>
      <c r="S10659" s="127"/>
      <c r="T10659" s="107"/>
    </row>
    <row r="10660" spans="1:20" x14ac:dyDescent="0.3">
      <c r="A10660" s="101"/>
      <c r="B10660" s="102"/>
      <c r="C10660" s="87"/>
      <c r="D10660" s="103"/>
      <c r="F10660" s="101"/>
      <c r="G10660" s="104"/>
      <c r="H10660" s="86" t="e">
        <f>IF(I10660="fora",0%,G10660/QUÓRUM!$C$6)</f>
        <v>#DIV/0!</v>
      </c>
      <c r="I10660" s="87"/>
      <c r="J10660" s="88"/>
      <c r="K10660" s="88"/>
      <c r="L10660" s="89"/>
      <c r="M10660" s="89"/>
      <c r="O10660" s="105"/>
      <c r="P10660" s="105"/>
      <c r="Q10660" s="105"/>
      <c r="R10660" s="106"/>
      <c r="S10660" s="127"/>
      <c r="T10660" s="107"/>
    </row>
    <row r="10661" spans="1:20" x14ac:dyDescent="0.3">
      <c r="A10661" s="101"/>
      <c r="B10661" s="102"/>
      <c r="C10661" s="87"/>
      <c r="D10661" s="103"/>
      <c r="F10661" s="101"/>
      <c r="G10661" s="104"/>
      <c r="H10661" s="86" t="e">
        <f>IF(I10661="fora",0%,G10661/QUÓRUM!$C$6)</f>
        <v>#DIV/0!</v>
      </c>
      <c r="I10661" s="87"/>
      <c r="J10661" s="88"/>
      <c r="K10661" s="88"/>
      <c r="L10661" s="89"/>
      <c r="M10661" s="89"/>
      <c r="O10661" s="105"/>
      <c r="P10661" s="105"/>
      <c r="Q10661" s="105"/>
      <c r="R10661" s="106"/>
      <c r="S10661" s="127"/>
      <c r="T10661" s="107"/>
    </row>
    <row r="10662" spans="1:20" x14ac:dyDescent="0.3">
      <c r="A10662" s="101"/>
      <c r="B10662" s="102"/>
      <c r="C10662" s="87"/>
      <c r="D10662" s="103"/>
      <c r="F10662" s="101"/>
      <c r="G10662" s="104"/>
      <c r="H10662" s="86" t="e">
        <f>IF(I10662="fora",0%,G10662/QUÓRUM!$C$6)</f>
        <v>#DIV/0!</v>
      </c>
      <c r="I10662" s="87"/>
      <c r="J10662" s="88"/>
      <c r="K10662" s="88"/>
      <c r="L10662" s="89"/>
      <c r="M10662" s="89"/>
      <c r="O10662" s="105"/>
      <c r="P10662" s="105"/>
      <c r="R10662" s="106"/>
      <c r="S10662" s="127"/>
      <c r="T10662" s="107"/>
    </row>
    <row r="10663" spans="1:20" x14ac:dyDescent="0.3">
      <c r="A10663" s="101"/>
      <c r="B10663" s="102"/>
      <c r="C10663" s="87"/>
      <c r="D10663" s="103"/>
      <c r="F10663" s="101"/>
      <c r="G10663" s="104"/>
      <c r="H10663" s="86" t="e">
        <f>IF(I10663="fora",0%,G10663/QUÓRUM!$C$6)</f>
        <v>#DIV/0!</v>
      </c>
      <c r="I10663" s="87"/>
      <c r="J10663" s="88"/>
      <c r="K10663" s="88"/>
      <c r="L10663" s="89"/>
      <c r="M10663" s="89"/>
      <c r="O10663" s="105"/>
      <c r="P10663" s="105"/>
      <c r="R10663" s="106"/>
      <c r="S10663" s="127"/>
      <c r="T10663" s="107"/>
    </row>
    <row r="10664" spans="1:20" x14ac:dyDescent="0.3">
      <c r="A10664" s="101"/>
      <c r="B10664" s="102"/>
      <c r="C10664" s="87"/>
      <c r="D10664" s="103"/>
      <c r="F10664" s="101"/>
      <c r="G10664" s="104"/>
      <c r="H10664" s="86" t="e">
        <f>IF(I10664="fora",0%,G10664/QUÓRUM!$C$6)</f>
        <v>#DIV/0!</v>
      </c>
      <c r="I10664" s="87"/>
      <c r="J10664" s="88"/>
      <c r="K10664" s="88"/>
      <c r="L10664" s="89"/>
      <c r="M10664" s="89"/>
      <c r="O10664" s="105"/>
      <c r="P10664" s="105"/>
      <c r="R10664" s="106"/>
      <c r="S10664" s="127"/>
      <c r="T10664" s="107"/>
    </row>
    <row r="10665" spans="1:20" x14ac:dyDescent="0.3">
      <c r="A10665" s="101"/>
      <c r="B10665" s="102"/>
      <c r="C10665" s="87"/>
      <c r="D10665" s="103"/>
      <c r="F10665" s="101"/>
      <c r="G10665" s="104"/>
      <c r="H10665" s="86" t="e">
        <f>IF(I10665="fora",0%,G10665/QUÓRUM!$C$6)</f>
        <v>#DIV/0!</v>
      </c>
      <c r="I10665" s="87"/>
      <c r="J10665" s="88"/>
      <c r="K10665" s="88"/>
      <c r="L10665" s="89"/>
      <c r="M10665" s="89"/>
      <c r="O10665" s="105"/>
      <c r="P10665" s="105"/>
      <c r="R10665" s="106"/>
      <c r="S10665" s="127"/>
      <c r="T10665" s="107"/>
    </row>
    <row r="10666" spans="1:20" x14ac:dyDescent="0.3">
      <c r="A10666" s="101"/>
      <c r="B10666" s="102"/>
      <c r="C10666" s="87"/>
      <c r="D10666" s="103"/>
      <c r="F10666" s="101"/>
      <c r="G10666" s="104"/>
      <c r="H10666" s="86" t="e">
        <f>IF(I10666="fora",0%,G10666/QUÓRUM!$C$6)</f>
        <v>#DIV/0!</v>
      </c>
      <c r="I10666" s="87"/>
      <c r="J10666" s="88"/>
      <c r="K10666" s="88"/>
      <c r="L10666" s="89"/>
      <c r="M10666" s="89"/>
      <c r="O10666" s="105"/>
      <c r="P10666" s="105"/>
      <c r="R10666" s="106"/>
      <c r="S10666" s="127"/>
      <c r="T10666" s="107"/>
    </row>
    <row r="10667" spans="1:20" x14ac:dyDescent="0.3">
      <c r="A10667" s="101"/>
      <c r="B10667" s="102"/>
      <c r="C10667" s="87"/>
      <c r="D10667" s="103"/>
      <c r="F10667" s="101"/>
      <c r="G10667" s="104"/>
      <c r="H10667" s="86" t="e">
        <f>IF(I10667="fora",0%,G10667/QUÓRUM!$C$6)</f>
        <v>#DIV/0!</v>
      </c>
      <c r="I10667" s="87"/>
      <c r="J10667" s="88"/>
      <c r="K10667" s="88"/>
      <c r="L10667" s="89"/>
      <c r="M10667" s="89"/>
      <c r="O10667" s="105"/>
      <c r="P10667" s="105"/>
      <c r="R10667" s="106"/>
      <c r="S10667" s="127"/>
      <c r="T10667" s="107"/>
    </row>
    <row r="10668" spans="1:20" x14ac:dyDescent="0.3">
      <c r="A10668" s="101"/>
      <c r="B10668" s="102"/>
      <c r="C10668" s="87"/>
      <c r="D10668" s="103"/>
      <c r="F10668" s="101"/>
      <c r="G10668" s="104"/>
      <c r="H10668" s="86" t="e">
        <f>IF(I10668="fora",0%,G10668/QUÓRUM!$C$6)</f>
        <v>#DIV/0!</v>
      </c>
      <c r="I10668" s="87"/>
      <c r="J10668" s="88"/>
      <c r="K10668" s="88"/>
      <c r="L10668" s="89"/>
      <c r="M10668" s="89"/>
      <c r="O10668" s="105"/>
      <c r="P10668" s="105"/>
      <c r="R10668" s="106"/>
      <c r="S10668" s="127"/>
      <c r="T10668" s="107"/>
    </row>
    <row r="10669" spans="1:20" x14ac:dyDescent="0.3">
      <c r="A10669" s="101"/>
      <c r="B10669" s="102"/>
      <c r="C10669" s="87"/>
      <c r="D10669" s="103"/>
      <c r="F10669" s="101"/>
      <c r="G10669" s="104"/>
      <c r="H10669" s="86" t="e">
        <f>IF(I10669="fora",0%,G10669/QUÓRUM!$C$6)</f>
        <v>#DIV/0!</v>
      </c>
      <c r="I10669" s="87"/>
      <c r="J10669" s="88"/>
      <c r="K10669" s="88"/>
      <c r="L10669" s="89"/>
      <c r="M10669" s="89"/>
      <c r="O10669" s="105"/>
      <c r="P10669" s="105"/>
      <c r="R10669" s="106"/>
      <c r="S10669" s="127"/>
      <c r="T10669" s="107"/>
    </row>
    <row r="10670" spans="1:20" x14ac:dyDescent="0.3">
      <c r="A10670" s="101"/>
      <c r="B10670" s="102"/>
      <c r="C10670" s="87"/>
      <c r="D10670" s="103"/>
      <c r="F10670" s="101"/>
      <c r="G10670" s="104"/>
      <c r="H10670" s="86" t="e">
        <f>IF(I10670="fora",0%,G10670/QUÓRUM!$C$6)</f>
        <v>#DIV/0!</v>
      </c>
      <c r="I10670" s="87"/>
      <c r="J10670" s="88"/>
      <c r="K10670" s="88"/>
      <c r="L10670" s="89"/>
      <c r="M10670" s="89"/>
      <c r="O10670" s="105"/>
      <c r="P10670" s="105"/>
      <c r="R10670" s="106"/>
      <c r="S10670" s="127"/>
      <c r="T10670" s="107"/>
    </row>
    <row r="10671" spans="1:20" x14ac:dyDescent="0.3">
      <c r="A10671" s="101"/>
      <c r="B10671" s="102"/>
      <c r="C10671" s="87"/>
      <c r="D10671" s="103"/>
      <c r="F10671" s="101"/>
      <c r="G10671" s="104"/>
      <c r="H10671" s="86" t="e">
        <f>IF(I10671="fora",0%,G10671/QUÓRUM!$C$6)</f>
        <v>#DIV/0!</v>
      </c>
      <c r="I10671" s="87"/>
      <c r="J10671" s="88"/>
      <c r="K10671" s="88"/>
      <c r="L10671" s="89"/>
      <c r="M10671" s="89"/>
      <c r="O10671" s="105"/>
      <c r="P10671" s="105"/>
      <c r="R10671" s="106"/>
      <c r="S10671" s="127"/>
      <c r="T10671" s="107"/>
    </row>
    <row r="10672" spans="1:20" x14ac:dyDescent="0.3">
      <c r="A10672" s="101"/>
      <c r="B10672" s="102"/>
      <c r="C10672" s="87"/>
      <c r="D10672" s="103"/>
      <c r="F10672" s="101"/>
      <c r="G10672" s="104"/>
      <c r="H10672" s="86" t="e">
        <f>IF(I10672="fora",0%,G10672/QUÓRUM!$C$6)</f>
        <v>#DIV/0!</v>
      </c>
      <c r="I10672" s="87"/>
      <c r="J10672" s="88"/>
      <c r="K10672" s="88"/>
      <c r="L10672" s="89"/>
      <c r="M10672" s="89"/>
      <c r="O10672" s="105"/>
      <c r="P10672" s="105"/>
      <c r="R10672" s="106"/>
      <c r="S10672" s="127"/>
      <c r="T10672" s="107"/>
    </row>
    <row r="10673" spans="1:20" x14ac:dyDescent="0.3">
      <c r="A10673" s="101"/>
      <c r="B10673" s="102"/>
      <c r="C10673" s="87"/>
      <c r="D10673" s="103"/>
      <c r="F10673" s="101"/>
      <c r="G10673" s="104"/>
      <c r="H10673" s="86" t="e">
        <f>IF(I10673="fora",0%,G10673/QUÓRUM!$C$6)</f>
        <v>#DIV/0!</v>
      </c>
      <c r="I10673" s="87"/>
      <c r="J10673" s="88"/>
      <c r="K10673" s="88"/>
      <c r="L10673" s="89"/>
      <c r="M10673" s="89"/>
      <c r="O10673" s="105"/>
      <c r="P10673" s="105"/>
      <c r="R10673" s="106"/>
      <c r="S10673" s="127"/>
      <c r="T10673" s="107"/>
    </row>
    <row r="10674" spans="1:20" x14ac:dyDescent="0.3">
      <c r="A10674" s="101"/>
      <c r="B10674" s="102"/>
      <c r="C10674" s="87"/>
      <c r="D10674" s="103"/>
      <c r="F10674" s="101"/>
      <c r="G10674" s="104"/>
      <c r="H10674" s="86" t="e">
        <f>IF(I10674="fora",0%,G10674/QUÓRUM!$C$6)</f>
        <v>#DIV/0!</v>
      </c>
      <c r="I10674" s="87"/>
      <c r="J10674" s="88"/>
      <c r="K10674" s="88"/>
      <c r="L10674" s="89"/>
      <c r="M10674" s="89"/>
      <c r="O10674" s="105"/>
      <c r="P10674" s="105"/>
      <c r="R10674" s="106"/>
      <c r="S10674" s="127"/>
      <c r="T10674" s="107"/>
    </row>
    <row r="10675" spans="1:20" x14ac:dyDescent="0.3">
      <c r="A10675" s="101"/>
      <c r="B10675" s="102"/>
      <c r="C10675" s="87"/>
      <c r="D10675" s="103"/>
      <c r="F10675" s="101"/>
      <c r="G10675" s="104"/>
      <c r="H10675" s="86" t="e">
        <f>IF(I10675="fora",0%,G10675/QUÓRUM!$C$6)</f>
        <v>#DIV/0!</v>
      </c>
      <c r="I10675" s="87"/>
      <c r="J10675" s="88"/>
      <c r="K10675" s="88"/>
      <c r="L10675" s="89"/>
      <c r="M10675" s="89"/>
      <c r="O10675" s="105"/>
      <c r="P10675" s="105"/>
      <c r="R10675" s="106"/>
      <c r="S10675" s="127"/>
      <c r="T10675" s="107"/>
    </row>
    <row r="10676" spans="1:20" x14ac:dyDescent="0.3">
      <c r="A10676" s="101"/>
      <c r="B10676" s="102"/>
      <c r="C10676" s="87"/>
      <c r="D10676" s="103"/>
      <c r="F10676" s="101"/>
      <c r="G10676" s="104"/>
      <c r="H10676" s="86" t="e">
        <f>IF(I10676="fora",0%,G10676/QUÓRUM!$C$6)</f>
        <v>#DIV/0!</v>
      </c>
      <c r="I10676" s="87"/>
      <c r="J10676" s="88"/>
      <c r="K10676" s="88"/>
      <c r="L10676" s="89"/>
      <c r="M10676" s="89"/>
      <c r="O10676" s="105"/>
      <c r="P10676" s="105"/>
      <c r="R10676" s="106"/>
      <c r="S10676" s="127"/>
      <c r="T10676" s="107"/>
    </row>
    <row r="10677" spans="1:20" x14ac:dyDescent="0.3">
      <c r="A10677" s="101"/>
      <c r="B10677" s="102"/>
      <c r="C10677" s="87"/>
      <c r="D10677" s="103"/>
      <c r="F10677" s="101"/>
      <c r="G10677" s="104"/>
      <c r="H10677" s="86" t="e">
        <f>IF(I10677="fora",0%,G10677/QUÓRUM!$C$6)</f>
        <v>#DIV/0!</v>
      </c>
      <c r="I10677" s="87"/>
      <c r="J10677" s="88"/>
      <c r="K10677" s="88"/>
      <c r="L10677" s="89"/>
      <c r="M10677" s="89"/>
      <c r="O10677" s="105"/>
      <c r="P10677" s="105"/>
      <c r="R10677" s="106"/>
      <c r="S10677" s="127"/>
      <c r="T10677" s="107"/>
    </row>
    <row r="10678" spans="1:20" x14ac:dyDescent="0.3">
      <c r="C10678" s="87"/>
      <c r="H10678" s="86" t="e">
        <f>IF(I10678="fora",0%,G10678/QUÓRUM!$C$6)</f>
        <v>#DIV/0!</v>
      </c>
      <c r="I10678" s="87"/>
      <c r="J10678" s="88"/>
      <c r="K10678" s="88"/>
      <c r="L10678" s="89"/>
      <c r="M10678" s="89"/>
    </row>
    <row r="10679" spans="1:20" x14ac:dyDescent="0.3">
      <c r="C10679" s="87"/>
      <c r="H10679" s="86" t="e">
        <f>IF(I10679="fora",0%,G10679/QUÓRUM!$C$6)</f>
        <v>#DIV/0!</v>
      </c>
      <c r="I10679" s="87"/>
      <c r="J10679" s="88"/>
      <c r="K10679" s="88"/>
      <c r="L10679" s="89"/>
      <c r="M10679" s="89"/>
    </row>
    <row r="10680" spans="1:20" x14ac:dyDescent="0.3">
      <c r="C10680" s="87"/>
      <c r="H10680" s="86" t="e">
        <f>IF(I10680="fora",0%,G10680/QUÓRUM!$C$6)</f>
        <v>#DIV/0!</v>
      </c>
      <c r="I10680" s="87"/>
      <c r="J10680" s="88"/>
      <c r="K10680" s="88"/>
      <c r="L10680" s="89"/>
      <c r="M10680" s="89"/>
    </row>
    <row r="10681" spans="1:20" x14ac:dyDescent="0.3">
      <c r="C10681" s="87"/>
      <c r="H10681" s="86" t="e">
        <f>IF(I10681="fora",0%,G10681/QUÓRUM!$C$6)</f>
        <v>#DIV/0!</v>
      </c>
      <c r="I10681" s="87"/>
      <c r="J10681" s="88"/>
      <c r="K10681" s="88"/>
      <c r="L10681" s="89"/>
      <c r="M10681" s="89"/>
    </row>
    <row r="10682" spans="1:20" x14ac:dyDescent="0.3">
      <c r="C10682" s="87"/>
      <c r="H10682" s="86" t="e">
        <f>IF(I10682="fora",0%,G10682/QUÓRUM!$C$6)</f>
        <v>#DIV/0!</v>
      </c>
      <c r="I10682" s="87"/>
      <c r="J10682" s="88"/>
      <c r="K10682" s="88"/>
      <c r="L10682" s="89"/>
      <c r="M10682" s="89"/>
    </row>
    <row r="10683" spans="1:20" x14ac:dyDescent="0.3">
      <c r="C10683" s="87"/>
      <c r="H10683" s="86" t="e">
        <f>IF(I10683="fora",0%,G10683/QUÓRUM!$C$6)</f>
        <v>#DIV/0!</v>
      </c>
      <c r="I10683" s="87"/>
      <c r="J10683" s="88"/>
      <c r="K10683" s="88"/>
      <c r="L10683" s="89"/>
      <c r="M10683" s="89"/>
    </row>
    <row r="10684" spans="1:20" x14ac:dyDescent="0.3">
      <c r="C10684" s="87"/>
      <c r="H10684" s="86" t="e">
        <f>IF(I10684="fora",0%,G10684/QUÓRUM!$C$6)</f>
        <v>#DIV/0!</v>
      </c>
      <c r="I10684" s="87"/>
      <c r="J10684" s="88"/>
      <c r="K10684" s="88"/>
      <c r="L10684" s="89"/>
      <c r="M10684" s="89"/>
    </row>
    <row r="10685" spans="1:20" x14ac:dyDescent="0.3">
      <c r="C10685" s="87"/>
      <c r="H10685" s="86" t="e">
        <f>IF(I10685="fora",0%,G10685/QUÓRUM!$C$6)</f>
        <v>#DIV/0!</v>
      </c>
      <c r="I10685" s="87"/>
      <c r="J10685" s="88"/>
      <c r="K10685" s="88"/>
      <c r="L10685" s="89"/>
      <c r="M10685" s="89"/>
    </row>
    <row r="10686" spans="1:20" x14ac:dyDescent="0.3">
      <c r="C10686" s="87"/>
      <c r="H10686" s="86" t="e">
        <f>IF(I10686="fora",0%,G10686/QUÓRUM!$C$6)</f>
        <v>#DIV/0!</v>
      </c>
      <c r="I10686" s="87"/>
      <c r="J10686" s="88"/>
      <c r="K10686" s="88"/>
      <c r="L10686" s="89"/>
      <c r="M10686" s="89"/>
    </row>
    <row r="10687" spans="1:20" x14ac:dyDescent="0.3">
      <c r="C10687" s="87"/>
      <c r="H10687" s="86" t="e">
        <f>IF(I10687="fora",0%,G10687/QUÓRUM!$C$6)</f>
        <v>#DIV/0!</v>
      </c>
      <c r="I10687" s="87"/>
      <c r="J10687" s="88"/>
      <c r="K10687" s="88"/>
      <c r="L10687" s="89"/>
      <c r="M10687" s="89"/>
    </row>
    <row r="10688" spans="1:20" x14ac:dyDescent="0.3">
      <c r="C10688" s="87"/>
      <c r="H10688" s="86" t="e">
        <f>IF(I10688="fora",0%,G10688/QUÓRUM!$C$6)</f>
        <v>#DIV/0!</v>
      </c>
      <c r="I10688" s="87"/>
      <c r="J10688" s="88"/>
      <c r="K10688" s="88"/>
      <c r="L10688" s="89"/>
      <c r="M10688" s="89"/>
    </row>
    <row r="10689" spans="1:20" x14ac:dyDescent="0.3">
      <c r="C10689" s="87"/>
      <c r="H10689" s="86" t="e">
        <f>IF(I10689="fora",0%,G10689/QUÓRUM!$C$6)</f>
        <v>#DIV/0!</v>
      </c>
      <c r="I10689" s="87"/>
      <c r="J10689" s="88"/>
      <c r="K10689" s="88"/>
      <c r="L10689" s="89"/>
      <c r="M10689" s="89"/>
    </row>
    <row r="10690" spans="1:20" x14ac:dyDescent="0.3">
      <c r="C10690" s="87"/>
      <c r="H10690" s="86" t="e">
        <f>IF(I10690="fora",0%,G10690/QUÓRUM!$C$6)</f>
        <v>#DIV/0!</v>
      </c>
      <c r="I10690" s="87"/>
      <c r="J10690" s="88"/>
      <c r="K10690" s="88"/>
      <c r="L10690" s="89"/>
      <c r="M10690" s="89"/>
    </row>
    <row r="10691" spans="1:20" x14ac:dyDescent="0.3">
      <c r="C10691" s="87"/>
      <c r="H10691" s="86" t="e">
        <f>IF(I10691="fora",0%,G10691/QUÓRUM!$C$6)</f>
        <v>#DIV/0!</v>
      </c>
      <c r="I10691" s="87"/>
      <c r="J10691" s="88"/>
      <c r="K10691" s="88"/>
      <c r="L10691" s="89"/>
      <c r="M10691" s="89"/>
    </row>
    <row r="10692" spans="1:20" x14ac:dyDescent="0.3">
      <c r="C10692" s="87"/>
      <c r="H10692" s="86" t="e">
        <f>IF(I10692="fora",0%,G10692/QUÓRUM!$C$6)</f>
        <v>#DIV/0!</v>
      </c>
      <c r="I10692" s="87"/>
      <c r="J10692" s="88"/>
      <c r="K10692" s="88"/>
      <c r="L10692" s="89"/>
      <c r="M10692" s="89"/>
    </row>
    <row r="10693" spans="1:20" x14ac:dyDescent="0.3">
      <c r="C10693" s="87"/>
      <c r="H10693" s="86" t="e">
        <f>IF(I10693="fora",0%,G10693/QUÓRUM!$C$6)</f>
        <v>#DIV/0!</v>
      </c>
      <c r="I10693" s="87"/>
      <c r="J10693" s="88"/>
      <c r="K10693" s="88"/>
      <c r="L10693" s="89"/>
      <c r="M10693" s="89"/>
    </row>
    <row r="10694" spans="1:20" x14ac:dyDescent="0.3">
      <c r="C10694" s="87"/>
      <c r="H10694" s="86" t="e">
        <f>IF(I10694="fora",0%,G10694/QUÓRUM!$C$6)</f>
        <v>#DIV/0!</v>
      </c>
      <c r="I10694" s="87"/>
      <c r="J10694" s="88"/>
      <c r="K10694" s="88"/>
      <c r="L10694" s="89"/>
      <c r="M10694" s="89"/>
    </row>
    <row r="10695" spans="1:20" x14ac:dyDescent="0.3">
      <c r="C10695" s="87"/>
      <c r="H10695" s="86" t="e">
        <f>IF(I10695="fora",0%,G10695/QUÓRUM!$C$6)</f>
        <v>#DIV/0!</v>
      </c>
      <c r="I10695" s="87"/>
      <c r="J10695" s="88"/>
      <c r="K10695" s="88"/>
      <c r="L10695" s="89"/>
      <c r="M10695" s="89"/>
    </row>
    <row r="10696" spans="1:20" x14ac:dyDescent="0.3">
      <c r="C10696" s="87"/>
      <c r="H10696" s="86" t="e">
        <f>IF(I10696="fora",0%,G10696/QUÓRUM!$C$6)</f>
        <v>#DIV/0!</v>
      </c>
      <c r="I10696" s="87"/>
      <c r="J10696" s="88"/>
      <c r="K10696" s="88"/>
      <c r="L10696" s="89"/>
      <c r="M10696" s="89"/>
    </row>
    <row r="10697" spans="1:20" x14ac:dyDescent="0.3">
      <c r="C10697" s="87"/>
      <c r="H10697" s="86" t="e">
        <f>IF(I10697="fora",0%,G10697/QUÓRUM!$C$6)</f>
        <v>#DIV/0!</v>
      </c>
      <c r="I10697" s="87"/>
      <c r="J10697" s="88"/>
      <c r="K10697" s="88"/>
      <c r="L10697" s="89"/>
      <c r="M10697" s="89"/>
    </row>
    <row r="10698" spans="1:20" x14ac:dyDescent="0.3">
      <c r="C10698" s="87"/>
      <c r="H10698" s="86" t="e">
        <f>IF(I10698="fora",0%,G10698/QUÓRUM!$C$6)</f>
        <v>#DIV/0!</v>
      </c>
      <c r="I10698" s="87"/>
      <c r="J10698" s="88"/>
      <c r="K10698" s="88"/>
      <c r="L10698" s="89"/>
      <c r="M10698" s="89"/>
    </row>
    <row r="10699" spans="1:20" x14ac:dyDescent="0.3">
      <c r="C10699" s="87"/>
      <c r="H10699" s="86" t="e">
        <f>IF(I10699="fora",0%,G10699/QUÓRUM!$C$6)</f>
        <v>#DIV/0!</v>
      </c>
      <c r="I10699" s="87"/>
      <c r="J10699" s="88"/>
      <c r="K10699" s="88"/>
      <c r="L10699" s="89"/>
      <c r="M10699" s="89"/>
    </row>
    <row r="10700" spans="1:20" x14ac:dyDescent="0.3">
      <c r="C10700" s="87"/>
      <c r="H10700" s="86" t="e">
        <f>IF(I10700="fora",0%,G10700/QUÓRUM!$C$6)</f>
        <v>#DIV/0!</v>
      </c>
      <c r="I10700" s="87"/>
      <c r="J10700" s="88"/>
      <c r="K10700" s="88"/>
      <c r="L10700" s="89"/>
      <c r="M10700" s="89"/>
    </row>
    <row r="10701" spans="1:20" x14ac:dyDescent="0.3">
      <c r="C10701" s="87"/>
      <c r="H10701" s="86" t="e">
        <f>IF(I10701="fora",0%,G10701/QUÓRUM!$C$6)</f>
        <v>#DIV/0!</v>
      </c>
      <c r="I10701" s="87"/>
      <c r="J10701" s="88"/>
      <c r="K10701" s="88"/>
      <c r="L10701" s="89"/>
      <c r="M10701" s="89"/>
    </row>
    <row r="10702" spans="1:20" x14ac:dyDescent="0.3">
      <c r="A10702" s="101"/>
      <c r="B10702" s="102"/>
      <c r="C10702" s="87"/>
      <c r="D10702" s="103"/>
      <c r="F10702" s="101"/>
      <c r="G10702" s="104"/>
      <c r="H10702" s="86" t="e">
        <f>IF(I10702="fora",0%,G10702/QUÓRUM!$C$6)</f>
        <v>#DIV/0!</v>
      </c>
      <c r="I10702" s="87"/>
      <c r="J10702" s="88"/>
      <c r="K10702" s="88"/>
      <c r="L10702" s="89"/>
      <c r="M10702" s="89"/>
      <c r="O10702" s="105"/>
      <c r="P10702" s="105"/>
      <c r="R10702" s="106"/>
      <c r="S10702" s="127"/>
      <c r="T10702" s="107"/>
    </row>
    <row r="10703" spans="1:20" x14ac:dyDescent="0.3">
      <c r="A10703" s="101"/>
      <c r="B10703" s="102"/>
      <c r="C10703" s="87"/>
      <c r="D10703" s="103"/>
      <c r="F10703" s="101"/>
      <c r="G10703" s="104"/>
      <c r="H10703" s="86" t="e">
        <f>IF(I10703="fora",0%,G10703/QUÓRUM!$C$6)</f>
        <v>#DIV/0!</v>
      </c>
      <c r="I10703" s="87"/>
      <c r="J10703" s="88"/>
      <c r="K10703" s="88"/>
      <c r="L10703" s="89"/>
      <c r="M10703" s="89"/>
      <c r="O10703" s="105"/>
      <c r="P10703" s="105"/>
      <c r="R10703" s="106"/>
      <c r="S10703" s="127"/>
      <c r="T10703" s="107"/>
    </row>
    <row r="10704" spans="1:20" x14ac:dyDescent="0.3">
      <c r="A10704" s="101"/>
      <c r="B10704" s="102"/>
      <c r="C10704" s="87"/>
      <c r="D10704" s="103"/>
      <c r="F10704" s="101"/>
      <c r="G10704" s="104"/>
      <c r="H10704" s="86" t="e">
        <f>IF(I10704="fora",0%,G10704/QUÓRUM!$C$6)</f>
        <v>#DIV/0!</v>
      </c>
      <c r="I10704" s="87"/>
      <c r="J10704" s="88"/>
      <c r="K10704" s="88"/>
      <c r="L10704" s="89"/>
      <c r="M10704" s="89"/>
      <c r="O10704" s="105"/>
      <c r="P10704" s="105"/>
      <c r="R10704" s="106"/>
      <c r="S10704" s="127"/>
      <c r="T10704" s="107"/>
    </row>
    <row r="10705" spans="1:20" x14ac:dyDescent="0.3">
      <c r="A10705" s="101"/>
      <c r="B10705" s="102"/>
      <c r="C10705" s="87"/>
      <c r="D10705" s="103"/>
      <c r="F10705" s="101"/>
      <c r="G10705" s="104"/>
      <c r="H10705" s="86" t="e">
        <f>IF(I10705="fora",0%,G10705/QUÓRUM!$C$6)</f>
        <v>#DIV/0!</v>
      </c>
      <c r="I10705" s="87"/>
      <c r="J10705" s="88"/>
      <c r="K10705" s="88"/>
      <c r="L10705" s="89"/>
      <c r="M10705" s="89"/>
      <c r="O10705" s="105"/>
      <c r="P10705" s="105"/>
      <c r="R10705" s="106"/>
      <c r="S10705" s="127"/>
      <c r="T10705" s="107"/>
    </row>
    <row r="10706" spans="1:20" x14ac:dyDescent="0.3">
      <c r="A10706" s="101"/>
      <c r="B10706" s="102"/>
      <c r="C10706" s="87"/>
      <c r="D10706" s="103"/>
      <c r="F10706" s="101"/>
      <c r="G10706" s="104"/>
      <c r="H10706" s="86" t="e">
        <f>IF(I10706="fora",0%,G10706/QUÓRUM!$C$6)</f>
        <v>#DIV/0!</v>
      </c>
      <c r="I10706" s="87"/>
      <c r="J10706" s="88"/>
      <c r="K10706" s="88"/>
      <c r="L10706" s="89"/>
      <c r="M10706" s="89"/>
      <c r="O10706" s="105"/>
      <c r="P10706" s="105"/>
      <c r="R10706" s="106"/>
      <c r="S10706" s="127"/>
      <c r="T10706" s="107"/>
    </row>
    <row r="10707" spans="1:20" x14ac:dyDescent="0.3">
      <c r="A10707" s="101"/>
      <c r="B10707" s="102"/>
      <c r="C10707" s="87"/>
      <c r="D10707" s="103"/>
      <c r="F10707" s="101"/>
      <c r="G10707" s="104"/>
      <c r="H10707" s="86" t="e">
        <f>IF(I10707="fora",0%,G10707/QUÓRUM!$C$6)</f>
        <v>#DIV/0!</v>
      </c>
      <c r="I10707" s="87"/>
      <c r="J10707" s="88"/>
      <c r="K10707" s="88"/>
      <c r="L10707" s="89"/>
      <c r="M10707" s="89"/>
      <c r="O10707" s="105"/>
      <c r="P10707" s="105"/>
      <c r="R10707" s="106"/>
      <c r="S10707" s="127"/>
      <c r="T10707" s="107"/>
    </row>
    <row r="10708" spans="1:20" x14ac:dyDescent="0.3">
      <c r="A10708" s="101"/>
      <c r="B10708" s="102"/>
      <c r="C10708" s="87"/>
      <c r="D10708" s="103"/>
      <c r="F10708" s="101"/>
      <c r="G10708" s="104"/>
      <c r="H10708" s="86" t="e">
        <f>IF(I10708="fora",0%,G10708/QUÓRUM!$C$6)</f>
        <v>#DIV/0!</v>
      </c>
      <c r="I10708" s="87"/>
      <c r="J10708" s="88"/>
      <c r="K10708" s="88"/>
      <c r="L10708" s="89"/>
      <c r="M10708" s="89"/>
      <c r="O10708" s="105"/>
      <c r="P10708" s="105"/>
      <c r="R10708" s="106"/>
      <c r="S10708" s="127"/>
      <c r="T10708" s="107"/>
    </row>
    <row r="10709" spans="1:20" x14ac:dyDescent="0.3">
      <c r="A10709" s="101"/>
      <c r="B10709" s="102"/>
      <c r="C10709" s="87"/>
      <c r="D10709" s="103"/>
      <c r="F10709" s="101"/>
      <c r="G10709" s="104"/>
      <c r="H10709" s="86" t="e">
        <f>IF(I10709="fora",0%,G10709/QUÓRUM!$C$6)</f>
        <v>#DIV/0!</v>
      </c>
      <c r="I10709" s="87"/>
      <c r="J10709" s="88"/>
      <c r="K10709" s="88"/>
      <c r="L10709" s="89"/>
      <c r="M10709" s="89"/>
      <c r="O10709" s="105"/>
      <c r="P10709" s="105"/>
      <c r="R10709" s="106"/>
      <c r="S10709" s="127"/>
      <c r="T10709" s="107"/>
    </row>
    <row r="10710" spans="1:20" x14ac:dyDescent="0.3">
      <c r="A10710" s="101"/>
      <c r="B10710" s="102"/>
      <c r="C10710" s="87"/>
      <c r="D10710" s="103"/>
      <c r="F10710" s="101"/>
      <c r="G10710" s="104"/>
      <c r="H10710" s="86" t="e">
        <f>IF(I10710="fora",0%,G10710/QUÓRUM!$C$6)</f>
        <v>#DIV/0!</v>
      </c>
      <c r="I10710" s="87"/>
      <c r="J10710" s="88"/>
      <c r="K10710" s="88"/>
      <c r="L10710" s="89"/>
      <c r="M10710" s="89"/>
      <c r="O10710" s="105"/>
      <c r="P10710" s="105"/>
      <c r="R10710" s="106"/>
      <c r="S10710" s="127"/>
      <c r="T10710" s="107"/>
    </row>
    <row r="10711" spans="1:20" x14ac:dyDescent="0.3">
      <c r="A10711" s="101"/>
      <c r="B10711" s="102"/>
      <c r="C10711" s="87"/>
      <c r="D10711" s="103"/>
      <c r="F10711" s="101"/>
      <c r="G10711" s="104"/>
      <c r="H10711" s="86" t="e">
        <f>IF(I10711="fora",0%,G10711/QUÓRUM!$C$6)</f>
        <v>#DIV/0!</v>
      </c>
      <c r="I10711" s="87"/>
      <c r="J10711" s="88"/>
      <c r="K10711" s="88"/>
      <c r="L10711" s="89"/>
      <c r="M10711" s="89"/>
      <c r="O10711" s="105"/>
      <c r="P10711" s="105"/>
      <c r="R10711" s="106"/>
      <c r="S10711" s="127"/>
      <c r="T10711" s="107"/>
    </row>
    <row r="10712" spans="1:20" x14ac:dyDescent="0.3">
      <c r="A10712" s="101"/>
      <c r="B10712" s="102"/>
      <c r="C10712" s="87"/>
      <c r="D10712" s="103"/>
      <c r="F10712" s="101"/>
      <c r="G10712" s="104"/>
      <c r="H10712" s="86" t="e">
        <f>IF(I10712="fora",0%,G10712/QUÓRUM!$C$6)</f>
        <v>#DIV/0!</v>
      </c>
      <c r="I10712" s="87"/>
      <c r="J10712" s="88"/>
      <c r="K10712" s="88"/>
      <c r="L10712" s="89"/>
      <c r="M10712" s="89"/>
      <c r="O10712" s="105"/>
      <c r="P10712" s="105"/>
      <c r="R10712" s="106"/>
      <c r="S10712" s="127"/>
      <c r="T10712" s="107"/>
    </row>
    <row r="10713" spans="1:20" x14ac:dyDescent="0.3">
      <c r="A10713" s="101"/>
      <c r="B10713" s="102"/>
      <c r="C10713" s="87"/>
      <c r="D10713" s="103"/>
      <c r="F10713" s="101"/>
      <c r="G10713" s="104"/>
      <c r="H10713" s="86" t="e">
        <f>IF(I10713="fora",0%,G10713/QUÓRUM!$C$6)</f>
        <v>#DIV/0!</v>
      </c>
      <c r="I10713" s="87"/>
      <c r="J10713" s="88"/>
      <c r="K10713" s="88"/>
      <c r="L10713" s="89"/>
      <c r="M10713" s="89"/>
      <c r="O10713" s="105"/>
      <c r="P10713" s="105"/>
      <c r="R10713" s="106"/>
      <c r="S10713" s="127"/>
      <c r="T10713" s="107"/>
    </row>
    <row r="10714" spans="1:20" x14ac:dyDescent="0.3">
      <c r="A10714" s="101"/>
      <c r="B10714" s="102"/>
      <c r="C10714" s="87"/>
      <c r="D10714" s="103"/>
      <c r="F10714" s="101"/>
      <c r="G10714" s="104"/>
      <c r="H10714" s="86" t="e">
        <f>IF(I10714="fora",0%,G10714/QUÓRUM!$C$6)</f>
        <v>#DIV/0!</v>
      </c>
      <c r="I10714" s="87"/>
      <c r="J10714" s="88"/>
      <c r="K10714" s="88"/>
      <c r="L10714" s="89"/>
      <c r="M10714" s="89"/>
      <c r="O10714" s="105"/>
      <c r="P10714" s="105"/>
      <c r="R10714" s="106"/>
      <c r="S10714" s="127"/>
      <c r="T10714" s="107"/>
    </row>
    <row r="10715" spans="1:20" x14ac:dyDescent="0.3">
      <c r="A10715" s="101"/>
      <c r="B10715" s="102"/>
      <c r="C10715" s="87"/>
      <c r="D10715" s="103"/>
      <c r="F10715" s="101"/>
      <c r="G10715" s="104"/>
      <c r="H10715" s="86" t="e">
        <f>IF(I10715="fora",0%,G10715/QUÓRUM!$C$6)</f>
        <v>#DIV/0!</v>
      </c>
      <c r="I10715" s="87"/>
      <c r="J10715" s="88"/>
      <c r="K10715" s="88"/>
      <c r="L10715" s="89"/>
      <c r="M10715" s="89"/>
      <c r="O10715" s="105"/>
      <c r="P10715" s="105"/>
      <c r="R10715" s="106"/>
      <c r="S10715" s="127"/>
      <c r="T10715" s="107"/>
    </row>
    <row r="10716" spans="1:20" x14ac:dyDescent="0.3">
      <c r="A10716" s="101"/>
      <c r="B10716" s="102"/>
      <c r="C10716" s="87"/>
      <c r="D10716" s="103"/>
      <c r="F10716" s="101"/>
      <c r="G10716" s="104"/>
      <c r="H10716" s="86" t="e">
        <f>IF(I10716="fora",0%,G10716/QUÓRUM!$C$6)</f>
        <v>#DIV/0!</v>
      </c>
      <c r="I10716" s="87"/>
      <c r="J10716" s="88"/>
      <c r="K10716" s="88"/>
      <c r="L10716" s="89"/>
      <c r="M10716" s="89"/>
      <c r="O10716" s="105"/>
      <c r="P10716" s="105"/>
      <c r="R10716" s="106"/>
      <c r="S10716" s="127"/>
      <c r="T10716" s="107"/>
    </row>
    <row r="10717" spans="1:20" x14ac:dyDescent="0.3">
      <c r="A10717" s="101"/>
      <c r="B10717" s="102"/>
      <c r="C10717" s="87"/>
      <c r="D10717" s="103"/>
      <c r="F10717" s="101"/>
      <c r="G10717" s="104"/>
      <c r="H10717" s="86" t="e">
        <f>IF(I10717="fora",0%,G10717/QUÓRUM!$C$6)</f>
        <v>#DIV/0!</v>
      </c>
      <c r="I10717" s="87"/>
      <c r="J10717" s="88"/>
      <c r="K10717" s="88"/>
      <c r="L10717" s="89"/>
      <c r="M10717" s="89"/>
      <c r="O10717" s="105"/>
      <c r="P10717" s="105"/>
      <c r="R10717" s="106"/>
      <c r="S10717" s="127"/>
      <c r="T10717" s="107"/>
    </row>
    <row r="10718" spans="1:20" x14ac:dyDescent="0.3">
      <c r="A10718" s="101"/>
      <c r="B10718" s="102"/>
      <c r="C10718" s="87"/>
      <c r="D10718" s="103"/>
      <c r="F10718" s="101"/>
      <c r="G10718" s="104"/>
      <c r="H10718" s="86" t="e">
        <f>IF(I10718="fora",0%,G10718/QUÓRUM!$C$6)</f>
        <v>#DIV/0!</v>
      </c>
      <c r="I10718" s="87"/>
      <c r="J10718" s="88"/>
      <c r="K10718" s="88"/>
      <c r="L10718" s="89"/>
      <c r="M10718" s="89"/>
      <c r="O10718" s="105"/>
      <c r="P10718" s="105"/>
      <c r="R10718" s="106"/>
      <c r="S10718" s="127"/>
      <c r="T10718" s="107"/>
    </row>
    <row r="10719" spans="1:20" x14ac:dyDescent="0.3">
      <c r="A10719" s="101"/>
      <c r="B10719" s="102"/>
      <c r="C10719" s="87"/>
      <c r="D10719" s="103"/>
      <c r="F10719" s="101"/>
      <c r="G10719" s="109"/>
      <c r="H10719" s="86" t="e">
        <f>IF(I10719="fora",0%,G10719/QUÓRUM!$C$6)</f>
        <v>#DIV/0!</v>
      </c>
      <c r="I10719" s="87"/>
      <c r="J10719" s="88"/>
      <c r="K10719" s="88"/>
      <c r="L10719" s="89"/>
      <c r="M10719" s="89"/>
      <c r="O10719" s="105"/>
      <c r="P10719" s="105"/>
      <c r="R10719" s="106"/>
      <c r="S10719" s="127"/>
      <c r="T10719" s="107"/>
    </row>
    <row r="10720" spans="1:20" x14ac:dyDescent="0.3">
      <c r="A10720" s="101"/>
      <c r="B10720" s="102"/>
      <c r="C10720" s="87"/>
      <c r="D10720" s="103"/>
      <c r="F10720" s="101"/>
      <c r="G10720" s="104"/>
      <c r="H10720" s="86" t="e">
        <f>IF(I10720="fora",0%,G10720/QUÓRUM!$C$6)</f>
        <v>#DIV/0!</v>
      </c>
      <c r="I10720" s="87"/>
      <c r="J10720" s="88"/>
      <c r="K10720" s="88"/>
      <c r="L10720" s="89"/>
      <c r="M10720" s="89"/>
      <c r="O10720" s="105"/>
      <c r="P10720" s="105"/>
      <c r="R10720" s="106"/>
      <c r="S10720" s="127"/>
      <c r="T10720" s="107"/>
    </row>
    <row r="10721" spans="1:20" x14ac:dyDescent="0.3">
      <c r="A10721" s="101"/>
      <c r="B10721" s="102"/>
      <c r="C10721" s="87"/>
      <c r="D10721" s="103"/>
      <c r="F10721" s="101"/>
      <c r="G10721" s="104"/>
      <c r="H10721" s="86" t="e">
        <f>IF(I10721="fora",0%,G10721/QUÓRUM!$C$6)</f>
        <v>#DIV/0!</v>
      </c>
      <c r="I10721" s="87"/>
      <c r="J10721" s="88"/>
      <c r="K10721" s="88"/>
      <c r="L10721" s="89"/>
      <c r="M10721" s="89"/>
      <c r="O10721" s="105"/>
      <c r="P10721" s="105"/>
      <c r="R10721" s="106"/>
      <c r="S10721" s="127"/>
      <c r="T10721" s="107"/>
    </row>
    <row r="10722" spans="1:20" x14ac:dyDescent="0.3">
      <c r="A10722" s="101"/>
      <c r="B10722" s="102"/>
      <c r="C10722" s="87"/>
      <c r="D10722" s="103"/>
      <c r="F10722" s="101"/>
      <c r="G10722" s="104"/>
      <c r="H10722" s="86" t="e">
        <f>IF(I10722="fora",0%,G10722/QUÓRUM!$C$6)</f>
        <v>#DIV/0!</v>
      </c>
      <c r="I10722" s="87"/>
      <c r="J10722" s="88"/>
      <c r="K10722" s="88"/>
      <c r="L10722" s="89"/>
      <c r="M10722" s="89"/>
      <c r="O10722" s="105"/>
      <c r="P10722" s="105"/>
      <c r="R10722" s="106"/>
      <c r="S10722" s="127"/>
      <c r="T10722" s="107"/>
    </row>
    <row r="10723" spans="1:20" x14ac:dyDescent="0.3">
      <c r="A10723" s="101"/>
      <c r="B10723" s="102"/>
      <c r="C10723" s="87"/>
      <c r="D10723" s="103"/>
      <c r="F10723" s="101"/>
      <c r="G10723" s="104"/>
      <c r="H10723" s="86" t="e">
        <f>IF(I10723="fora",0%,G10723/QUÓRUM!$C$6)</f>
        <v>#DIV/0!</v>
      </c>
      <c r="I10723" s="87"/>
      <c r="J10723" s="88"/>
      <c r="K10723" s="88"/>
      <c r="L10723" s="89"/>
      <c r="M10723" s="89"/>
      <c r="O10723" s="105"/>
      <c r="P10723" s="105"/>
      <c r="R10723" s="106"/>
      <c r="S10723" s="127"/>
      <c r="T10723" s="107"/>
    </row>
    <row r="10724" spans="1:20" x14ac:dyDescent="0.3">
      <c r="A10724" s="101"/>
      <c r="B10724" s="102"/>
      <c r="C10724" s="87"/>
      <c r="D10724" s="103"/>
      <c r="F10724" s="101"/>
      <c r="G10724" s="104"/>
      <c r="H10724" s="86" t="e">
        <f>IF(I10724="fora",0%,G10724/QUÓRUM!$C$6)</f>
        <v>#DIV/0!</v>
      </c>
      <c r="I10724" s="87"/>
      <c r="J10724" s="88"/>
      <c r="K10724" s="88"/>
      <c r="L10724" s="89"/>
      <c r="M10724" s="89"/>
      <c r="O10724" s="105"/>
      <c r="P10724" s="105"/>
      <c r="R10724" s="106"/>
      <c r="S10724" s="127"/>
      <c r="T10724" s="107"/>
    </row>
    <row r="10725" spans="1:20" x14ac:dyDescent="0.3">
      <c r="A10725" s="101"/>
      <c r="B10725" s="102"/>
      <c r="C10725" s="87"/>
      <c r="D10725" s="103"/>
      <c r="F10725" s="101"/>
      <c r="G10725" s="104"/>
      <c r="H10725" s="86" t="e">
        <f>IF(I10725="fora",0%,G10725/QUÓRUM!$C$6)</f>
        <v>#DIV/0!</v>
      </c>
      <c r="I10725" s="87"/>
      <c r="J10725" s="88"/>
      <c r="K10725" s="88"/>
      <c r="L10725" s="89"/>
      <c r="M10725" s="89"/>
      <c r="O10725" s="105"/>
      <c r="P10725" s="105"/>
      <c r="R10725" s="106"/>
      <c r="S10725" s="127"/>
      <c r="T10725" s="107"/>
    </row>
    <row r="10726" spans="1:20" x14ac:dyDescent="0.3">
      <c r="A10726" s="101"/>
      <c r="B10726" s="102"/>
      <c r="C10726" s="87"/>
      <c r="D10726" s="103"/>
      <c r="F10726" s="101"/>
      <c r="G10726" s="104"/>
      <c r="H10726" s="86" t="e">
        <f>IF(I10726="fora",0%,G10726/QUÓRUM!$C$6)</f>
        <v>#DIV/0!</v>
      </c>
      <c r="I10726" s="87"/>
      <c r="J10726" s="88"/>
      <c r="K10726" s="88"/>
      <c r="L10726" s="89"/>
      <c r="M10726" s="89"/>
      <c r="O10726" s="105"/>
      <c r="P10726" s="105"/>
      <c r="R10726" s="106"/>
      <c r="S10726" s="127"/>
      <c r="T10726" s="107"/>
    </row>
    <row r="10727" spans="1:20" x14ac:dyDescent="0.3">
      <c r="A10727" s="101"/>
      <c r="B10727" s="102"/>
      <c r="C10727" s="87"/>
      <c r="D10727" s="103"/>
      <c r="F10727" s="101"/>
      <c r="G10727" s="104"/>
      <c r="H10727" s="86" t="e">
        <f>IF(I10727="fora",0%,G10727/QUÓRUM!$C$6)</f>
        <v>#DIV/0!</v>
      </c>
      <c r="I10727" s="87"/>
      <c r="J10727" s="88"/>
      <c r="K10727" s="88"/>
      <c r="L10727" s="89"/>
      <c r="M10727" s="89"/>
      <c r="O10727" s="105"/>
      <c r="P10727" s="105"/>
      <c r="R10727" s="106"/>
      <c r="S10727" s="127"/>
      <c r="T10727" s="107"/>
    </row>
    <row r="10728" spans="1:20" x14ac:dyDescent="0.3">
      <c r="A10728" s="101"/>
      <c r="B10728" s="102"/>
      <c r="C10728" s="87"/>
      <c r="D10728" s="103"/>
      <c r="F10728" s="101"/>
      <c r="G10728" s="104"/>
      <c r="H10728" s="86" t="e">
        <f>IF(I10728="fora",0%,G10728/QUÓRUM!$C$6)</f>
        <v>#DIV/0!</v>
      </c>
      <c r="I10728" s="87"/>
      <c r="J10728" s="88"/>
      <c r="K10728" s="88"/>
      <c r="L10728" s="89"/>
      <c r="M10728" s="89"/>
      <c r="O10728" s="105"/>
      <c r="P10728" s="105"/>
      <c r="R10728" s="106"/>
      <c r="S10728" s="127"/>
      <c r="T10728" s="107"/>
    </row>
    <row r="10729" spans="1:20" x14ac:dyDescent="0.3">
      <c r="A10729" s="101"/>
      <c r="B10729" s="102"/>
      <c r="C10729" s="87"/>
      <c r="D10729" s="103"/>
      <c r="F10729" s="101"/>
      <c r="G10729" s="104"/>
      <c r="H10729" s="86" t="e">
        <f>IF(I10729="fora",0%,G10729/QUÓRUM!$C$6)</f>
        <v>#DIV/0!</v>
      </c>
      <c r="I10729" s="87"/>
      <c r="J10729" s="88"/>
      <c r="K10729" s="88"/>
      <c r="L10729" s="89"/>
      <c r="M10729" s="89"/>
      <c r="O10729" s="105"/>
      <c r="P10729" s="105"/>
      <c r="R10729" s="106"/>
      <c r="S10729" s="127"/>
      <c r="T10729" s="107"/>
    </row>
    <row r="10730" spans="1:20" x14ac:dyDescent="0.3">
      <c r="A10730" s="101"/>
      <c r="B10730" s="102"/>
      <c r="C10730" s="87"/>
      <c r="D10730" s="103"/>
      <c r="F10730" s="101"/>
      <c r="G10730" s="104"/>
      <c r="H10730" s="86" t="e">
        <f>IF(I10730="fora",0%,G10730/QUÓRUM!$C$6)</f>
        <v>#DIV/0!</v>
      </c>
      <c r="I10730" s="87"/>
      <c r="J10730" s="88"/>
      <c r="K10730" s="88"/>
      <c r="L10730" s="89"/>
      <c r="M10730" s="89"/>
      <c r="O10730" s="105"/>
      <c r="P10730" s="105"/>
      <c r="R10730" s="106"/>
      <c r="S10730" s="127"/>
      <c r="T10730" s="107"/>
    </row>
    <row r="10731" spans="1:20" x14ac:dyDescent="0.3">
      <c r="A10731" s="101"/>
      <c r="B10731" s="102"/>
      <c r="C10731" s="87"/>
      <c r="D10731" s="103"/>
      <c r="F10731" s="101"/>
      <c r="G10731" s="104"/>
      <c r="H10731" s="86" t="e">
        <f>IF(I10731="fora",0%,G10731/QUÓRUM!$C$6)</f>
        <v>#DIV/0!</v>
      </c>
      <c r="I10731" s="87"/>
      <c r="J10731" s="88"/>
      <c r="K10731" s="88"/>
      <c r="L10731" s="89"/>
      <c r="M10731" s="89"/>
      <c r="O10731" s="105"/>
      <c r="P10731" s="105"/>
      <c r="R10731" s="106"/>
      <c r="S10731" s="127"/>
      <c r="T10731" s="107"/>
    </row>
    <row r="10732" spans="1:20" x14ac:dyDescent="0.3">
      <c r="A10732" s="101"/>
      <c r="B10732" s="102"/>
      <c r="C10732" s="87"/>
      <c r="D10732" s="103"/>
      <c r="F10732" s="101"/>
      <c r="G10732" s="104"/>
      <c r="H10732" s="86" t="e">
        <f>IF(I10732="fora",0%,G10732/QUÓRUM!$C$6)</f>
        <v>#DIV/0!</v>
      </c>
      <c r="I10732" s="87"/>
      <c r="J10732" s="88"/>
      <c r="K10732" s="88"/>
      <c r="L10732" s="89"/>
      <c r="M10732" s="89"/>
      <c r="O10732" s="105"/>
      <c r="P10732" s="105"/>
      <c r="R10732" s="106"/>
      <c r="S10732" s="127"/>
      <c r="T10732" s="107"/>
    </row>
    <row r="10733" spans="1:20" x14ac:dyDescent="0.3">
      <c r="A10733" s="101"/>
      <c r="B10733" s="102"/>
      <c r="C10733" s="87"/>
      <c r="D10733" s="103"/>
      <c r="F10733" s="101"/>
      <c r="G10733" s="104"/>
      <c r="H10733" s="86" t="e">
        <f>IF(I10733="fora",0%,G10733/QUÓRUM!$C$6)</f>
        <v>#DIV/0!</v>
      </c>
      <c r="I10733" s="87"/>
      <c r="J10733" s="88"/>
      <c r="K10733" s="88"/>
      <c r="L10733" s="89"/>
      <c r="M10733" s="89"/>
      <c r="O10733" s="105"/>
      <c r="P10733" s="105"/>
      <c r="R10733" s="106"/>
      <c r="S10733" s="127"/>
      <c r="T10733" s="107"/>
    </row>
    <row r="10734" spans="1:20" x14ac:dyDescent="0.3">
      <c r="A10734" s="101"/>
      <c r="B10734" s="102"/>
      <c r="C10734" s="87"/>
      <c r="D10734" s="103"/>
      <c r="F10734" s="101"/>
      <c r="G10734" s="104"/>
      <c r="H10734" s="86" t="e">
        <f>IF(I10734="fora",0%,G10734/QUÓRUM!$C$6)</f>
        <v>#DIV/0!</v>
      </c>
      <c r="I10734" s="87"/>
      <c r="J10734" s="88"/>
      <c r="K10734" s="88"/>
      <c r="L10734" s="89"/>
      <c r="M10734" s="89"/>
      <c r="O10734" s="105"/>
      <c r="P10734" s="105"/>
      <c r="R10734" s="106"/>
      <c r="S10734" s="127"/>
      <c r="T10734" s="107"/>
    </row>
    <row r="10735" spans="1:20" x14ac:dyDescent="0.3">
      <c r="A10735" s="101"/>
      <c r="B10735" s="102"/>
      <c r="C10735" s="87"/>
      <c r="D10735" s="103"/>
      <c r="F10735" s="101"/>
      <c r="G10735" s="104"/>
      <c r="H10735" s="86" t="e">
        <f>IF(I10735="fora",0%,G10735/QUÓRUM!$C$6)</f>
        <v>#DIV/0!</v>
      </c>
      <c r="I10735" s="87"/>
      <c r="J10735" s="88"/>
      <c r="K10735" s="88"/>
      <c r="L10735" s="89"/>
      <c r="M10735" s="89"/>
      <c r="O10735" s="105"/>
      <c r="P10735" s="105"/>
      <c r="R10735" s="106"/>
      <c r="S10735" s="127"/>
      <c r="T10735" s="107"/>
    </row>
    <row r="10736" spans="1:20" x14ac:dyDescent="0.3">
      <c r="A10736" s="101"/>
      <c r="B10736" s="102"/>
      <c r="C10736" s="87"/>
      <c r="D10736" s="103"/>
      <c r="F10736" s="101"/>
      <c r="G10736" s="104"/>
      <c r="H10736" s="86" t="e">
        <f>IF(I10736="fora",0%,G10736/QUÓRUM!$C$6)</f>
        <v>#DIV/0!</v>
      </c>
      <c r="I10736" s="87"/>
      <c r="J10736" s="88"/>
      <c r="K10736" s="88"/>
      <c r="L10736" s="89"/>
      <c r="M10736" s="89"/>
      <c r="O10736" s="105"/>
      <c r="P10736" s="105"/>
      <c r="R10736" s="106"/>
      <c r="S10736" s="127"/>
      <c r="T10736" s="107"/>
    </row>
    <row r="10737" spans="1:20" x14ac:dyDescent="0.3">
      <c r="A10737" s="101"/>
      <c r="B10737" s="102"/>
      <c r="C10737" s="87"/>
      <c r="D10737" s="103"/>
      <c r="F10737" s="101"/>
      <c r="G10737" s="104"/>
      <c r="H10737" s="86" t="e">
        <f>IF(I10737="fora",0%,G10737/QUÓRUM!$C$6)</f>
        <v>#DIV/0!</v>
      </c>
      <c r="I10737" s="87"/>
      <c r="J10737" s="88"/>
      <c r="K10737" s="88"/>
      <c r="L10737" s="89"/>
      <c r="M10737" s="89"/>
      <c r="O10737" s="105"/>
      <c r="P10737" s="105"/>
      <c r="R10737" s="106"/>
      <c r="S10737" s="127"/>
      <c r="T10737" s="107"/>
    </row>
    <row r="10738" spans="1:20" x14ac:dyDescent="0.3">
      <c r="A10738" s="101"/>
      <c r="B10738" s="102"/>
      <c r="C10738" s="87"/>
      <c r="D10738" s="103"/>
      <c r="F10738" s="101"/>
      <c r="G10738" s="104"/>
      <c r="H10738" s="86" t="e">
        <f>IF(I10738="fora",0%,G10738/QUÓRUM!$C$6)</f>
        <v>#DIV/0!</v>
      </c>
      <c r="I10738" s="87"/>
      <c r="J10738" s="88"/>
      <c r="K10738" s="88"/>
      <c r="L10738" s="89"/>
      <c r="M10738" s="89"/>
      <c r="O10738" s="105"/>
      <c r="P10738" s="105"/>
      <c r="R10738" s="106"/>
      <c r="S10738" s="127"/>
      <c r="T10738" s="107"/>
    </row>
    <row r="10739" spans="1:20" x14ac:dyDescent="0.3">
      <c r="A10739" s="101"/>
      <c r="B10739" s="102"/>
      <c r="C10739" s="87"/>
      <c r="D10739" s="103"/>
      <c r="F10739" s="101"/>
      <c r="G10739" s="104"/>
      <c r="H10739" s="86" t="e">
        <f>IF(I10739="fora",0%,G10739/QUÓRUM!$C$6)</f>
        <v>#DIV/0!</v>
      </c>
      <c r="I10739" s="87"/>
      <c r="J10739" s="88"/>
      <c r="K10739" s="88"/>
      <c r="L10739" s="89"/>
      <c r="M10739" s="89"/>
      <c r="O10739" s="105"/>
      <c r="P10739" s="105"/>
      <c r="R10739" s="106"/>
      <c r="S10739" s="127"/>
      <c r="T10739" s="107"/>
    </row>
    <row r="10740" spans="1:20" x14ac:dyDescent="0.3">
      <c r="A10740" s="101"/>
      <c r="B10740" s="102"/>
      <c r="C10740" s="87"/>
      <c r="D10740" s="103"/>
      <c r="F10740" s="101"/>
      <c r="G10740" s="104"/>
      <c r="H10740" s="86" t="e">
        <f>IF(I10740="fora",0%,G10740/QUÓRUM!$C$6)</f>
        <v>#DIV/0!</v>
      </c>
      <c r="I10740" s="87"/>
      <c r="J10740" s="88"/>
      <c r="K10740" s="88"/>
      <c r="L10740" s="89"/>
      <c r="M10740" s="89"/>
      <c r="O10740" s="105"/>
      <c r="P10740" s="105"/>
      <c r="R10740" s="106"/>
      <c r="S10740" s="127"/>
      <c r="T10740" s="107"/>
    </row>
    <row r="10741" spans="1:20" x14ac:dyDescent="0.3">
      <c r="A10741" s="101"/>
      <c r="B10741" s="102"/>
      <c r="C10741" s="87"/>
      <c r="D10741" s="103"/>
      <c r="F10741" s="101"/>
      <c r="G10741" s="104"/>
      <c r="H10741" s="86" t="e">
        <f>IF(I10741="fora",0%,G10741/QUÓRUM!$C$6)</f>
        <v>#DIV/0!</v>
      </c>
      <c r="I10741" s="87"/>
      <c r="J10741" s="88"/>
      <c r="K10741" s="88"/>
      <c r="L10741" s="89"/>
      <c r="M10741" s="89"/>
      <c r="O10741" s="105"/>
      <c r="P10741" s="105"/>
      <c r="R10741" s="106"/>
      <c r="S10741" s="127"/>
      <c r="T10741" s="107"/>
    </row>
    <row r="10742" spans="1:20" x14ac:dyDescent="0.3">
      <c r="A10742" s="101"/>
      <c r="B10742" s="102"/>
      <c r="C10742" s="87"/>
      <c r="D10742" s="103"/>
      <c r="F10742" s="101"/>
      <c r="G10742" s="104"/>
      <c r="H10742" s="86" t="e">
        <f>IF(I10742="fora",0%,G10742/QUÓRUM!$C$6)</f>
        <v>#DIV/0!</v>
      </c>
      <c r="I10742" s="87"/>
      <c r="J10742" s="88"/>
      <c r="K10742" s="88"/>
      <c r="L10742" s="89"/>
      <c r="M10742" s="89"/>
      <c r="O10742" s="105"/>
      <c r="P10742" s="105"/>
      <c r="R10742" s="106"/>
      <c r="S10742" s="127"/>
      <c r="T10742" s="107"/>
    </row>
    <row r="10743" spans="1:20" x14ac:dyDescent="0.3">
      <c r="A10743" s="101"/>
      <c r="B10743" s="102"/>
      <c r="C10743" s="87"/>
      <c r="D10743" s="103"/>
      <c r="F10743" s="101"/>
      <c r="G10743" s="104"/>
      <c r="H10743" s="86" t="e">
        <f>IF(I10743="fora",0%,G10743/QUÓRUM!$C$6)</f>
        <v>#DIV/0!</v>
      </c>
      <c r="I10743" s="87"/>
      <c r="J10743" s="88"/>
      <c r="K10743" s="88"/>
      <c r="L10743" s="89"/>
      <c r="M10743" s="89"/>
      <c r="O10743" s="105"/>
      <c r="P10743" s="105"/>
      <c r="R10743" s="106"/>
      <c r="S10743" s="127"/>
      <c r="T10743" s="107"/>
    </row>
    <row r="10744" spans="1:20" x14ac:dyDescent="0.3">
      <c r="A10744" s="101"/>
      <c r="B10744" s="102"/>
      <c r="C10744" s="87"/>
      <c r="D10744" s="103"/>
      <c r="F10744" s="101"/>
      <c r="G10744" s="104"/>
      <c r="H10744" s="86" t="e">
        <f>IF(I10744="fora",0%,G10744/QUÓRUM!$C$6)</f>
        <v>#DIV/0!</v>
      </c>
      <c r="I10744" s="87"/>
      <c r="J10744" s="88"/>
      <c r="K10744" s="88"/>
      <c r="L10744" s="89"/>
      <c r="M10744" s="89"/>
      <c r="O10744" s="105"/>
      <c r="P10744" s="105"/>
      <c r="R10744" s="106"/>
      <c r="S10744" s="127"/>
      <c r="T10744" s="107"/>
    </row>
    <row r="10745" spans="1:20" x14ac:dyDescent="0.3">
      <c r="A10745" s="101"/>
      <c r="B10745" s="102"/>
      <c r="C10745" s="87"/>
      <c r="D10745" s="103"/>
      <c r="F10745" s="101"/>
      <c r="G10745" s="104"/>
      <c r="H10745" s="86" t="e">
        <f>IF(I10745="fora",0%,G10745/QUÓRUM!$C$6)</f>
        <v>#DIV/0!</v>
      </c>
      <c r="I10745" s="87"/>
      <c r="J10745" s="88"/>
      <c r="K10745" s="88"/>
      <c r="L10745" s="89"/>
      <c r="M10745" s="89"/>
      <c r="O10745" s="105"/>
      <c r="P10745" s="105"/>
      <c r="R10745" s="106"/>
      <c r="S10745" s="127"/>
      <c r="T10745" s="107"/>
    </row>
    <row r="10746" spans="1:20" x14ac:dyDescent="0.3">
      <c r="A10746" s="101"/>
      <c r="B10746" s="102"/>
      <c r="C10746" s="87"/>
      <c r="D10746" s="103"/>
      <c r="F10746" s="101"/>
      <c r="G10746" s="104"/>
      <c r="H10746" s="86" t="e">
        <f>IF(I10746="fora",0%,G10746/QUÓRUM!$C$6)</f>
        <v>#DIV/0!</v>
      </c>
      <c r="I10746" s="87"/>
      <c r="J10746" s="88"/>
      <c r="K10746" s="88"/>
      <c r="L10746" s="89"/>
      <c r="M10746" s="89"/>
      <c r="O10746" s="105"/>
      <c r="P10746" s="105"/>
      <c r="R10746" s="106"/>
      <c r="S10746" s="127"/>
      <c r="T10746" s="107"/>
    </row>
    <row r="10747" spans="1:20" x14ac:dyDescent="0.3">
      <c r="A10747" s="101"/>
      <c r="B10747" s="102"/>
      <c r="C10747" s="87"/>
      <c r="D10747" s="103"/>
      <c r="F10747" s="101"/>
      <c r="G10747" s="104"/>
      <c r="H10747" s="86" t="e">
        <f>IF(I10747="fora",0%,G10747/QUÓRUM!$C$6)</f>
        <v>#DIV/0!</v>
      </c>
      <c r="I10747" s="87"/>
      <c r="J10747" s="88"/>
      <c r="K10747" s="88"/>
      <c r="L10747" s="89"/>
      <c r="M10747" s="89"/>
      <c r="O10747" s="105"/>
      <c r="P10747" s="105"/>
      <c r="R10747" s="106"/>
      <c r="S10747" s="127"/>
      <c r="T10747" s="107"/>
    </row>
    <row r="10748" spans="1:20" x14ac:dyDescent="0.3">
      <c r="A10748" s="101"/>
      <c r="B10748" s="102"/>
      <c r="C10748" s="87"/>
      <c r="D10748" s="103"/>
      <c r="F10748" s="101"/>
      <c r="G10748" s="104"/>
      <c r="H10748" s="86" t="e">
        <f>IF(I10748="fora",0%,G10748/QUÓRUM!$C$6)</f>
        <v>#DIV/0!</v>
      </c>
      <c r="I10748" s="87"/>
      <c r="J10748" s="88"/>
      <c r="K10748" s="88"/>
      <c r="L10748" s="89"/>
      <c r="M10748" s="89"/>
      <c r="O10748" s="105"/>
      <c r="P10748" s="105"/>
      <c r="R10748" s="106"/>
      <c r="S10748" s="127"/>
      <c r="T10748" s="107"/>
    </row>
    <row r="10749" spans="1:20" x14ac:dyDescent="0.3">
      <c r="A10749" s="101"/>
      <c r="B10749" s="102"/>
      <c r="C10749" s="87"/>
      <c r="D10749" s="103"/>
      <c r="F10749" s="101"/>
      <c r="G10749" s="104"/>
      <c r="H10749" s="86" t="e">
        <f>IF(I10749="fora",0%,G10749/QUÓRUM!$C$6)</f>
        <v>#DIV/0!</v>
      </c>
      <c r="I10749" s="87"/>
      <c r="J10749" s="88"/>
      <c r="K10749" s="88"/>
      <c r="L10749" s="89"/>
      <c r="M10749" s="89"/>
      <c r="O10749" s="105"/>
      <c r="P10749" s="105"/>
      <c r="R10749" s="106"/>
      <c r="S10749" s="127"/>
      <c r="T10749" s="107"/>
    </row>
    <row r="10750" spans="1:20" x14ac:dyDescent="0.3">
      <c r="A10750" s="101"/>
      <c r="B10750" s="102"/>
      <c r="C10750" s="87"/>
      <c r="D10750" s="103"/>
      <c r="F10750" s="101"/>
      <c r="G10750" s="104"/>
      <c r="H10750" s="86" t="e">
        <f>IF(I10750="fora",0%,G10750/QUÓRUM!$C$6)</f>
        <v>#DIV/0!</v>
      </c>
      <c r="I10750" s="87"/>
      <c r="J10750" s="88"/>
      <c r="K10750" s="88"/>
      <c r="L10750" s="89"/>
      <c r="M10750" s="89"/>
      <c r="O10750" s="105"/>
      <c r="P10750" s="105"/>
      <c r="R10750" s="106"/>
      <c r="S10750" s="127"/>
      <c r="T10750" s="107"/>
    </row>
    <row r="10751" spans="1:20" x14ac:dyDescent="0.3">
      <c r="A10751" s="101"/>
      <c r="B10751" s="102"/>
      <c r="C10751" s="87"/>
      <c r="D10751" s="103"/>
      <c r="F10751" s="101"/>
      <c r="G10751" s="104"/>
      <c r="H10751" s="86" t="e">
        <f>IF(I10751="fora",0%,G10751/QUÓRUM!$C$6)</f>
        <v>#DIV/0!</v>
      </c>
      <c r="I10751" s="87"/>
      <c r="J10751" s="88"/>
      <c r="K10751" s="88"/>
      <c r="L10751" s="89"/>
      <c r="M10751" s="89"/>
      <c r="O10751" s="105"/>
      <c r="P10751" s="105"/>
      <c r="R10751" s="106"/>
      <c r="S10751" s="127"/>
      <c r="T10751" s="107"/>
    </row>
    <row r="10752" spans="1:20" x14ac:dyDescent="0.3">
      <c r="A10752" s="101"/>
      <c r="B10752" s="102"/>
      <c r="C10752" s="87"/>
      <c r="D10752" s="103"/>
      <c r="F10752" s="101"/>
      <c r="G10752" s="104"/>
      <c r="H10752" s="86" t="e">
        <f>IF(I10752="fora",0%,G10752/QUÓRUM!$C$6)</f>
        <v>#DIV/0!</v>
      </c>
      <c r="I10752" s="87"/>
      <c r="J10752" s="88"/>
      <c r="K10752" s="88"/>
      <c r="L10752" s="89"/>
      <c r="M10752" s="89"/>
      <c r="O10752" s="105"/>
      <c r="P10752" s="105"/>
      <c r="R10752" s="106"/>
      <c r="S10752" s="127"/>
      <c r="T10752" s="107"/>
    </row>
    <row r="10753" spans="1:20" x14ac:dyDescent="0.3">
      <c r="A10753" s="101"/>
      <c r="B10753" s="102"/>
      <c r="C10753" s="87"/>
      <c r="D10753" s="103"/>
      <c r="F10753" s="101"/>
      <c r="G10753" s="104"/>
      <c r="H10753" s="86" t="e">
        <f>IF(I10753="fora",0%,G10753/QUÓRUM!$C$6)</f>
        <v>#DIV/0!</v>
      </c>
      <c r="I10753" s="87"/>
      <c r="J10753" s="88"/>
      <c r="K10753" s="88"/>
      <c r="L10753" s="89"/>
      <c r="M10753" s="89"/>
      <c r="O10753" s="105"/>
      <c r="P10753" s="105"/>
      <c r="R10753" s="106"/>
      <c r="S10753" s="127"/>
      <c r="T10753" s="107"/>
    </row>
    <row r="10754" spans="1:20" x14ac:dyDescent="0.3">
      <c r="A10754" s="101"/>
      <c r="B10754" s="102"/>
      <c r="C10754" s="87"/>
      <c r="D10754" s="103"/>
      <c r="F10754" s="101"/>
      <c r="G10754" s="104"/>
      <c r="H10754" s="86" t="e">
        <f>IF(I10754="fora",0%,G10754/QUÓRUM!$C$6)</f>
        <v>#DIV/0!</v>
      </c>
      <c r="I10754" s="87"/>
      <c r="J10754" s="88"/>
      <c r="K10754" s="88"/>
      <c r="L10754" s="89"/>
      <c r="M10754" s="89"/>
      <c r="O10754" s="105"/>
      <c r="P10754" s="105"/>
      <c r="R10754" s="106"/>
      <c r="S10754" s="127"/>
      <c r="T10754" s="107"/>
    </row>
    <row r="10755" spans="1:20" x14ac:dyDescent="0.3">
      <c r="A10755" s="101"/>
      <c r="B10755" s="102"/>
      <c r="C10755" s="87"/>
      <c r="D10755" s="103"/>
      <c r="F10755" s="101"/>
      <c r="G10755" s="104"/>
      <c r="H10755" s="86" t="e">
        <f>IF(I10755="fora",0%,G10755/QUÓRUM!$C$6)</f>
        <v>#DIV/0!</v>
      </c>
      <c r="I10755" s="87"/>
      <c r="J10755" s="88"/>
      <c r="K10755" s="88"/>
      <c r="L10755" s="89"/>
      <c r="M10755" s="89"/>
      <c r="O10755" s="105"/>
      <c r="P10755" s="105"/>
      <c r="R10755" s="106"/>
      <c r="S10755" s="127"/>
      <c r="T10755" s="107"/>
    </row>
    <row r="10756" spans="1:20" x14ac:dyDescent="0.3">
      <c r="A10756" s="101"/>
      <c r="B10756" s="102"/>
      <c r="C10756" s="87"/>
      <c r="D10756" s="103"/>
      <c r="F10756" s="101"/>
      <c r="G10756" s="104"/>
      <c r="H10756" s="86" t="e">
        <f>IF(I10756="fora",0%,G10756/QUÓRUM!$C$6)</f>
        <v>#DIV/0!</v>
      </c>
      <c r="I10756" s="87"/>
      <c r="J10756" s="88"/>
      <c r="K10756" s="88"/>
      <c r="L10756" s="89"/>
      <c r="M10756" s="89"/>
      <c r="O10756" s="105"/>
      <c r="P10756" s="105"/>
      <c r="R10756" s="106"/>
      <c r="S10756" s="127"/>
      <c r="T10756" s="107"/>
    </row>
    <row r="10757" spans="1:20" x14ac:dyDescent="0.3">
      <c r="A10757" s="101"/>
      <c r="B10757" s="102"/>
      <c r="C10757" s="87"/>
      <c r="D10757" s="103"/>
      <c r="F10757" s="101"/>
      <c r="G10757" s="104"/>
      <c r="H10757" s="86" t="e">
        <f>IF(I10757="fora",0%,G10757/QUÓRUM!$C$6)</f>
        <v>#DIV/0!</v>
      </c>
      <c r="I10757" s="87"/>
      <c r="J10757" s="88"/>
      <c r="K10757" s="88"/>
      <c r="L10757" s="89"/>
      <c r="M10757" s="89"/>
      <c r="O10757" s="105"/>
      <c r="P10757" s="105"/>
      <c r="R10757" s="106"/>
      <c r="S10757" s="127"/>
      <c r="T10757" s="107"/>
    </row>
    <row r="10758" spans="1:20" x14ac:dyDescent="0.3">
      <c r="A10758" s="101"/>
      <c r="B10758" s="102"/>
      <c r="C10758" s="87"/>
      <c r="D10758" s="103"/>
      <c r="F10758" s="101"/>
      <c r="G10758" s="104"/>
      <c r="H10758" s="86" t="e">
        <f>IF(I10758="fora",0%,G10758/QUÓRUM!$C$6)</f>
        <v>#DIV/0!</v>
      </c>
      <c r="I10758" s="87"/>
      <c r="J10758" s="88"/>
      <c r="K10758" s="88"/>
      <c r="L10758" s="89"/>
      <c r="M10758" s="89"/>
      <c r="O10758" s="105"/>
      <c r="P10758" s="105"/>
      <c r="R10758" s="106"/>
      <c r="S10758" s="127"/>
      <c r="T10758" s="107"/>
    </row>
    <row r="10759" spans="1:20" x14ac:dyDescent="0.3">
      <c r="A10759" s="101"/>
      <c r="B10759" s="102"/>
      <c r="C10759" s="87"/>
      <c r="D10759" s="103"/>
      <c r="F10759" s="101"/>
      <c r="G10759" s="104"/>
      <c r="H10759" s="86" t="e">
        <f>IF(I10759="fora",0%,G10759/QUÓRUM!$C$6)</f>
        <v>#DIV/0!</v>
      </c>
      <c r="I10759" s="87"/>
      <c r="J10759" s="88"/>
      <c r="K10759" s="88"/>
      <c r="L10759" s="89"/>
      <c r="M10759" s="89"/>
      <c r="O10759" s="105"/>
      <c r="P10759" s="105"/>
      <c r="R10759" s="106"/>
      <c r="S10759" s="127"/>
      <c r="T10759" s="107"/>
    </row>
    <row r="10760" spans="1:20" x14ac:dyDescent="0.3">
      <c r="A10760" s="101"/>
      <c r="B10760" s="102"/>
      <c r="C10760" s="87"/>
      <c r="D10760" s="103"/>
      <c r="F10760" s="101"/>
      <c r="G10760" s="104"/>
      <c r="H10760" s="86" t="e">
        <f>IF(I10760="fora",0%,G10760/QUÓRUM!$C$6)</f>
        <v>#DIV/0!</v>
      </c>
      <c r="I10760" s="87"/>
      <c r="J10760" s="88"/>
      <c r="K10760" s="88"/>
      <c r="L10760" s="89"/>
      <c r="M10760" s="89"/>
      <c r="O10760" s="105"/>
      <c r="P10760" s="105"/>
      <c r="R10760" s="106"/>
      <c r="S10760" s="127"/>
      <c r="T10760" s="107"/>
    </row>
    <row r="10761" spans="1:20" x14ac:dyDescent="0.3">
      <c r="A10761" s="101"/>
      <c r="B10761" s="102"/>
      <c r="C10761" s="87"/>
      <c r="D10761" s="103"/>
      <c r="F10761" s="101"/>
      <c r="G10761" s="104"/>
      <c r="H10761" s="86" t="e">
        <f>IF(I10761="fora",0%,G10761/QUÓRUM!$C$6)</f>
        <v>#DIV/0!</v>
      </c>
      <c r="I10761" s="87"/>
      <c r="J10761" s="88"/>
      <c r="K10761" s="88"/>
      <c r="L10761" s="89"/>
      <c r="M10761" s="89"/>
      <c r="O10761" s="105"/>
      <c r="P10761" s="105"/>
      <c r="R10761" s="106"/>
      <c r="S10761" s="127"/>
      <c r="T10761" s="107"/>
    </row>
    <row r="10762" spans="1:20" x14ac:dyDescent="0.3">
      <c r="A10762" s="101"/>
      <c r="B10762" s="102"/>
      <c r="C10762" s="87"/>
      <c r="D10762" s="103"/>
      <c r="F10762" s="101"/>
      <c r="G10762" s="104"/>
      <c r="H10762" s="86" t="e">
        <f>IF(I10762="fora",0%,G10762/QUÓRUM!$C$6)</f>
        <v>#DIV/0!</v>
      </c>
      <c r="I10762" s="87"/>
      <c r="J10762" s="88"/>
      <c r="K10762" s="88"/>
      <c r="L10762" s="89"/>
      <c r="M10762" s="89"/>
      <c r="O10762" s="105"/>
      <c r="P10762" s="105"/>
      <c r="R10762" s="106"/>
      <c r="S10762" s="127"/>
      <c r="T10762" s="107"/>
    </row>
    <row r="10763" spans="1:20" x14ac:dyDescent="0.3">
      <c r="A10763" s="101"/>
      <c r="B10763" s="102"/>
      <c r="C10763" s="87"/>
      <c r="D10763" s="103"/>
      <c r="F10763" s="101"/>
      <c r="G10763" s="104"/>
      <c r="H10763" s="86" t="e">
        <f>IF(I10763="fora",0%,G10763/QUÓRUM!$C$6)</f>
        <v>#DIV/0!</v>
      </c>
      <c r="I10763" s="87"/>
      <c r="J10763" s="88"/>
      <c r="K10763" s="88"/>
      <c r="L10763" s="89"/>
      <c r="M10763" s="89"/>
      <c r="O10763" s="105"/>
      <c r="P10763" s="105"/>
      <c r="R10763" s="106"/>
      <c r="S10763" s="127"/>
      <c r="T10763" s="107"/>
    </row>
    <row r="10764" spans="1:20" x14ac:dyDescent="0.3">
      <c r="A10764" s="101"/>
      <c r="B10764" s="102"/>
      <c r="C10764" s="87"/>
      <c r="D10764" s="103"/>
      <c r="F10764" s="101"/>
      <c r="G10764" s="104"/>
      <c r="H10764" s="86" t="e">
        <f>IF(I10764="fora",0%,G10764/QUÓRUM!$C$6)</f>
        <v>#DIV/0!</v>
      </c>
      <c r="I10764" s="87"/>
      <c r="J10764" s="88"/>
      <c r="K10764" s="88"/>
      <c r="L10764" s="89"/>
      <c r="M10764" s="89"/>
      <c r="O10764" s="105"/>
      <c r="P10764" s="105"/>
      <c r="R10764" s="106"/>
      <c r="S10764" s="127"/>
      <c r="T10764" s="107"/>
    </row>
    <row r="10765" spans="1:20" x14ac:dyDescent="0.3">
      <c r="A10765" s="101"/>
      <c r="B10765" s="102"/>
      <c r="C10765" s="87"/>
      <c r="D10765" s="103"/>
      <c r="F10765" s="101"/>
      <c r="G10765" s="104"/>
      <c r="H10765" s="86" t="e">
        <f>IF(I10765="fora",0%,G10765/QUÓRUM!$C$6)</f>
        <v>#DIV/0!</v>
      </c>
      <c r="I10765" s="87"/>
      <c r="J10765" s="88"/>
      <c r="K10765" s="88"/>
      <c r="L10765" s="89"/>
      <c r="M10765" s="89"/>
      <c r="O10765" s="105"/>
      <c r="P10765" s="105"/>
      <c r="R10765" s="106"/>
      <c r="S10765" s="127"/>
      <c r="T10765" s="107"/>
    </row>
    <row r="10766" spans="1:20" x14ac:dyDescent="0.3">
      <c r="A10766" s="101"/>
      <c r="B10766" s="102"/>
      <c r="C10766" s="87"/>
      <c r="D10766" s="103"/>
      <c r="F10766" s="101"/>
      <c r="G10766" s="104"/>
      <c r="H10766" s="86" t="e">
        <f>IF(I10766="fora",0%,G10766/QUÓRUM!$C$6)</f>
        <v>#DIV/0!</v>
      </c>
      <c r="I10766" s="87"/>
      <c r="J10766" s="88"/>
      <c r="K10766" s="88"/>
      <c r="L10766" s="89"/>
      <c r="M10766" s="89"/>
      <c r="O10766" s="105"/>
      <c r="P10766" s="105"/>
      <c r="R10766" s="106"/>
      <c r="S10766" s="127"/>
      <c r="T10766" s="107"/>
    </row>
    <row r="10767" spans="1:20" x14ac:dyDescent="0.3">
      <c r="A10767" s="101"/>
      <c r="B10767" s="102"/>
      <c r="C10767" s="87"/>
      <c r="D10767" s="103"/>
      <c r="F10767" s="101"/>
      <c r="G10767" s="104"/>
      <c r="H10767" s="86" t="e">
        <f>IF(I10767="fora",0%,G10767/QUÓRUM!$C$6)</f>
        <v>#DIV/0!</v>
      </c>
      <c r="I10767" s="87"/>
      <c r="J10767" s="88"/>
      <c r="K10767" s="88"/>
      <c r="L10767" s="89"/>
      <c r="M10767" s="89"/>
      <c r="O10767" s="105"/>
      <c r="P10767" s="105"/>
      <c r="R10767" s="106"/>
      <c r="S10767" s="127"/>
      <c r="T10767" s="107"/>
    </row>
    <row r="10768" spans="1:20" x14ac:dyDescent="0.3">
      <c r="A10768" s="101"/>
      <c r="B10768" s="102"/>
      <c r="C10768" s="87"/>
      <c r="D10768" s="103"/>
      <c r="F10768" s="101"/>
      <c r="G10768" s="104"/>
      <c r="H10768" s="86" t="e">
        <f>IF(I10768="fora",0%,G10768/QUÓRUM!$C$6)</f>
        <v>#DIV/0!</v>
      </c>
      <c r="I10768" s="87"/>
      <c r="J10768" s="88"/>
      <c r="K10768" s="88"/>
      <c r="L10768" s="89"/>
      <c r="M10768" s="89"/>
      <c r="O10768" s="105"/>
      <c r="P10768" s="105"/>
      <c r="R10768" s="106"/>
      <c r="S10768" s="127"/>
      <c r="T10768" s="107"/>
    </row>
    <row r="10769" spans="1:20" x14ac:dyDescent="0.3">
      <c r="A10769" s="101"/>
      <c r="B10769" s="102"/>
      <c r="C10769" s="87"/>
      <c r="D10769" s="103"/>
      <c r="F10769" s="101"/>
      <c r="G10769" s="104"/>
      <c r="H10769" s="86" t="e">
        <f>IF(I10769="fora",0%,G10769/QUÓRUM!$C$6)</f>
        <v>#DIV/0!</v>
      </c>
      <c r="I10769" s="87"/>
      <c r="J10769" s="88"/>
      <c r="K10769" s="88"/>
      <c r="L10769" s="89"/>
      <c r="M10769" s="89"/>
      <c r="O10769" s="105"/>
      <c r="P10769" s="105"/>
      <c r="R10769" s="106"/>
      <c r="S10769" s="127"/>
      <c r="T10769" s="107"/>
    </row>
    <row r="10770" spans="1:20" x14ac:dyDescent="0.3">
      <c r="A10770" s="101"/>
      <c r="B10770" s="102"/>
      <c r="C10770" s="87"/>
      <c r="D10770" s="103"/>
      <c r="F10770" s="101"/>
      <c r="G10770" s="109"/>
      <c r="H10770" s="86" t="e">
        <f>IF(I10770="fora",0%,G10770/QUÓRUM!$C$6)</f>
        <v>#DIV/0!</v>
      </c>
      <c r="I10770" s="87"/>
      <c r="J10770" s="88"/>
      <c r="K10770" s="88"/>
      <c r="L10770" s="89"/>
      <c r="M10770" s="89"/>
      <c r="O10770" s="105"/>
      <c r="P10770" s="105"/>
      <c r="R10770" s="106"/>
      <c r="S10770" s="127"/>
      <c r="T10770" s="107"/>
    </row>
    <row r="10771" spans="1:20" x14ac:dyDescent="0.3">
      <c r="A10771" s="101"/>
      <c r="B10771" s="102"/>
      <c r="C10771" s="87"/>
      <c r="D10771" s="103"/>
      <c r="F10771" s="101"/>
      <c r="G10771" s="104"/>
      <c r="H10771" s="86" t="e">
        <f>IF(I10771="fora",0%,G10771/QUÓRUM!$C$6)</f>
        <v>#DIV/0!</v>
      </c>
      <c r="I10771" s="87"/>
      <c r="J10771" s="88"/>
      <c r="K10771" s="88"/>
      <c r="L10771" s="89"/>
      <c r="M10771" s="89"/>
      <c r="O10771" s="105"/>
      <c r="P10771" s="105"/>
      <c r="R10771" s="106"/>
      <c r="S10771" s="127"/>
      <c r="T10771" s="107"/>
    </row>
    <row r="10772" spans="1:20" x14ac:dyDescent="0.3">
      <c r="A10772" s="101"/>
      <c r="B10772" s="102"/>
      <c r="C10772" s="87"/>
      <c r="D10772" s="103"/>
      <c r="F10772" s="101"/>
      <c r="G10772" s="104"/>
      <c r="H10772" s="86" t="e">
        <f>IF(I10772="fora",0%,G10772/QUÓRUM!$C$6)</f>
        <v>#DIV/0!</v>
      </c>
      <c r="I10772" s="87"/>
      <c r="J10772" s="88"/>
      <c r="K10772" s="88"/>
      <c r="L10772" s="89"/>
      <c r="M10772" s="89"/>
      <c r="O10772" s="105"/>
      <c r="P10772" s="105"/>
      <c r="R10772" s="106"/>
      <c r="S10772" s="127"/>
      <c r="T10772" s="107"/>
    </row>
    <row r="10773" spans="1:20" x14ac:dyDescent="0.3">
      <c r="A10773" s="101"/>
      <c r="B10773" s="102"/>
      <c r="C10773" s="87"/>
      <c r="D10773" s="103"/>
      <c r="F10773" s="101"/>
      <c r="G10773" s="104"/>
      <c r="H10773" s="86" t="e">
        <f>IF(I10773="fora",0%,G10773/QUÓRUM!$C$6)</f>
        <v>#DIV/0!</v>
      </c>
      <c r="I10773" s="87"/>
      <c r="J10773" s="88"/>
      <c r="K10773" s="88"/>
      <c r="L10773" s="89"/>
      <c r="M10773" s="89"/>
      <c r="O10773" s="105"/>
      <c r="P10773" s="105"/>
      <c r="R10773" s="106"/>
      <c r="S10773" s="127"/>
      <c r="T10773" s="107"/>
    </row>
    <row r="10774" spans="1:20" x14ac:dyDescent="0.3">
      <c r="A10774" s="101"/>
      <c r="B10774" s="102"/>
      <c r="C10774" s="87"/>
      <c r="D10774" s="103"/>
      <c r="F10774" s="101"/>
      <c r="G10774" s="104"/>
      <c r="H10774" s="86" t="e">
        <f>IF(I10774="fora",0%,G10774/QUÓRUM!$C$6)</f>
        <v>#DIV/0!</v>
      </c>
      <c r="I10774" s="87"/>
      <c r="J10774" s="88"/>
      <c r="K10774" s="88"/>
      <c r="L10774" s="89"/>
      <c r="M10774" s="89"/>
      <c r="O10774" s="105"/>
      <c r="P10774" s="105"/>
      <c r="R10774" s="106"/>
      <c r="S10774" s="127"/>
      <c r="T10774" s="107"/>
    </row>
    <row r="10775" spans="1:20" x14ac:dyDescent="0.3">
      <c r="A10775" s="101"/>
      <c r="B10775" s="102"/>
      <c r="C10775" s="87"/>
      <c r="D10775" s="103"/>
      <c r="F10775" s="101"/>
      <c r="G10775" s="104"/>
      <c r="H10775" s="86" t="e">
        <f>IF(I10775="fora",0%,G10775/QUÓRUM!$C$6)</f>
        <v>#DIV/0!</v>
      </c>
      <c r="I10775" s="87"/>
      <c r="J10775" s="88"/>
      <c r="K10775" s="88"/>
      <c r="L10775" s="89"/>
      <c r="M10775" s="89"/>
      <c r="O10775" s="105"/>
      <c r="P10775" s="105"/>
      <c r="R10775" s="106"/>
      <c r="S10775" s="127"/>
      <c r="T10775" s="107"/>
    </row>
    <row r="10776" spans="1:20" x14ac:dyDescent="0.3">
      <c r="A10776" s="101"/>
      <c r="B10776" s="102"/>
      <c r="C10776" s="87"/>
      <c r="D10776" s="103"/>
      <c r="F10776" s="101"/>
      <c r="G10776" s="104"/>
      <c r="H10776" s="86" t="e">
        <f>IF(I10776="fora",0%,G10776/QUÓRUM!$C$6)</f>
        <v>#DIV/0!</v>
      </c>
      <c r="I10776" s="87"/>
      <c r="J10776" s="88"/>
      <c r="K10776" s="88"/>
      <c r="L10776" s="89"/>
      <c r="M10776" s="89"/>
      <c r="O10776" s="105"/>
      <c r="P10776" s="105"/>
      <c r="R10776" s="106"/>
      <c r="S10776" s="127"/>
      <c r="T10776" s="107"/>
    </row>
    <row r="10777" spans="1:20" x14ac:dyDescent="0.3">
      <c r="A10777" s="101"/>
      <c r="B10777" s="102"/>
      <c r="C10777" s="87"/>
      <c r="D10777" s="103"/>
      <c r="F10777" s="101"/>
      <c r="G10777" s="104"/>
      <c r="H10777" s="86" t="e">
        <f>IF(I10777="fora",0%,G10777/QUÓRUM!$C$6)</f>
        <v>#DIV/0!</v>
      </c>
      <c r="I10777" s="87"/>
      <c r="J10777" s="88"/>
      <c r="K10777" s="88"/>
      <c r="L10777" s="89"/>
      <c r="M10777" s="89"/>
      <c r="O10777" s="105"/>
      <c r="P10777" s="105"/>
      <c r="R10777" s="106"/>
      <c r="S10777" s="127"/>
      <c r="T10777" s="107"/>
    </row>
    <row r="10778" spans="1:20" x14ac:dyDescent="0.3">
      <c r="A10778" s="101"/>
      <c r="B10778" s="102"/>
      <c r="C10778" s="87"/>
      <c r="D10778" s="103"/>
      <c r="F10778" s="101"/>
      <c r="G10778" s="104"/>
      <c r="H10778" s="86" t="e">
        <f>IF(I10778="fora",0%,G10778/QUÓRUM!$C$6)</f>
        <v>#DIV/0!</v>
      </c>
      <c r="I10778" s="87"/>
      <c r="J10778" s="88"/>
      <c r="K10778" s="88"/>
      <c r="L10778" s="89"/>
      <c r="M10778" s="89"/>
      <c r="O10778" s="105"/>
      <c r="P10778" s="105"/>
      <c r="R10778" s="106"/>
      <c r="S10778" s="127"/>
      <c r="T10778" s="107"/>
    </row>
    <row r="10779" spans="1:20" x14ac:dyDescent="0.3">
      <c r="A10779" s="101"/>
      <c r="B10779" s="102"/>
      <c r="C10779" s="87"/>
      <c r="D10779" s="103"/>
      <c r="F10779" s="101"/>
      <c r="G10779" s="104"/>
      <c r="H10779" s="86" t="e">
        <f>IF(I10779="fora",0%,G10779/QUÓRUM!$C$6)</f>
        <v>#DIV/0!</v>
      </c>
      <c r="I10779" s="87"/>
      <c r="J10779" s="88"/>
      <c r="K10779" s="88"/>
      <c r="L10779" s="89"/>
      <c r="M10779" s="89"/>
      <c r="O10779" s="105"/>
      <c r="P10779" s="105"/>
      <c r="R10779" s="106"/>
      <c r="S10779" s="127"/>
      <c r="T10779" s="107"/>
    </row>
    <row r="10780" spans="1:20" x14ac:dyDescent="0.3">
      <c r="A10780" s="101"/>
      <c r="B10780" s="102"/>
      <c r="C10780" s="87"/>
      <c r="D10780" s="103"/>
      <c r="F10780" s="101"/>
      <c r="G10780" s="104"/>
      <c r="H10780" s="86" t="e">
        <f>IF(I10780="fora",0%,G10780/QUÓRUM!$C$6)</f>
        <v>#DIV/0!</v>
      </c>
      <c r="I10780" s="87"/>
      <c r="J10780" s="88"/>
      <c r="K10780" s="88"/>
      <c r="L10780" s="89"/>
      <c r="M10780" s="89"/>
      <c r="O10780" s="105"/>
      <c r="P10780" s="105"/>
      <c r="R10780" s="106"/>
      <c r="S10780" s="127"/>
      <c r="T10780" s="107"/>
    </row>
    <row r="10781" spans="1:20" x14ac:dyDescent="0.3">
      <c r="A10781" s="101"/>
      <c r="B10781" s="102"/>
      <c r="C10781" s="87"/>
      <c r="D10781" s="103"/>
      <c r="F10781" s="101"/>
      <c r="G10781" s="104"/>
      <c r="H10781" s="86" t="e">
        <f>IF(I10781="fora",0%,G10781/QUÓRUM!$C$6)</f>
        <v>#DIV/0!</v>
      </c>
      <c r="I10781" s="87"/>
      <c r="J10781" s="88"/>
      <c r="K10781" s="88"/>
      <c r="L10781" s="89"/>
      <c r="M10781" s="89"/>
      <c r="O10781" s="105"/>
      <c r="P10781" s="105"/>
      <c r="R10781" s="106"/>
      <c r="S10781" s="127"/>
      <c r="T10781" s="107"/>
    </row>
    <row r="10782" spans="1:20" x14ac:dyDescent="0.3">
      <c r="A10782" s="101"/>
      <c r="B10782" s="102"/>
      <c r="C10782" s="87"/>
      <c r="D10782" s="103"/>
      <c r="F10782" s="101"/>
      <c r="G10782" s="104"/>
      <c r="H10782" s="86" t="e">
        <f>IF(I10782="fora",0%,G10782/QUÓRUM!$C$6)</f>
        <v>#DIV/0!</v>
      </c>
      <c r="I10782" s="87"/>
      <c r="J10782" s="88"/>
      <c r="K10782" s="88"/>
      <c r="L10782" s="89"/>
      <c r="M10782" s="89"/>
      <c r="O10782" s="105"/>
      <c r="P10782" s="105"/>
      <c r="R10782" s="106"/>
      <c r="S10782" s="127"/>
      <c r="T10782" s="107"/>
    </row>
    <row r="10783" spans="1:20" x14ac:dyDescent="0.3">
      <c r="A10783" s="101"/>
      <c r="B10783" s="102"/>
      <c r="C10783" s="87"/>
      <c r="D10783" s="103"/>
      <c r="F10783" s="101"/>
      <c r="G10783" s="104"/>
      <c r="H10783" s="86" t="e">
        <f>IF(I10783="fora",0%,G10783/QUÓRUM!$C$6)</f>
        <v>#DIV/0!</v>
      </c>
      <c r="I10783" s="87"/>
      <c r="J10783" s="88"/>
      <c r="K10783" s="88"/>
      <c r="L10783" s="89"/>
      <c r="M10783" s="89"/>
      <c r="O10783" s="105"/>
      <c r="P10783" s="105"/>
      <c r="R10783" s="106"/>
      <c r="S10783" s="127"/>
      <c r="T10783" s="107"/>
    </row>
    <row r="10784" spans="1:20" x14ac:dyDescent="0.3">
      <c r="A10784" s="101"/>
      <c r="B10784" s="102"/>
      <c r="C10784" s="87"/>
      <c r="D10784" s="103"/>
      <c r="F10784" s="101"/>
      <c r="G10784" s="104"/>
      <c r="H10784" s="86" t="e">
        <f>IF(I10784="fora",0%,G10784/QUÓRUM!$C$6)</f>
        <v>#DIV/0!</v>
      </c>
      <c r="I10784" s="87"/>
      <c r="J10784" s="88"/>
      <c r="K10784" s="88"/>
      <c r="L10784" s="89"/>
      <c r="M10784" s="89"/>
      <c r="O10784" s="105"/>
      <c r="P10784" s="105"/>
      <c r="R10784" s="106"/>
      <c r="S10784" s="127"/>
      <c r="T10784" s="107"/>
    </row>
    <row r="10785" spans="1:20" x14ac:dyDescent="0.3">
      <c r="A10785" s="101"/>
      <c r="B10785" s="102"/>
      <c r="C10785" s="87"/>
      <c r="D10785" s="103"/>
      <c r="F10785" s="101"/>
      <c r="G10785" s="104"/>
      <c r="H10785" s="86" t="e">
        <f>IF(I10785="fora",0%,G10785/QUÓRUM!$C$6)</f>
        <v>#DIV/0!</v>
      </c>
      <c r="I10785" s="87"/>
      <c r="J10785" s="88"/>
      <c r="K10785" s="88"/>
      <c r="L10785" s="89"/>
      <c r="M10785" s="89"/>
      <c r="O10785" s="105"/>
      <c r="P10785" s="105"/>
      <c r="R10785" s="106"/>
      <c r="S10785" s="127"/>
      <c r="T10785" s="107"/>
    </row>
    <row r="10786" spans="1:20" x14ac:dyDescent="0.3">
      <c r="A10786" s="101"/>
      <c r="B10786" s="102"/>
      <c r="C10786" s="87"/>
      <c r="D10786" s="103"/>
      <c r="F10786" s="101"/>
      <c r="G10786" s="104"/>
      <c r="H10786" s="86" t="e">
        <f>IF(I10786="fora",0%,G10786/QUÓRUM!$C$6)</f>
        <v>#DIV/0!</v>
      </c>
      <c r="I10786" s="87"/>
      <c r="J10786" s="88"/>
      <c r="K10786" s="88"/>
      <c r="L10786" s="89"/>
      <c r="M10786" s="89"/>
      <c r="O10786" s="105"/>
      <c r="P10786" s="105"/>
      <c r="R10786" s="106"/>
      <c r="S10786" s="127"/>
      <c r="T10786" s="107"/>
    </row>
    <row r="10787" spans="1:20" x14ac:dyDescent="0.3">
      <c r="A10787" s="101"/>
      <c r="B10787" s="102"/>
      <c r="C10787" s="87"/>
      <c r="D10787" s="103"/>
      <c r="F10787" s="101"/>
      <c r="G10787" s="104"/>
      <c r="H10787" s="86" t="e">
        <f>IF(I10787="fora",0%,G10787/QUÓRUM!$C$6)</f>
        <v>#DIV/0!</v>
      </c>
      <c r="I10787" s="87"/>
      <c r="J10787" s="88"/>
      <c r="K10787" s="88"/>
      <c r="L10787" s="89"/>
      <c r="M10787" s="89"/>
      <c r="O10787" s="105"/>
      <c r="P10787" s="105"/>
      <c r="R10787" s="106"/>
      <c r="S10787" s="127"/>
      <c r="T10787" s="107"/>
    </row>
    <row r="10788" spans="1:20" x14ac:dyDescent="0.3">
      <c r="A10788" s="101"/>
      <c r="B10788" s="102"/>
      <c r="C10788" s="87"/>
      <c r="D10788" s="103"/>
      <c r="F10788" s="101"/>
      <c r="G10788" s="104"/>
      <c r="H10788" s="86" t="e">
        <f>IF(I10788="fora",0%,G10788/QUÓRUM!$C$6)</f>
        <v>#DIV/0!</v>
      </c>
      <c r="I10788" s="87"/>
      <c r="J10788" s="88"/>
      <c r="K10788" s="88"/>
      <c r="L10788" s="89"/>
      <c r="M10788" s="89"/>
      <c r="O10788" s="105"/>
      <c r="P10788" s="105"/>
      <c r="R10788" s="106"/>
      <c r="S10788" s="127"/>
      <c r="T10788" s="107"/>
    </row>
    <row r="10789" spans="1:20" x14ac:dyDescent="0.3">
      <c r="A10789" s="101"/>
      <c r="B10789" s="102"/>
      <c r="C10789" s="87"/>
      <c r="D10789" s="103"/>
      <c r="F10789" s="101"/>
      <c r="G10789" s="104"/>
      <c r="H10789" s="86" t="e">
        <f>IF(I10789="fora",0%,G10789/QUÓRUM!$C$6)</f>
        <v>#DIV/0!</v>
      </c>
      <c r="I10789" s="87"/>
      <c r="J10789" s="88"/>
      <c r="K10789" s="88"/>
      <c r="L10789" s="89"/>
      <c r="M10789" s="89"/>
      <c r="O10789" s="105"/>
      <c r="P10789" s="105"/>
      <c r="R10789" s="106"/>
      <c r="S10789" s="127"/>
      <c r="T10789" s="107"/>
    </row>
    <row r="10790" spans="1:20" x14ac:dyDescent="0.3">
      <c r="A10790" s="101"/>
      <c r="B10790" s="102"/>
      <c r="C10790" s="87"/>
      <c r="D10790" s="103"/>
      <c r="F10790" s="101"/>
      <c r="G10790" s="104"/>
      <c r="H10790" s="86" t="e">
        <f>IF(I10790="fora",0%,G10790/QUÓRUM!$C$6)</f>
        <v>#DIV/0!</v>
      </c>
      <c r="I10790" s="87"/>
      <c r="J10790" s="88"/>
      <c r="K10790" s="88"/>
      <c r="L10790" s="89"/>
      <c r="M10790" s="89"/>
      <c r="O10790" s="105"/>
      <c r="P10790" s="105"/>
      <c r="R10790" s="106"/>
      <c r="S10790" s="127"/>
      <c r="T10790" s="107"/>
    </row>
    <row r="10791" spans="1:20" x14ac:dyDescent="0.3">
      <c r="A10791" s="101"/>
      <c r="B10791" s="102"/>
      <c r="C10791" s="87"/>
      <c r="D10791" s="103"/>
      <c r="F10791" s="101"/>
      <c r="G10791" s="104"/>
      <c r="H10791" s="86" t="e">
        <f>IF(I10791="fora",0%,G10791/QUÓRUM!$C$6)</f>
        <v>#DIV/0!</v>
      </c>
      <c r="I10791" s="87"/>
      <c r="J10791" s="88"/>
      <c r="K10791" s="88"/>
      <c r="L10791" s="89"/>
      <c r="M10791" s="89"/>
      <c r="O10791" s="105"/>
      <c r="P10791" s="105"/>
      <c r="R10791" s="106"/>
      <c r="S10791" s="127"/>
      <c r="T10791" s="107"/>
    </row>
    <row r="10792" spans="1:20" x14ac:dyDescent="0.3">
      <c r="A10792" s="101"/>
      <c r="B10792" s="102"/>
      <c r="C10792" s="87"/>
      <c r="D10792" s="103"/>
      <c r="F10792" s="101"/>
      <c r="G10792" s="104"/>
      <c r="H10792" s="86" t="e">
        <f>IF(I10792="fora",0%,G10792/QUÓRUM!$C$6)</f>
        <v>#DIV/0!</v>
      </c>
      <c r="I10792" s="87"/>
      <c r="J10792" s="88"/>
      <c r="K10792" s="88"/>
      <c r="L10792" s="89"/>
      <c r="M10792" s="89"/>
      <c r="O10792" s="105"/>
      <c r="P10792" s="105"/>
      <c r="R10792" s="106"/>
      <c r="S10792" s="127"/>
      <c r="T10792" s="107"/>
    </row>
    <row r="10793" spans="1:20" x14ac:dyDescent="0.3">
      <c r="A10793" s="101"/>
      <c r="B10793" s="102"/>
      <c r="C10793" s="87"/>
      <c r="D10793" s="103"/>
      <c r="F10793" s="101"/>
      <c r="G10793" s="104"/>
      <c r="H10793" s="86" t="e">
        <f>IF(I10793="fora",0%,G10793/QUÓRUM!$C$6)</f>
        <v>#DIV/0!</v>
      </c>
      <c r="I10793" s="87"/>
      <c r="J10793" s="88"/>
      <c r="K10793" s="88"/>
      <c r="L10793" s="89"/>
      <c r="M10793" s="89"/>
      <c r="O10793" s="105"/>
      <c r="P10793" s="105"/>
      <c r="R10793" s="106"/>
      <c r="S10793" s="127"/>
      <c r="T10793" s="107"/>
    </row>
    <row r="10794" spans="1:20" x14ac:dyDescent="0.3">
      <c r="A10794" s="101"/>
      <c r="B10794" s="102"/>
      <c r="C10794" s="87"/>
      <c r="D10794" s="103"/>
      <c r="F10794" s="101"/>
      <c r="G10794" s="104"/>
      <c r="H10794" s="86" t="e">
        <f>IF(I10794="fora",0%,G10794/QUÓRUM!$C$6)</f>
        <v>#DIV/0!</v>
      </c>
      <c r="I10794" s="87"/>
      <c r="J10794" s="88"/>
      <c r="K10794" s="88"/>
      <c r="L10794" s="89"/>
      <c r="M10794" s="89"/>
      <c r="O10794" s="105"/>
      <c r="P10794" s="105"/>
      <c r="R10794" s="106"/>
      <c r="S10794" s="127"/>
      <c r="T10794" s="107"/>
    </row>
    <row r="10795" spans="1:20" x14ac:dyDescent="0.3">
      <c r="A10795" s="101"/>
      <c r="B10795" s="102"/>
      <c r="C10795" s="87"/>
      <c r="D10795" s="103"/>
      <c r="F10795" s="101"/>
      <c r="G10795" s="104"/>
      <c r="H10795" s="86" t="e">
        <f>IF(I10795="fora",0%,G10795/QUÓRUM!$C$6)</f>
        <v>#DIV/0!</v>
      </c>
      <c r="I10795" s="87"/>
      <c r="J10795" s="88"/>
      <c r="K10795" s="88"/>
      <c r="L10795" s="89"/>
      <c r="M10795" s="89"/>
      <c r="O10795" s="105"/>
      <c r="P10795" s="105"/>
      <c r="R10795" s="106"/>
      <c r="S10795" s="127"/>
      <c r="T10795" s="107"/>
    </row>
    <row r="10796" spans="1:20" x14ac:dyDescent="0.3">
      <c r="A10796" s="101"/>
      <c r="B10796" s="102"/>
      <c r="C10796" s="87"/>
      <c r="D10796" s="103"/>
      <c r="F10796" s="101"/>
      <c r="G10796" s="104"/>
      <c r="H10796" s="86" t="e">
        <f>IF(I10796="fora",0%,G10796/QUÓRUM!$C$6)</f>
        <v>#DIV/0!</v>
      </c>
      <c r="I10796" s="87"/>
      <c r="J10796" s="88"/>
      <c r="K10796" s="88"/>
      <c r="L10796" s="89"/>
      <c r="M10796" s="89"/>
      <c r="O10796" s="105"/>
      <c r="P10796" s="105"/>
      <c r="R10796" s="106"/>
      <c r="S10796" s="127"/>
      <c r="T10796" s="107"/>
    </row>
    <row r="10797" spans="1:20" x14ac:dyDescent="0.3">
      <c r="A10797" s="101"/>
      <c r="B10797" s="102"/>
      <c r="C10797" s="87"/>
      <c r="D10797" s="103"/>
      <c r="F10797" s="101"/>
      <c r="G10797" s="104"/>
      <c r="H10797" s="86" t="e">
        <f>IF(I10797="fora",0%,G10797/QUÓRUM!$C$6)</f>
        <v>#DIV/0!</v>
      </c>
      <c r="I10797" s="87"/>
      <c r="J10797" s="88"/>
      <c r="K10797" s="88"/>
      <c r="L10797" s="89"/>
      <c r="M10797" s="89"/>
      <c r="O10797" s="105"/>
      <c r="P10797" s="105"/>
      <c r="R10797" s="106"/>
      <c r="S10797" s="127"/>
      <c r="T10797" s="107"/>
    </row>
    <row r="10798" spans="1:20" x14ac:dyDescent="0.3">
      <c r="A10798" s="101"/>
      <c r="B10798" s="102"/>
      <c r="C10798" s="87"/>
      <c r="D10798" s="103"/>
      <c r="F10798" s="101"/>
      <c r="G10798" s="104"/>
      <c r="H10798" s="86" t="e">
        <f>IF(I10798="fora",0%,G10798/QUÓRUM!$C$6)</f>
        <v>#DIV/0!</v>
      </c>
      <c r="I10798" s="87"/>
      <c r="J10798" s="88"/>
      <c r="K10798" s="88"/>
      <c r="L10798" s="89"/>
      <c r="M10798" s="89"/>
      <c r="O10798" s="105"/>
      <c r="P10798" s="105"/>
      <c r="R10798" s="106"/>
      <c r="S10798" s="127"/>
      <c r="T10798" s="107"/>
    </row>
    <row r="10799" spans="1:20" x14ac:dyDescent="0.3">
      <c r="A10799" s="101"/>
      <c r="B10799" s="102"/>
      <c r="C10799" s="87"/>
      <c r="D10799" s="103"/>
      <c r="F10799" s="101"/>
      <c r="G10799" s="104"/>
      <c r="H10799" s="86" t="e">
        <f>IF(I10799="fora",0%,G10799/QUÓRUM!$C$6)</f>
        <v>#DIV/0!</v>
      </c>
      <c r="I10799" s="87"/>
      <c r="J10799" s="88"/>
      <c r="K10799" s="88"/>
      <c r="L10799" s="89"/>
      <c r="M10799" s="89"/>
      <c r="O10799" s="105"/>
      <c r="P10799" s="105"/>
      <c r="R10799" s="106"/>
      <c r="S10799" s="127"/>
      <c r="T10799" s="107"/>
    </row>
    <row r="10800" spans="1:20" x14ac:dyDescent="0.3">
      <c r="A10800" s="101"/>
      <c r="B10800" s="102"/>
      <c r="C10800" s="87"/>
      <c r="D10800" s="103"/>
      <c r="F10800" s="101"/>
      <c r="G10800" s="104"/>
      <c r="H10800" s="86" t="e">
        <f>IF(I10800="fora",0%,G10800/QUÓRUM!$C$6)</f>
        <v>#DIV/0!</v>
      </c>
      <c r="I10800" s="87"/>
      <c r="J10800" s="88"/>
      <c r="K10800" s="88"/>
      <c r="L10800" s="89"/>
      <c r="M10800" s="89"/>
      <c r="O10800" s="105"/>
      <c r="P10800" s="105"/>
      <c r="R10800" s="106"/>
      <c r="S10800" s="127"/>
      <c r="T10800" s="107"/>
    </row>
    <row r="10801" spans="1:20" x14ac:dyDescent="0.3">
      <c r="A10801" s="101"/>
      <c r="B10801" s="102"/>
      <c r="C10801" s="87"/>
      <c r="D10801" s="103"/>
      <c r="F10801" s="101"/>
      <c r="G10801" s="104"/>
      <c r="H10801" s="86" t="e">
        <f>IF(I10801="fora",0%,G10801/QUÓRUM!$C$6)</f>
        <v>#DIV/0!</v>
      </c>
      <c r="I10801" s="87"/>
      <c r="J10801" s="88"/>
      <c r="K10801" s="88"/>
      <c r="L10801" s="89"/>
      <c r="M10801" s="89"/>
      <c r="O10801" s="105"/>
      <c r="P10801" s="105"/>
      <c r="R10801" s="106"/>
      <c r="S10801" s="127"/>
      <c r="T10801" s="107"/>
    </row>
    <row r="10802" spans="1:20" x14ac:dyDescent="0.3">
      <c r="A10802" s="101"/>
      <c r="B10802" s="102"/>
      <c r="C10802" s="87"/>
      <c r="D10802" s="103"/>
      <c r="F10802" s="101"/>
      <c r="G10802" s="104"/>
      <c r="H10802" s="86" t="e">
        <f>IF(I10802="fora",0%,G10802/QUÓRUM!$C$6)</f>
        <v>#DIV/0!</v>
      </c>
      <c r="I10802" s="87"/>
      <c r="J10802" s="88"/>
      <c r="K10802" s="88"/>
      <c r="L10802" s="89"/>
      <c r="M10802" s="89"/>
      <c r="O10802" s="105"/>
      <c r="P10802" s="105"/>
      <c r="R10802" s="106"/>
      <c r="S10802" s="127"/>
      <c r="T10802" s="107"/>
    </row>
    <row r="10803" spans="1:20" x14ac:dyDescent="0.3">
      <c r="A10803" s="101"/>
      <c r="B10803" s="102"/>
      <c r="C10803" s="87"/>
      <c r="D10803" s="103"/>
      <c r="F10803" s="101"/>
      <c r="G10803" s="104"/>
      <c r="H10803" s="86" t="e">
        <f>IF(I10803="fora",0%,G10803/QUÓRUM!$C$6)</f>
        <v>#DIV/0!</v>
      </c>
      <c r="I10803" s="87"/>
      <c r="J10803" s="88"/>
      <c r="K10803" s="88"/>
      <c r="L10803" s="89"/>
      <c r="M10803" s="89"/>
      <c r="O10803" s="105"/>
      <c r="P10803" s="105"/>
      <c r="R10803" s="106"/>
      <c r="S10803" s="127"/>
      <c r="T10803" s="107"/>
    </row>
    <row r="10804" spans="1:20" x14ac:dyDescent="0.3">
      <c r="A10804" s="101"/>
      <c r="B10804" s="102"/>
      <c r="C10804" s="87"/>
      <c r="D10804" s="103"/>
      <c r="F10804" s="101"/>
      <c r="G10804" s="104"/>
      <c r="H10804" s="86" t="e">
        <f>IF(I10804="fora",0%,G10804/QUÓRUM!$C$6)</f>
        <v>#DIV/0!</v>
      </c>
      <c r="I10804" s="87"/>
      <c r="J10804" s="88"/>
      <c r="K10804" s="88"/>
      <c r="L10804" s="89"/>
      <c r="M10804" s="89"/>
      <c r="O10804" s="105"/>
      <c r="P10804" s="105"/>
      <c r="R10804" s="106"/>
      <c r="S10804" s="127"/>
      <c r="T10804" s="107"/>
    </row>
    <row r="10805" spans="1:20" x14ac:dyDescent="0.3">
      <c r="A10805" s="101"/>
      <c r="B10805" s="102"/>
      <c r="C10805" s="87"/>
      <c r="D10805" s="103"/>
      <c r="F10805" s="101"/>
      <c r="G10805" s="104"/>
      <c r="H10805" s="86" t="e">
        <f>IF(I10805="fora",0%,G10805/QUÓRUM!$C$6)</f>
        <v>#DIV/0!</v>
      </c>
      <c r="I10805" s="87"/>
      <c r="J10805" s="88"/>
      <c r="K10805" s="88"/>
      <c r="L10805" s="89"/>
      <c r="M10805" s="89"/>
      <c r="O10805" s="105"/>
      <c r="P10805" s="105"/>
      <c r="R10805" s="106"/>
      <c r="S10805" s="127"/>
      <c r="T10805" s="107"/>
    </row>
    <row r="10806" spans="1:20" x14ac:dyDescent="0.3">
      <c r="A10806" s="101"/>
      <c r="B10806" s="102"/>
      <c r="C10806" s="87"/>
      <c r="D10806" s="103"/>
      <c r="F10806" s="101"/>
      <c r="G10806" s="109"/>
      <c r="H10806" s="86" t="e">
        <f>IF(I10806="fora",0%,G10806/QUÓRUM!$C$6)</f>
        <v>#DIV/0!</v>
      </c>
      <c r="I10806" s="87"/>
      <c r="J10806" s="88"/>
      <c r="K10806" s="88"/>
      <c r="L10806" s="89"/>
      <c r="M10806" s="89"/>
      <c r="O10806" s="105"/>
      <c r="P10806" s="105"/>
      <c r="R10806" s="106"/>
      <c r="S10806" s="127"/>
      <c r="T10806" s="107"/>
    </row>
    <row r="10807" spans="1:20" x14ac:dyDescent="0.3">
      <c r="A10807" s="101"/>
      <c r="B10807" s="102"/>
      <c r="C10807" s="87"/>
      <c r="D10807" s="103"/>
      <c r="F10807" s="101"/>
      <c r="G10807" s="104"/>
      <c r="H10807" s="86" t="e">
        <f>IF(I10807="fora",0%,G10807/QUÓRUM!$C$6)</f>
        <v>#DIV/0!</v>
      </c>
      <c r="I10807" s="87"/>
      <c r="J10807" s="88"/>
      <c r="K10807" s="88"/>
      <c r="L10807" s="89"/>
      <c r="M10807" s="89"/>
      <c r="O10807" s="105"/>
      <c r="P10807" s="105"/>
      <c r="R10807" s="106"/>
      <c r="S10807" s="127"/>
      <c r="T10807" s="107"/>
    </row>
    <row r="10808" spans="1:20" x14ac:dyDescent="0.3">
      <c r="A10808" s="101"/>
      <c r="B10808" s="102"/>
      <c r="C10808" s="87"/>
      <c r="D10808" s="103"/>
      <c r="F10808" s="101"/>
      <c r="G10808" s="104"/>
      <c r="H10808" s="86" t="e">
        <f>IF(I10808="fora",0%,G10808/QUÓRUM!$C$6)</f>
        <v>#DIV/0!</v>
      </c>
      <c r="I10808" s="87"/>
      <c r="J10808" s="88"/>
      <c r="K10808" s="88"/>
      <c r="L10808" s="89"/>
      <c r="M10808" s="89"/>
      <c r="O10808" s="105"/>
      <c r="P10808" s="105"/>
      <c r="R10808" s="106"/>
      <c r="S10808" s="127"/>
      <c r="T10808" s="107"/>
    </row>
    <row r="10809" spans="1:20" x14ac:dyDescent="0.3">
      <c r="A10809" s="101"/>
      <c r="B10809" s="102"/>
      <c r="C10809" s="87"/>
      <c r="D10809" s="103"/>
      <c r="F10809" s="101"/>
      <c r="G10809" s="104"/>
      <c r="H10809" s="86" t="e">
        <f>IF(I10809="fora",0%,G10809/QUÓRUM!$C$6)</f>
        <v>#DIV/0!</v>
      </c>
      <c r="I10809" s="87"/>
      <c r="J10809" s="88"/>
      <c r="K10809" s="88"/>
      <c r="L10809" s="89"/>
      <c r="M10809" s="89"/>
      <c r="O10809" s="105"/>
      <c r="P10809" s="105"/>
      <c r="R10809" s="106"/>
      <c r="S10809" s="127"/>
      <c r="T10809" s="107"/>
    </row>
    <row r="10810" spans="1:20" x14ac:dyDescent="0.3">
      <c r="A10810" s="101"/>
      <c r="B10810" s="102"/>
      <c r="C10810" s="87"/>
      <c r="D10810" s="103"/>
      <c r="F10810" s="101"/>
      <c r="G10810" s="109"/>
      <c r="H10810" s="86" t="e">
        <f>IF(I10810="fora",0%,G10810/QUÓRUM!$C$6)</f>
        <v>#DIV/0!</v>
      </c>
      <c r="I10810" s="87"/>
      <c r="J10810" s="88"/>
      <c r="K10810" s="88"/>
      <c r="L10810" s="89"/>
      <c r="M10810" s="89"/>
      <c r="O10810" s="105"/>
      <c r="P10810" s="105"/>
      <c r="R10810" s="106"/>
      <c r="S10810" s="127"/>
      <c r="T10810" s="107"/>
    </row>
    <row r="10811" spans="1:20" x14ac:dyDescent="0.3">
      <c r="A10811" s="101"/>
      <c r="B10811" s="102"/>
      <c r="C10811" s="87"/>
      <c r="D10811" s="103"/>
      <c r="F10811" s="101"/>
      <c r="G10811" s="104"/>
      <c r="H10811" s="86" t="e">
        <f>IF(I10811="fora",0%,G10811/QUÓRUM!$C$6)</f>
        <v>#DIV/0!</v>
      </c>
      <c r="I10811" s="87"/>
      <c r="J10811" s="88"/>
      <c r="K10811" s="88"/>
      <c r="L10811" s="89"/>
      <c r="M10811" s="89"/>
      <c r="O10811" s="105"/>
      <c r="P10811" s="105"/>
      <c r="R10811" s="106"/>
      <c r="S10811" s="127"/>
      <c r="T10811" s="107"/>
    </row>
    <row r="10812" spans="1:20" x14ac:dyDescent="0.3">
      <c r="A10812" s="101"/>
      <c r="B10812" s="102"/>
      <c r="C10812" s="87"/>
      <c r="D10812" s="103"/>
      <c r="F10812" s="101"/>
      <c r="G10812" s="104"/>
      <c r="H10812" s="86" t="e">
        <f>IF(I10812="fora",0%,G10812/QUÓRUM!$C$6)</f>
        <v>#DIV/0!</v>
      </c>
      <c r="I10812" s="87"/>
      <c r="J10812" s="88"/>
      <c r="K10812" s="88"/>
      <c r="L10812" s="89"/>
      <c r="M10812" s="89"/>
      <c r="O10812" s="105"/>
      <c r="P10812" s="105"/>
      <c r="R10812" s="106"/>
      <c r="S10812" s="127"/>
      <c r="T10812" s="107"/>
    </row>
    <row r="10813" spans="1:20" x14ac:dyDescent="0.3">
      <c r="A10813" s="101"/>
      <c r="B10813" s="102"/>
      <c r="C10813" s="87"/>
      <c r="D10813" s="103"/>
      <c r="F10813" s="101"/>
      <c r="G10813" s="104"/>
      <c r="H10813" s="86" t="e">
        <f>IF(I10813="fora",0%,G10813/QUÓRUM!$C$6)</f>
        <v>#DIV/0!</v>
      </c>
      <c r="I10813" s="87"/>
      <c r="J10813" s="88"/>
      <c r="K10813" s="88"/>
      <c r="L10813" s="89"/>
      <c r="M10813" s="89"/>
      <c r="O10813" s="105"/>
      <c r="P10813" s="105"/>
      <c r="R10813" s="106"/>
      <c r="S10813" s="127"/>
      <c r="T10813" s="107"/>
    </row>
    <row r="10814" spans="1:20" x14ac:dyDescent="0.3">
      <c r="A10814" s="101"/>
      <c r="B10814" s="102"/>
      <c r="C10814" s="87"/>
      <c r="D10814" s="103"/>
      <c r="F10814" s="101"/>
      <c r="G10814" s="104"/>
      <c r="H10814" s="86" t="e">
        <f>IF(I10814="fora",0%,G10814/QUÓRUM!$C$6)</f>
        <v>#DIV/0!</v>
      </c>
      <c r="I10814" s="87"/>
      <c r="J10814" s="88"/>
      <c r="K10814" s="88"/>
      <c r="L10814" s="89"/>
      <c r="M10814" s="89"/>
      <c r="O10814" s="105"/>
      <c r="P10814" s="105"/>
      <c r="R10814" s="106"/>
      <c r="S10814" s="127"/>
      <c r="T10814" s="107"/>
    </row>
    <row r="10815" spans="1:20" x14ac:dyDescent="0.3">
      <c r="A10815" s="101"/>
      <c r="B10815" s="102"/>
      <c r="C10815" s="87"/>
      <c r="D10815" s="103"/>
      <c r="F10815" s="101"/>
      <c r="G10815" s="104"/>
      <c r="H10815" s="86" t="e">
        <f>IF(I10815="fora",0%,G10815/QUÓRUM!$C$6)</f>
        <v>#DIV/0!</v>
      </c>
      <c r="I10815" s="87"/>
      <c r="J10815" s="88"/>
      <c r="K10815" s="88"/>
      <c r="L10815" s="89"/>
      <c r="M10815" s="89"/>
      <c r="O10815" s="105"/>
      <c r="P10815" s="105"/>
      <c r="R10815" s="106"/>
      <c r="S10815" s="127"/>
      <c r="T10815" s="107"/>
    </row>
    <row r="10816" spans="1:20" x14ac:dyDescent="0.3">
      <c r="A10816" s="101"/>
      <c r="B10816" s="102"/>
      <c r="C10816" s="87"/>
      <c r="D10816" s="103"/>
      <c r="F10816" s="101"/>
      <c r="G10816" s="104"/>
      <c r="H10816" s="86" t="e">
        <f>IF(I10816="fora",0%,G10816/QUÓRUM!$C$6)</f>
        <v>#DIV/0!</v>
      </c>
      <c r="I10816" s="87"/>
      <c r="J10816" s="88"/>
      <c r="K10816" s="88"/>
      <c r="L10816" s="89"/>
      <c r="M10816" s="89"/>
      <c r="O10816" s="105"/>
      <c r="P10816" s="105"/>
      <c r="R10816" s="106"/>
      <c r="S10816" s="127"/>
      <c r="T10816" s="107"/>
    </row>
    <row r="10817" spans="1:20" x14ac:dyDescent="0.3">
      <c r="A10817" s="101"/>
      <c r="B10817" s="102"/>
      <c r="C10817" s="87"/>
      <c r="D10817" s="103"/>
      <c r="F10817" s="101"/>
      <c r="G10817" s="104"/>
      <c r="H10817" s="86" t="e">
        <f>IF(I10817="fora",0%,G10817/QUÓRUM!$C$6)</f>
        <v>#DIV/0!</v>
      </c>
      <c r="I10817" s="87"/>
      <c r="J10817" s="88"/>
      <c r="K10817" s="88"/>
      <c r="L10817" s="89"/>
      <c r="M10817" s="89"/>
      <c r="O10817" s="105"/>
      <c r="P10817" s="105"/>
      <c r="R10817" s="106"/>
      <c r="S10817" s="127"/>
      <c r="T10817" s="107"/>
    </row>
    <row r="10818" spans="1:20" x14ac:dyDescent="0.3">
      <c r="A10818" s="101"/>
      <c r="B10818" s="102"/>
      <c r="C10818" s="87"/>
      <c r="D10818" s="103"/>
      <c r="F10818" s="101"/>
      <c r="G10818" s="104"/>
      <c r="H10818" s="86" t="e">
        <f>IF(I10818="fora",0%,G10818/QUÓRUM!$C$6)</f>
        <v>#DIV/0!</v>
      </c>
      <c r="I10818" s="87"/>
      <c r="J10818" s="88"/>
      <c r="K10818" s="88"/>
      <c r="L10818" s="89"/>
      <c r="M10818" s="89"/>
      <c r="O10818" s="105"/>
      <c r="P10818" s="105"/>
      <c r="R10818" s="106"/>
      <c r="S10818" s="127"/>
      <c r="T10818" s="107"/>
    </row>
    <row r="10819" spans="1:20" x14ac:dyDescent="0.3">
      <c r="A10819" s="101"/>
      <c r="B10819" s="102"/>
      <c r="C10819" s="87"/>
      <c r="D10819" s="103"/>
      <c r="F10819" s="101"/>
      <c r="G10819" s="104"/>
      <c r="H10819" s="86" t="e">
        <f>IF(I10819="fora",0%,G10819/QUÓRUM!$C$6)</f>
        <v>#DIV/0!</v>
      </c>
      <c r="I10819" s="87"/>
      <c r="J10819" s="88"/>
      <c r="K10819" s="88"/>
      <c r="L10819" s="89"/>
      <c r="M10819" s="89"/>
      <c r="O10819" s="105"/>
      <c r="P10819" s="105"/>
      <c r="R10819" s="106"/>
      <c r="S10819" s="127"/>
      <c r="T10819" s="107"/>
    </row>
    <row r="10820" spans="1:20" x14ac:dyDescent="0.3">
      <c r="A10820" s="101"/>
      <c r="B10820" s="102"/>
      <c r="C10820" s="87"/>
      <c r="D10820" s="103"/>
      <c r="F10820" s="101"/>
      <c r="G10820" s="104"/>
      <c r="H10820" s="86" t="e">
        <f>IF(I10820="fora",0%,G10820/QUÓRUM!$C$6)</f>
        <v>#DIV/0!</v>
      </c>
      <c r="I10820" s="87"/>
      <c r="J10820" s="88"/>
      <c r="K10820" s="88"/>
      <c r="L10820" s="89"/>
      <c r="M10820" s="89"/>
      <c r="O10820" s="105"/>
      <c r="P10820" s="105"/>
      <c r="R10820" s="106"/>
      <c r="S10820" s="127"/>
      <c r="T10820" s="107"/>
    </row>
    <row r="10821" spans="1:20" x14ac:dyDescent="0.3">
      <c r="A10821" s="101"/>
      <c r="B10821" s="102"/>
      <c r="C10821" s="87"/>
      <c r="D10821" s="103"/>
      <c r="F10821" s="101"/>
      <c r="G10821" s="104"/>
      <c r="H10821" s="86" t="e">
        <f>IF(I10821="fora",0%,G10821/QUÓRUM!$C$6)</f>
        <v>#DIV/0!</v>
      </c>
      <c r="I10821" s="87"/>
      <c r="J10821" s="88"/>
      <c r="K10821" s="88"/>
      <c r="L10821" s="89"/>
      <c r="M10821" s="89"/>
      <c r="O10821" s="105"/>
      <c r="P10821" s="105"/>
      <c r="R10821" s="106"/>
      <c r="S10821" s="127"/>
      <c r="T10821" s="107"/>
    </row>
    <row r="10822" spans="1:20" x14ac:dyDescent="0.3">
      <c r="A10822" s="101"/>
      <c r="B10822" s="102"/>
      <c r="C10822" s="87"/>
      <c r="D10822" s="103"/>
      <c r="F10822" s="101"/>
      <c r="G10822" s="104"/>
      <c r="H10822" s="86" t="e">
        <f>IF(I10822="fora",0%,G10822/QUÓRUM!$C$6)</f>
        <v>#DIV/0!</v>
      </c>
      <c r="I10822" s="87"/>
      <c r="J10822" s="88"/>
      <c r="K10822" s="88"/>
      <c r="L10822" s="89"/>
      <c r="M10822" s="89"/>
      <c r="O10822" s="105"/>
      <c r="P10822" s="105"/>
      <c r="R10822" s="106"/>
      <c r="S10822" s="127"/>
      <c r="T10822" s="107"/>
    </row>
    <row r="10823" spans="1:20" x14ac:dyDescent="0.3">
      <c r="A10823" s="101"/>
      <c r="B10823" s="102"/>
      <c r="C10823" s="87"/>
      <c r="D10823" s="103"/>
      <c r="F10823" s="101"/>
      <c r="G10823" s="104"/>
      <c r="H10823" s="86" t="e">
        <f>IF(I10823="fora",0%,G10823/QUÓRUM!$C$6)</f>
        <v>#DIV/0!</v>
      </c>
      <c r="I10823" s="87"/>
      <c r="J10823" s="88"/>
      <c r="K10823" s="88"/>
      <c r="L10823" s="89"/>
      <c r="M10823" s="89"/>
      <c r="O10823" s="105"/>
      <c r="P10823" s="105"/>
      <c r="R10823" s="106"/>
      <c r="S10823" s="127"/>
      <c r="T10823" s="107"/>
    </row>
    <row r="10824" spans="1:20" x14ac:dyDescent="0.3">
      <c r="A10824" s="101"/>
      <c r="B10824" s="102"/>
      <c r="C10824" s="87"/>
      <c r="D10824" s="103"/>
      <c r="F10824" s="101"/>
      <c r="G10824" s="104"/>
      <c r="H10824" s="86" t="e">
        <f>IF(I10824="fora",0%,G10824/QUÓRUM!$C$6)</f>
        <v>#DIV/0!</v>
      </c>
      <c r="I10824" s="87"/>
      <c r="J10824" s="88"/>
      <c r="K10824" s="88"/>
      <c r="L10824" s="89"/>
      <c r="M10824" s="89"/>
      <c r="O10824" s="105"/>
      <c r="P10824" s="105"/>
      <c r="R10824" s="106"/>
      <c r="S10824" s="127"/>
      <c r="T10824" s="107"/>
    </row>
    <row r="10825" spans="1:20" x14ac:dyDescent="0.3">
      <c r="A10825" s="101"/>
      <c r="B10825" s="102"/>
      <c r="C10825" s="87"/>
      <c r="D10825" s="103"/>
      <c r="F10825" s="101"/>
      <c r="G10825" s="104"/>
      <c r="H10825" s="86" t="e">
        <f>IF(I10825="fora",0%,G10825/QUÓRUM!$C$6)</f>
        <v>#DIV/0!</v>
      </c>
      <c r="I10825" s="87"/>
      <c r="J10825" s="88"/>
      <c r="K10825" s="88"/>
      <c r="L10825" s="89"/>
      <c r="M10825" s="89"/>
      <c r="O10825" s="105"/>
      <c r="P10825" s="105"/>
      <c r="R10825" s="106"/>
      <c r="S10825" s="127"/>
      <c r="T10825" s="107"/>
    </row>
    <row r="10826" spans="1:20" x14ac:dyDescent="0.3">
      <c r="A10826" s="101"/>
      <c r="B10826" s="102"/>
      <c r="C10826" s="87"/>
      <c r="D10826" s="103"/>
      <c r="F10826" s="101"/>
      <c r="G10826" s="104"/>
      <c r="H10826" s="86" t="e">
        <f>IF(I10826="fora",0%,G10826/QUÓRUM!$C$6)</f>
        <v>#DIV/0!</v>
      </c>
      <c r="I10826" s="87"/>
      <c r="J10826" s="88"/>
      <c r="K10826" s="88"/>
      <c r="L10826" s="89"/>
      <c r="M10826" s="89"/>
      <c r="O10826" s="105"/>
      <c r="P10826" s="105"/>
      <c r="R10826" s="106"/>
      <c r="S10826" s="127"/>
      <c r="T10826" s="107"/>
    </row>
    <row r="10827" spans="1:20" x14ac:dyDescent="0.3">
      <c r="A10827" s="101"/>
      <c r="B10827" s="102"/>
      <c r="C10827" s="87"/>
      <c r="D10827" s="103"/>
      <c r="F10827" s="101"/>
      <c r="G10827" s="104"/>
      <c r="H10827" s="86" t="e">
        <f>IF(I10827="fora",0%,G10827/QUÓRUM!$C$6)</f>
        <v>#DIV/0!</v>
      </c>
      <c r="I10827" s="87"/>
      <c r="J10827" s="88"/>
      <c r="K10827" s="88"/>
      <c r="L10827" s="89"/>
      <c r="M10827" s="89"/>
      <c r="O10827" s="105"/>
      <c r="P10827" s="105"/>
      <c r="R10827" s="106"/>
      <c r="S10827" s="127"/>
      <c r="T10827" s="107"/>
    </row>
    <row r="10828" spans="1:20" x14ac:dyDescent="0.3">
      <c r="A10828" s="101"/>
      <c r="B10828" s="102"/>
      <c r="C10828" s="87"/>
      <c r="D10828" s="103"/>
      <c r="F10828" s="101"/>
      <c r="G10828" s="104"/>
      <c r="H10828" s="86" t="e">
        <f>IF(I10828="fora",0%,G10828/QUÓRUM!$C$6)</f>
        <v>#DIV/0!</v>
      </c>
      <c r="I10828" s="87"/>
      <c r="J10828" s="88"/>
      <c r="K10828" s="88"/>
      <c r="L10828" s="89"/>
      <c r="M10828" s="89"/>
      <c r="O10828" s="105"/>
      <c r="P10828" s="105"/>
      <c r="R10828" s="106"/>
      <c r="S10828" s="127"/>
      <c r="T10828" s="107"/>
    </row>
    <row r="10829" spans="1:20" x14ac:dyDescent="0.3">
      <c r="A10829" s="101"/>
      <c r="B10829" s="102"/>
      <c r="C10829" s="87"/>
      <c r="D10829" s="103"/>
      <c r="F10829" s="101"/>
      <c r="G10829" s="104"/>
      <c r="H10829" s="86" t="e">
        <f>IF(I10829="fora",0%,G10829/QUÓRUM!$C$6)</f>
        <v>#DIV/0!</v>
      </c>
      <c r="I10829" s="87"/>
      <c r="J10829" s="88"/>
      <c r="K10829" s="88"/>
      <c r="L10829" s="89"/>
      <c r="M10829" s="89"/>
      <c r="O10829" s="105"/>
      <c r="P10829" s="105"/>
      <c r="R10829" s="106"/>
      <c r="S10829" s="127"/>
      <c r="T10829" s="107"/>
    </row>
    <row r="10830" spans="1:20" x14ac:dyDescent="0.3">
      <c r="A10830" s="101"/>
      <c r="B10830" s="102"/>
      <c r="C10830" s="87"/>
      <c r="D10830" s="103"/>
      <c r="F10830" s="101"/>
      <c r="G10830" s="104"/>
      <c r="H10830" s="86" t="e">
        <f>IF(I10830="fora",0%,G10830/QUÓRUM!$C$6)</f>
        <v>#DIV/0!</v>
      </c>
      <c r="I10830" s="87"/>
      <c r="J10830" s="88"/>
      <c r="K10830" s="88"/>
      <c r="L10830" s="89"/>
      <c r="M10830" s="89"/>
      <c r="O10830" s="105"/>
      <c r="P10830" s="105"/>
      <c r="R10830" s="106"/>
      <c r="S10830" s="127"/>
      <c r="T10830" s="107"/>
    </row>
    <row r="10831" spans="1:20" x14ac:dyDescent="0.3">
      <c r="A10831" s="101"/>
      <c r="B10831" s="102"/>
      <c r="C10831" s="87"/>
      <c r="D10831" s="103"/>
      <c r="F10831" s="101"/>
      <c r="G10831" s="104"/>
      <c r="H10831" s="86" t="e">
        <f>IF(I10831="fora",0%,G10831/QUÓRUM!$C$6)</f>
        <v>#DIV/0!</v>
      </c>
      <c r="I10831" s="87"/>
      <c r="J10831" s="88"/>
      <c r="K10831" s="88"/>
      <c r="L10831" s="89"/>
      <c r="M10831" s="89"/>
      <c r="O10831" s="105"/>
      <c r="P10831" s="105"/>
      <c r="R10831" s="106"/>
      <c r="S10831" s="127"/>
      <c r="T10831" s="107"/>
    </row>
    <row r="10832" spans="1:20" x14ac:dyDescent="0.3">
      <c r="A10832" s="101"/>
      <c r="B10832" s="102"/>
      <c r="C10832" s="87"/>
      <c r="D10832" s="103"/>
      <c r="F10832" s="101"/>
      <c r="G10832" s="104"/>
      <c r="H10832" s="86" t="e">
        <f>IF(I10832="fora",0%,G10832/QUÓRUM!$C$6)</f>
        <v>#DIV/0!</v>
      </c>
      <c r="I10832" s="87"/>
      <c r="J10832" s="88"/>
      <c r="K10832" s="88"/>
      <c r="L10832" s="89"/>
      <c r="M10832" s="89"/>
      <c r="O10832" s="105"/>
      <c r="P10832" s="105"/>
      <c r="R10832" s="106"/>
      <c r="S10832" s="127"/>
      <c r="T10832" s="107"/>
    </row>
    <row r="10833" spans="1:20" x14ac:dyDescent="0.3">
      <c r="A10833" s="101"/>
      <c r="B10833" s="102"/>
      <c r="C10833" s="87"/>
      <c r="D10833" s="103"/>
      <c r="F10833" s="101"/>
      <c r="G10833" s="104"/>
      <c r="H10833" s="86" t="e">
        <f>IF(I10833="fora",0%,G10833/QUÓRUM!$C$6)</f>
        <v>#DIV/0!</v>
      </c>
      <c r="I10833" s="87"/>
      <c r="J10833" s="88"/>
      <c r="K10833" s="88"/>
      <c r="L10833" s="89"/>
      <c r="M10833" s="89"/>
      <c r="O10833" s="105"/>
      <c r="P10833" s="105"/>
      <c r="R10833" s="106"/>
      <c r="S10833" s="127"/>
      <c r="T10833" s="107"/>
    </row>
    <row r="10834" spans="1:20" x14ac:dyDescent="0.3">
      <c r="A10834" s="101"/>
      <c r="B10834" s="102"/>
      <c r="C10834" s="87"/>
      <c r="D10834" s="103"/>
      <c r="F10834" s="101"/>
      <c r="G10834" s="104"/>
      <c r="H10834" s="86" t="e">
        <f>IF(I10834="fora",0%,G10834/QUÓRUM!$C$6)</f>
        <v>#DIV/0!</v>
      </c>
      <c r="I10834" s="87"/>
      <c r="J10834" s="88"/>
      <c r="K10834" s="88"/>
      <c r="L10834" s="89"/>
      <c r="M10834" s="89"/>
      <c r="O10834" s="105"/>
      <c r="P10834" s="105"/>
      <c r="R10834" s="106"/>
      <c r="S10834" s="127"/>
      <c r="T10834" s="107"/>
    </row>
    <row r="10835" spans="1:20" x14ac:dyDescent="0.3">
      <c r="A10835" s="101"/>
      <c r="B10835" s="102"/>
      <c r="C10835" s="87"/>
      <c r="D10835" s="103"/>
      <c r="F10835" s="101"/>
      <c r="G10835" s="104"/>
      <c r="H10835" s="86" t="e">
        <f>IF(I10835="fora",0%,G10835/QUÓRUM!$C$6)</f>
        <v>#DIV/0!</v>
      </c>
      <c r="I10835" s="87"/>
      <c r="J10835" s="88"/>
      <c r="K10835" s="88"/>
      <c r="L10835" s="89"/>
      <c r="M10835" s="89"/>
      <c r="O10835" s="105"/>
      <c r="P10835" s="105"/>
      <c r="R10835" s="106"/>
      <c r="S10835" s="127"/>
      <c r="T10835" s="107"/>
    </row>
    <row r="10836" spans="1:20" x14ac:dyDescent="0.3">
      <c r="A10836" s="101"/>
      <c r="B10836" s="102"/>
      <c r="C10836" s="87"/>
      <c r="D10836" s="103"/>
      <c r="F10836" s="101"/>
      <c r="G10836" s="104"/>
      <c r="H10836" s="86" t="e">
        <f>IF(I10836="fora",0%,G10836/QUÓRUM!$C$6)</f>
        <v>#DIV/0!</v>
      </c>
      <c r="I10836" s="87"/>
      <c r="J10836" s="88"/>
      <c r="K10836" s="88"/>
      <c r="L10836" s="89"/>
      <c r="M10836" s="89"/>
      <c r="O10836" s="105"/>
      <c r="P10836" s="105"/>
      <c r="R10836" s="106"/>
      <c r="S10836" s="127"/>
      <c r="T10836" s="107"/>
    </row>
    <row r="10837" spans="1:20" x14ac:dyDescent="0.3">
      <c r="A10837" s="101"/>
      <c r="B10837" s="102"/>
      <c r="C10837" s="87"/>
      <c r="D10837" s="103"/>
      <c r="F10837" s="101"/>
      <c r="G10837" s="104"/>
      <c r="H10837" s="86" t="e">
        <f>IF(I10837="fora",0%,G10837/QUÓRUM!$C$6)</f>
        <v>#DIV/0!</v>
      </c>
      <c r="I10837" s="87"/>
      <c r="J10837" s="88"/>
      <c r="K10837" s="88"/>
      <c r="L10837" s="89"/>
      <c r="M10837" s="89"/>
      <c r="O10837" s="105"/>
      <c r="P10837" s="105"/>
      <c r="R10837" s="106"/>
      <c r="S10837" s="127"/>
      <c r="T10837" s="107"/>
    </row>
    <row r="10838" spans="1:20" x14ac:dyDescent="0.3">
      <c r="A10838" s="101"/>
      <c r="B10838" s="102"/>
      <c r="C10838" s="87"/>
      <c r="D10838" s="103"/>
      <c r="F10838" s="101"/>
      <c r="G10838" s="104"/>
      <c r="H10838" s="86" t="e">
        <f>IF(I10838="fora",0%,G10838/QUÓRUM!$C$6)</f>
        <v>#DIV/0!</v>
      </c>
      <c r="I10838" s="87"/>
      <c r="J10838" s="88"/>
      <c r="K10838" s="88"/>
      <c r="L10838" s="89"/>
      <c r="M10838" s="89"/>
      <c r="O10838" s="105"/>
      <c r="P10838" s="105"/>
      <c r="R10838" s="106"/>
      <c r="S10838" s="127"/>
      <c r="T10838" s="107"/>
    </row>
    <row r="10839" spans="1:20" x14ac:dyDescent="0.3">
      <c r="A10839" s="101"/>
      <c r="B10839" s="102"/>
      <c r="C10839" s="87"/>
      <c r="D10839" s="103"/>
      <c r="F10839" s="101"/>
      <c r="G10839" s="104"/>
      <c r="H10839" s="86" t="e">
        <f>IF(I10839="fora",0%,G10839/QUÓRUM!$C$6)</f>
        <v>#DIV/0!</v>
      </c>
      <c r="I10839" s="87"/>
      <c r="J10839" s="88"/>
      <c r="K10839" s="88"/>
      <c r="L10839" s="89"/>
      <c r="M10839" s="89"/>
      <c r="O10839" s="105"/>
      <c r="P10839" s="105"/>
      <c r="R10839" s="106"/>
      <c r="S10839" s="127"/>
      <c r="T10839" s="107"/>
    </row>
    <row r="10840" spans="1:20" x14ac:dyDescent="0.3">
      <c r="A10840" s="101"/>
      <c r="B10840" s="102"/>
      <c r="C10840" s="87"/>
      <c r="D10840" s="103"/>
      <c r="F10840" s="101"/>
      <c r="G10840" s="104"/>
      <c r="H10840" s="86" t="e">
        <f>IF(I10840="fora",0%,G10840/QUÓRUM!$C$6)</f>
        <v>#DIV/0!</v>
      </c>
      <c r="I10840" s="87"/>
      <c r="J10840" s="88"/>
      <c r="K10840" s="88"/>
      <c r="L10840" s="89"/>
      <c r="M10840" s="89"/>
      <c r="O10840" s="105"/>
      <c r="P10840" s="105"/>
      <c r="R10840" s="106"/>
      <c r="S10840" s="127"/>
      <c r="T10840" s="107"/>
    </row>
    <row r="10841" spans="1:20" x14ac:dyDescent="0.3">
      <c r="C10841" s="87"/>
      <c r="H10841" s="86" t="e">
        <f>IF(I10841="fora",0%,G10841/QUÓRUM!$C$6)</f>
        <v>#DIV/0!</v>
      </c>
      <c r="I10841" s="87"/>
      <c r="J10841" s="88"/>
      <c r="K10841" s="88"/>
      <c r="L10841" s="89"/>
      <c r="M10841" s="89"/>
    </row>
    <row r="10842" spans="1:20" x14ac:dyDescent="0.3">
      <c r="C10842" s="87"/>
      <c r="H10842" s="86" t="e">
        <f>IF(I10842="fora",0%,G10842/QUÓRUM!$C$6)</f>
        <v>#DIV/0!</v>
      </c>
      <c r="I10842" s="87"/>
      <c r="J10842" s="88"/>
      <c r="K10842" s="88"/>
      <c r="L10842" s="89"/>
      <c r="M10842" s="89"/>
    </row>
    <row r="10843" spans="1:20" x14ac:dyDescent="0.3">
      <c r="C10843" s="87"/>
      <c r="H10843" s="86" t="e">
        <f>IF(I10843="fora",0%,G10843/QUÓRUM!$C$6)</f>
        <v>#DIV/0!</v>
      </c>
      <c r="I10843" s="87"/>
      <c r="J10843" s="88"/>
      <c r="K10843" s="88"/>
      <c r="L10843" s="89"/>
      <c r="M10843" s="89"/>
    </row>
    <row r="10844" spans="1:20" x14ac:dyDescent="0.3">
      <c r="C10844" s="87"/>
      <c r="H10844" s="86" t="e">
        <f>IF(I10844="fora",0%,G10844/QUÓRUM!$C$6)</f>
        <v>#DIV/0!</v>
      </c>
      <c r="I10844" s="87"/>
      <c r="J10844" s="88"/>
      <c r="K10844" s="88"/>
      <c r="L10844" s="89"/>
      <c r="M10844" s="89"/>
    </row>
    <row r="10845" spans="1:20" x14ac:dyDescent="0.3">
      <c r="C10845" s="87"/>
    </row>
    <row r="10846" spans="1:20" x14ac:dyDescent="0.3">
      <c r="C10846" s="87"/>
    </row>
    <row r="10847" spans="1:20" x14ac:dyDescent="0.3">
      <c r="C10847" s="87"/>
    </row>
    <row r="10848" spans="1:20" x14ac:dyDescent="0.3">
      <c r="C10848" s="87"/>
    </row>
    <row r="10849" spans="3:3" x14ac:dyDescent="0.3">
      <c r="C10849" s="87"/>
    </row>
    <row r="10850" spans="3:3" x14ac:dyDescent="0.3">
      <c r="C10850" s="87"/>
    </row>
    <row r="10851" spans="3:3" x14ac:dyDescent="0.3">
      <c r="C10851" s="87"/>
    </row>
    <row r="10852" spans="3:3" x14ac:dyDescent="0.3">
      <c r="C10852" s="87"/>
    </row>
    <row r="10853" spans="3:3" x14ac:dyDescent="0.3">
      <c r="C10853" s="87"/>
    </row>
    <row r="10854" spans="3:3" x14ac:dyDescent="0.3">
      <c r="C10854" s="87"/>
    </row>
    <row r="10855" spans="3:3" x14ac:dyDescent="0.3">
      <c r="C10855" s="87"/>
    </row>
    <row r="10856" spans="3:3" x14ac:dyDescent="0.3">
      <c r="C10856" s="87"/>
    </row>
    <row r="10857" spans="3:3" x14ac:dyDescent="0.3">
      <c r="C10857" s="87"/>
    </row>
    <row r="10858" spans="3:3" x14ac:dyDescent="0.3">
      <c r="C10858" s="87"/>
    </row>
    <row r="10859" spans="3:3" x14ac:dyDescent="0.3">
      <c r="C10859" s="87"/>
    </row>
    <row r="10860" spans="3:3" x14ac:dyDescent="0.3">
      <c r="C10860" s="87"/>
    </row>
    <row r="10861" spans="3:3" x14ac:dyDescent="0.3">
      <c r="C10861" s="87"/>
    </row>
    <row r="10862" spans="3:3" x14ac:dyDescent="0.3">
      <c r="C10862" s="87"/>
    </row>
    <row r="10863" spans="3:3" x14ac:dyDescent="0.3">
      <c r="C10863" s="87"/>
    </row>
    <row r="10864" spans="3:3" x14ac:dyDescent="0.3">
      <c r="C10864" s="87"/>
    </row>
    <row r="10865" spans="3:3" x14ac:dyDescent="0.3">
      <c r="C10865" s="87"/>
    </row>
    <row r="10866" spans="3:3" x14ac:dyDescent="0.3">
      <c r="C10866" s="87"/>
    </row>
    <row r="10867" spans="3:3" x14ac:dyDescent="0.3">
      <c r="C10867" s="87"/>
    </row>
    <row r="10868" spans="3:3" x14ac:dyDescent="0.3">
      <c r="C10868" s="87"/>
    </row>
    <row r="10869" spans="3:3" x14ac:dyDescent="0.3">
      <c r="C10869" s="87"/>
    </row>
    <row r="10870" spans="3:3" x14ac:dyDescent="0.3">
      <c r="C10870" s="87"/>
    </row>
    <row r="10871" spans="3:3" x14ac:dyDescent="0.3">
      <c r="C10871" s="87"/>
    </row>
    <row r="10872" spans="3:3" x14ac:dyDescent="0.3">
      <c r="C10872" s="87"/>
    </row>
    <row r="10873" spans="3:3" x14ac:dyDescent="0.3">
      <c r="C10873" s="87"/>
    </row>
    <row r="10874" spans="3:3" x14ac:dyDescent="0.3">
      <c r="C10874" s="87"/>
    </row>
    <row r="10875" spans="3:3" x14ac:dyDescent="0.3">
      <c r="C10875" s="87"/>
    </row>
    <row r="10876" spans="3:3" x14ac:dyDescent="0.3">
      <c r="C10876" s="87"/>
    </row>
    <row r="10877" spans="3:3" x14ac:dyDescent="0.3">
      <c r="C10877" s="87"/>
    </row>
    <row r="10878" spans="3:3" x14ac:dyDescent="0.3">
      <c r="C10878" s="87"/>
    </row>
    <row r="10879" spans="3:3" x14ac:dyDescent="0.3">
      <c r="C10879" s="87"/>
    </row>
    <row r="10880" spans="3:3" x14ac:dyDescent="0.3">
      <c r="C10880" s="87"/>
    </row>
    <row r="10881" spans="3:3" x14ac:dyDescent="0.3">
      <c r="C10881" s="87"/>
    </row>
    <row r="10882" spans="3:3" x14ac:dyDescent="0.3">
      <c r="C10882" s="87"/>
    </row>
    <row r="10883" spans="3:3" x14ac:dyDescent="0.3">
      <c r="C10883" s="87"/>
    </row>
    <row r="10884" spans="3:3" x14ac:dyDescent="0.3">
      <c r="C10884" s="87"/>
    </row>
    <row r="10885" spans="3:3" x14ac:dyDescent="0.3">
      <c r="C10885" s="87"/>
    </row>
    <row r="10886" spans="3:3" x14ac:dyDescent="0.3">
      <c r="C10886" s="87"/>
    </row>
    <row r="10887" spans="3:3" x14ac:dyDescent="0.3">
      <c r="C10887" s="87"/>
    </row>
    <row r="10888" spans="3:3" x14ac:dyDescent="0.3">
      <c r="C10888" s="87"/>
    </row>
    <row r="10889" spans="3:3" x14ac:dyDescent="0.3">
      <c r="C10889" s="87"/>
    </row>
    <row r="10890" spans="3:3" x14ac:dyDescent="0.3">
      <c r="C10890" s="87"/>
    </row>
    <row r="10891" spans="3:3" x14ac:dyDescent="0.3">
      <c r="C10891" s="87"/>
    </row>
    <row r="10892" spans="3:3" x14ac:dyDescent="0.3">
      <c r="C10892" s="87"/>
    </row>
    <row r="10893" spans="3:3" x14ac:dyDescent="0.3">
      <c r="C10893" s="87"/>
    </row>
    <row r="10894" spans="3:3" x14ac:dyDescent="0.3">
      <c r="C10894" s="87"/>
    </row>
    <row r="10895" spans="3:3" x14ac:dyDescent="0.3">
      <c r="C10895" s="87"/>
    </row>
    <row r="10896" spans="3:3" x14ac:dyDescent="0.3">
      <c r="C10896" s="87"/>
    </row>
    <row r="10897" spans="3:3" x14ac:dyDescent="0.3">
      <c r="C10897" s="87"/>
    </row>
    <row r="10898" spans="3:3" x14ac:dyDescent="0.3">
      <c r="C10898" s="87"/>
    </row>
    <row r="10899" spans="3:3" x14ac:dyDescent="0.3">
      <c r="C10899" s="87"/>
    </row>
    <row r="10900" spans="3:3" x14ac:dyDescent="0.3">
      <c r="C10900" s="87"/>
    </row>
    <row r="10901" spans="3:3" x14ac:dyDescent="0.3">
      <c r="C10901" s="87"/>
    </row>
    <row r="10902" spans="3:3" x14ac:dyDescent="0.3">
      <c r="C10902" s="87"/>
    </row>
    <row r="10903" spans="3:3" x14ac:dyDescent="0.3">
      <c r="C10903" s="87"/>
    </row>
    <row r="10904" spans="3:3" x14ac:dyDescent="0.3">
      <c r="C10904" s="87"/>
    </row>
    <row r="10905" spans="3:3" x14ac:dyDescent="0.3">
      <c r="C10905" s="87"/>
    </row>
    <row r="10906" spans="3:3" x14ac:dyDescent="0.3">
      <c r="C10906" s="87"/>
    </row>
    <row r="10907" spans="3:3" x14ac:dyDescent="0.3">
      <c r="C10907" s="87"/>
    </row>
    <row r="10908" spans="3:3" x14ac:dyDescent="0.3">
      <c r="C10908" s="87"/>
    </row>
    <row r="10909" spans="3:3" x14ac:dyDescent="0.3">
      <c r="C10909" s="87"/>
    </row>
    <row r="10910" spans="3:3" x14ac:dyDescent="0.3">
      <c r="C10910" s="87"/>
    </row>
    <row r="10911" spans="3:3" x14ac:dyDescent="0.3">
      <c r="C10911" s="87"/>
    </row>
    <row r="10912" spans="3:3" x14ac:dyDescent="0.3">
      <c r="C10912" s="87"/>
    </row>
    <row r="10913" spans="3:3" x14ac:dyDescent="0.3">
      <c r="C10913" s="87"/>
    </row>
    <row r="10914" spans="3:3" x14ac:dyDescent="0.3">
      <c r="C10914" s="87"/>
    </row>
    <row r="10915" spans="3:3" x14ac:dyDescent="0.3">
      <c r="C10915" s="87"/>
    </row>
    <row r="10916" spans="3:3" x14ac:dyDescent="0.3">
      <c r="C10916" s="87"/>
    </row>
    <row r="10917" spans="3:3" x14ac:dyDescent="0.3">
      <c r="C10917" s="87"/>
    </row>
    <row r="10918" spans="3:3" x14ac:dyDescent="0.3">
      <c r="C10918" s="87"/>
    </row>
    <row r="10919" spans="3:3" x14ac:dyDescent="0.3">
      <c r="C10919" s="87"/>
    </row>
    <row r="10920" spans="3:3" x14ac:dyDescent="0.3">
      <c r="C10920" s="87"/>
    </row>
    <row r="10921" spans="3:3" x14ac:dyDescent="0.3">
      <c r="C10921" s="87"/>
    </row>
    <row r="10922" spans="3:3" x14ac:dyDescent="0.3">
      <c r="C10922" s="87"/>
    </row>
    <row r="10923" spans="3:3" x14ac:dyDescent="0.3">
      <c r="C10923" s="87"/>
    </row>
    <row r="10924" spans="3:3" x14ac:dyDescent="0.3">
      <c r="C10924" s="87"/>
    </row>
    <row r="10925" spans="3:3" x14ac:dyDescent="0.3">
      <c r="C10925" s="87"/>
    </row>
    <row r="10926" spans="3:3" x14ac:dyDescent="0.3">
      <c r="C10926" s="87"/>
    </row>
    <row r="10927" spans="3:3" x14ac:dyDescent="0.3">
      <c r="C10927" s="87"/>
    </row>
    <row r="10928" spans="3:3" x14ac:dyDescent="0.3">
      <c r="C10928" s="87"/>
    </row>
    <row r="10929" spans="3:3" x14ac:dyDescent="0.3">
      <c r="C10929" s="87"/>
    </row>
    <row r="10930" spans="3:3" x14ac:dyDescent="0.3">
      <c r="C10930" s="87"/>
    </row>
    <row r="10931" spans="3:3" x14ac:dyDescent="0.3">
      <c r="C10931" s="87"/>
    </row>
    <row r="10932" spans="3:3" x14ac:dyDescent="0.3">
      <c r="C10932" s="87"/>
    </row>
    <row r="10933" spans="3:3" x14ac:dyDescent="0.3">
      <c r="C10933" s="87"/>
    </row>
    <row r="10934" spans="3:3" x14ac:dyDescent="0.3">
      <c r="C10934" s="87"/>
    </row>
    <row r="10935" spans="3:3" x14ac:dyDescent="0.3">
      <c r="C10935" s="87"/>
    </row>
    <row r="10936" spans="3:3" x14ac:dyDescent="0.3">
      <c r="C10936" s="87"/>
    </row>
    <row r="10937" spans="3:3" x14ac:dyDescent="0.3">
      <c r="C10937" s="87"/>
    </row>
    <row r="10938" spans="3:3" x14ac:dyDescent="0.3">
      <c r="C10938" s="87"/>
    </row>
    <row r="10939" spans="3:3" x14ac:dyDescent="0.3">
      <c r="C10939" s="87"/>
    </row>
    <row r="10940" spans="3:3" x14ac:dyDescent="0.3">
      <c r="C10940" s="87"/>
    </row>
    <row r="10941" spans="3:3" x14ac:dyDescent="0.3">
      <c r="C10941" s="87"/>
    </row>
    <row r="10942" spans="3:3" x14ac:dyDescent="0.3">
      <c r="C10942" s="87"/>
    </row>
    <row r="10943" spans="3:3" x14ac:dyDescent="0.3">
      <c r="C10943" s="87"/>
    </row>
    <row r="10944" spans="3:3" x14ac:dyDescent="0.3">
      <c r="C10944" s="87"/>
    </row>
    <row r="10945" spans="3:3" x14ac:dyDescent="0.3">
      <c r="C10945" s="87"/>
    </row>
    <row r="10946" spans="3:3" x14ac:dyDescent="0.3">
      <c r="C10946" s="87"/>
    </row>
    <row r="10947" spans="3:3" x14ac:dyDescent="0.3">
      <c r="C10947" s="87"/>
    </row>
    <row r="10948" spans="3:3" x14ac:dyDescent="0.3">
      <c r="C10948" s="87"/>
    </row>
    <row r="10949" spans="3:3" x14ac:dyDescent="0.3">
      <c r="C10949" s="87"/>
    </row>
    <row r="10950" spans="3:3" x14ac:dyDescent="0.3">
      <c r="C10950" s="87"/>
    </row>
    <row r="10951" spans="3:3" x14ac:dyDescent="0.3">
      <c r="C10951" s="87"/>
    </row>
    <row r="10952" spans="3:3" x14ac:dyDescent="0.3">
      <c r="C10952" s="87"/>
    </row>
    <row r="10953" spans="3:3" x14ac:dyDescent="0.3">
      <c r="C10953" s="87"/>
    </row>
    <row r="10954" spans="3:3" x14ac:dyDescent="0.3">
      <c r="C10954" s="87"/>
    </row>
    <row r="10955" spans="3:3" x14ac:dyDescent="0.3">
      <c r="C10955" s="87"/>
    </row>
    <row r="10956" spans="3:3" x14ac:dyDescent="0.3">
      <c r="C10956" s="87"/>
    </row>
    <row r="10957" spans="3:3" x14ac:dyDescent="0.3">
      <c r="C10957" s="87"/>
    </row>
    <row r="10958" spans="3:3" x14ac:dyDescent="0.3">
      <c r="C10958" s="87"/>
    </row>
    <row r="10959" spans="3:3" x14ac:dyDescent="0.3">
      <c r="C10959" s="87"/>
    </row>
    <row r="10960" spans="3:3" x14ac:dyDescent="0.3">
      <c r="C10960" s="87"/>
    </row>
    <row r="10961" spans="3:3" x14ac:dyDescent="0.3">
      <c r="C10961" s="87"/>
    </row>
    <row r="10962" spans="3:3" x14ac:dyDescent="0.3">
      <c r="C10962" s="87"/>
    </row>
    <row r="10963" spans="3:3" x14ac:dyDescent="0.3">
      <c r="C10963" s="87"/>
    </row>
    <row r="10964" spans="3:3" x14ac:dyDescent="0.3">
      <c r="C10964" s="87"/>
    </row>
    <row r="10965" spans="3:3" x14ac:dyDescent="0.3">
      <c r="C10965" s="87"/>
    </row>
    <row r="10966" spans="3:3" x14ac:dyDescent="0.3">
      <c r="C10966" s="87"/>
    </row>
    <row r="10967" spans="3:3" x14ac:dyDescent="0.3">
      <c r="C10967" s="87"/>
    </row>
    <row r="10968" spans="3:3" x14ac:dyDescent="0.3">
      <c r="C10968" s="87"/>
    </row>
    <row r="10969" spans="3:3" x14ac:dyDescent="0.3">
      <c r="C10969" s="87"/>
    </row>
    <row r="10970" spans="3:3" x14ac:dyDescent="0.3">
      <c r="C10970" s="87"/>
    </row>
    <row r="10971" spans="3:3" x14ac:dyDescent="0.3">
      <c r="C10971" s="87"/>
    </row>
    <row r="10972" spans="3:3" x14ac:dyDescent="0.3">
      <c r="C10972" s="87"/>
    </row>
    <row r="10973" spans="3:3" x14ac:dyDescent="0.3">
      <c r="C10973" s="87"/>
    </row>
    <row r="10974" spans="3:3" x14ac:dyDescent="0.3">
      <c r="C10974" s="87"/>
    </row>
    <row r="10975" spans="3:3" x14ac:dyDescent="0.3">
      <c r="C10975" s="87"/>
    </row>
    <row r="10976" spans="3:3" x14ac:dyDescent="0.3">
      <c r="C10976" s="87"/>
    </row>
    <row r="10977" spans="3:3" x14ac:dyDescent="0.3">
      <c r="C10977" s="87"/>
    </row>
    <row r="10978" spans="3:3" x14ac:dyDescent="0.3">
      <c r="C10978" s="87"/>
    </row>
    <row r="10979" spans="3:3" x14ac:dyDescent="0.3">
      <c r="C10979" s="87"/>
    </row>
    <row r="10980" spans="3:3" x14ac:dyDescent="0.3">
      <c r="C10980" s="87"/>
    </row>
    <row r="10981" spans="3:3" x14ac:dyDescent="0.3">
      <c r="C10981" s="87"/>
    </row>
    <row r="10982" spans="3:3" x14ac:dyDescent="0.3">
      <c r="C10982" s="87"/>
    </row>
    <row r="10983" spans="3:3" x14ac:dyDescent="0.3">
      <c r="C10983" s="87"/>
    </row>
    <row r="10984" spans="3:3" x14ac:dyDescent="0.3">
      <c r="C10984" s="87"/>
    </row>
    <row r="10985" spans="3:3" x14ac:dyDescent="0.3">
      <c r="C10985" s="87"/>
    </row>
    <row r="10986" spans="3:3" x14ac:dyDescent="0.3">
      <c r="C10986" s="87"/>
    </row>
    <row r="10987" spans="3:3" x14ac:dyDescent="0.3">
      <c r="C10987" s="87"/>
    </row>
    <row r="10988" spans="3:3" x14ac:dyDescent="0.3">
      <c r="C10988" s="87"/>
    </row>
    <row r="10989" spans="3:3" x14ac:dyDescent="0.3">
      <c r="C10989" s="87"/>
    </row>
    <row r="10990" spans="3:3" x14ac:dyDescent="0.3">
      <c r="C10990" s="87"/>
    </row>
    <row r="10991" spans="3:3" x14ac:dyDescent="0.3">
      <c r="C10991" s="87"/>
    </row>
    <row r="10992" spans="3:3" x14ac:dyDescent="0.3">
      <c r="C10992" s="87"/>
    </row>
    <row r="10993" spans="3:3" x14ac:dyDescent="0.3">
      <c r="C10993" s="87"/>
    </row>
    <row r="10994" spans="3:3" x14ac:dyDescent="0.3">
      <c r="C10994" s="87"/>
    </row>
    <row r="10995" spans="3:3" x14ac:dyDescent="0.3">
      <c r="C10995" s="87"/>
    </row>
    <row r="10996" spans="3:3" x14ac:dyDescent="0.3">
      <c r="C10996" s="87"/>
    </row>
    <row r="10997" spans="3:3" x14ac:dyDescent="0.3">
      <c r="C10997" s="87"/>
    </row>
    <row r="10998" spans="3:3" x14ac:dyDescent="0.3">
      <c r="C10998" s="87"/>
    </row>
    <row r="10999" spans="3:3" x14ac:dyDescent="0.3">
      <c r="C10999" s="87"/>
    </row>
    <row r="11000" spans="3:3" x14ac:dyDescent="0.3">
      <c r="C11000" s="87"/>
    </row>
    <row r="11001" spans="3:3" x14ac:dyDescent="0.3">
      <c r="C11001" s="87"/>
    </row>
    <row r="11002" spans="3:3" x14ac:dyDescent="0.3">
      <c r="C11002" s="87"/>
    </row>
    <row r="11003" spans="3:3" x14ac:dyDescent="0.3">
      <c r="C11003" s="87"/>
    </row>
    <row r="11004" spans="3:3" x14ac:dyDescent="0.3">
      <c r="C11004" s="87"/>
    </row>
    <row r="11005" spans="3:3" x14ac:dyDescent="0.3">
      <c r="C11005" s="87"/>
    </row>
    <row r="11006" spans="3:3" x14ac:dyDescent="0.3">
      <c r="C11006" s="87"/>
    </row>
    <row r="11007" spans="3:3" x14ac:dyDescent="0.3">
      <c r="C11007" s="87"/>
    </row>
    <row r="11008" spans="3:3" x14ac:dyDescent="0.3">
      <c r="C11008" s="87"/>
    </row>
    <row r="11009" spans="3:3" x14ac:dyDescent="0.3">
      <c r="C11009" s="87"/>
    </row>
    <row r="11010" spans="3:3" x14ac:dyDescent="0.3">
      <c r="C11010" s="87"/>
    </row>
    <row r="11011" spans="3:3" x14ac:dyDescent="0.3">
      <c r="C11011" s="87"/>
    </row>
    <row r="11012" spans="3:3" x14ac:dyDescent="0.3">
      <c r="C11012" s="87"/>
    </row>
    <row r="11013" spans="3:3" x14ac:dyDescent="0.3">
      <c r="C11013" s="87"/>
    </row>
    <row r="11014" spans="3:3" x14ac:dyDescent="0.3">
      <c r="C11014" s="87"/>
    </row>
    <row r="11015" spans="3:3" x14ac:dyDescent="0.3">
      <c r="C11015" s="87"/>
    </row>
    <row r="11016" spans="3:3" x14ac:dyDescent="0.3">
      <c r="C11016" s="87"/>
    </row>
    <row r="11017" spans="3:3" x14ac:dyDescent="0.3">
      <c r="C11017" s="87"/>
    </row>
    <row r="11018" spans="3:3" x14ac:dyDescent="0.3">
      <c r="C11018" s="87"/>
    </row>
    <row r="11019" spans="3:3" x14ac:dyDescent="0.3">
      <c r="C11019" s="87"/>
    </row>
    <row r="11020" spans="3:3" x14ac:dyDescent="0.3">
      <c r="C11020" s="87"/>
    </row>
    <row r="11021" spans="3:3" x14ac:dyDescent="0.3">
      <c r="C11021" s="87"/>
    </row>
    <row r="11022" spans="3:3" x14ac:dyDescent="0.3">
      <c r="C11022" s="87"/>
    </row>
    <row r="11023" spans="3:3" x14ac:dyDescent="0.3">
      <c r="C11023" s="87"/>
    </row>
    <row r="11024" spans="3:3" x14ac:dyDescent="0.3">
      <c r="C11024" s="87"/>
    </row>
    <row r="11025" spans="3:3" x14ac:dyDescent="0.3">
      <c r="C11025" s="87"/>
    </row>
    <row r="11026" spans="3:3" x14ac:dyDescent="0.3">
      <c r="C11026" s="87"/>
    </row>
    <row r="11027" spans="3:3" x14ac:dyDescent="0.3">
      <c r="C11027" s="87"/>
    </row>
    <row r="11028" spans="3:3" x14ac:dyDescent="0.3">
      <c r="C11028" s="87"/>
    </row>
    <row r="11029" spans="3:3" x14ac:dyDescent="0.3">
      <c r="C11029" s="87"/>
    </row>
    <row r="11030" spans="3:3" x14ac:dyDescent="0.3">
      <c r="C11030" s="87"/>
    </row>
    <row r="11031" spans="3:3" x14ac:dyDescent="0.3">
      <c r="C11031" s="87"/>
    </row>
    <row r="11032" spans="3:3" x14ac:dyDescent="0.3">
      <c r="C11032" s="87"/>
    </row>
    <row r="11033" spans="3:3" x14ac:dyDescent="0.3">
      <c r="C11033" s="87"/>
    </row>
    <row r="11034" spans="3:3" x14ac:dyDescent="0.3">
      <c r="C11034" s="87"/>
    </row>
    <row r="11035" spans="3:3" x14ac:dyDescent="0.3">
      <c r="C11035" s="87"/>
    </row>
    <row r="11036" spans="3:3" x14ac:dyDescent="0.3">
      <c r="C11036" s="87"/>
    </row>
    <row r="11037" spans="3:3" x14ac:dyDescent="0.3">
      <c r="C11037" s="87"/>
    </row>
    <row r="11038" spans="3:3" x14ac:dyDescent="0.3">
      <c r="C11038" s="87"/>
    </row>
    <row r="11039" spans="3:3" x14ac:dyDescent="0.3">
      <c r="C11039" s="87"/>
    </row>
    <row r="11040" spans="3:3" x14ac:dyDescent="0.3">
      <c r="C11040" s="87"/>
    </row>
    <row r="11041" spans="3:3" x14ac:dyDescent="0.3">
      <c r="C11041" s="87"/>
    </row>
    <row r="11042" spans="3:3" x14ac:dyDescent="0.3">
      <c r="C11042" s="87"/>
    </row>
    <row r="11043" spans="3:3" x14ac:dyDescent="0.3">
      <c r="C11043" s="87"/>
    </row>
    <row r="11044" spans="3:3" x14ac:dyDescent="0.3">
      <c r="C11044" s="87"/>
    </row>
    <row r="11045" spans="3:3" x14ac:dyDescent="0.3">
      <c r="C11045" s="87"/>
    </row>
    <row r="11046" spans="3:3" x14ac:dyDescent="0.3">
      <c r="C11046" s="87"/>
    </row>
    <row r="11047" spans="3:3" x14ac:dyDescent="0.3">
      <c r="C11047" s="87"/>
    </row>
    <row r="11048" spans="3:3" x14ac:dyDescent="0.3">
      <c r="C11048" s="87"/>
    </row>
    <row r="11049" spans="3:3" x14ac:dyDescent="0.3">
      <c r="C11049" s="87"/>
    </row>
    <row r="11050" spans="3:3" x14ac:dyDescent="0.3">
      <c r="C11050" s="87"/>
    </row>
    <row r="11051" spans="3:3" x14ac:dyDescent="0.3">
      <c r="C11051" s="87"/>
    </row>
    <row r="11052" spans="3:3" x14ac:dyDescent="0.3">
      <c r="C11052" s="87"/>
    </row>
    <row r="11053" spans="3:3" x14ac:dyDescent="0.3">
      <c r="C11053" s="87"/>
    </row>
    <row r="11054" spans="3:3" x14ac:dyDescent="0.3">
      <c r="C11054" s="87"/>
    </row>
    <row r="11055" spans="3:3" x14ac:dyDescent="0.3">
      <c r="C11055" s="87"/>
    </row>
    <row r="11056" spans="3:3" x14ac:dyDescent="0.3">
      <c r="C11056" s="87"/>
    </row>
    <row r="11057" spans="3:3" x14ac:dyDescent="0.3">
      <c r="C11057" s="87"/>
    </row>
    <row r="11058" spans="3:3" x14ac:dyDescent="0.3">
      <c r="C11058" s="87"/>
    </row>
    <row r="11059" spans="3:3" x14ac:dyDescent="0.3">
      <c r="C11059" s="87"/>
    </row>
    <row r="11060" spans="3:3" x14ac:dyDescent="0.3">
      <c r="C11060" s="87"/>
    </row>
    <row r="11061" spans="3:3" x14ac:dyDescent="0.3">
      <c r="C11061" s="87"/>
    </row>
    <row r="11062" spans="3:3" x14ac:dyDescent="0.3">
      <c r="C11062" s="87"/>
    </row>
    <row r="11063" spans="3:3" x14ac:dyDescent="0.3">
      <c r="C11063" s="87"/>
    </row>
    <row r="11064" spans="3:3" x14ac:dyDescent="0.3">
      <c r="C11064" s="87"/>
    </row>
    <row r="11065" spans="3:3" x14ac:dyDescent="0.3">
      <c r="C11065" s="87"/>
    </row>
    <row r="11066" spans="3:3" x14ac:dyDescent="0.3">
      <c r="C11066" s="87"/>
    </row>
    <row r="11067" spans="3:3" x14ac:dyDescent="0.3">
      <c r="C11067" s="87"/>
    </row>
    <row r="11068" spans="3:3" x14ac:dyDescent="0.3">
      <c r="C11068" s="87"/>
    </row>
    <row r="11069" spans="3:3" x14ac:dyDescent="0.3">
      <c r="C11069" s="87"/>
    </row>
    <row r="11070" spans="3:3" x14ac:dyDescent="0.3">
      <c r="C11070" s="87"/>
    </row>
    <row r="11071" spans="3:3" x14ac:dyDescent="0.3">
      <c r="C11071" s="87"/>
    </row>
    <row r="11072" spans="3:3" x14ac:dyDescent="0.3">
      <c r="C11072" s="87"/>
    </row>
    <row r="11073" spans="3:3" x14ac:dyDescent="0.3">
      <c r="C11073" s="87"/>
    </row>
    <row r="11074" spans="3:3" x14ac:dyDescent="0.3">
      <c r="C11074" s="87"/>
    </row>
    <row r="11075" spans="3:3" x14ac:dyDescent="0.3">
      <c r="C11075" s="87"/>
    </row>
    <row r="11076" spans="3:3" x14ac:dyDescent="0.3">
      <c r="C11076" s="87"/>
    </row>
    <row r="11077" spans="3:3" x14ac:dyDescent="0.3">
      <c r="C11077" s="87"/>
    </row>
    <row r="11078" spans="3:3" x14ac:dyDescent="0.3">
      <c r="C11078" s="87"/>
    </row>
    <row r="11079" spans="3:3" x14ac:dyDescent="0.3">
      <c r="C11079" s="87"/>
    </row>
    <row r="11080" spans="3:3" x14ac:dyDescent="0.3">
      <c r="C11080" s="87"/>
    </row>
    <row r="11081" spans="3:3" x14ac:dyDescent="0.3">
      <c r="C11081" s="87"/>
    </row>
    <row r="11082" spans="3:3" x14ac:dyDescent="0.3">
      <c r="C11082" s="87"/>
    </row>
    <row r="11083" spans="3:3" x14ac:dyDescent="0.3">
      <c r="C11083" s="87"/>
    </row>
    <row r="11084" spans="3:3" x14ac:dyDescent="0.3">
      <c r="C11084" s="87"/>
    </row>
    <row r="11085" spans="3:3" x14ac:dyDescent="0.3">
      <c r="C11085" s="87"/>
    </row>
    <row r="11086" spans="3:3" x14ac:dyDescent="0.3">
      <c r="C11086" s="87"/>
    </row>
    <row r="11087" spans="3:3" x14ac:dyDescent="0.3">
      <c r="C11087" s="87"/>
    </row>
    <row r="11088" spans="3:3" x14ac:dyDescent="0.3">
      <c r="C11088" s="87"/>
    </row>
    <row r="11089" spans="3:7" x14ac:dyDescent="0.3">
      <c r="C11089" s="87"/>
    </row>
    <row r="11090" spans="3:7" x14ac:dyDescent="0.3">
      <c r="C11090" s="87"/>
    </row>
    <row r="11091" spans="3:7" x14ac:dyDescent="0.3">
      <c r="C11091" s="87"/>
    </row>
    <row r="11092" spans="3:7" x14ac:dyDescent="0.3">
      <c r="C11092" s="87"/>
    </row>
    <row r="11093" spans="3:7" x14ac:dyDescent="0.3">
      <c r="C11093" s="87"/>
      <c r="G11093" s="115"/>
    </row>
    <row r="11094" spans="3:7" x14ac:dyDescent="0.3">
      <c r="C11094" s="87"/>
    </row>
    <row r="11095" spans="3:7" x14ac:dyDescent="0.3">
      <c r="C11095" s="87"/>
    </row>
    <row r="11096" spans="3:7" x14ac:dyDescent="0.3">
      <c r="C11096" s="87"/>
    </row>
    <row r="11097" spans="3:7" x14ac:dyDescent="0.3">
      <c r="C11097" s="87"/>
    </row>
    <row r="11098" spans="3:7" x14ac:dyDescent="0.3">
      <c r="C11098" s="87"/>
    </row>
    <row r="11099" spans="3:7" x14ac:dyDescent="0.3">
      <c r="C11099" s="87"/>
    </row>
    <row r="11100" spans="3:7" x14ac:dyDescent="0.3">
      <c r="C11100" s="87"/>
    </row>
    <row r="11101" spans="3:7" x14ac:dyDescent="0.3">
      <c r="C11101" s="87"/>
    </row>
    <row r="11102" spans="3:7" x14ac:dyDescent="0.3">
      <c r="C11102" s="87"/>
    </row>
    <row r="11103" spans="3:7" x14ac:dyDescent="0.3">
      <c r="C11103" s="87"/>
    </row>
    <row r="11104" spans="3:7" x14ac:dyDescent="0.3">
      <c r="C11104" s="87"/>
    </row>
    <row r="11105" spans="3:3" x14ac:dyDescent="0.3">
      <c r="C11105" s="87"/>
    </row>
    <row r="11106" spans="3:3" x14ac:dyDescent="0.3">
      <c r="C11106" s="87"/>
    </row>
    <row r="11107" spans="3:3" x14ac:dyDescent="0.3">
      <c r="C11107" s="87"/>
    </row>
    <row r="11108" spans="3:3" x14ac:dyDescent="0.3">
      <c r="C11108" s="87"/>
    </row>
    <row r="11109" spans="3:3" x14ac:dyDescent="0.3">
      <c r="C11109" s="87"/>
    </row>
    <row r="11110" spans="3:3" x14ac:dyDescent="0.3">
      <c r="C11110" s="87"/>
    </row>
    <row r="11111" spans="3:3" x14ac:dyDescent="0.3">
      <c r="C11111" s="87"/>
    </row>
    <row r="11112" spans="3:3" x14ac:dyDescent="0.3">
      <c r="C11112" s="87"/>
    </row>
    <row r="11113" spans="3:3" x14ac:dyDescent="0.3">
      <c r="C11113" s="87"/>
    </row>
    <row r="11114" spans="3:3" x14ac:dyDescent="0.3">
      <c r="C11114" s="87"/>
    </row>
    <row r="11115" spans="3:3" x14ac:dyDescent="0.3">
      <c r="C11115" s="87"/>
    </row>
    <row r="11116" spans="3:3" x14ac:dyDescent="0.3">
      <c r="C11116" s="87"/>
    </row>
    <row r="11117" spans="3:3" x14ac:dyDescent="0.3">
      <c r="C11117" s="87"/>
    </row>
    <row r="11118" spans="3:3" x14ac:dyDescent="0.3">
      <c r="C11118" s="87"/>
    </row>
    <row r="11119" spans="3:3" x14ac:dyDescent="0.3">
      <c r="C11119" s="87"/>
    </row>
    <row r="11120" spans="3:3" x14ac:dyDescent="0.3">
      <c r="C11120" s="87"/>
    </row>
    <row r="11121" spans="3:3" x14ac:dyDescent="0.3">
      <c r="C11121" s="87"/>
    </row>
    <row r="11122" spans="3:3" x14ac:dyDescent="0.3">
      <c r="C11122" s="87"/>
    </row>
    <row r="11123" spans="3:3" x14ac:dyDescent="0.3">
      <c r="C11123" s="87"/>
    </row>
    <row r="11124" spans="3:3" x14ac:dyDescent="0.3">
      <c r="C11124" s="87"/>
    </row>
    <row r="11125" spans="3:3" x14ac:dyDescent="0.3">
      <c r="C11125" s="87"/>
    </row>
    <row r="11126" spans="3:3" x14ac:dyDescent="0.3">
      <c r="C11126" s="87"/>
    </row>
    <row r="11127" spans="3:3" x14ac:dyDescent="0.3">
      <c r="C11127" s="87"/>
    </row>
    <row r="11128" spans="3:3" x14ac:dyDescent="0.3">
      <c r="C11128" s="87"/>
    </row>
    <row r="11129" spans="3:3" x14ac:dyDescent="0.3">
      <c r="C11129" s="87"/>
    </row>
    <row r="11130" spans="3:3" x14ac:dyDescent="0.3">
      <c r="C11130" s="87"/>
    </row>
    <row r="11131" spans="3:3" x14ac:dyDescent="0.3">
      <c r="C11131" s="87"/>
    </row>
    <row r="11132" spans="3:3" x14ac:dyDescent="0.3">
      <c r="C11132" s="87"/>
    </row>
    <row r="11133" spans="3:3" x14ac:dyDescent="0.3">
      <c r="C11133" s="87"/>
    </row>
    <row r="11134" spans="3:3" x14ac:dyDescent="0.3">
      <c r="C11134" s="87"/>
    </row>
    <row r="11135" spans="3:3" x14ac:dyDescent="0.3">
      <c r="C11135" s="87"/>
    </row>
    <row r="11136" spans="3:3" x14ac:dyDescent="0.3">
      <c r="C11136" s="87"/>
    </row>
    <row r="11137" spans="3:3" x14ac:dyDescent="0.3">
      <c r="C11137" s="87"/>
    </row>
    <row r="11138" spans="3:3" x14ac:dyDescent="0.3">
      <c r="C11138" s="87"/>
    </row>
    <row r="11139" spans="3:3" x14ac:dyDescent="0.3">
      <c r="C11139" s="87"/>
    </row>
    <row r="11140" spans="3:3" x14ac:dyDescent="0.3">
      <c r="C11140" s="87"/>
    </row>
    <row r="11141" spans="3:3" x14ac:dyDescent="0.3">
      <c r="C11141" s="87"/>
    </row>
    <row r="11142" spans="3:3" x14ac:dyDescent="0.3">
      <c r="C11142" s="87"/>
    </row>
    <row r="11143" spans="3:3" x14ac:dyDescent="0.3">
      <c r="C11143" s="87"/>
    </row>
    <row r="11144" spans="3:3" x14ac:dyDescent="0.3">
      <c r="C11144" s="87"/>
    </row>
    <row r="11145" spans="3:3" x14ac:dyDescent="0.3">
      <c r="C11145" s="87"/>
    </row>
    <row r="11146" spans="3:3" x14ac:dyDescent="0.3">
      <c r="C11146" s="87"/>
    </row>
    <row r="11147" spans="3:3" x14ac:dyDescent="0.3">
      <c r="C11147" s="87"/>
    </row>
    <row r="11148" spans="3:3" x14ac:dyDescent="0.3">
      <c r="C11148" s="87"/>
    </row>
    <row r="11149" spans="3:3" x14ac:dyDescent="0.3">
      <c r="C11149" s="87"/>
    </row>
    <row r="11150" spans="3:3" x14ac:dyDescent="0.3">
      <c r="C11150" s="87"/>
    </row>
    <row r="11151" spans="3:3" x14ac:dyDescent="0.3">
      <c r="C11151" s="87"/>
    </row>
    <row r="11152" spans="3:3" x14ac:dyDescent="0.3">
      <c r="C11152" s="87"/>
    </row>
    <row r="11153" spans="3:3" x14ac:dyDescent="0.3">
      <c r="C11153" s="87"/>
    </row>
    <row r="11154" spans="3:3" x14ac:dyDescent="0.3">
      <c r="C11154" s="87"/>
    </row>
    <row r="11155" spans="3:3" x14ac:dyDescent="0.3">
      <c r="C11155" s="87"/>
    </row>
    <row r="11156" spans="3:3" x14ac:dyDescent="0.3">
      <c r="C11156" s="87"/>
    </row>
    <row r="11157" spans="3:3" x14ac:dyDescent="0.3">
      <c r="C11157" s="87"/>
    </row>
    <row r="11158" spans="3:3" x14ac:dyDescent="0.3">
      <c r="C11158" s="87"/>
    </row>
    <row r="11159" spans="3:3" x14ac:dyDescent="0.3">
      <c r="C11159" s="87"/>
    </row>
    <row r="11160" spans="3:3" x14ac:dyDescent="0.3">
      <c r="C11160" s="87"/>
    </row>
    <row r="11161" spans="3:3" x14ac:dyDescent="0.3">
      <c r="C11161" s="87"/>
    </row>
    <row r="11162" spans="3:3" x14ac:dyDescent="0.3">
      <c r="C11162" s="87"/>
    </row>
    <row r="11163" spans="3:3" x14ac:dyDescent="0.3">
      <c r="C11163" s="87"/>
    </row>
    <row r="11164" spans="3:3" x14ac:dyDescent="0.3">
      <c r="C11164" s="87"/>
    </row>
    <row r="11165" spans="3:3" x14ac:dyDescent="0.3">
      <c r="C11165" s="87"/>
    </row>
    <row r="11166" spans="3:3" x14ac:dyDescent="0.3">
      <c r="C11166" s="87"/>
    </row>
    <row r="11167" spans="3:3" x14ac:dyDescent="0.3">
      <c r="C11167" s="87"/>
    </row>
    <row r="11168" spans="3:3" x14ac:dyDescent="0.3">
      <c r="C11168" s="87"/>
    </row>
    <row r="11169" spans="3:3" x14ac:dyDescent="0.3">
      <c r="C11169" s="87"/>
    </row>
    <row r="11170" spans="3:3" x14ac:dyDescent="0.3">
      <c r="C11170" s="87"/>
    </row>
    <row r="11171" spans="3:3" x14ac:dyDescent="0.3">
      <c r="C11171" s="87"/>
    </row>
    <row r="11172" spans="3:3" x14ac:dyDescent="0.3">
      <c r="C11172" s="87"/>
    </row>
    <row r="11173" spans="3:3" x14ac:dyDescent="0.3">
      <c r="C11173" s="87"/>
    </row>
    <row r="11174" spans="3:3" x14ac:dyDescent="0.3">
      <c r="C11174" s="87"/>
    </row>
    <row r="11175" spans="3:3" x14ac:dyDescent="0.3">
      <c r="C11175" s="87"/>
    </row>
    <row r="11176" spans="3:3" x14ac:dyDescent="0.3">
      <c r="C11176" s="87"/>
    </row>
    <row r="11177" spans="3:3" x14ac:dyDescent="0.3">
      <c r="C11177" s="87"/>
    </row>
    <row r="11178" spans="3:3" x14ac:dyDescent="0.3">
      <c r="C11178" s="87"/>
    </row>
    <row r="11179" spans="3:3" x14ac:dyDescent="0.3">
      <c r="C11179" s="87"/>
    </row>
    <row r="11180" spans="3:3" x14ac:dyDescent="0.3">
      <c r="C11180" s="87"/>
    </row>
    <row r="11181" spans="3:3" x14ac:dyDescent="0.3">
      <c r="C11181" s="87"/>
    </row>
    <row r="11182" spans="3:3" x14ac:dyDescent="0.3">
      <c r="C11182" s="87"/>
    </row>
    <row r="11183" spans="3:3" x14ac:dyDescent="0.3">
      <c r="C11183" s="87"/>
    </row>
    <row r="11184" spans="3:3" x14ac:dyDescent="0.3">
      <c r="C11184" s="87"/>
    </row>
    <row r="11185" spans="3:3" x14ac:dyDescent="0.3">
      <c r="C11185" s="87"/>
    </row>
    <row r="11186" spans="3:3" x14ac:dyDescent="0.3">
      <c r="C11186" s="87"/>
    </row>
    <row r="11187" spans="3:3" x14ac:dyDescent="0.3">
      <c r="C11187" s="87"/>
    </row>
    <row r="11188" spans="3:3" x14ac:dyDescent="0.3">
      <c r="C11188" s="87"/>
    </row>
    <row r="11189" spans="3:3" x14ac:dyDescent="0.3">
      <c r="C11189" s="87"/>
    </row>
    <row r="11190" spans="3:3" x14ac:dyDescent="0.3">
      <c r="C11190" s="87"/>
    </row>
    <row r="11191" spans="3:3" x14ac:dyDescent="0.3">
      <c r="C11191" s="87"/>
    </row>
    <row r="11192" spans="3:3" x14ac:dyDescent="0.3">
      <c r="C11192" s="87"/>
    </row>
    <row r="11193" spans="3:3" x14ac:dyDescent="0.3">
      <c r="C11193" s="87"/>
    </row>
    <row r="11194" spans="3:3" x14ac:dyDescent="0.3">
      <c r="C11194" s="87"/>
    </row>
    <row r="11195" spans="3:3" x14ac:dyDescent="0.3">
      <c r="C11195" s="87"/>
    </row>
    <row r="11196" spans="3:3" x14ac:dyDescent="0.3">
      <c r="C11196" s="87"/>
    </row>
    <row r="11197" spans="3:3" x14ac:dyDescent="0.3">
      <c r="C11197" s="87"/>
    </row>
    <row r="11198" spans="3:3" x14ac:dyDescent="0.3">
      <c r="C11198" s="87"/>
    </row>
    <row r="11199" spans="3:3" x14ac:dyDescent="0.3">
      <c r="C11199" s="87"/>
    </row>
    <row r="11200" spans="3:3" x14ac:dyDescent="0.3">
      <c r="C11200" s="87"/>
    </row>
    <row r="11201" spans="3:3" x14ac:dyDescent="0.3">
      <c r="C11201" s="87"/>
    </row>
    <row r="11202" spans="3:3" x14ac:dyDescent="0.3">
      <c r="C11202" s="87"/>
    </row>
    <row r="11203" spans="3:3" x14ac:dyDescent="0.3">
      <c r="C11203" s="87"/>
    </row>
    <row r="11204" spans="3:3" x14ac:dyDescent="0.3">
      <c r="C11204" s="87"/>
    </row>
    <row r="11205" spans="3:3" x14ac:dyDescent="0.3">
      <c r="C11205" s="87"/>
    </row>
    <row r="11206" spans="3:3" x14ac:dyDescent="0.3">
      <c r="C11206" s="87"/>
    </row>
    <row r="11207" spans="3:3" x14ac:dyDescent="0.3">
      <c r="C11207" s="87"/>
    </row>
    <row r="11208" spans="3:3" x14ac:dyDescent="0.3">
      <c r="C11208" s="87"/>
    </row>
    <row r="11209" spans="3:3" x14ac:dyDescent="0.3">
      <c r="C11209" s="87"/>
    </row>
    <row r="11210" spans="3:3" x14ac:dyDescent="0.3">
      <c r="C11210" s="87"/>
    </row>
    <row r="11211" spans="3:3" x14ac:dyDescent="0.3">
      <c r="C11211" s="87"/>
    </row>
    <row r="11212" spans="3:3" x14ac:dyDescent="0.3">
      <c r="C11212" s="87"/>
    </row>
    <row r="11213" spans="3:3" x14ac:dyDescent="0.3">
      <c r="C11213" s="87"/>
    </row>
    <row r="11214" spans="3:3" x14ac:dyDescent="0.3">
      <c r="C11214" s="87"/>
    </row>
    <row r="11215" spans="3:3" x14ac:dyDescent="0.3">
      <c r="C11215" s="87"/>
    </row>
    <row r="11216" spans="3:3" x14ac:dyDescent="0.3">
      <c r="C11216" s="87"/>
    </row>
    <row r="11217" spans="3:3" x14ac:dyDescent="0.3">
      <c r="C11217" s="87"/>
    </row>
    <row r="11218" spans="3:3" x14ac:dyDescent="0.3">
      <c r="C11218" s="87"/>
    </row>
    <row r="11219" spans="3:3" x14ac:dyDescent="0.3">
      <c r="C11219" s="87"/>
    </row>
    <row r="11220" spans="3:3" x14ac:dyDescent="0.3">
      <c r="C11220" s="87"/>
    </row>
    <row r="11221" spans="3:3" x14ac:dyDescent="0.3">
      <c r="C11221" s="87"/>
    </row>
    <row r="11222" spans="3:3" x14ac:dyDescent="0.3">
      <c r="C11222" s="87"/>
    </row>
    <row r="11223" spans="3:3" x14ac:dyDescent="0.3">
      <c r="C11223" s="87"/>
    </row>
    <row r="11224" spans="3:3" x14ac:dyDescent="0.3">
      <c r="C11224" s="87"/>
    </row>
    <row r="11225" spans="3:3" x14ac:dyDescent="0.3">
      <c r="C11225" s="87"/>
    </row>
    <row r="11226" spans="3:3" x14ac:dyDescent="0.3">
      <c r="C11226" s="87"/>
    </row>
    <row r="11227" spans="3:3" x14ac:dyDescent="0.3">
      <c r="C11227" s="87"/>
    </row>
    <row r="11228" spans="3:3" x14ac:dyDescent="0.3">
      <c r="C11228" s="87"/>
    </row>
    <row r="11229" spans="3:3" x14ac:dyDescent="0.3">
      <c r="C11229" s="87"/>
    </row>
    <row r="11230" spans="3:3" x14ac:dyDescent="0.3">
      <c r="C11230" s="87"/>
    </row>
    <row r="11231" spans="3:3" x14ac:dyDescent="0.3">
      <c r="C11231" s="87"/>
    </row>
    <row r="11232" spans="3:3" x14ac:dyDescent="0.3">
      <c r="C11232" s="87"/>
    </row>
    <row r="11233" spans="3:3" x14ac:dyDescent="0.3">
      <c r="C11233" s="87"/>
    </row>
    <row r="11234" spans="3:3" x14ac:dyDescent="0.3">
      <c r="C11234" s="87"/>
    </row>
    <row r="11235" spans="3:3" x14ac:dyDescent="0.3">
      <c r="C11235" s="87"/>
    </row>
    <row r="11236" spans="3:3" x14ac:dyDescent="0.3">
      <c r="C11236" s="87"/>
    </row>
    <row r="11237" spans="3:3" x14ac:dyDescent="0.3">
      <c r="C11237" s="87"/>
    </row>
    <row r="11238" spans="3:3" x14ac:dyDescent="0.3">
      <c r="C11238" s="87"/>
    </row>
    <row r="11239" spans="3:3" x14ac:dyDescent="0.3">
      <c r="C11239" s="87"/>
    </row>
    <row r="11240" spans="3:3" x14ac:dyDescent="0.3">
      <c r="C11240" s="87"/>
    </row>
    <row r="11241" spans="3:3" x14ac:dyDescent="0.3">
      <c r="C11241" s="87"/>
    </row>
    <row r="11242" spans="3:3" x14ac:dyDescent="0.3">
      <c r="C11242" s="87"/>
    </row>
    <row r="11243" spans="3:3" x14ac:dyDescent="0.3">
      <c r="C11243" s="87"/>
    </row>
    <row r="11244" spans="3:3" x14ac:dyDescent="0.3">
      <c r="C11244" s="87"/>
    </row>
    <row r="11245" spans="3:3" x14ac:dyDescent="0.3">
      <c r="C11245" s="87"/>
    </row>
    <row r="11246" spans="3:3" x14ac:dyDescent="0.3">
      <c r="C11246" s="87"/>
    </row>
    <row r="11247" spans="3:3" x14ac:dyDescent="0.3">
      <c r="C11247" s="87"/>
    </row>
    <row r="11248" spans="3:3" x14ac:dyDescent="0.3">
      <c r="C11248" s="87"/>
    </row>
    <row r="11249" spans="3:3" x14ac:dyDescent="0.3">
      <c r="C11249" s="87"/>
    </row>
    <row r="11250" spans="3:3" x14ac:dyDescent="0.3">
      <c r="C11250" s="87"/>
    </row>
    <row r="11251" spans="3:3" x14ac:dyDescent="0.3">
      <c r="C11251" s="87"/>
    </row>
    <row r="11252" spans="3:3" x14ac:dyDescent="0.3">
      <c r="C11252" s="87"/>
    </row>
    <row r="11253" spans="3:3" x14ac:dyDescent="0.3">
      <c r="C11253" s="87"/>
    </row>
    <row r="11254" spans="3:3" x14ac:dyDescent="0.3">
      <c r="C11254" s="87"/>
    </row>
    <row r="11255" spans="3:3" x14ac:dyDescent="0.3">
      <c r="C11255" s="87"/>
    </row>
    <row r="11256" spans="3:3" x14ac:dyDescent="0.3">
      <c r="C11256" s="87"/>
    </row>
    <row r="11257" spans="3:3" x14ac:dyDescent="0.3">
      <c r="C11257" s="87"/>
    </row>
    <row r="11258" spans="3:3" x14ac:dyDescent="0.3">
      <c r="C11258" s="87"/>
    </row>
    <row r="11259" spans="3:3" x14ac:dyDescent="0.3">
      <c r="C11259" s="87"/>
    </row>
    <row r="11260" spans="3:3" x14ac:dyDescent="0.3">
      <c r="C11260" s="87"/>
    </row>
    <row r="11261" spans="3:3" x14ac:dyDescent="0.3">
      <c r="C11261" s="87"/>
    </row>
    <row r="11262" spans="3:3" x14ac:dyDescent="0.3">
      <c r="C11262" s="87"/>
    </row>
    <row r="11263" spans="3:3" x14ac:dyDescent="0.3">
      <c r="C11263" s="87"/>
    </row>
    <row r="11264" spans="3:3" x14ac:dyDescent="0.3">
      <c r="C11264" s="87"/>
    </row>
    <row r="11265" spans="3:3" x14ac:dyDescent="0.3">
      <c r="C11265" s="87"/>
    </row>
    <row r="11266" spans="3:3" x14ac:dyDescent="0.3">
      <c r="C11266" s="87"/>
    </row>
    <row r="11267" spans="3:3" x14ac:dyDescent="0.3">
      <c r="C11267" s="87"/>
    </row>
    <row r="11268" spans="3:3" x14ac:dyDescent="0.3">
      <c r="C11268" s="87"/>
    </row>
    <row r="11269" spans="3:3" x14ac:dyDescent="0.3">
      <c r="C11269" s="87"/>
    </row>
    <row r="11270" spans="3:3" x14ac:dyDescent="0.3">
      <c r="C11270" s="87"/>
    </row>
    <row r="11271" spans="3:3" x14ac:dyDescent="0.3">
      <c r="C11271" s="87"/>
    </row>
    <row r="11272" spans="3:3" x14ac:dyDescent="0.3">
      <c r="C11272" s="87"/>
    </row>
    <row r="11273" spans="3:3" x14ac:dyDescent="0.3">
      <c r="C11273" s="87"/>
    </row>
    <row r="11274" spans="3:3" x14ac:dyDescent="0.3">
      <c r="C11274" s="87"/>
    </row>
    <row r="11275" spans="3:3" x14ac:dyDescent="0.3">
      <c r="C11275" s="87"/>
    </row>
    <row r="11276" spans="3:3" x14ac:dyDescent="0.3">
      <c r="C11276" s="87"/>
    </row>
    <row r="11277" spans="3:3" x14ac:dyDescent="0.3">
      <c r="C11277" s="87"/>
    </row>
    <row r="11278" spans="3:3" x14ac:dyDescent="0.3">
      <c r="C11278" s="87"/>
    </row>
    <row r="11279" spans="3:3" x14ac:dyDescent="0.3">
      <c r="C11279" s="87"/>
    </row>
    <row r="11280" spans="3:3" x14ac:dyDescent="0.3">
      <c r="C11280" s="87"/>
    </row>
    <row r="11281" spans="3:3" x14ac:dyDescent="0.3">
      <c r="C11281" s="87"/>
    </row>
    <row r="11282" spans="3:3" x14ac:dyDescent="0.3">
      <c r="C11282" s="87"/>
    </row>
    <row r="11283" spans="3:3" x14ac:dyDescent="0.3">
      <c r="C11283" s="87"/>
    </row>
    <row r="11284" spans="3:3" x14ac:dyDescent="0.3">
      <c r="C11284" s="87"/>
    </row>
    <row r="11285" spans="3:3" x14ac:dyDescent="0.3">
      <c r="C11285" s="87"/>
    </row>
    <row r="11286" spans="3:3" x14ac:dyDescent="0.3">
      <c r="C11286" s="87"/>
    </row>
    <row r="11287" spans="3:3" x14ac:dyDescent="0.3">
      <c r="C11287" s="87"/>
    </row>
    <row r="11288" spans="3:3" x14ac:dyDescent="0.3">
      <c r="C11288" s="87"/>
    </row>
    <row r="11289" spans="3:3" x14ac:dyDescent="0.3">
      <c r="C11289" s="87"/>
    </row>
    <row r="11290" spans="3:3" x14ac:dyDescent="0.3">
      <c r="C11290" s="87"/>
    </row>
    <row r="11291" spans="3:3" x14ac:dyDescent="0.3">
      <c r="C11291" s="87"/>
    </row>
    <row r="11292" spans="3:3" x14ac:dyDescent="0.3">
      <c r="C11292" s="87"/>
    </row>
    <row r="11293" spans="3:3" x14ac:dyDescent="0.3">
      <c r="C11293" s="87"/>
    </row>
    <row r="11294" spans="3:3" x14ac:dyDescent="0.3">
      <c r="C11294" s="87"/>
    </row>
    <row r="11295" spans="3:3" x14ac:dyDescent="0.3">
      <c r="C11295" s="87"/>
    </row>
    <row r="11296" spans="3:3" x14ac:dyDescent="0.3">
      <c r="C11296" s="87"/>
    </row>
    <row r="11297" spans="3:3" x14ac:dyDescent="0.3">
      <c r="C11297" s="87"/>
    </row>
    <row r="11298" spans="3:3" x14ac:dyDescent="0.3">
      <c r="C11298" s="87"/>
    </row>
    <row r="11299" spans="3:3" x14ac:dyDescent="0.3">
      <c r="C11299" s="87"/>
    </row>
    <row r="11300" spans="3:3" x14ac:dyDescent="0.3">
      <c r="C11300" s="87"/>
    </row>
    <row r="11301" spans="3:3" x14ac:dyDescent="0.3">
      <c r="C11301" s="87"/>
    </row>
    <row r="11302" spans="3:3" x14ac:dyDescent="0.3">
      <c r="C11302" s="87"/>
    </row>
    <row r="11303" spans="3:3" x14ac:dyDescent="0.3">
      <c r="C11303" s="87"/>
    </row>
    <row r="11304" spans="3:3" x14ac:dyDescent="0.3">
      <c r="C11304" s="87"/>
    </row>
    <row r="11305" spans="3:3" x14ac:dyDescent="0.3">
      <c r="C11305" s="87"/>
    </row>
    <row r="11306" spans="3:3" x14ac:dyDescent="0.3">
      <c r="C11306" s="87"/>
    </row>
    <row r="11307" spans="3:3" x14ac:dyDescent="0.3">
      <c r="C11307" s="87"/>
    </row>
    <row r="11308" spans="3:3" x14ac:dyDescent="0.3">
      <c r="C11308" s="87"/>
    </row>
    <row r="11309" spans="3:3" x14ac:dyDescent="0.3">
      <c r="C11309" s="87"/>
    </row>
    <row r="11310" spans="3:3" x14ac:dyDescent="0.3">
      <c r="C11310" s="87"/>
    </row>
    <row r="11311" spans="3:3" x14ac:dyDescent="0.3">
      <c r="C11311" s="87"/>
    </row>
    <row r="11312" spans="3:3" x14ac:dyDescent="0.3">
      <c r="C11312" s="87"/>
    </row>
    <row r="11313" spans="3:3" x14ac:dyDescent="0.3">
      <c r="C11313" s="87"/>
    </row>
    <row r="11314" spans="3:3" x14ac:dyDescent="0.3">
      <c r="C11314" s="87"/>
    </row>
    <row r="11315" spans="3:3" x14ac:dyDescent="0.3">
      <c r="C11315" s="87"/>
    </row>
    <row r="11316" spans="3:3" x14ac:dyDescent="0.3">
      <c r="C11316" s="87"/>
    </row>
    <row r="11317" spans="3:3" x14ac:dyDescent="0.3">
      <c r="C11317" s="87"/>
    </row>
    <row r="11318" spans="3:3" x14ac:dyDescent="0.3">
      <c r="C11318" s="87"/>
    </row>
    <row r="11319" spans="3:3" x14ac:dyDescent="0.3">
      <c r="C11319" s="87"/>
    </row>
    <row r="11320" spans="3:3" x14ac:dyDescent="0.3">
      <c r="C11320" s="87"/>
    </row>
    <row r="11321" spans="3:3" x14ac:dyDescent="0.3">
      <c r="C11321" s="87"/>
    </row>
    <row r="11322" spans="3:3" x14ac:dyDescent="0.3">
      <c r="C11322" s="87"/>
    </row>
    <row r="11323" spans="3:3" x14ac:dyDescent="0.3">
      <c r="C11323" s="87"/>
    </row>
    <row r="11324" spans="3:3" x14ac:dyDescent="0.3">
      <c r="C11324" s="87"/>
    </row>
    <row r="11325" spans="3:3" x14ac:dyDescent="0.3">
      <c r="C11325" s="87"/>
    </row>
    <row r="11326" spans="3:3" x14ac:dyDescent="0.3">
      <c r="C11326" s="87"/>
    </row>
    <row r="11327" spans="3:3" x14ac:dyDescent="0.3">
      <c r="C11327" s="87"/>
    </row>
    <row r="11328" spans="3:3" x14ac:dyDescent="0.3">
      <c r="C11328" s="87"/>
    </row>
    <row r="11329" spans="3:3" x14ac:dyDescent="0.3">
      <c r="C11329" s="87"/>
    </row>
    <row r="11330" spans="3:3" x14ac:dyDescent="0.3">
      <c r="C11330" s="87"/>
    </row>
    <row r="11331" spans="3:3" x14ac:dyDescent="0.3">
      <c r="C11331" s="87"/>
    </row>
    <row r="11332" spans="3:3" x14ac:dyDescent="0.3">
      <c r="C11332" s="87"/>
    </row>
    <row r="11333" spans="3:3" x14ac:dyDescent="0.3">
      <c r="C11333" s="87"/>
    </row>
    <row r="11334" spans="3:3" x14ac:dyDescent="0.3">
      <c r="C11334" s="87"/>
    </row>
    <row r="11335" spans="3:3" x14ac:dyDescent="0.3">
      <c r="C11335" s="87"/>
    </row>
    <row r="11336" spans="3:3" x14ac:dyDescent="0.3">
      <c r="C11336" s="87"/>
    </row>
    <row r="11337" spans="3:3" x14ac:dyDescent="0.3">
      <c r="C11337" s="87"/>
    </row>
    <row r="11338" spans="3:3" x14ac:dyDescent="0.3">
      <c r="C11338" s="87"/>
    </row>
    <row r="11339" spans="3:3" x14ac:dyDescent="0.3">
      <c r="C11339" s="87"/>
    </row>
    <row r="11340" spans="3:3" x14ac:dyDescent="0.3">
      <c r="C11340" s="87"/>
    </row>
    <row r="11341" spans="3:3" x14ac:dyDescent="0.3">
      <c r="C11341" s="87"/>
    </row>
    <row r="11342" spans="3:3" x14ac:dyDescent="0.3">
      <c r="C11342" s="87"/>
    </row>
    <row r="11343" spans="3:3" x14ac:dyDescent="0.3">
      <c r="C11343" s="87"/>
    </row>
    <row r="11344" spans="3:3" x14ac:dyDescent="0.3">
      <c r="C11344" s="87"/>
    </row>
    <row r="11345" spans="3:3" x14ac:dyDescent="0.3">
      <c r="C11345" s="87"/>
    </row>
    <row r="11346" spans="3:3" x14ac:dyDescent="0.3">
      <c r="C11346" s="87"/>
    </row>
    <row r="11347" spans="3:3" x14ac:dyDescent="0.3">
      <c r="C11347" s="87"/>
    </row>
    <row r="11348" spans="3:3" x14ac:dyDescent="0.3">
      <c r="C11348" s="87"/>
    </row>
    <row r="11349" spans="3:3" x14ac:dyDescent="0.3">
      <c r="C11349" s="87"/>
    </row>
    <row r="11350" spans="3:3" x14ac:dyDescent="0.3">
      <c r="C11350" s="87"/>
    </row>
    <row r="11351" spans="3:3" x14ac:dyDescent="0.3">
      <c r="C11351" s="87"/>
    </row>
    <row r="11352" spans="3:3" x14ac:dyDescent="0.3">
      <c r="C11352" s="87"/>
    </row>
    <row r="11353" spans="3:3" x14ac:dyDescent="0.3">
      <c r="C11353" s="87"/>
    </row>
    <row r="11354" spans="3:3" x14ac:dyDescent="0.3">
      <c r="C11354" s="87"/>
    </row>
    <row r="11355" spans="3:3" x14ac:dyDescent="0.3">
      <c r="C11355" s="87"/>
    </row>
    <row r="11356" spans="3:3" x14ac:dyDescent="0.3">
      <c r="C11356" s="87"/>
    </row>
    <row r="11357" spans="3:3" x14ac:dyDescent="0.3">
      <c r="C11357" s="87"/>
    </row>
    <row r="11358" spans="3:3" x14ac:dyDescent="0.3">
      <c r="C11358" s="87"/>
    </row>
    <row r="11359" spans="3:3" x14ac:dyDescent="0.3">
      <c r="C11359" s="87"/>
    </row>
    <row r="11360" spans="3:3" x14ac:dyDescent="0.3">
      <c r="C11360" s="87"/>
    </row>
    <row r="11361" spans="3:3" x14ac:dyDescent="0.3">
      <c r="C11361" s="87"/>
    </row>
    <row r="11362" spans="3:3" x14ac:dyDescent="0.3">
      <c r="C11362" s="87"/>
    </row>
    <row r="11363" spans="3:3" x14ac:dyDescent="0.3">
      <c r="C11363" s="87"/>
    </row>
    <row r="11364" spans="3:3" x14ac:dyDescent="0.3">
      <c r="C11364" s="87"/>
    </row>
    <row r="11365" spans="3:3" x14ac:dyDescent="0.3">
      <c r="C11365" s="87"/>
    </row>
    <row r="11366" spans="3:3" x14ac:dyDescent="0.3">
      <c r="C11366" s="87"/>
    </row>
    <row r="11367" spans="3:3" x14ac:dyDescent="0.3">
      <c r="C11367" s="87"/>
    </row>
    <row r="11368" spans="3:3" x14ac:dyDescent="0.3">
      <c r="C11368" s="87"/>
    </row>
    <row r="11369" spans="3:3" x14ac:dyDescent="0.3">
      <c r="C11369" s="87"/>
    </row>
    <row r="11370" spans="3:3" x14ac:dyDescent="0.3">
      <c r="C11370" s="87"/>
    </row>
    <row r="11371" spans="3:3" x14ac:dyDescent="0.3">
      <c r="C11371" s="87"/>
    </row>
    <row r="11372" spans="3:3" x14ac:dyDescent="0.3">
      <c r="C11372" s="87"/>
    </row>
    <row r="11373" spans="3:3" x14ac:dyDescent="0.3">
      <c r="C11373" s="87"/>
    </row>
    <row r="11374" spans="3:3" x14ac:dyDescent="0.3">
      <c r="C11374" s="87"/>
    </row>
    <row r="11375" spans="3:3" x14ac:dyDescent="0.3">
      <c r="C11375" s="87"/>
    </row>
    <row r="11376" spans="3:3" x14ac:dyDescent="0.3">
      <c r="C11376" s="87"/>
    </row>
    <row r="11377" spans="3:3" x14ac:dyDescent="0.3">
      <c r="C11377" s="87"/>
    </row>
    <row r="11378" spans="3:3" x14ac:dyDescent="0.3">
      <c r="C11378" s="87"/>
    </row>
    <row r="11379" spans="3:3" x14ac:dyDescent="0.3">
      <c r="C11379" s="87"/>
    </row>
    <row r="11380" spans="3:3" x14ac:dyDescent="0.3">
      <c r="C11380" s="87"/>
    </row>
    <row r="11381" spans="3:3" x14ac:dyDescent="0.3">
      <c r="C11381" s="87"/>
    </row>
    <row r="11382" spans="3:3" x14ac:dyDescent="0.3">
      <c r="C11382" s="87"/>
    </row>
    <row r="11383" spans="3:3" x14ac:dyDescent="0.3">
      <c r="C11383" s="87"/>
    </row>
    <row r="11384" spans="3:3" x14ac:dyDescent="0.3">
      <c r="C11384" s="87"/>
    </row>
    <row r="11385" spans="3:3" x14ac:dyDescent="0.3">
      <c r="C11385" s="87"/>
    </row>
    <row r="11386" spans="3:3" x14ac:dyDescent="0.3">
      <c r="C11386" s="87"/>
    </row>
    <row r="11387" spans="3:3" x14ac:dyDescent="0.3">
      <c r="C11387" s="87"/>
    </row>
    <row r="11388" spans="3:3" x14ac:dyDescent="0.3">
      <c r="C11388" s="87"/>
    </row>
    <row r="11389" spans="3:3" x14ac:dyDescent="0.3">
      <c r="C11389" s="87"/>
    </row>
    <row r="11390" spans="3:3" x14ac:dyDescent="0.3">
      <c r="C11390" s="87"/>
    </row>
    <row r="11391" spans="3:3" x14ac:dyDescent="0.3">
      <c r="C11391" s="87"/>
    </row>
    <row r="11392" spans="3:3" x14ac:dyDescent="0.3">
      <c r="C11392" s="87"/>
    </row>
    <row r="11393" spans="3:3" x14ac:dyDescent="0.3">
      <c r="C11393" s="87"/>
    </row>
    <row r="11394" spans="3:3" x14ac:dyDescent="0.3">
      <c r="C11394" s="87"/>
    </row>
    <row r="11395" spans="3:3" x14ac:dyDescent="0.3">
      <c r="C11395" s="87"/>
    </row>
    <row r="11396" spans="3:3" x14ac:dyDescent="0.3">
      <c r="C11396" s="87"/>
    </row>
    <row r="11397" spans="3:3" x14ac:dyDescent="0.3">
      <c r="C11397" s="87"/>
    </row>
    <row r="11398" spans="3:3" x14ac:dyDescent="0.3">
      <c r="C11398" s="87"/>
    </row>
    <row r="11399" spans="3:3" x14ac:dyDescent="0.3">
      <c r="C11399" s="87"/>
    </row>
    <row r="11400" spans="3:3" x14ac:dyDescent="0.3">
      <c r="C11400" s="87"/>
    </row>
    <row r="11401" spans="3:3" x14ac:dyDescent="0.3">
      <c r="C11401" s="87"/>
    </row>
    <row r="11402" spans="3:3" x14ac:dyDescent="0.3">
      <c r="C11402" s="87"/>
    </row>
    <row r="11403" spans="3:3" x14ac:dyDescent="0.3">
      <c r="C11403" s="87"/>
    </row>
    <row r="11404" spans="3:3" x14ac:dyDescent="0.3">
      <c r="C11404" s="87"/>
    </row>
    <row r="11405" spans="3:3" x14ac:dyDescent="0.3">
      <c r="C11405" s="87"/>
    </row>
    <row r="11406" spans="3:3" x14ac:dyDescent="0.3">
      <c r="C11406" s="87"/>
    </row>
    <row r="11407" spans="3:3" x14ac:dyDescent="0.3">
      <c r="C11407" s="87"/>
    </row>
    <row r="11408" spans="3:3" x14ac:dyDescent="0.3">
      <c r="C11408" s="87"/>
    </row>
    <row r="11409" spans="3:3" x14ac:dyDescent="0.3">
      <c r="C11409" s="87"/>
    </row>
    <row r="11410" spans="3:3" x14ac:dyDescent="0.3">
      <c r="C11410" s="87"/>
    </row>
    <row r="11411" spans="3:3" x14ac:dyDescent="0.3">
      <c r="C11411" s="87"/>
    </row>
    <row r="11412" spans="3:3" x14ac:dyDescent="0.3">
      <c r="C11412" s="87"/>
    </row>
    <row r="11413" spans="3:3" x14ac:dyDescent="0.3">
      <c r="C11413" s="87"/>
    </row>
    <row r="11414" spans="3:3" x14ac:dyDescent="0.3">
      <c r="C11414" s="87"/>
    </row>
    <row r="11415" spans="3:3" x14ac:dyDescent="0.3">
      <c r="C11415" s="87"/>
    </row>
    <row r="11416" spans="3:3" x14ac:dyDescent="0.3">
      <c r="C11416" s="87"/>
    </row>
    <row r="11417" spans="3:3" x14ac:dyDescent="0.3">
      <c r="C11417" s="87"/>
    </row>
    <row r="11418" spans="3:3" x14ac:dyDescent="0.3">
      <c r="C11418" s="87"/>
    </row>
    <row r="11419" spans="3:3" x14ac:dyDescent="0.3">
      <c r="C11419" s="87"/>
    </row>
    <row r="11420" spans="3:3" x14ac:dyDescent="0.3">
      <c r="C11420" s="87"/>
    </row>
    <row r="11421" spans="3:3" x14ac:dyDescent="0.3">
      <c r="C11421" s="87"/>
    </row>
    <row r="11422" spans="3:3" x14ac:dyDescent="0.3">
      <c r="C11422" s="87"/>
    </row>
    <row r="11423" spans="3:3" x14ac:dyDescent="0.3">
      <c r="C11423" s="87"/>
    </row>
    <row r="11424" spans="3:3" x14ac:dyDescent="0.3">
      <c r="C11424" s="87"/>
    </row>
    <row r="11425" spans="3:3" x14ac:dyDescent="0.3">
      <c r="C11425" s="87"/>
    </row>
    <row r="11426" spans="3:3" x14ac:dyDescent="0.3">
      <c r="C11426" s="87"/>
    </row>
    <row r="11427" spans="3:3" x14ac:dyDescent="0.3">
      <c r="C11427" s="87"/>
    </row>
    <row r="11428" spans="3:3" x14ac:dyDescent="0.3">
      <c r="C11428" s="87"/>
    </row>
    <row r="11429" spans="3:3" x14ac:dyDescent="0.3">
      <c r="C11429" s="87"/>
    </row>
    <row r="11430" spans="3:3" x14ac:dyDescent="0.3">
      <c r="C11430" s="87"/>
    </row>
    <row r="11431" spans="3:3" x14ac:dyDescent="0.3">
      <c r="C11431" s="87"/>
    </row>
    <row r="11432" spans="3:3" x14ac:dyDescent="0.3">
      <c r="C11432" s="87"/>
    </row>
    <row r="11433" spans="3:3" x14ac:dyDescent="0.3">
      <c r="C11433" s="87"/>
    </row>
    <row r="11434" spans="3:3" x14ac:dyDescent="0.3">
      <c r="C11434" s="87"/>
    </row>
    <row r="11435" spans="3:3" x14ac:dyDescent="0.3">
      <c r="C11435" s="87"/>
    </row>
    <row r="11436" spans="3:3" x14ac:dyDescent="0.3">
      <c r="C11436" s="87"/>
    </row>
    <row r="11437" spans="3:3" x14ac:dyDescent="0.3">
      <c r="C11437" s="87"/>
    </row>
    <row r="11438" spans="3:3" x14ac:dyDescent="0.3">
      <c r="C11438" s="87"/>
    </row>
    <row r="11439" spans="3:3" x14ac:dyDescent="0.3">
      <c r="C11439" s="87"/>
    </row>
    <row r="11440" spans="3:3" x14ac:dyDescent="0.3">
      <c r="C11440" s="87"/>
    </row>
    <row r="11441" spans="3:3" x14ac:dyDescent="0.3">
      <c r="C11441" s="87"/>
    </row>
    <row r="11442" spans="3:3" x14ac:dyDescent="0.3">
      <c r="C11442" s="87"/>
    </row>
    <row r="11443" spans="3:3" x14ac:dyDescent="0.3">
      <c r="C11443" s="87"/>
    </row>
    <row r="11444" spans="3:3" x14ac:dyDescent="0.3">
      <c r="C11444" s="87"/>
    </row>
    <row r="11445" spans="3:3" x14ac:dyDescent="0.3">
      <c r="C11445" s="87"/>
    </row>
    <row r="11446" spans="3:3" x14ac:dyDescent="0.3">
      <c r="C11446" s="87"/>
    </row>
    <row r="11447" spans="3:3" x14ac:dyDescent="0.3">
      <c r="C11447" s="87"/>
    </row>
    <row r="11448" spans="3:3" x14ac:dyDescent="0.3">
      <c r="C11448" s="87"/>
    </row>
    <row r="11449" spans="3:3" x14ac:dyDescent="0.3">
      <c r="C11449" s="87"/>
    </row>
    <row r="11450" spans="3:3" x14ac:dyDescent="0.3">
      <c r="C11450" s="87"/>
    </row>
    <row r="11451" spans="3:3" x14ac:dyDescent="0.3">
      <c r="C11451" s="87"/>
    </row>
    <row r="11452" spans="3:3" x14ac:dyDescent="0.3">
      <c r="C11452" s="87"/>
    </row>
    <row r="11453" spans="3:3" x14ac:dyDescent="0.3">
      <c r="C11453" s="87"/>
    </row>
    <row r="11454" spans="3:3" x14ac:dyDescent="0.3">
      <c r="C11454" s="87"/>
    </row>
    <row r="11455" spans="3:3" x14ac:dyDescent="0.3">
      <c r="C11455" s="87"/>
    </row>
    <row r="11456" spans="3:3" x14ac:dyDescent="0.3">
      <c r="C11456" s="87"/>
    </row>
    <row r="11457" spans="3:3" x14ac:dyDescent="0.3">
      <c r="C11457" s="87"/>
    </row>
    <row r="11458" spans="3:3" x14ac:dyDescent="0.3">
      <c r="C11458" s="87"/>
    </row>
    <row r="11459" spans="3:3" x14ac:dyDescent="0.3">
      <c r="C11459" s="87"/>
    </row>
    <row r="11460" spans="3:3" x14ac:dyDescent="0.3">
      <c r="C11460" s="87"/>
    </row>
    <row r="11461" spans="3:3" x14ac:dyDescent="0.3">
      <c r="C11461" s="87"/>
    </row>
    <row r="11462" spans="3:3" x14ac:dyDescent="0.3">
      <c r="C11462" s="87"/>
    </row>
    <row r="11463" spans="3:3" x14ac:dyDescent="0.3">
      <c r="C11463" s="87"/>
    </row>
    <row r="11464" spans="3:3" x14ac:dyDescent="0.3">
      <c r="C11464" s="87"/>
    </row>
    <row r="11465" spans="3:3" x14ac:dyDescent="0.3">
      <c r="C11465" s="87"/>
    </row>
    <row r="11466" spans="3:3" x14ac:dyDescent="0.3">
      <c r="C11466" s="87"/>
    </row>
    <row r="11467" spans="3:3" x14ac:dyDescent="0.3">
      <c r="C11467" s="87"/>
    </row>
    <row r="11468" spans="3:3" x14ac:dyDescent="0.3">
      <c r="C11468" s="87"/>
    </row>
    <row r="11469" spans="3:3" x14ac:dyDescent="0.3">
      <c r="C11469" s="87"/>
    </row>
    <row r="11470" spans="3:3" x14ac:dyDescent="0.3">
      <c r="C11470" s="87"/>
    </row>
    <row r="11471" spans="3:3" x14ac:dyDescent="0.3">
      <c r="C11471" s="87"/>
    </row>
    <row r="11472" spans="3:3" x14ac:dyDescent="0.3">
      <c r="C11472" s="87"/>
    </row>
    <row r="11473" spans="3:3" x14ac:dyDescent="0.3">
      <c r="C11473" s="87"/>
    </row>
    <row r="11474" spans="3:3" x14ac:dyDescent="0.3">
      <c r="C11474" s="87"/>
    </row>
    <row r="11475" spans="3:3" x14ac:dyDescent="0.3">
      <c r="C11475" s="87"/>
    </row>
    <row r="11476" spans="3:3" x14ac:dyDescent="0.3">
      <c r="C11476" s="87"/>
    </row>
    <row r="11477" spans="3:3" x14ac:dyDescent="0.3">
      <c r="C11477" s="87"/>
    </row>
    <row r="11478" spans="3:3" x14ac:dyDescent="0.3">
      <c r="C11478" s="87"/>
    </row>
    <row r="11479" spans="3:3" x14ac:dyDescent="0.3">
      <c r="C11479" s="87"/>
    </row>
    <row r="11480" spans="3:3" x14ac:dyDescent="0.3">
      <c r="C11480" s="87"/>
    </row>
    <row r="11481" spans="3:3" x14ac:dyDescent="0.3">
      <c r="C11481" s="87"/>
    </row>
    <row r="11482" spans="3:3" x14ac:dyDescent="0.3">
      <c r="C11482" s="87"/>
    </row>
    <row r="11483" spans="3:3" x14ac:dyDescent="0.3">
      <c r="C11483" s="87"/>
    </row>
    <row r="11484" spans="3:3" x14ac:dyDescent="0.3">
      <c r="C11484" s="87"/>
    </row>
    <row r="11485" spans="3:3" x14ac:dyDescent="0.3">
      <c r="C11485" s="87"/>
    </row>
    <row r="11486" spans="3:3" x14ac:dyDescent="0.3">
      <c r="C11486" s="87"/>
    </row>
    <row r="11487" spans="3:3" x14ac:dyDescent="0.3">
      <c r="C11487" s="87"/>
    </row>
    <row r="11488" spans="3:3" x14ac:dyDescent="0.3">
      <c r="C11488" s="87"/>
    </row>
    <row r="11489" spans="3:3" x14ac:dyDescent="0.3">
      <c r="C11489" s="87"/>
    </row>
    <row r="11490" spans="3:3" x14ac:dyDescent="0.3">
      <c r="C11490" s="87"/>
    </row>
    <row r="11491" spans="3:3" x14ac:dyDescent="0.3">
      <c r="C11491" s="87"/>
    </row>
    <row r="11492" spans="3:3" x14ac:dyDescent="0.3">
      <c r="C11492" s="87"/>
    </row>
    <row r="11493" spans="3:3" x14ac:dyDescent="0.3">
      <c r="C11493" s="87"/>
    </row>
    <row r="11494" spans="3:3" x14ac:dyDescent="0.3">
      <c r="C11494" s="87"/>
    </row>
    <row r="11495" spans="3:3" x14ac:dyDescent="0.3">
      <c r="C11495" s="87"/>
    </row>
    <row r="11496" spans="3:3" x14ac:dyDescent="0.3">
      <c r="C11496" s="87"/>
    </row>
    <row r="11497" spans="3:3" x14ac:dyDescent="0.3">
      <c r="C11497" s="87"/>
    </row>
    <row r="11498" spans="3:3" x14ac:dyDescent="0.3">
      <c r="C11498" s="87"/>
    </row>
    <row r="11499" spans="3:3" x14ac:dyDescent="0.3">
      <c r="C11499" s="87"/>
    </row>
    <row r="11500" spans="3:3" x14ac:dyDescent="0.3">
      <c r="C11500" s="87"/>
    </row>
    <row r="11501" spans="3:3" x14ac:dyDescent="0.3">
      <c r="C11501" s="87"/>
    </row>
    <row r="11502" spans="3:3" x14ac:dyDescent="0.3">
      <c r="C11502" s="87"/>
    </row>
    <row r="11503" spans="3:3" x14ac:dyDescent="0.3">
      <c r="C11503" s="87"/>
    </row>
    <row r="11504" spans="3:3" x14ac:dyDescent="0.3">
      <c r="C11504" s="87"/>
    </row>
    <row r="11505" spans="3:3" x14ac:dyDescent="0.3">
      <c r="C11505" s="87"/>
    </row>
    <row r="11506" spans="3:3" x14ac:dyDescent="0.3">
      <c r="C11506" s="87"/>
    </row>
    <row r="11507" spans="3:3" x14ac:dyDescent="0.3">
      <c r="C11507" s="87"/>
    </row>
    <row r="11508" spans="3:3" x14ac:dyDescent="0.3">
      <c r="C11508" s="87"/>
    </row>
    <row r="11509" spans="3:3" x14ac:dyDescent="0.3">
      <c r="C11509" s="87"/>
    </row>
    <row r="11510" spans="3:3" x14ac:dyDescent="0.3">
      <c r="C11510" s="87"/>
    </row>
    <row r="11511" spans="3:3" x14ac:dyDescent="0.3">
      <c r="C11511" s="87"/>
    </row>
    <row r="11512" spans="3:3" x14ac:dyDescent="0.3">
      <c r="C11512" s="87"/>
    </row>
    <row r="11513" spans="3:3" x14ac:dyDescent="0.3">
      <c r="C11513" s="87"/>
    </row>
    <row r="11514" spans="3:3" x14ac:dyDescent="0.3">
      <c r="C11514" s="87"/>
    </row>
    <row r="11515" spans="3:3" x14ac:dyDescent="0.3">
      <c r="C11515" s="87"/>
    </row>
    <row r="11516" spans="3:3" x14ac:dyDescent="0.3">
      <c r="C11516" s="87"/>
    </row>
    <row r="11517" spans="3:3" x14ac:dyDescent="0.3">
      <c r="C11517" s="87"/>
    </row>
    <row r="11518" spans="3:3" x14ac:dyDescent="0.3">
      <c r="C11518" s="87"/>
    </row>
    <row r="11519" spans="3:3" x14ac:dyDescent="0.3">
      <c r="C11519" s="87"/>
    </row>
    <row r="11520" spans="3:3" x14ac:dyDescent="0.3">
      <c r="C11520" s="87"/>
    </row>
    <row r="11521" spans="3:3" x14ac:dyDescent="0.3">
      <c r="C11521" s="87"/>
    </row>
    <row r="11522" spans="3:3" x14ac:dyDescent="0.3">
      <c r="C11522" s="87"/>
    </row>
    <row r="11523" spans="3:3" x14ac:dyDescent="0.3">
      <c r="C11523" s="87"/>
    </row>
    <row r="11524" spans="3:3" x14ac:dyDescent="0.3">
      <c r="C11524" s="87"/>
    </row>
    <row r="11525" spans="3:3" x14ac:dyDescent="0.3">
      <c r="C11525" s="87"/>
    </row>
    <row r="11526" spans="3:3" x14ac:dyDescent="0.3">
      <c r="C11526" s="87"/>
    </row>
    <row r="11527" spans="3:3" x14ac:dyDescent="0.3">
      <c r="C11527" s="87"/>
    </row>
    <row r="11528" spans="3:3" x14ac:dyDescent="0.3">
      <c r="C11528" s="87"/>
    </row>
    <row r="11529" spans="3:3" x14ac:dyDescent="0.3">
      <c r="C11529" s="87"/>
    </row>
    <row r="11530" spans="3:3" x14ac:dyDescent="0.3">
      <c r="C11530" s="87"/>
    </row>
    <row r="11531" spans="3:3" x14ac:dyDescent="0.3">
      <c r="C11531" s="87"/>
    </row>
    <row r="11532" spans="3:3" x14ac:dyDescent="0.3">
      <c r="C11532" s="87"/>
    </row>
    <row r="11533" spans="3:3" x14ac:dyDescent="0.3">
      <c r="C11533" s="87"/>
    </row>
    <row r="11534" spans="3:3" x14ac:dyDescent="0.3">
      <c r="C11534" s="87"/>
    </row>
    <row r="11535" spans="3:3" x14ac:dyDescent="0.3">
      <c r="C11535" s="87"/>
    </row>
    <row r="11536" spans="3:3" x14ac:dyDescent="0.3">
      <c r="C11536" s="87"/>
    </row>
    <row r="11537" spans="3:3" x14ac:dyDescent="0.3">
      <c r="C11537" s="87"/>
    </row>
    <row r="11538" spans="3:3" x14ac:dyDescent="0.3">
      <c r="C11538" s="87"/>
    </row>
    <row r="11539" spans="3:3" x14ac:dyDescent="0.3">
      <c r="C11539" s="87"/>
    </row>
    <row r="11540" spans="3:3" x14ac:dyDescent="0.3">
      <c r="C11540" s="87"/>
    </row>
    <row r="11541" spans="3:3" x14ac:dyDescent="0.3">
      <c r="C11541" s="87"/>
    </row>
    <row r="11542" spans="3:3" x14ac:dyDescent="0.3">
      <c r="C11542" s="87"/>
    </row>
    <row r="11543" spans="3:3" x14ac:dyDescent="0.3">
      <c r="C11543" s="87"/>
    </row>
    <row r="11544" spans="3:3" x14ac:dyDescent="0.3">
      <c r="C11544" s="87"/>
    </row>
    <row r="11545" spans="3:3" x14ac:dyDescent="0.3">
      <c r="C11545" s="87"/>
    </row>
    <row r="11546" spans="3:3" x14ac:dyDescent="0.3">
      <c r="C11546" s="87"/>
    </row>
    <row r="11547" spans="3:3" x14ac:dyDescent="0.3">
      <c r="C11547" s="87"/>
    </row>
    <row r="11548" spans="3:3" x14ac:dyDescent="0.3">
      <c r="C11548" s="87"/>
    </row>
    <row r="11549" spans="3:3" x14ac:dyDescent="0.3">
      <c r="C11549" s="87"/>
    </row>
    <row r="11550" spans="3:3" x14ac:dyDescent="0.3">
      <c r="C11550" s="87"/>
    </row>
    <row r="11551" spans="3:3" x14ac:dyDescent="0.3">
      <c r="C11551" s="87"/>
    </row>
    <row r="11552" spans="3:3" x14ac:dyDescent="0.3">
      <c r="C11552" s="87"/>
    </row>
    <row r="11553" spans="3:3" x14ac:dyDescent="0.3">
      <c r="C11553" s="87"/>
    </row>
    <row r="11554" spans="3:3" x14ac:dyDescent="0.3">
      <c r="C11554" s="87"/>
    </row>
    <row r="11555" spans="3:3" x14ac:dyDescent="0.3">
      <c r="C11555" s="87"/>
    </row>
    <row r="11556" spans="3:3" x14ac:dyDescent="0.3">
      <c r="C11556" s="87"/>
    </row>
    <row r="11557" spans="3:3" x14ac:dyDescent="0.3">
      <c r="C11557" s="87"/>
    </row>
    <row r="11558" spans="3:3" x14ac:dyDescent="0.3">
      <c r="C11558" s="87"/>
    </row>
    <row r="11559" spans="3:3" x14ac:dyDescent="0.3">
      <c r="C11559" s="87"/>
    </row>
    <row r="11560" spans="3:3" x14ac:dyDescent="0.3">
      <c r="C11560" s="87"/>
    </row>
    <row r="11561" spans="3:3" x14ac:dyDescent="0.3">
      <c r="C11561" s="87"/>
    </row>
    <row r="11562" spans="3:3" x14ac:dyDescent="0.3">
      <c r="C11562" s="87"/>
    </row>
    <row r="11563" spans="3:3" x14ac:dyDescent="0.3">
      <c r="C11563" s="87"/>
    </row>
    <row r="11564" spans="3:3" x14ac:dyDescent="0.3">
      <c r="C11564" s="87"/>
    </row>
    <row r="11565" spans="3:3" x14ac:dyDescent="0.3">
      <c r="C11565" s="87"/>
    </row>
    <row r="11566" spans="3:3" x14ac:dyDescent="0.3">
      <c r="C11566" s="87"/>
    </row>
    <row r="11567" spans="3:3" x14ac:dyDescent="0.3">
      <c r="C11567" s="87"/>
    </row>
    <row r="11568" spans="3:3" x14ac:dyDescent="0.3">
      <c r="C11568" s="87"/>
    </row>
    <row r="11569" spans="3:3" x14ac:dyDescent="0.3">
      <c r="C11569" s="87"/>
    </row>
    <row r="11570" spans="3:3" x14ac:dyDescent="0.3">
      <c r="C11570" s="87"/>
    </row>
    <row r="11571" spans="3:3" x14ac:dyDescent="0.3">
      <c r="C11571" s="87"/>
    </row>
    <row r="11572" spans="3:3" x14ac:dyDescent="0.3">
      <c r="C11572" s="87"/>
    </row>
    <row r="11573" spans="3:3" x14ac:dyDescent="0.3">
      <c r="C11573" s="87"/>
    </row>
    <row r="11574" spans="3:3" x14ac:dyDescent="0.3">
      <c r="C11574" s="87"/>
    </row>
    <row r="11575" spans="3:3" x14ac:dyDescent="0.3">
      <c r="C11575" s="87"/>
    </row>
    <row r="11576" spans="3:3" x14ac:dyDescent="0.3">
      <c r="C11576" s="87"/>
    </row>
    <row r="11577" spans="3:3" x14ac:dyDescent="0.3">
      <c r="C11577" s="87"/>
    </row>
    <row r="11578" spans="3:3" x14ac:dyDescent="0.3">
      <c r="C11578" s="87"/>
    </row>
    <row r="11579" spans="3:3" x14ac:dyDescent="0.3">
      <c r="C11579" s="87"/>
    </row>
    <row r="11580" spans="3:3" x14ac:dyDescent="0.3">
      <c r="C11580" s="87"/>
    </row>
    <row r="11581" spans="3:3" x14ac:dyDescent="0.3">
      <c r="C11581" s="87"/>
    </row>
    <row r="11582" spans="3:3" x14ac:dyDescent="0.3">
      <c r="C11582" s="87"/>
    </row>
    <row r="11583" spans="3:3" x14ac:dyDescent="0.3">
      <c r="C11583" s="87"/>
    </row>
    <row r="11584" spans="3:3" x14ac:dyDescent="0.3">
      <c r="C11584" s="87"/>
    </row>
    <row r="11585" spans="3:3" x14ac:dyDescent="0.3">
      <c r="C11585" s="87"/>
    </row>
    <row r="11586" spans="3:3" x14ac:dyDescent="0.3">
      <c r="C11586" s="87"/>
    </row>
    <row r="11587" spans="3:3" x14ac:dyDescent="0.3">
      <c r="C11587" s="87"/>
    </row>
    <row r="11588" spans="3:3" x14ac:dyDescent="0.3">
      <c r="C11588" s="87"/>
    </row>
    <row r="11589" spans="3:3" x14ac:dyDescent="0.3">
      <c r="C11589" s="87"/>
    </row>
    <row r="11590" spans="3:3" x14ac:dyDescent="0.3">
      <c r="C11590" s="87"/>
    </row>
    <row r="11591" spans="3:3" x14ac:dyDescent="0.3">
      <c r="C11591" s="87"/>
    </row>
    <row r="11592" spans="3:3" x14ac:dyDescent="0.3">
      <c r="C11592" s="87"/>
    </row>
    <row r="11593" spans="3:3" x14ac:dyDescent="0.3">
      <c r="C11593" s="87"/>
    </row>
    <row r="11594" spans="3:3" x14ac:dyDescent="0.3">
      <c r="C11594" s="87"/>
    </row>
    <row r="11595" spans="3:3" x14ac:dyDescent="0.3">
      <c r="C11595" s="87"/>
    </row>
    <row r="11596" spans="3:3" x14ac:dyDescent="0.3">
      <c r="C11596" s="87"/>
    </row>
    <row r="11597" spans="3:3" x14ac:dyDescent="0.3">
      <c r="C11597" s="87"/>
    </row>
    <row r="11598" spans="3:3" x14ac:dyDescent="0.3">
      <c r="C11598" s="87"/>
    </row>
    <row r="11599" spans="3:3" x14ac:dyDescent="0.3">
      <c r="C11599" s="87"/>
    </row>
    <row r="11600" spans="3:3" x14ac:dyDescent="0.3">
      <c r="C11600" s="87"/>
    </row>
    <row r="11601" spans="3:3" x14ac:dyDescent="0.3">
      <c r="C11601" s="87"/>
    </row>
    <row r="11602" spans="3:3" x14ac:dyDescent="0.3">
      <c r="C11602" s="87"/>
    </row>
    <row r="11603" spans="3:3" x14ac:dyDescent="0.3">
      <c r="C11603" s="87"/>
    </row>
    <row r="11604" spans="3:3" x14ac:dyDescent="0.3">
      <c r="C11604" s="87"/>
    </row>
    <row r="11605" spans="3:3" x14ac:dyDescent="0.3">
      <c r="C11605" s="87"/>
    </row>
    <row r="11606" spans="3:3" x14ac:dyDescent="0.3">
      <c r="C11606" s="87"/>
    </row>
    <row r="11607" spans="3:3" x14ac:dyDescent="0.3">
      <c r="C11607" s="87"/>
    </row>
    <row r="11608" spans="3:3" x14ac:dyDescent="0.3">
      <c r="C11608" s="87"/>
    </row>
    <row r="11609" spans="3:3" x14ac:dyDescent="0.3">
      <c r="C11609" s="87"/>
    </row>
    <row r="11610" spans="3:3" x14ac:dyDescent="0.3">
      <c r="C11610" s="87"/>
    </row>
    <row r="11611" spans="3:3" x14ac:dyDescent="0.3">
      <c r="C11611" s="87"/>
    </row>
    <row r="11612" spans="3:3" x14ac:dyDescent="0.3">
      <c r="C11612" s="87"/>
    </row>
    <row r="11613" spans="3:3" x14ac:dyDescent="0.3">
      <c r="C11613" s="87"/>
    </row>
    <row r="11614" spans="3:3" x14ac:dyDescent="0.3">
      <c r="C11614" s="87"/>
    </row>
    <row r="11615" spans="3:3" x14ac:dyDescent="0.3">
      <c r="C11615" s="87"/>
    </row>
    <row r="11616" spans="3:3" x14ac:dyDescent="0.3">
      <c r="C11616" s="87"/>
    </row>
    <row r="11617" spans="3:3" x14ac:dyDescent="0.3">
      <c r="C11617" s="87"/>
    </row>
    <row r="11618" spans="3:3" x14ac:dyDescent="0.3">
      <c r="C11618" s="87"/>
    </row>
    <row r="11619" spans="3:3" x14ac:dyDescent="0.3">
      <c r="C11619" s="87"/>
    </row>
    <row r="11620" spans="3:3" x14ac:dyDescent="0.3">
      <c r="C11620" s="87"/>
    </row>
    <row r="11621" spans="3:3" x14ac:dyDescent="0.3">
      <c r="C11621" s="87"/>
    </row>
    <row r="11622" spans="3:3" x14ac:dyDescent="0.3">
      <c r="C11622" s="87"/>
    </row>
    <row r="11623" spans="3:3" x14ac:dyDescent="0.3">
      <c r="C11623" s="87"/>
    </row>
    <row r="11624" spans="3:3" x14ac:dyDescent="0.3">
      <c r="C11624" s="87"/>
    </row>
    <row r="11625" spans="3:3" x14ac:dyDescent="0.3">
      <c r="C11625" s="87"/>
    </row>
    <row r="11626" spans="3:3" x14ac:dyDescent="0.3">
      <c r="C11626" s="87"/>
    </row>
    <row r="11627" spans="3:3" x14ac:dyDescent="0.3">
      <c r="C11627" s="87"/>
    </row>
    <row r="11628" spans="3:3" x14ac:dyDescent="0.3">
      <c r="C11628" s="87"/>
    </row>
    <row r="11629" spans="3:3" x14ac:dyDescent="0.3">
      <c r="C11629" s="87"/>
    </row>
    <row r="11630" spans="3:3" x14ac:dyDescent="0.3">
      <c r="C11630" s="87"/>
    </row>
    <row r="11631" spans="3:3" x14ac:dyDescent="0.3">
      <c r="C11631" s="87"/>
    </row>
    <row r="11632" spans="3:3" x14ac:dyDescent="0.3">
      <c r="C11632" s="87"/>
    </row>
    <row r="11633" spans="3:3" x14ac:dyDescent="0.3">
      <c r="C11633" s="87"/>
    </row>
    <row r="11634" spans="3:3" x14ac:dyDescent="0.3">
      <c r="C11634" s="87"/>
    </row>
    <row r="11635" spans="3:3" x14ac:dyDescent="0.3">
      <c r="C11635" s="87"/>
    </row>
    <row r="11636" spans="3:3" x14ac:dyDescent="0.3">
      <c r="C11636" s="87"/>
    </row>
    <row r="11637" spans="3:3" x14ac:dyDescent="0.3">
      <c r="C11637" s="87"/>
    </row>
    <row r="11638" spans="3:3" x14ac:dyDescent="0.3">
      <c r="C11638" s="87"/>
    </row>
    <row r="11639" spans="3:3" x14ac:dyDescent="0.3">
      <c r="C11639" s="87"/>
    </row>
    <row r="11640" spans="3:3" x14ac:dyDescent="0.3">
      <c r="C11640" s="87"/>
    </row>
    <row r="11641" spans="3:3" x14ac:dyDescent="0.3">
      <c r="C11641" s="87"/>
    </row>
    <row r="11642" spans="3:3" x14ac:dyDescent="0.3">
      <c r="C11642" s="87"/>
    </row>
    <row r="11643" spans="3:3" x14ac:dyDescent="0.3">
      <c r="C11643" s="87"/>
    </row>
    <row r="11644" spans="3:3" x14ac:dyDescent="0.3">
      <c r="C11644" s="87"/>
    </row>
    <row r="11645" spans="3:3" x14ac:dyDescent="0.3">
      <c r="C11645" s="87"/>
    </row>
    <row r="11646" spans="3:3" x14ac:dyDescent="0.3">
      <c r="C11646" s="87"/>
    </row>
    <row r="11647" spans="3:3" x14ac:dyDescent="0.3">
      <c r="C11647" s="87"/>
    </row>
    <row r="11648" spans="3:3" x14ac:dyDescent="0.3">
      <c r="C11648" s="87"/>
    </row>
    <row r="11649" spans="3:3" x14ac:dyDescent="0.3">
      <c r="C11649" s="87"/>
    </row>
    <row r="11650" spans="3:3" x14ac:dyDescent="0.3">
      <c r="C11650" s="87"/>
    </row>
    <row r="11651" spans="3:3" x14ac:dyDescent="0.3">
      <c r="C11651" s="87"/>
    </row>
    <row r="11652" spans="3:3" x14ac:dyDescent="0.3">
      <c r="C11652" s="87"/>
    </row>
    <row r="11653" spans="3:3" x14ac:dyDescent="0.3">
      <c r="C11653" s="87"/>
    </row>
    <row r="11654" spans="3:3" x14ac:dyDescent="0.3">
      <c r="C11654" s="87"/>
    </row>
    <row r="11655" spans="3:3" x14ac:dyDescent="0.3">
      <c r="C11655" s="87"/>
    </row>
    <row r="11656" spans="3:3" x14ac:dyDescent="0.3">
      <c r="C11656" s="87"/>
    </row>
    <row r="11657" spans="3:3" x14ac:dyDescent="0.3">
      <c r="C11657" s="87"/>
    </row>
    <row r="11658" spans="3:3" x14ac:dyDescent="0.3">
      <c r="C11658" s="87"/>
    </row>
    <row r="11659" spans="3:3" x14ac:dyDescent="0.3">
      <c r="C11659" s="87"/>
    </row>
    <row r="11660" spans="3:3" x14ac:dyDescent="0.3">
      <c r="C11660" s="87"/>
    </row>
    <row r="11661" spans="3:3" x14ac:dyDescent="0.3">
      <c r="C11661" s="87"/>
    </row>
    <row r="11662" spans="3:3" x14ac:dyDescent="0.3">
      <c r="C11662" s="87"/>
    </row>
    <row r="11663" spans="3:3" x14ac:dyDescent="0.3">
      <c r="C11663" s="87"/>
    </row>
    <row r="11664" spans="3:3" x14ac:dyDescent="0.3">
      <c r="C11664" s="87"/>
    </row>
    <row r="11665" spans="3:3" x14ac:dyDescent="0.3">
      <c r="C11665" s="87"/>
    </row>
    <row r="11666" spans="3:3" x14ac:dyDescent="0.3">
      <c r="C11666" s="87"/>
    </row>
    <row r="11667" spans="3:3" x14ac:dyDescent="0.3">
      <c r="C11667" s="87"/>
    </row>
    <row r="11668" spans="3:3" x14ac:dyDescent="0.3">
      <c r="C11668" s="87"/>
    </row>
    <row r="11669" spans="3:3" x14ac:dyDescent="0.3">
      <c r="C11669" s="87"/>
    </row>
    <row r="11670" spans="3:3" x14ac:dyDescent="0.3">
      <c r="C11670" s="87"/>
    </row>
    <row r="11671" spans="3:3" x14ac:dyDescent="0.3">
      <c r="C11671" s="87"/>
    </row>
    <row r="11672" spans="3:3" x14ac:dyDescent="0.3">
      <c r="C11672" s="87"/>
    </row>
    <row r="11673" spans="3:3" x14ac:dyDescent="0.3">
      <c r="C11673" s="87"/>
    </row>
    <row r="11674" spans="3:3" x14ac:dyDescent="0.3">
      <c r="C11674" s="87"/>
    </row>
    <row r="11675" spans="3:3" x14ac:dyDescent="0.3">
      <c r="C11675" s="87"/>
    </row>
    <row r="11676" spans="3:3" x14ac:dyDescent="0.3">
      <c r="C11676" s="87"/>
    </row>
    <row r="11677" spans="3:3" x14ac:dyDescent="0.3">
      <c r="C11677" s="87"/>
    </row>
    <row r="11678" spans="3:3" x14ac:dyDescent="0.3">
      <c r="C11678" s="87"/>
    </row>
    <row r="11679" spans="3:3" x14ac:dyDescent="0.3">
      <c r="C11679" s="87"/>
    </row>
    <row r="11680" spans="3:3" x14ac:dyDescent="0.3">
      <c r="C11680" s="87"/>
    </row>
    <row r="11681" spans="3:3" x14ac:dyDescent="0.3">
      <c r="C11681" s="87"/>
    </row>
    <row r="11682" spans="3:3" x14ac:dyDescent="0.3">
      <c r="C11682" s="87"/>
    </row>
    <row r="11683" spans="3:3" x14ac:dyDescent="0.3">
      <c r="C11683" s="87"/>
    </row>
    <row r="11684" spans="3:3" x14ac:dyDescent="0.3">
      <c r="C11684" s="87"/>
    </row>
    <row r="11685" spans="3:3" x14ac:dyDescent="0.3">
      <c r="C11685" s="87"/>
    </row>
    <row r="11686" spans="3:3" x14ac:dyDescent="0.3">
      <c r="C11686" s="87"/>
    </row>
    <row r="11687" spans="3:3" x14ac:dyDescent="0.3">
      <c r="C11687" s="87"/>
    </row>
    <row r="11688" spans="3:3" x14ac:dyDescent="0.3">
      <c r="C11688" s="87"/>
    </row>
    <row r="11689" spans="3:3" x14ac:dyDescent="0.3">
      <c r="C11689" s="87"/>
    </row>
    <row r="11690" spans="3:3" x14ac:dyDescent="0.3">
      <c r="C11690" s="87"/>
    </row>
    <row r="11691" spans="3:3" x14ac:dyDescent="0.3">
      <c r="C11691" s="87"/>
    </row>
    <row r="11692" spans="3:3" x14ac:dyDescent="0.3">
      <c r="C11692" s="87"/>
    </row>
    <row r="11693" spans="3:3" x14ac:dyDescent="0.3">
      <c r="C11693" s="87"/>
    </row>
    <row r="11694" spans="3:3" x14ac:dyDescent="0.3">
      <c r="C11694" s="87"/>
    </row>
    <row r="11695" spans="3:3" x14ac:dyDescent="0.3">
      <c r="C11695" s="87"/>
    </row>
    <row r="11696" spans="3:3" x14ac:dyDescent="0.3">
      <c r="C11696" s="87"/>
    </row>
    <row r="11697" spans="3:3" x14ac:dyDescent="0.3">
      <c r="C11697" s="87"/>
    </row>
    <row r="11698" spans="3:3" x14ac:dyDescent="0.3">
      <c r="C11698" s="87"/>
    </row>
    <row r="11699" spans="3:3" x14ac:dyDescent="0.3">
      <c r="C11699" s="87"/>
    </row>
    <row r="11700" spans="3:3" x14ac:dyDescent="0.3">
      <c r="C11700" s="87"/>
    </row>
    <row r="11701" spans="3:3" x14ac:dyDescent="0.3">
      <c r="C11701" s="87"/>
    </row>
    <row r="11702" spans="3:3" x14ac:dyDescent="0.3">
      <c r="C11702" s="87"/>
    </row>
    <row r="11703" spans="3:3" x14ac:dyDescent="0.3">
      <c r="C11703" s="87"/>
    </row>
    <row r="11704" spans="3:3" x14ac:dyDescent="0.3">
      <c r="C11704" s="87"/>
    </row>
    <row r="11705" spans="3:3" x14ac:dyDescent="0.3">
      <c r="C11705" s="87"/>
    </row>
    <row r="11706" spans="3:3" x14ac:dyDescent="0.3">
      <c r="C11706" s="87"/>
    </row>
    <row r="11707" spans="3:3" x14ac:dyDescent="0.3">
      <c r="C11707" s="87"/>
    </row>
    <row r="11708" spans="3:3" x14ac:dyDescent="0.3">
      <c r="C11708" s="87"/>
    </row>
    <row r="11709" spans="3:3" x14ac:dyDescent="0.3">
      <c r="C11709" s="87"/>
    </row>
    <row r="11710" spans="3:3" x14ac:dyDescent="0.3">
      <c r="C11710" s="87"/>
    </row>
    <row r="11711" spans="3:3" x14ac:dyDescent="0.3">
      <c r="C11711" s="87"/>
    </row>
    <row r="11712" spans="3:3" x14ac:dyDescent="0.3">
      <c r="C11712" s="87"/>
    </row>
    <row r="11713" spans="3:3" x14ac:dyDescent="0.3">
      <c r="C11713" s="87"/>
    </row>
    <row r="11714" spans="3:3" x14ac:dyDescent="0.3">
      <c r="C11714" s="87"/>
    </row>
    <row r="11715" spans="3:3" x14ac:dyDescent="0.3">
      <c r="C11715" s="87"/>
    </row>
    <row r="11716" spans="3:3" x14ac:dyDescent="0.3">
      <c r="C11716" s="87"/>
    </row>
    <row r="11717" spans="3:3" x14ac:dyDescent="0.3">
      <c r="C11717" s="87"/>
    </row>
    <row r="11718" spans="3:3" x14ac:dyDescent="0.3">
      <c r="C11718" s="87"/>
    </row>
    <row r="11719" spans="3:3" x14ac:dyDescent="0.3">
      <c r="C11719" s="87"/>
    </row>
    <row r="11720" spans="3:3" x14ac:dyDescent="0.3">
      <c r="C11720" s="87"/>
    </row>
    <row r="11721" spans="3:3" x14ac:dyDescent="0.3">
      <c r="C11721" s="87"/>
    </row>
    <row r="11722" spans="3:3" x14ac:dyDescent="0.3">
      <c r="C11722" s="87"/>
    </row>
    <row r="11723" spans="3:3" x14ac:dyDescent="0.3">
      <c r="C11723" s="87"/>
    </row>
    <row r="11724" spans="3:3" x14ac:dyDescent="0.3">
      <c r="C11724" s="87"/>
    </row>
    <row r="11725" spans="3:3" x14ac:dyDescent="0.3">
      <c r="C11725" s="87"/>
    </row>
    <row r="11726" spans="3:3" x14ac:dyDescent="0.3">
      <c r="C11726" s="87"/>
    </row>
    <row r="11727" spans="3:3" x14ac:dyDescent="0.3">
      <c r="C11727" s="87"/>
    </row>
    <row r="11728" spans="3:3" x14ac:dyDescent="0.3">
      <c r="C11728" s="87"/>
    </row>
    <row r="11729" spans="3:3" x14ac:dyDescent="0.3">
      <c r="C11729" s="87"/>
    </row>
    <row r="11730" spans="3:3" x14ac:dyDescent="0.3">
      <c r="C11730" s="87"/>
    </row>
    <row r="11731" spans="3:3" x14ac:dyDescent="0.3">
      <c r="C11731" s="87"/>
    </row>
    <row r="11732" spans="3:3" x14ac:dyDescent="0.3">
      <c r="C11732" s="87"/>
    </row>
    <row r="11733" spans="3:3" x14ac:dyDescent="0.3">
      <c r="C11733" s="87"/>
    </row>
    <row r="11734" spans="3:3" x14ac:dyDescent="0.3">
      <c r="C11734" s="87"/>
    </row>
    <row r="11735" spans="3:3" x14ac:dyDescent="0.3">
      <c r="C11735" s="87"/>
    </row>
    <row r="11736" spans="3:3" x14ac:dyDescent="0.3">
      <c r="C11736" s="87"/>
    </row>
    <row r="11737" spans="3:3" x14ac:dyDescent="0.3">
      <c r="C11737" s="87"/>
    </row>
    <row r="11738" spans="3:3" x14ac:dyDescent="0.3">
      <c r="C11738" s="87"/>
    </row>
    <row r="11739" spans="3:3" x14ac:dyDescent="0.3">
      <c r="C11739" s="87"/>
    </row>
    <row r="11740" spans="3:3" x14ac:dyDescent="0.3">
      <c r="C11740" s="87"/>
    </row>
    <row r="11741" spans="3:3" x14ac:dyDescent="0.3">
      <c r="C11741" s="87"/>
    </row>
    <row r="11742" spans="3:3" x14ac:dyDescent="0.3">
      <c r="C11742" s="87"/>
    </row>
    <row r="11743" spans="3:3" x14ac:dyDescent="0.3">
      <c r="C11743" s="87"/>
    </row>
    <row r="11744" spans="3:3" x14ac:dyDescent="0.3">
      <c r="C11744" s="87"/>
    </row>
    <row r="11745" spans="3:3" x14ac:dyDescent="0.3">
      <c r="C11745" s="87"/>
    </row>
    <row r="11746" spans="3:3" x14ac:dyDescent="0.3">
      <c r="C11746" s="87"/>
    </row>
    <row r="11747" spans="3:3" x14ac:dyDescent="0.3">
      <c r="C11747" s="87"/>
    </row>
    <row r="11748" spans="3:3" x14ac:dyDescent="0.3">
      <c r="C11748" s="87"/>
    </row>
    <row r="11749" spans="3:3" x14ac:dyDescent="0.3">
      <c r="C11749" s="87"/>
    </row>
    <row r="11750" spans="3:3" x14ac:dyDescent="0.3">
      <c r="C11750" s="87"/>
    </row>
    <row r="11751" spans="3:3" x14ac:dyDescent="0.3">
      <c r="C11751" s="87"/>
    </row>
    <row r="11752" spans="3:3" x14ac:dyDescent="0.3">
      <c r="C11752" s="87"/>
    </row>
    <row r="11753" spans="3:3" x14ac:dyDescent="0.3">
      <c r="C11753" s="87"/>
    </row>
    <row r="11754" spans="3:3" x14ac:dyDescent="0.3">
      <c r="C11754" s="87"/>
    </row>
    <row r="11755" spans="3:3" x14ac:dyDescent="0.3">
      <c r="C11755" s="87"/>
    </row>
    <row r="11756" spans="3:3" x14ac:dyDescent="0.3">
      <c r="C11756" s="87"/>
    </row>
    <row r="11757" spans="3:3" x14ac:dyDescent="0.3">
      <c r="C11757" s="87"/>
    </row>
    <row r="11758" spans="3:3" x14ac:dyDescent="0.3">
      <c r="C11758" s="87"/>
    </row>
    <row r="11759" spans="3:3" x14ac:dyDescent="0.3">
      <c r="C11759" s="87"/>
    </row>
    <row r="11760" spans="3:3" x14ac:dyDescent="0.3">
      <c r="C11760" s="87"/>
    </row>
    <row r="11761" spans="3:3" x14ac:dyDescent="0.3">
      <c r="C11761" s="87"/>
    </row>
    <row r="11762" spans="3:3" x14ac:dyDescent="0.3">
      <c r="C11762" s="87"/>
    </row>
    <row r="11763" spans="3:3" x14ac:dyDescent="0.3">
      <c r="C11763" s="87"/>
    </row>
    <row r="11764" spans="3:3" x14ac:dyDescent="0.3">
      <c r="C11764" s="87"/>
    </row>
    <row r="11765" spans="3:3" x14ac:dyDescent="0.3">
      <c r="C11765" s="87"/>
    </row>
    <row r="11766" spans="3:3" x14ac:dyDescent="0.3">
      <c r="C11766" s="87"/>
    </row>
    <row r="11767" spans="3:3" x14ac:dyDescent="0.3">
      <c r="C11767" s="87"/>
    </row>
    <row r="11768" spans="3:3" x14ac:dyDescent="0.3">
      <c r="C11768" s="87"/>
    </row>
    <row r="11769" spans="3:3" x14ac:dyDescent="0.3">
      <c r="C11769" s="87"/>
    </row>
    <row r="11770" spans="3:3" x14ac:dyDescent="0.3">
      <c r="C11770" s="87"/>
    </row>
    <row r="11771" spans="3:3" x14ac:dyDescent="0.3">
      <c r="C11771" s="87"/>
    </row>
    <row r="11772" spans="3:3" x14ac:dyDescent="0.3">
      <c r="C11772" s="87"/>
    </row>
    <row r="11773" spans="3:3" x14ac:dyDescent="0.3">
      <c r="C11773" s="87"/>
    </row>
    <row r="11774" spans="3:3" x14ac:dyDescent="0.3">
      <c r="C11774" s="87"/>
    </row>
    <row r="11775" spans="3:3" x14ac:dyDescent="0.3">
      <c r="C11775" s="87"/>
    </row>
    <row r="11776" spans="3:3" x14ac:dyDescent="0.3">
      <c r="C11776" s="87"/>
    </row>
    <row r="11777" spans="3:3" x14ac:dyDescent="0.3">
      <c r="C11777" s="87"/>
    </row>
    <row r="11778" spans="3:3" x14ac:dyDescent="0.3">
      <c r="C11778" s="87"/>
    </row>
    <row r="11779" spans="3:3" x14ac:dyDescent="0.3">
      <c r="C11779" s="87"/>
    </row>
    <row r="11780" spans="3:3" x14ac:dyDescent="0.3">
      <c r="C11780" s="87"/>
    </row>
    <row r="11781" spans="3:3" x14ac:dyDescent="0.3">
      <c r="C11781" s="87"/>
    </row>
    <row r="11782" spans="3:3" x14ac:dyDescent="0.3">
      <c r="C11782" s="87"/>
    </row>
    <row r="11783" spans="3:3" x14ac:dyDescent="0.3">
      <c r="C11783" s="87"/>
    </row>
    <row r="11784" spans="3:3" x14ac:dyDescent="0.3">
      <c r="C11784" s="87"/>
    </row>
    <row r="11785" spans="3:3" x14ac:dyDescent="0.3">
      <c r="C11785" s="87"/>
    </row>
    <row r="11786" spans="3:3" x14ac:dyDescent="0.3">
      <c r="C11786" s="87"/>
    </row>
    <row r="11787" spans="3:3" x14ac:dyDescent="0.3">
      <c r="C11787" s="87"/>
    </row>
    <row r="11788" spans="3:3" x14ac:dyDescent="0.3">
      <c r="C11788" s="87"/>
    </row>
    <row r="11789" spans="3:3" x14ac:dyDescent="0.3">
      <c r="C11789" s="87"/>
    </row>
    <row r="11790" spans="3:3" x14ac:dyDescent="0.3">
      <c r="C11790" s="87"/>
    </row>
    <row r="11791" spans="3:3" x14ac:dyDescent="0.3">
      <c r="C11791" s="87"/>
    </row>
    <row r="11792" spans="3:3" x14ac:dyDescent="0.3">
      <c r="C11792" s="87"/>
    </row>
    <row r="11793" spans="3:3" x14ac:dyDescent="0.3">
      <c r="C11793" s="87"/>
    </row>
    <row r="11794" spans="3:3" x14ac:dyDescent="0.3">
      <c r="C11794" s="87"/>
    </row>
    <row r="11795" spans="3:3" x14ac:dyDescent="0.3">
      <c r="C11795" s="87"/>
    </row>
    <row r="11796" spans="3:3" x14ac:dyDescent="0.3">
      <c r="C11796" s="87"/>
    </row>
    <row r="11797" spans="3:3" x14ac:dyDescent="0.3">
      <c r="C11797" s="87"/>
    </row>
    <row r="11798" spans="3:3" x14ac:dyDescent="0.3">
      <c r="C11798" s="87"/>
    </row>
    <row r="11799" spans="3:3" x14ac:dyDescent="0.3">
      <c r="C11799" s="87"/>
    </row>
    <row r="11800" spans="3:3" x14ac:dyDescent="0.3">
      <c r="C11800" s="87"/>
    </row>
    <row r="11801" spans="3:3" x14ac:dyDescent="0.3">
      <c r="C11801" s="87"/>
    </row>
    <row r="11802" spans="3:3" x14ac:dyDescent="0.3">
      <c r="C11802" s="87"/>
    </row>
    <row r="11803" spans="3:3" x14ac:dyDescent="0.3">
      <c r="C11803" s="87"/>
    </row>
    <row r="11804" spans="3:3" x14ac:dyDescent="0.3">
      <c r="C11804" s="87"/>
    </row>
    <row r="11805" spans="3:3" x14ac:dyDescent="0.3">
      <c r="C11805" s="87"/>
    </row>
    <row r="11806" spans="3:3" x14ac:dyDescent="0.3">
      <c r="C11806" s="87"/>
    </row>
    <row r="11807" spans="3:3" x14ac:dyDescent="0.3">
      <c r="C11807" s="87"/>
    </row>
    <row r="11808" spans="3:3" x14ac:dyDescent="0.3">
      <c r="C11808" s="87"/>
    </row>
    <row r="11809" spans="3:3" x14ac:dyDescent="0.3">
      <c r="C11809" s="87"/>
    </row>
    <row r="11810" spans="3:3" x14ac:dyDescent="0.3">
      <c r="C11810" s="87"/>
    </row>
    <row r="11811" spans="3:3" x14ac:dyDescent="0.3">
      <c r="C11811" s="87"/>
    </row>
    <row r="11812" spans="3:3" x14ac:dyDescent="0.3">
      <c r="C11812" s="87"/>
    </row>
    <row r="11813" spans="3:3" x14ac:dyDescent="0.3">
      <c r="C11813" s="87"/>
    </row>
    <row r="11814" spans="3:3" x14ac:dyDescent="0.3">
      <c r="C11814" s="87"/>
    </row>
    <row r="11815" spans="3:3" x14ac:dyDescent="0.3">
      <c r="C11815" s="87"/>
    </row>
    <row r="11816" spans="3:3" x14ac:dyDescent="0.3">
      <c r="C11816" s="87"/>
    </row>
    <row r="11817" spans="3:3" x14ac:dyDescent="0.3">
      <c r="C11817" s="87"/>
    </row>
    <row r="11818" spans="3:3" x14ac:dyDescent="0.3">
      <c r="C11818" s="87"/>
    </row>
    <row r="11819" spans="3:3" x14ac:dyDescent="0.3">
      <c r="C11819" s="87"/>
    </row>
    <row r="11820" spans="3:3" x14ac:dyDescent="0.3">
      <c r="C11820" s="87"/>
    </row>
    <row r="11821" spans="3:3" x14ac:dyDescent="0.3">
      <c r="C11821" s="87"/>
    </row>
    <row r="11822" spans="3:3" x14ac:dyDescent="0.3">
      <c r="C11822" s="87"/>
    </row>
    <row r="11823" spans="3:3" x14ac:dyDescent="0.3">
      <c r="C11823" s="87"/>
    </row>
    <row r="11824" spans="3:3" x14ac:dyDescent="0.3">
      <c r="C11824" s="87"/>
    </row>
    <row r="11825" spans="3:3" x14ac:dyDescent="0.3">
      <c r="C11825" s="87"/>
    </row>
    <row r="11826" spans="3:3" x14ac:dyDescent="0.3">
      <c r="C11826" s="87"/>
    </row>
    <row r="11827" spans="3:3" x14ac:dyDescent="0.3">
      <c r="C11827" s="87"/>
    </row>
    <row r="11828" spans="3:3" x14ac:dyDescent="0.3">
      <c r="C11828" s="87"/>
    </row>
    <row r="11829" spans="3:3" x14ac:dyDescent="0.3">
      <c r="C11829" s="87"/>
    </row>
    <row r="11830" spans="3:3" x14ac:dyDescent="0.3">
      <c r="C11830" s="87"/>
    </row>
    <row r="11831" spans="3:3" x14ac:dyDescent="0.3">
      <c r="C11831" s="87"/>
    </row>
    <row r="11832" spans="3:3" x14ac:dyDescent="0.3">
      <c r="C11832" s="87"/>
    </row>
    <row r="11833" spans="3:3" x14ac:dyDescent="0.3">
      <c r="C11833" s="87"/>
    </row>
    <row r="11834" spans="3:3" x14ac:dyDescent="0.3">
      <c r="C11834" s="87"/>
    </row>
    <row r="11835" spans="3:3" x14ac:dyDescent="0.3">
      <c r="C11835" s="87"/>
    </row>
    <row r="11836" spans="3:3" x14ac:dyDescent="0.3">
      <c r="C11836" s="87"/>
    </row>
    <row r="11837" spans="3:3" x14ac:dyDescent="0.3">
      <c r="C11837" s="87"/>
    </row>
    <row r="11838" spans="3:3" x14ac:dyDescent="0.3">
      <c r="C11838" s="87"/>
    </row>
    <row r="11839" spans="3:3" x14ac:dyDescent="0.3">
      <c r="C11839" s="87"/>
    </row>
    <row r="11840" spans="3:3" x14ac:dyDescent="0.3">
      <c r="C11840" s="87"/>
    </row>
    <row r="11841" spans="3:3" x14ac:dyDescent="0.3">
      <c r="C11841" s="87"/>
    </row>
    <row r="11842" spans="3:3" x14ac:dyDescent="0.3">
      <c r="C11842" s="87"/>
    </row>
    <row r="11843" spans="3:3" x14ac:dyDescent="0.3">
      <c r="C11843" s="87"/>
    </row>
    <row r="11844" spans="3:3" x14ac:dyDescent="0.3">
      <c r="C11844" s="87"/>
    </row>
    <row r="11845" spans="3:3" x14ac:dyDescent="0.3">
      <c r="C11845" s="87"/>
    </row>
    <row r="11846" spans="3:3" x14ac:dyDescent="0.3">
      <c r="C11846" s="87"/>
    </row>
    <row r="11847" spans="3:3" x14ac:dyDescent="0.3">
      <c r="C11847" s="87"/>
    </row>
    <row r="11848" spans="3:3" x14ac:dyDescent="0.3">
      <c r="C11848" s="87"/>
    </row>
    <row r="11849" spans="3:3" x14ac:dyDescent="0.3">
      <c r="C11849" s="87"/>
    </row>
    <row r="11850" spans="3:3" x14ac:dyDescent="0.3">
      <c r="C11850" s="87"/>
    </row>
    <row r="11851" spans="3:3" x14ac:dyDescent="0.3">
      <c r="C11851" s="87"/>
    </row>
    <row r="11852" spans="3:3" x14ac:dyDescent="0.3">
      <c r="C11852" s="87"/>
    </row>
    <row r="11853" spans="3:3" x14ac:dyDescent="0.3">
      <c r="C11853" s="87"/>
    </row>
    <row r="11854" spans="3:3" x14ac:dyDescent="0.3">
      <c r="C11854" s="87"/>
    </row>
    <row r="11855" spans="3:3" x14ac:dyDescent="0.3">
      <c r="C11855" s="87"/>
    </row>
    <row r="11856" spans="3:3" x14ac:dyDescent="0.3">
      <c r="C11856" s="87"/>
    </row>
    <row r="11857" spans="3:3" x14ac:dyDescent="0.3">
      <c r="C11857" s="87"/>
    </row>
    <row r="11858" spans="3:3" x14ac:dyDescent="0.3">
      <c r="C11858" s="87"/>
    </row>
    <row r="11859" spans="3:3" x14ac:dyDescent="0.3">
      <c r="C11859" s="87"/>
    </row>
    <row r="11860" spans="3:3" x14ac:dyDescent="0.3">
      <c r="C11860" s="87"/>
    </row>
    <row r="11861" spans="3:3" x14ac:dyDescent="0.3">
      <c r="C11861" s="87"/>
    </row>
    <row r="11862" spans="3:3" x14ac:dyDescent="0.3">
      <c r="C11862" s="87"/>
    </row>
    <row r="11863" spans="3:3" x14ac:dyDescent="0.3">
      <c r="C11863" s="87"/>
    </row>
    <row r="11864" spans="3:3" x14ac:dyDescent="0.3">
      <c r="C11864" s="87"/>
    </row>
    <row r="11865" spans="3:3" x14ac:dyDescent="0.3">
      <c r="C11865" s="87"/>
    </row>
    <row r="11866" spans="3:3" x14ac:dyDescent="0.3">
      <c r="C11866" s="87"/>
    </row>
    <row r="11867" spans="3:3" x14ac:dyDescent="0.3">
      <c r="C11867" s="87"/>
    </row>
    <row r="11868" spans="3:3" x14ac:dyDescent="0.3">
      <c r="C11868" s="87"/>
    </row>
    <row r="11869" spans="3:3" x14ac:dyDescent="0.3">
      <c r="C11869" s="87"/>
    </row>
    <row r="11870" spans="3:3" x14ac:dyDescent="0.3">
      <c r="C11870" s="87"/>
    </row>
    <row r="11871" spans="3:3" x14ac:dyDescent="0.3">
      <c r="C11871" s="87"/>
    </row>
    <row r="11872" spans="3:3" x14ac:dyDescent="0.3">
      <c r="C11872" s="87"/>
    </row>
    <row r="11873" spans="3:3" x14ac:dyDescent="0.3">
      <c r="C11873" s="87"/>
    </row>
    <row r="11874" spans="3:3" x14ac:dyDescent="0.3">
      <c r="C11874" s="87"/>
    </row>
    <row r="11875" spans="3:3" x14ac:dyDescent="0.3">
      <c r="C11875" s="87"/>
    </row>
    <row r="11876" spans="3:3" x14ac:dyDescent="0.3">
      <c r="C11876" s="87"/>
    </row>
    <row r="11877" spans="3:3" x14ac:dyDescent="0.3">
      <c r="C11877" s="87"/>
    </row>
    <row r="11878" spans="3:3" x14ac:dyDescent="0.3">
      <c r="C11878" s="87"/>
    </row>
    <row r="11879" spans="3:3" x14ac:dyDescent="0.3">
      <c r="C11879" s="87"/>
    </row>
    <row r="11880" spans="3:3" x14ac:dyDescent="0.3">
      <c r="C11880" s="87"/>
    </row>
    <row r="11881" spans="3:3" x14ac:dyDescent="0.3">
      <c r="C11881" s="87"/>
    </row>
    <row r="11882" spans="3:3" x14ac:dyDescent="0.3">
      <c r="C11882" s="87"/>
    </row>
    <row r="11883" spans="3:3" x14ac:dyDescent="0.3">
      <c r="C11883" s="87"/>
    </row>
    <row r="11884" spans="3:3" x14ac:dyDescent="0.3">
      <c r="C11884" s="87"/>
    </row>
    <row r="11885" spans="3:3" x14ac:dyDescent="0.3">
      <c r="C11885" s="87"/>
    </row>
    <row r="11886" spans="3:3" x14ac:dyDescent="0.3">
      <c r="C11886" s="87"/>
    </row>
    <row r="11887" spans="3:3" x14ac:dyDescent="0.3">
      <c r="C11887" s="87"/>
    </row>
    <row r="11888" spans="3:3" x14ac:dyDescent="0.3">
      <c r="C11888" s="87"/>
    </row>
    <row r="11889" spans="3:3" x14ac:dyDescent="0.3">
      <c r="C11889" s="87"/>
    </row>
    <row r="11890" spans="3:3" x14ac:dyDescent="0.3">
      <c r="C11890" s="87"/>
    </row>
    <row r="11891" spans="3:3" x14ac:dyDescent="0.3">
      <c r="C11891" s="87"/>
    </row>
    <row r="11892" spans="3:3" x14ac:dyDescent="0.3">
      <c r="C11892" s="87"/>
    </row>
    <row r="11893" spans="3:3" x14ac:dyDescent="0.3">
      <c r="C11893" s="87"/>
    </row>
    <row r="11894" spans="3:3" x14ac:dyDescent="0.3">
      <c r="C11894" s="87"/>
    </row>
    <row r="11895" spans="3:3" x14ac:dyDescent="0.3">
      <c r="C11895" s="87"/>
    </row>
    <row r="11896" spans="3:3" x14ac:dyDescent="0.3">
      <c r="C11896" s="87"/>
    </row>
    <row r="11897" spans="3:3" x14ac:dyDescent="0.3">
      <c r="C11897" s="87"/>
    </row>
    <row r="11898" spans="3:3" x14ac:dyDescent="0.3">
      <c r="C11898" s="87"/>
    </row>
    <row r="11899" spans="3:3" x14ac:dyDescent="0.3">
      <c r="C11899" s="87"/>
    </row>
    <row r="11900" spans="3:3" x14ac:dyDescent="0.3">
      <c r="C11900" s="87"/>
    </row>
    <row r="11901" spans="3:3" x14ac:dyDescent="0.3">
      <c r="C11901" s="87"/>
    </row>
    <row r="11902" spans="3:3" x14ac:dyDescent="0.3">
      <c r="C11902" s="87"/>
    </row>
    <row r="11903" spans="3:3" x14ac:dyDescent="0.3">
      <c r="C11903" s="87"/>
    </row>
    <row r="11904" spans="3:3" x14ac:dyDescent="0.3">
      <c r="C11904" s="87"/>
    </row>
    <row r="11905" spans="3:3" x14ac:dyDescent="0.3">
      <c r="C11905" s="87"/>
    </row>
    <row r="11906" spans="3:3" x14ac:dyDescent="0.3">
      <c r="C11906" s="87"/>
    </row>
    <row r="11907" spans="3:3" x14ac:dyDescent="0.3">
      <c r="C11907" s="87"/>
    </row>
    <row r="11908" spans="3:3" x14ac:dyDescent="0.3">
      <c r="C11908" s="87"/>
    </row>
    <row r="11909" spans="3:3" x14ac:dyDescent="0.3">
      <c r="C11909" s="87"/>
    </row>
    <row r="11910" spans="3:3" x14ac:dyDescent="0.3">
      <c r="C11910" s="87"/>
    </row>
    <row r="11911" spans="3:3" x14ac:dyDescent="0.3">
      <c r="C11911" s="87"/>
    </row>
    <row r="11912" spans="3:3" x14ac:dyDescent="0.3">
      <c r="C11912" s="87"/>
    </row>
    <row r="11913" spans="3:3" x14ac:dyDescent="0.3">
      <c r="C11913" s="87"/>
    </row>
    <row r="11914" spans="3:3" x14ac:dyDescent="0.3">
      <c r="C11914" s="87"/>
    </row>
    <row r="11915" spans="3:3" x14ac:dyDescent="0.3">
      <c r="C11915" s="87"/>
    </row>
    <row r="11916" spans="3:3" x14ac:dyDescent="0.3">
      <c r="C11916" s="87"/>
    </row>
    <row r="11917" spans="3:3" x14ac:dyDescent="0.3">
      <c r="C11917" s="87"/>
    </row>
    <row r="11918" spans="3:3" x14ac:dyDescent="0.3">
      <c r="C11918" s="87"/>
    </row>
    <row r="11919" spans="3:3" x14ac:dyDescent="0.3">
      <c r="C11919" s="87"/>
    </row>
    <row r="11920" spans="3:3" x14ac:dyDescent="0.3">
      <c r="C11920" s="87"/>
    </row>
    <row r="11921" spans="3:3" x14ac:dyDescent="0.3">
      <c r="C11921" s="87"/>
    </row>
    <row r="11922" spans="3:3" x14ac:dyDescent="0.3">
      <c r="C11922" s="87"/>
    </row>
    <row r="11923" spans="3:3" x14ac:dyDescent="0.3">
      <c r="C11923" s="87"/>
    </row>
    <row r="11924" spans="3:3" x14ac:dyDescent="0.3">
      <c r="C11924" s="87"/>
    </row>
    <row r="11925" spans="3:3" x14ac:dyDescent="0.3">
      <c r="C11925" s="87"/>
    </row>
    <row r="11926" spans="3:3" x14ac:dyDescent="0.3">
      <c r="C11926" s="87"/>
    </row>
    <row r="11927" spans="3:3" x14ac:dyDescent="0.3">
      <c r="C11927" s="87"/>
    </row>
    <row r="11928" spans="3:3" x14ac:dyDescent="0.3">
      <c r="C11928" s="87"/>
    </row>
    <row r="11929" spans="3:3" x14ac:dyDescent="0.3">
      <c r="C11929" s="87"/>
    </row>
    <row r="11930" spans="3:3" x14ac:dyDescent="0.3">
      <c r="C11930" s="87"/>
    </row>
    <row r="11931" spans="3:3" x14ac:dyDescent="0.3">
      <c r="C11931" s="87"/>
    </row>
    <row r="11932" spans="3:3" x14ac:dyDescent="0.3">
      <c r="C11932" s="87"/>
    </row>
    <row r="11933" spans="3:3" x14ac:dyDescent="0.3">
      <c r="C11933" s="87"/>
    </row>
    <row r="11934" spans="3:3" x14ac:dyDescent="0.3">
      <c r="C11934" s="87"/>
    </row>
    <row r="11935" spans="3:3" x14ac:dyDescent="0.3">
      <c r="C11935" s="87"/>
    </row>
    <row r="11936" spans="3:3" x14ac:dyDescent="0.3">
      <c r="C11936" s="87"/>
    </row>
    <row r="11937" spans="3:3" x14ac:dyDescent="0.3">
      <c r="C11937" s="87"/>
    </row>
    <row r="11938" spans="3:3" x14ac:dyDescent="0.3">
      <c r="C11938" s="87"/>
    </row>
    <row r="11939" spans="3:3" x14ac:dyDescent="0.3">
      <c r="C11939" s="87"/>
    </row>
    <row r="11940" spans="3:3" x14ac:dyDescent="0.3">
      <c r="C11940" s="87"/>
    </row>
    <row r="11941" spans="3:3" x14ac:dyDescent="0.3">
      <c r="C11941" s="87"/>
    </row>
    <row r="11942" spans="3:3" x14ac:dyDescent="0.3">
      <c r="C11942" s="87"/>
    </row>
    <row r="11943" spans="3:3" x14ac:dyDescent="0.3">
      <c r="C11943" s="87"/>
    </row>
    <row r="11944" spans="3:3" x14ac:dyDescent="0.3">
      <c r="C11944" s="87"/>
    </row>
    <row r="11945" spans="3:3" x14ac:dyDescent="0.3">
      <c r="C11945" s="87"/>
    </row>
    <row r="11946" spans="3:3" x14ac:dyDescent="0.3">
      <c r="C11946" s="87"/>
    </row>
    <row r="11947" spans="3:3" x14ac:dyDescent="0.3">
      <c r="C11947" s="87"/>
    </row>
    <row r="11948" spans="3:3" x14ac:dyDescent="0.3">
      <c r="C11948" s="87"/>
    </row>
    <row r="11949" spans="3:3" x14ac:dyDescent="0.3">
      <c r="C11949" s="87"/>
    </row>
    <row r="11950" spans="3:3" x14ac:dyDescent="0.3">
      <c r="C11950" s="87"/>
    </row>
    <row r="11951" spans="3:3" x14ac:dyDescent="0.3">
      <c r="C11951" s="87"/>
    </row>
    <row r="11952" spans="3:3" x14ac:dyDescent="0.3">
      <c r="C11952" s="87"/>
    </row>
    <row r="11953" spans="3:3" x14ac:dyDescent="0.3">
      <c r="C11953" s="87"/>
    </row>
    <row r="11954" spans="3:3" x14ac:dyDescent="0.3">
      <c r="C11954" s="87"/>
    </row>
    <row r="11955" spans="3:3" x14ac:dyDescent="0.3">
      <c r="C11955" s="87"/>
    </row>
    <row r="11956" spans="3:3" x14ac:dyDescent="0.3">
      <c r="C11956" s="87"/>
    </row>
    <row r="11957" spans="3:3" x14ac:dyDescent="0.3">
      <c r="C11957" s="87"/>
    </row>
    <row r="11958" spans="3:3" x14ac:dyDescent="0.3">
      <c r="C11958" s="87"/>
    </row>
    <row r="11959" spans="3:3" x14ac:dyDescent="0.3">
      <c r="C11959" s="87"/>
    </row>
    <row r="11960" spans="3:3" x14ac:dyDescent="0.3">
      <c r="C11960" s="87"/>
    </row>
    <row r="11961" spans="3:3" x14ac:dyDescent="0.3">
      <c r="C11961" s="87"/>
    </row>
    <row r="11962" spans="3:3" x14ac:dyDescent="0.3">
      <c r="C11962" s="87"/>
    </row>
    <row r="11963" spans="3:3" x14ac:dyDescent="0.3">
      <c r="C11963" s="87"/>
    </row>
    <row r="11964" spans="3:3" x14ac:dyDescent="0.3">
      <c r="C11964" s="87"/>
    </row>
    <row r="11965" spans="3:3" x14ac:dyDescent="0.3">
      <c r="C11965" s="87"/>
    </row>
    <row r="11966" spans="3:3" x14ac:dyDescent="0.3">
      <c r="C11966" s="87"/>
    </row>
    <row r="11967" spans="3:3" x14ac:dyDescent="0.3">
      <c r="C11967" s="87"/>
    </row>
    <row r="11968" spans="3:3" x14ac:dyDescent="0.3">
      <c r="C11968" s="87"/>
    </row>
    <row r="11969" spans="3:3" x14ac:dyDescent="0.3">
      <c r="C11969" s="87"/>
    </row>
    <row r="11970" spans="3:3" x14ac:dyDescent="0.3">
      <c r="C11970" s="87"/>
    </row>
    <row r="11971" spans="3:3" x14ac:dyDescent="0.3">
      <c r="C11971" s="87"/>
    </row>
    <row r="11972" spans="3:3" x14ac:dyDescent="0.3">
      <c r="C11972" s="87"/>
    </row>
    <row r="11973" spans="3:3" x14ac:dyDescent="0.3">
      <c r="C11973" s="87"/>
    </row>
    <row r="11974" spans="3:3" x14ac:dyDescent="0.3">
      <c r="C11974" s="87"/>
    </row>
    <row r="11975" spans="3:3" x14ac:dyDescent="0.3">
      <c r="C11975" s="87"/>
    </row>
    <row r="11976" spans="3:3" x14ac:dyDescent="0.3">
      <c r="C11976" s="87"/>
    </row>
    <row r="11977" spans="3:3" x14ac:dyDescent="0.3">
      <c r="C11977" s="87"/>
    </row>
    <row r="11978" spans="3:3" x14ac:dyDescent="0.3">
      <c r="C11978" s="87"/>
    </row>
    <row r="11979" spans="3:3" x14ac:dyDescent="0.3">
      <c r="C11979" s="87"/>
    </row>
    <row r="11980" spans="3:3" x14ac:dyDescent="0.3">
      <c r="C11980" s="87"/>
    </row>
    <row r="11981" spans="3:3" x14ac:dyDescent="0.3">
      <c r="C11981" s="87"/>
    </row>
    <row r="11982" spans="3:3" x14ac:dyDescent="0.3">
      <c r="C11982" s="87"/>
    </row>
    <row r="11983" spans="3:3" x14ac:dyDescent="0.3">
      <c r="C11983" s="87"/>
    </row>
    <row r="11984" spans="3:3" x14ac:dyDescent="0.3">
      <c r="C11984" s="87"/>
    </row>
    <row r="11985" spans="3:3" x14ac:dyDescent="0.3">
      <c r="C11985" s="87"/>
    </row>
    <row r="11986" spans="3:3" x14ac:dyDescent="0.3">
      <c r="C11986" s="87"/>
    </row>
    <row r="11987" spans="3:3" x14ac:dyDescent="0.3">
      <c r="C11987" s="87"/>
    </row>
    <row r="11988" spans="3:3" x14ac:dyDescent="0.3">
      <c r="C11988" s="87"/>
    </row>
    <row r="11989" spans="3:3" x14ac:dyDescent="0.3">
      <c r="C11989" s="87"/>
    </row>
    <row r="11990" spans="3:3" x14ac:dyDescent="0.3">
      <c r="C11990" s="87"/>
    </row>
    <row r="11991" spans="3:3" x14ac:dyDescent="0.3">
      <c r="C11991" s="87"/>
    </row>
    <row r="11992" spans="3:3" x14ac:dyDescent="0.3">
      <c r="C11992" s="87"/>
    </row>
    <row r="11993" spans="3:3" x14ac:dyDescent="0.3">
      <c r="C11993" s="87"/>
    </row>
    <row r="11994" spans="3:3" x14ac:dyDescent="0.3">
      <c r="C11994" s="87"/>
    </row>
    <row r="11995" spans="3:3" x14ac:dyDescent="0.3">
      <c r="C11995" s="87"/>
    </row>
    <row r="11996" spans="3:3" x14ac:dyDescent="0.3">
      <c r="C11996" s="87"/>
    </row>
    <row r="11997" spans="3:3" x14ac:dyDescent="0.3">
      <c r="C11997" s="87"/>
    </row>
    <row r="11998" spans="3:3" x14ac:dyDescent="0.3">
      <c r="C11998" s="87"/>
    </row>
    <row r="11999" spans="3:3" x14ac:dyDescent="0.3">
      <c r="C11999" s="87"/>
    </row>
    <row r="12000" spans="3:3" x14ac:dyDescent="0.3">
      <c r="C12000" s="87"/>
    </row>
    <row r="12001" spans="3:3" x14ac:dyDescent="0.3">
      <c r="C12001" s="87"/>
    </row>
    <row r="12002" spans="3:3" x14ac:dyDescent="0.3">
      <c r="C12002" s="87"/>
    </row>
    <row r="12003" spans="3:3" x14ac:dyDescent="0.3">
      <c r="C12003" s="87"/>
    </row>
    <row r="12004" spans="3:3" x14ac:dyDescent="0.3">
      <c r="C12004" s="87"/>
    </row>
    <row r="12005" spans="3:3" x14ac:dyDescent="0.3">
      <c r="C12005" s="87"/>
    </row>
    <row r="12006" spans="3:3" x14ac:dyDescent="0.3">
      <c r="C12006" s="87"/>
    </row>
    <row r="12007" spans="3:3" x14ac:dyDescent="0.3">
      <c r="C12007" s="87"/>
    </row>
    <row r="12008" spans="3:3" x14ac:dyDescent="0.3">
      <c r="C12008" s="87"/>
    </row>
    <row r="12009" spans="3:3" x14ac:dyDescent="0.3">
      <c r="C12009" s="87"/>
    </row>
    <row r="12010" spans="3:3" x14ac:dyDescent="0.3">
      <c r="C12010" s="87"/>
    </row>
    <row r="12011" spans="3:3" x14ac:dyDescent="0.3">
      <c r="C12011" s="87"/>
    </row>
    <row r="12012" spans="3:3" x14ac:dyDescent="0.3">
      <c r="C12012" s="87"/>
    </row>
    <row r="12013" spans="3:3" x14ac:dyDescent="0.3">
      <c r="C12013" s="87"/>
    </row>
    <row r="12014" spans="3:3" x14ac:dyDescent="0.3">
      <c r="C12014" s="87"/>
    </row>
    <row r="12015" spans="3:3" x14ac:dyDescent="0.3">
      <c r="C12015" s="87"/>
    </row>
    <row r="12016" spans="3:3" x14ac:dyDescent="0.3">
      <c r="C12016" s="87"/>
    </row>
    <row r="12017" spans="3:3" x14ac:dyDescent="0.3">
      <c r="C12017" s="87"/>
    </row>
    <row r="12018" spans="3:3" x14ac:dyDescent="0.3">
      <c r="C12018" s="87"/>
    </row>
    <row r="12019" spans="3:3" x14ac:dyDescent="0.3">
      <c r="C12019" s="87"/>
    </row>
    <row r="12020" spans="3:3" x14ac:dyDescent="0.3">
      <c r="C12020" s="87"/>
    </row>
    <row r="12021" spans="3:3" x14ac:dyDescent="0.3">
      <c r="C12021" s="87"/>
    </row>
    <row r="12022" spans="3:3" x14ac:dyDescent="0.3">
      <c r="C12022" s="87"/>
    </row>
    <row r="12023" spans="3:3" x14ac:dyDescent="0.3">
      <c r="C12023" s="87"/>
    </row>
    <row r="12024" spans="3:3" x14ac:dyDescent="0.3">
      <c r="C12024" s="87"/>
    </row>
    <row r="12025" spans="3:3" x14ac:dyDescent="0.3">
      <c r="C12025" s="87"/>
    </row>
    <row r="12026" spans="3:3" x14ac:dyDescent="0.3">
      <c r="C12026" s="87"/>
    </row>
    <row r="12027" spans="3:3" x14ac:dyDescent="0.3">
      <c r="C12027" s="87"/>
    </row>
    <row r="12028" spans="3:3" x14ac:dyDescent="0.3">
      <c r="C12028" s="87"/>
    </row>
    <row r="12029" spans="3:3" x14ac:dyDescent="0.3">
      <c r="C12029" s="87"/>
    </row>
    <row r="12030" spans="3:3" x14ac:dyDescent="0.3">
      <c r="C12030" s="87"/>
    </row>
    <row r="12031" spans="3:3" x14ac:dyDescent="0.3">
      <c r="C12031" s="87"/>
    </row>
    <row r="12032" spans="3:3" x14ac:dyDescent="0.3">
      <c r="C12032" s="87"/>
    </row>
    <row r="12033" spans="3:3" x14ac:dyDescent="0.3">
      <c r="C12033" s="87"/>
    </row>
    <row r="12034" spans="3:3" x14ac:dyDescent="0.3">
      <c r="C12034" s="87"/>
    </row>
    <row r="12035" spans="3:3" x14ac:dyDescent="0.3">
      <c r="C12035" s="87"/>
    </row>
    <row r="12036" spans="3:3" x14ac:dyDescent="0.3">
      <c r="C12036" s="87"/>
    </row>
    <row r="12037" spans="3:3" x14ac:dyDescent="0.3">
      <c r="C12037" s="87"/>
    </row>
    <row r="12038" spans="3:3" x14ac:dyDescent="0.3">
      <c r="C12038" s="87"/>
    </row>
    <row r="12039" spans="3:3" x14ac:dyDescent="0.3">
      <c r="C12039" s="87"/>
    </row>
    <row r="12040" spans="3:3" x14ac:dyDescent="0.3">
      <c r="C12040" s="87"/>
    </row>
    <row r="12041" spans="3:3" x14ac:dyDescent="0.3">
      <c r="C12041" s="87"/>
    </row>
    <row r="12042" spans="3:3" x14ac:dyDescent="0.3">
      <c r="C12042" s="87"/>
    </row>
    <row r="12043" spans="3:3" x14ac:dyDescent="0.3">
      <c r="C12043" s="87"/>
    </row>
    <row r="12044" spans="3:3" x14ac:dyDescent="0.3">
      <c r="C12044" s="87"/>
    </row>
    <row r="12045" spans="3:3" x14ac:dyDescent="0.3">
      <c r="C12045" s="87"/>
    </row>
    <row r="12046" spans="3:3" x14ac:dyDescent="0.3">
      <c r="C12046" s="87"/>
    </row>
    <row r="12047" spans="3:3" x14ac:dyDescent="0.3">
      <c r="C12047" s="87"/>
    </row>
    <row r="12048" spans="3:3" x14ac:dyDescent="0.3">
      <c r="C12048" s="87"/>
    </row>
    <row r="12049" spans="3:3" x14ac:dyDescent="0.3">
      <c r="C12049" s="87"/>
    </row>
    <row r="12050" spans="3:3" x14ac:dyDescent="0.3">
      <c r="C12050" s="87"/>
    </row>
    <row r="12051" spans="3:3" x14ac:dyDescent="0.3">
      <c r="C12051" s="87"/>
    </row>
    <row r="12052" spans="3:3" x14ac:dyDescent="0.3">
      <c r="C12052" s="87"/>
    </row>
    <row r="12053" spans="3:3" x14ac:dyDescent="0.3">
      <c r="C12053" s="87"/>
    </row>
    <row r="12054" spans="3:3" x14ac:dyDescent="0.3">
      <c r="C12054" s="87"/>
    </row>
    <row r="12055" spans="3:3" x14ac:dyDescent="0.3">
      <c r="C12055" s="87"/>
    </row>
    <row r="12056" spans="3:3" x14ac:dyDescent="0.3">
      <c r="C12056" s="87"/>
    </row>
    <row r="12057" spans="3:3" x14ac:dyDescent="0.3">
      <c r="C12057" s="87"/>
    </row>
    <row r="12058" spans="3:3" x14ac:dyDescent="0.3">
      <c r="C12058" s="87"/>
    </row>
    <row r="12059" spans="3:3" x14ac:dyDescent="0.3">
      <c r="C12059" s="87"/>
    </row>
    <row r="12060" spans="3:3" x14ac:dyDescent="0.3">
      <c r="C12060" s="87"/>
    </row>
    <row r="12061" spans="3:3" x14ac:dyDescent="0.3">
      <c r="C12061" s="87"/>
    </row>
    <row r="12062" spans="3:3" x14ac:dyDescent="0.3">
      <c r="C12062" s="87"/>
    </row>
    <row r="12063" spans="3:3" x14ac:dyDescent="0.3">
      <c r="C12063" s="87"/>
    </row>
    <row r="12064" spans="3:3" x14ac:dyDescent="0.3">
      <c r="C12064" s="87"/>
    </row>
    <row r="12065" spans="3:3" x14ac:dyDescent="0.3">
      <c r="C12065" s="87"/>
    </row>
    <row r="12066" spans="3:3" x14ac:dyDescent="0.3">
      <c r="C12066" s="87"/>
    </row>
    <row r="12067" spans="3:3" x14ac:dyDescent="0.3">
      <c r="C12067" s="87"/>
    </row>
    <row r="12068" spans="3:3" x14ac:dyDescent="0.3">
      <c r="C12068" s="87"/>
    </row>
    <row r="12069" spans="3:3" x14ac:dyDescent="0.3">
      <c r="C12069" s="87"/>
    </row>
    <row r="12070" spans="3:3" x14ac:dyDescent="0.3">
      <c r="C12070" s="87"/>
    </row>
    <row r="12071" spans="3:3" x14ac:dyDescent="0.3">
      <c r="C12071" s="87"/>
    </row>
    <row r="12072" spans="3:3" x14ac:dyDescent="0.3">
      <c r="C12072" s="87"/>
    </row>
    <row r="12073" spans="3:3" x14ac:dyDescent="0.3">
      <c r="C12073" s="87"/>
    </row>
    <row r="12074" spans="3:3" x14ac:dyDescent="0.3">
      <c r="C12074" s="87"/>
    </row>
    <row r="12075" spans="3:3" x14ac:dyDescent="0.3">
      <c r="C12075" s="87"/>
    </row>
    <row r="12076" spans="3:3" x14ac:dyDescent="0.3">
      <c r="C12076" s="87"/>
    </row>
    <row r="12077" spans="3:3" x14ac:dyDescent="0.3">
      <c r="C12077" s="87"/>
    </row>
    <row r="12078" spans="3:3" x14ac:dyDescent="0.3">
      <c r="C12078" s="87"/>
    </row>
    <row r="12079" spans="3:3" x14ac:dyDescent="0.3">
      <c r="C12079" s="87"/>
    </row>
    <row r="12080" spans="3:3" x14ac:dyDescent="0.3">
      <c r="C12080" s="87"/>
    </row>
    <row r="12081" spans="3:3" x14ac:dyDescent="0.3">
      <c r="C12081" s="87"/>
    </row>
    <row r="12082" spans="3:3" x14ac:dyDescent="0.3">
      <c r="C12082" s="87"/>
    </row>
    <row r="12083" spans="3:3" x14ac:dyDescent="0.3">
      <c r="C12083" s="87"/>
    </row>
    <row r="12084" spans="3:3" x14ac:dyDescent="0.3">
      <c r="C12084" s="87"/>
    </row>
    <row r="12085" spans="3:3" x14ac:dyDescent="0.3">
      <c r="C12085" s="87"/>
    </row>
    <row r="12086" spans="3:3" x14ac:dyDescent="0.3">
      <c r="C12086" s="87"/>
    </row>
    <row r="12087" spans="3:3" x14ac:dyDescent="0.3">
      <c r="C12087" s="87"/>
    </row>
    <row r="12088" spans="3:3" x14ac:dyDescent="0.3">
      <c r="C12088" s="87"/>
    </row>
    <row r="12089" spans="3:3" x14ac:dyDescent="0.3">
      <c r="C12089" s="87"/>
    </row>
    <row r="12090" spans="3:3" x14ac:dyDescent="0.3">
      <c r="C12090" s="87"/>
    </row>
    <row r="12091" spans="3:3" x14ac:dyDescent="0.3">
      <c r="C12091" s="87"/>
    </row>
    <row r="12092" spans="3:3" x14ac:dyDescent="0.3">
      <c r="C12092" s="87"/>
    </row>
    <row r="12093" spans="3:3" x14ac:dyDescent="0.3">
      <c r="C12093" s="87"/>
    </row>
    <row r="12094" spans="3:3" x14ac:dyDescent="0.3">
      <c r="C12094" s="87"/>
    </row>
    <row r="12095" spans="3:3" x14ac:dyDescent="0.3">
      <c r="C12095" s="87"/>
    </row>
    <row r="12096" spans="3:3" x14ac:dyDescent="0.3">
      <c r="C12096" s="87"/>
    </row>
    <row r="12097" spans="3:3" x14ac:dyDescent="0.3">
      <c r="C12097" s="87"/>
    </row>
    <row r="12098" spans="3:3" x14ac:dyDescent="0.3">
      <c r="C12098" s="87"/>
    </row>
    <row r="12099" spans="3:3" x14ac:dyDescent="0.3">
      <c r="C12099" s="87"/>
    </row>
    <row r="12100" spans="3:3" x14ac:dyDescent="0.3">
      <c r="C12100" s="87"/>
    </row>
    <row r="12101" spans="3:3" x14ac:dyDescent="0.3">
      <c r="C12101" s="87"/>
    </row>
    <row r="12102" spans="3:3" x14ac:dyDescent="0.3">
      <c r="C12102" s="87"/>
    </row>
    <row r="12103" spans="3:3" x14ac:dyDescent="0.3">
      <c r="C12103" s="87"/>
    </row>
    <row r="12104" spans="3:3" x14ac:dyDescent="0.3">
      <c r="C12104" s="87"/>
    </row>
    <row r="12105" spans="3:3" x14ac:dyDescent="0.3">
      <c r="C12105" s="87"/>
    </row>
    <row r="12106" spans="3:3" x14ac:dyDescent="0.3">
      <c r="C12106" s="87"/>
    </row>
    <row r="12107" spans="3:3" x14ac:dyDescent="0.3">
      <c r="C12107" s="87"/>
    </row>
    <row r="12108" spans="3:3" x14ac:dyDescent="0.3">
      <c r="C12108" s="87"/>
    </row>
    <row r="12109" spans="3:3" x14ac:dyDescent="0.3">
      <c r="C12109" s="87"/>
    </row>
    <row r="12110" spans="3:3" x14ac:dyDescent="0.3">
      <c r="C12110" s="87"/>
    </row>
    <row r="12111" spans="3:3" x14ac:dyDescent="0.3">
      <c r="C12111" s="87"/>
    </row>
    <row r="12112" spans="3:3" x14ac:dyDescent="0.3">
      <c r="C12112" s="87"/>
    </row>
    <row r="12113" spans="3:3" x14ac:dyDescent="0.3">
      <c r="C12113" s="87"/>
    </row>
    <row r="12114" spans="3:3" x14ac:dyDescent="0.3">
      <c r="C12114" s="87"/>
    </row>
    <row r="12115" spans="3:3" x14ac:dyDescent="0.3">
      <c r="C12115" s="87"/>
    </row>
    <row r="12116" spans="3:3" x14ac:dyDescent="0.3">
      <c r="C12116" s="87"/>
    </row>
    <row r="12117" spans="3:3" x14ac:dyDescent="0.3">
      <c r="C12117" s="87"/>
    </row>
    <row r="12118" spans="3:3" x14ac:dyDescent="0.3">
      <c r="C12118" s="87"/>
    </row>
    <row r="12119" spans="3:3" x14ac:dyDescent="0.3">
      <c r="C12119" s="87"/>
    </row>
    <row r="12120" spans="3:3" x14ac:dyDescent="0.3">
      <c r="C12120" s="87"/>
    </row>
    <row r="12121" spans="3:3" x14ac:dyDescent="0.3">
      <c r="C12121" s="87"/>
    </row>
    <row r="12122" spans="3:3" x14ac:dyDescent="0.3">
      <c r="C12122" s="87"/>
    </row>
    <row r="12123" spans="3:3" x14ac:dyDescent="0.3">
      <c r="C12123" s="87"/>
    </row>
    <row r="12124" spans="3:3" x14ac:dyDescent="0.3">
      <c r="C12124" s="87"/>
    </row>
    <row r="12125" spans="3:3" x14ac:dyDescent="0.3">
      <c r="C12125" s="87"/>
    </row>
    <row r="12126" spans="3:3" x14ac:dyDescent="0.3">
      <c r="C12126" s="87"/>
    </row>
    <row r="12127" spans="3:3" x14ac:dyDescent="0.3">
      <c r="C12127" s="87"/>
    </row>
    <row r="12128" spans="3:3" x14ac:dyDescent="0.3">
      <c r="C12128" s="87"/>
    </row>
    <row r="12129" spans="3:3" x14ac:dyDescent="0.3">
      <c r="C12129" s="87"/>
    </row>
    <row r="12130" spans="3:3" x14ac:dyDescent="0.3">
      <c r="C12130" s="87"/>
    </row>
    <row r="12131" spans="3:3" x14ac:dyDescent="0.3">
      <c r="C12131" s="87"/>
    </row>
    <row r="12132" spans="3:3" x14ac:dyDescent="0.3">
      <c r="C12132" s="87"/>
    </row>
    <row r="12133" spans="3:3" x14ac:dyDescent="0.3">
      <c r="C12133" s="87"/>
    </row>
    <row r="12134" spans="3:3" x14ac:dyDescent="0.3">
      <c r="C12134" s="87"/>
    </row>
    <row r="12135" spans="3:3" x14ac:dyDescent="0.3">
      <c r="C12135" s="87"/>
    </row>
    <row r="12136" spans="3:3" x14ac:dyDescent="0.3">
      <c r="C12136" s="87"/>
    </row>
    <row r="12137" spans="3:3" x14ac:dyDescent="0.3">
      <c r="C12137" s="87"/>
    </row>
    <row r="12138" spans="3:3" x14ac:dyDescent="0.3">
      <c r="C12138" s="87"/>
    </row>
    <row r="12139" spans="3:3" x14ac:dyDescent="0.3">
      <c r="C12139" s="87"/>
    </row>
    <row r="12140" spans="3:3" x14ac:dyDescent="0.3">
      <c r="C12140" s="87"/>
    </row>
    <row r="12141" spans="3:3" x14ac:dyDescent="0.3">
      <c r="C12141" s="87"/>
    </row>
    <row r="12142" spans="3:3" x14ac:dyDescent="0.3">
      <c r="C12142" s="87"/>
    </row>
    <row r="12143" spans="3:3" x14ac:dyDescent="0.3">
      <c r="C12143" s="87"/>
    </row>
    <row r="12144" spans="3:3" x14ac:dyDescent="0.3">
      <c r="C12144" s="87"/>
    </row>
    <row r="12145" spans="3:3" x14ac:dyDescent="0.3">
      <c r="C12145" s="87"/>
    </row>
    <row r="12146" spans="3:3" x14ac:dyDescent="0.3">
      <c r="C12146" s="87"/>
    </row>
    <row r="12147" spans="3:3" x14ac:dyDescent="0.3">
      <c r="C12147" s="87"/>
    </row>
    <row r="12148" spans="3:3" x14ac:dyDescent="0.3">
      <c r="C12148" s="87"/>
    </row>
    <row r="12149" spans="3:3" x14ac:dyDescent="0.3">
      <c r="C12149" s="87"/>
    </row>
    <row r="12150" spans="3:3" x14ac:dyDescent="0.3">
      <c r="C12150" s="87"/>
    </row>
    <row r="12151" spans="3:3" x14ac:dyDescent="0.3">
      <c r="C12151" s="87"/>
    </row>
    <row r="12152" spans="3:3" x14ac:dyDescent="0.3">
      <c r="C12152" s="87"/>
    </row>
    <row r="12153" spans="3:3" x14ac:dyDescent="0.3">
      <c r="C12153" s="87"/>
    </row>
    <row r="12154" spans="3:3" x14ac:dyDescent="0.3">
      <c r="C12154" s="87"/>
    </row>
    <row r="12155" spans="3:3" x14ac:dyDescent="0.3">
      <c r="C12155" s="87"/>
    </row>
    <row r="12156" spans="3:3" x14ac:dyDescent="0.3">
      <c r="C12156" s="87"/>
    </row>
    <row r="12157" spans="3:3" x14ac:dyDescent="0.3">
      <c r="C12157" s="87"/>
    </row>
    <row r="12158" spans="3:3" x14ac:dyDescent="0.3">
      <c r="C12158" s="87"/>
    </row>
    <row r="12159" spans="3:3" x14ac:dyDescent="0.3">
      <c r="C12159" s="87"/>
    </row>
    <row r="12160" spans="3:3" x14ac:dyDescent="0.3">
      <c r="C12160" s="87"/>
    </row>
    <row r="12161" spans="3:3" x14ac:dyDescent="0.3">
      <c r="C12161" s="87"/>
    </row>
    <row r="12162" spans="3:3" x14ac:dyDescent="0.3">
      <c r="C12162" s="87"/>
    </row>
    <row r="12163" spans="3:3" x14ac:dyDescent="0.3">
      <c r="C12163" s="87"/>
    </row>
    <row r="12164" spans="3:3" x14ac:dyDescent="0.3">
      <c r="C12164" s="87"/>
    </row>
    <row r="12165" spans="3:3" x14ac:dyDescent="0.3">
      <c r="C12165" s="87"/>
    </row>
    <row r="12166" spans="3:3" x14ac:dyDescent="0.3">
      <c r="C12166" s="87"/>
    </row>
    <row r="12167" spans="3:3" x14ac:dyDescent="0.3">
      <c r="C12167" s="87"/>
    </row>
    <row r="12168" spans="3:3" x14ac:dyDescent="0.3">
      <c r="C12168" s="87"/>
    </row>
    <row r="12169" spans="3:3" x14ac:dyDescent="0.3">
      <c r="C12169" s="87"/>
    </row>
    <row r="12170" spans="3:3" x14ac:dyDescent="0.3">
      <c r="C12170" s="87"/>
    </row>
    <row r="12171" spans="3:3" x14ac:dyDescent="0.3">
      <c r="C12171" s="87"/>
    </row>
    <row r="12172" spans="3:3" x14ac:dyDescent="0.3">
      <c r="C12172" s="87"/>
    </row>
    <row r="12173" spans="3:3" x14ac:dyDescent="0.3">
      <c r="C12173" s="87"/>
    </row>
    <row r="12174" spans="3:3" x14ac:dyDescent="0.3">
      <c r="C12174" s="87"/>
    </row>
    <row r="12175" spans="3:3" x14ac:dyDescent="0.3">
      <c r="C12175" s="87"/>
    </row>
    <row r="12176" spans="3:3" x14ac:dyDescent="0.3">
      <c r="C12176" s="87"/>
    </row>
    <row r="12177" spans="3:3" x14ac:dyDescent="0.3">
      <c r="C12177" s="87"/>
    </row>
    <row r="12178" spans="3:3" x14ac:dyDescent="0.3">
      <c r="C12178" s="87"/>
    </row>
    <row r="12179" spans="3:3" x14ac:dyDescent="0.3">
      <c r="C12179" s="87"/>
    </row>
    <row r="12180" spans="3:3" x14ac:dyDescent="0.3">
      <c r="C12180" s="87"/>
    </row>
    <row r="12181" spans="3:3" x14ac:dyDescent="0.3">
      <c r="C12181" s="87"/>
    </row>
    <row r="12182" spans="3:3" x14ac:dyDescent="0.3">
      <c r="C12182" s="87"/>
    </row>
    <row r="12183" spans="3:3" x14ac:dyDescent="0.3">
      <c r="C12183" s="87"/>
    </row>
    <row r="12184" spans="3:3" x14ac:dyDescent="0.3">
      <c r="C12184" s="87"/>
    </row>
    <row r="12185" spans="3:3" x14ac:dyDescent="0.3">
      <c r="C12185" s="87"/>
    </row>
    <row r="12186" spans="3:3" x14ac:dyDescent="0.3">
      <c r="C12186" s="87"/>
    </row>
    <row r="12187" spans="3:3" x14ac:dyDescent="0.3">
      <c r="C12187" s="87"/>
    </row>
    <row r="12188" spans="3:3" x14ac:dyDescent="0.3">
      <c r="C12188" s="87"/>
    </row>
    <row r="12189" spans="3:3" x14ac:dyDescent="0.3">
      <c r="C12189" s="87"/>
    </row>
    <row r="12190" spans="3:3" x14ac:dyDescent="0.3">
      <c r="C12190" s="87"/>
    </row>
    <row r="12191" spans="3:3" x14ac:dyDescent="0.3">
      <c r="C12191" s="87"/>
    </row>
    <row r="12192" spans="3:3" x14ac:dyDescent="0.3">
      <c r="C12192" s="87"/>
    </row>
    <row r="12193" spans="3:3" x14ac:dyDescent="0.3">
      <c r="C12193" s="87"/>
    </row>
    <row r="12194" spans="3:3" x14ac:dyDescent="0.3">
      <c r="C12194" s="87"/>
    </row>
    <row r="12195" spans="3:3" x14ac:dyDescent="0.3">
      <c r="C12195" s="87"/>
    </row>
    <row r="12196" spans="3:3" x14ac:dyDescent="0.3">
      <c r="C12196" s="87"/>
    </row>
    <row r="12197" spans="3:3" x14ac:dyDescent="0.3">
      <c r="C12197" s="87"/>
    </row>
    <row r="12198" spans="3:3" x14ac:dyDescent="0.3">
      <c r="C12198" s="87"/>
    </row>
    <row r="12199" spans="3:3" x14ac:dyDescent="0.3">
      <c r="C12199" s="87"/>
    </row>
    <row r="12200" spans="3:3" x14ac:dyDescent="0.3">
      <c r="C12200" s="87"/>
    </row>
    <row r="12201" spans="3:3" x14ac:dyDescent="0.3">
      <c r="C12201" s="87"/>
    </row>
    <row r="12202" spans="3:3" x14ac:dyDescent="0.3">
      <c r="C12202" s="87"/>
    </row>
    <row r="12203" spans="3:3" x14ac:dyDescent="0.3">
      <c r="C12203" s="87"/>
    </row>
    <row r="12204" spans="3:3" x14ac:dyDescent="0.3">
      <c r="C12204" s="87"/>
    </row>
    <row r="12205" spans="3:3" x14ac:dyDescent="0.3">
      <c r="C12205" s="87"/>
    </row>
    <row r="12206" spans="3:3" x14ac:dyDescent="0.3">
      <c r="C12206" s="87"/>
    </row>
    <row r="12207" spans="3:3" x14ac:dyDescent="0.3">
      <c r="C12207" s="87"/>
    </row>
    <row r="12208" spans="3:3" x14ac:dyDescent="0.3">
      <c r="C12208" s="87"/>
    </row>
    <row r="12209" spans="3:3" x14ac:dyDescent="0.3">
      <c r="C12209" s="87"/>
    </row>
    <row r="12210" spans="3:3" x14ac:dyDescent="0.3">
      <c r="C12210" s="87"/>
    </row>
    <row r="12211" spans="3:3" x14ac:dyDescent="0.3">
      <c r="C12211" s="87"/>
    </row>
    <row r="12212" spans="3:3" x14ac:dyDescent="0.3">
      <c r="C12212" s="87"/>
    </row>
    <row r="12213" spans="3:3" x14ac:dyDescent="0.3">
      <c r="C12213" s="87"/>
    </row>
    <row r="12214" spans="3:3" x14ac:dyDescent="0.3">
      <c r="C12214" s="87"/>
    </row>
    <row r="12215" spans="3:3" x14ac:dyDescent="0.3">
      <c r="C12215" s="87"/>
    </row>
    <row r="12216" spans="3:3" x14ac:dyDescent="0.3">
      <c r="C12216" s="87"/>
    </row>
    <row r="12217" spans="3:3" x14ac:dyDescent="0.3">
      <c r="C12217" s="87"/>
    </row>
    <row r="12218" spans="3:3" x14ac:dyDescent="0.3">
      <c r="C12218" s="87"/>
    </row>
    <row r="12219" spans="3:3" x14ac:dyDescent="0.3">
      <c r="C12219" s="87"/>
    </row>
    <row r="12220" spans="3:3" x14ac:dyDescent="0.3">
      <c r="C12220" s="87"/>
    </row>
    <row r="12221" spans="3:3" x14ac:dyDescent="0.3">
      <c r="C12221" s="87"/>
    </row>
    <row r="12222" spans="3:3" x14ac:dyDescent="0.3">
      <c r="C12222" s="87"/>
    </row>
    <row r="12223" spans="3:3" x14ac:dyDescent="0.3">
      <c r="C12223" s="87"/>
    </row>
    <row r="12224" spans="3:3" x14ac:dyDescent="0.3">
      <c r="C12224" s="87"/>
    </row>
    <row r="12225" spans="3:3" x14ac:dyDescent="0.3">
      <c r="C12225" s="87"/>
    </row>
    <row r="12226" spans="3:3" x14ac:dyDescent="0.3">
      <c r="C12226" s="87"/>
    </row>
    <row r="12227" spans="3:3" x14ac:dyDescent="0.3">
      <c r="C12227" s="87"/>
    </row>
    <row r="12228" spans="3:3" x14ac:dyDescent="0.3">
      <c r="C12228" s="87"/>
    </row>
    <row r="12229" spans="3:3" x14ac:dyDescent="0.3">
      <c r="C12229" s="87"/>
    </row>
    <row r="12230" spans="3:3" x14ac:dyDescent="0.3">
      <c r="C12230" s="87"/>
    </row>
    <row r="12231" spans="3:3" x14ac:dyDescent="0.3">
      <c r="C12231" s="87"/>
    </row>
    <row r="12232" spans="3:3" x14ac:dyDescent="0.3">
      <c r="C12232" s="87"/>
    </row>
    <row r="12233" spans="3:3" x14ac:dyDescent="0.3">
      <c r="C12233" s="87"/>
    </row>
    <row r="12234" spans="3:3" x14ac:dyDescent="0.3">
      <c r="C12234" s="87"/>
    </row>
    <row r="12235" spans="3:3" x14ac:dyDescent="0.3">
      <c r="C12235" s="87"/>
    </row>
    <row r="12236" spans="3:3" x14ac:dyDescent="0.3">
      <c r="C12236" s="87"/>
    </row>
    <row r="12237" spans="3:3" x14ac:dyDescent="0.3">
      <c r="C12237" s="87"/>
    </row>
    <row r="12238" spans="3:3" x14ac:dyDescent="0.3">
      <c r="C12238" s="87"/>
    </row>
    <row r="12239" spans="3:3" x14ac:dyDescent="0.3">
      <c r="C12239" s="87"/>
    </row>
    <row r="12240" spans="3:3" x14ac:dyDescent="0.3">
      <c r="C12240" s="87"/>
    </row>
    <row r="12241" spans="3:3" x14ac:dyDescent="0.3">
      <c r="C12241" s="87"/>
    </row>
    <row r="12242" spans="3:3" x14ac:dyDescent="0.3">
      <c r="C12242" s="87"/>
    </row>
    <row r="12243" spans="3:3" x14ac:dyDescent="0.3">
      <c r="C12243" s="87"/>
    </row>
    <row r="12244" spans="3:3" x14ac:dyDescent="0.3">
      <c r="C12244" s="87"/>
    </row>
    <row r="12245" spans="3:3" x14ac:dyDescent="0.3">
      <c r="C12245" s="87"/>
    </row>
    <row r="12246" spans="3:3" x14ac:dyDescent="0.3">
      <c r="C12246" s="87"/>
    </row>
    <row r="12247" spans="3:3" x14ac:dyDescent="0.3">
      <c r="C12247" s="87"/>
    </row>
    <row r="12248" spans="3:3" x14ac:dyDescent="0.3">
      <c r="C12248" s="87"/>
    </row>
    <row r="12249" spans="3:3" x14ac:dyDescent="0.3">
      <c r="C12249" s="87"/>
    </row>
    <row r="12250" spans="3:3" x14ac:dyDescent="0.3">
      <c r="C12250" s="87"/>
    </row>
    <row r="12251" spans="3:3" x14ac:dyDescent="0.3">
      <c r="C12251" s="87"/>
    </row>
    <row r="12252" spans="3:3" x14ac:dyDescent="0.3">
      <c r="C12252" s="87"/>
    </row>
    <row r="12253" spans="3:3" x14ac:dyDescent="0.3">
      <c r="C12253" s="87"/>
    </row>
    <row r="12254" spans="3:3" x14ac:dyDescent="0.3">
      <c r="C12254" s="87"/>
    </row>
    <row r="12255" spans="3:3" x14ac:dyDescent="0.3">
      <c r="C12255" s="87"/>
    </row>
    <row r="12256" spans="3:3" x14ac:dyDescent="0.3">
      <c r="C12256" s="87"/>
    </row>
    <row r="12257" spans="3:3" x14ac:dyDescent="0.3">
      <c r="C12257" s="87"/>
    </row>
    <row r="12258" spans="3:3" x14ac:dyDescent="0.3">
      <c r="C12258" s="87"/>
    </row>
    <row r="12259" spans="3:3" x14ac:dyDescent="0.3">
      <c r="C12259" s="87"/>
    </row>
    <row r="12260" spans="3:3" x14ac:dyDescent="0.3">
      <c r="C12260" s="87"/>
    </row>
    <row r="12261" spans="3:3" x14ac:dyDescent="0.3">
      <c r="C12261" s="87"/>
    </row>
    <row r="12262" spans="3:3" x14ac:dyDescent="0.3">
      <c r="C12262" s="87"/>
    </row>
    <row r="12263" spans="3:3" x14ac:dyDescent="0.3">
      <c r="C12263" s="87"/>
    </row>
    <row r="12264" spans="3:3" x14ac:dyDescent="0.3">
      <c r="C12264" s="87"/>
    </row>
    <row r="12265" spans="3:3" x14ac:dyDescent="0.3">
      <c r="C12265" s="87"/>
    </row>
    <row r="12266" spans="3:3" x14ac:dyDescent="0.3">
      <c r="C12266" s="87"/>
    </row>
    <row r="12267" spans="3:3" x14ac:dyDescent="0.3">
      <c r="C12267" s="87"/>
    </row>
    <row r="12268" spans="3:3" x14ac:dyDescent="0.3">
      <c r="C12268" s="87"/>
    </row>
    <row r="12269" spans="3:3" x14ac:dyDescent="0.3">
      <c r="C12269" s="87"/>
    </row>
    <row r="12270" spans="3:3" x14ac:dyDescent="0.3">
      <c r="C12270" s="87"/>
    </row>
    <row r="12271" spans="3:3" x14ac:dyDescent="0.3">
      <c r="C12271" s="87"/>
    </row>
    <row r="12272" spans="3:3" x14ac:dyDescent="0.3">
      <c r="C12272" s="87"/>
    </row>
    <row r="12273" spans="3:3" x14ac:dyDescent="0.3">
      <c r="C12273" s="87"/>
    </row>
    <row r="12274" spans="3:3" x14ac:dyDescent="0.3">
      <c r="C12274" s="87"/>
    </row>
    <row r="12275" spans="3:3" x14ac:dyDescent="0.3">
      <c r="C12275" s="87"/>
    </row>
    <row r="12276" spans="3:3" x14ac:dyDescent="0.3">
      <c r="C12276" s="87"/>
    </row>
    <row r="12277" spans="3:3" x14ac:dyDescent="0.3">
      <c r="C12277" s="87"/>
    </row>
    <row r="12278" spans="3:3" x14ac:dyDescent="0.3">
      <c r="C12278" s="87"/>
    </row>
    <row r="12279" spans="3:3" x14ac:dyDescent="0.3">
      <c r="C12279" s="87"/>
    </row>
    <row r="12280" spans="3:3" x14ac:dyDescent="0.3">
      <c r="C12280" s="87"/>
    </row>
    <row r="12281" spans="3:3" x14ac:dyDescent="0.3">
      <c r="C12281" s="87"/>
    </row>
    <row r="12282" spans="3:3" x14ac:dyDescent="0.3">
      <c r="C12282" s="87"/>
    </row>
    <row r="12283" spans="3:3" x14ac:dyDescent="0.3">
      <c r="C12283" s="87"/>
    </row>
    <row r="12284" spans="3:3" x14ac:dyDescent="0.3">
      <c r="C12284" s="87"/>
    </row>
    <row r="12285" spans="3:3" x14ac:dyDescent="0.3">
      <c r="C12285" s="87"/>
    </row>
    <row r="12286" spans="3:3" x14ac:dyDescent="0.3">
      <c r="C12286" s="87"/>
    </row>
    <row r="12287" spans="3:3" x14ac:dyDescent="0.3">
      <c r="C12287" s="87"/>
    </row>
    <row r="12288" spans="3:3" x14ac:dyDescent="0.3">
      <c r="C12288" s="87"/>
    </row>
    <row r="12289" spans="3:3" x14ac:dyDescent="0.3">
      <c r="C12289" s="87"/>
    </row>
    <row r="12290" spans="3:3" x14ac:dyDescent="0.3">
      <c r="C12290" s="87"/>
    </row>
    <row r="12291" spans="3:3" x14ac:dyDescent="0.3">
      <c r="C12291" s="87"/>
    </row>
    <row r="12292" spans="3:3" x14ac:dyDescent="0.3">
      <c r="C12292" s="87"/>
    </row>
    <row r="12293" spans="3:3" x14ac:dyDescent="0.3">
      <c r="C12293" s="87"/>
    </row>
    <row r="12294" spans="3:3" x14ac:dyDescent="0.3">
      <c r="C12294" s="87"/>
    </row>
    <row r="12295" spans="3:3" x14ac:dyDescent="0.3">
      <c r="C12295" s="87"/>
    </row>
    <row r="12296" spans="3:3" x14ac:dyDescent="0.3">
      <c r="C12296" s="87"/>
    </row>
    <row r="12297" spans="3:3" x14ac:dyDescent="0.3">
      <c r="C12297" s="87"/>
    </row>
    <row r="12298" spans="3:3" x14ac:dyDescent="0.3">
      <c r="C12298" s="87"/>
    </row>
    <row r="12299" spans="3:3" x14ac:dyDescent="0.3">
      <c r="C12299" s="87"/>
    </row>
    <row r="12300" spans="3:3" x14ac:dyDescent="0.3">
      <c r="C12300" s="87"/>
    </row>
    <row r="12301" spans="3:3" x14ac:dyDescent="0.3">
      <c r="C12301" s="87"/>
    </row>
    <row r="12302" spans="3:3" x14ac:dyDescent="0.3">
      <c r="C12302" s="87"/>
    </row>
    <row r="12303" spans="3:3" x14ac:dyDescent="0.3">
      <c r="C12303" s="87"/>
    </row>
    <row r="12304" spans="3:3" x14ac:dyDescent="0.3">
      <c r="C12304" s="87"/>
    </row>
    <row r="12305" spans="3:3" x14ac:dyDescent="0.3">
      <c r="C12305" s="87"/>
    </row>
    <row r="12306" spans="3:3" x14ac:dyDescent="0.3">
      <c r="C12306" s="87"/>
    </row>
    <row r="12307" spans="3:3" x14ac:dyDescent="0.3">
      <c r="C12307" s="87"/>
    </row>
    <row r="12308" spans="3:3" x14ac:dyDescent="0.3">
      <c r="C12308" s="87"/>
    </row>
    <row r="12309" spans="3:3" x14ac:dyDescent="0.3">
      <c r="C12309" s="87"/>
    </row>
    <row r="12310" spans="3:3" x14ac:dyDescent="0.3">
      <c r="C12310" s="87"/>
    </row>
    <row r="12311" spans="3:3" x14ac:dyDescent="0.3">
      <c r="C12311" s="87"/>
    </row>
    <row r="12312" spans="3:3" x14ac:dyDescent="0.3">
      <c r="C12312" s="87"/>
    </row>
    <row r="12313" spans="3:3" x14ac:dyDescent="0.3">
      <c r="C12313" s="87"/>
    </row>
    <row r="12314" spans="3:3" x14ac:dyDescent="0.3">
      <c r="C12314" s="87"/>
    </row>
    <row r="12315" spans="3:3" x14ac:dyDescent="0.3">
      <c r="C12315" s="87"/>
    </row>
    <row r="12316" spans="3:3" x14ac:dyDescent="0.3">
      <c r="C12316" s="87"/>
    </row>
    <row r="12317" spans="3:3" x14ac:dyDescent="0.3">
      <c r="C12317" s="87"/>
    </row>
    <row r="12318" spans="3:3" x14ac:dyDescent="0.3">
      <c r="C12318" s="87"/>
    </row>
    <row r="12319" spans="3:3" x14ac:dyDescent="0.3">
      <c r="C12319" s="87"/>
    </row>
    <row r="12320" spans="3:3" x14ac:dyDescent="0.3">
      <c r="C12320" s="87"/>
    </row>
    <row r="12321" spans="3:3" x14ac:dyDescent="0.3">
      <c r="C12321" s="87"/>
    </row>
    <row r="12322" spans="3:3" x14ac:dyDescent="0.3">
      <c r="C12322" s="87"/>
    </row>
    <row r="12323" spans="3:3" x14ac:dyDescent="0.3">
      <c r="C12323" s="87"/>
    </row>
    <row r="12324" spans="3:3" x14ac:dyDescent="0.3">
      <c r="C12324" s="87"/>
    </row>
    <row r="12325" spans="3:3" x14ac:dyDescent="0.3">
      <c r="C12325" s="87"/>
    </row>
    <row r="12326" spans="3:3" x14ac:dyDescent="0.3">
      <c r="C12326" s="87"/>
    </row>
    <row r="12327" spans="3:3" x14ac:dyDescent="0.3">
      <c r="C12327" s="87"/>
    </row>
    <row r="12328" spans="3:3" x14ac:dyDescent="0.3">
      <c r="C12328" s="87"/>
    </row>
    <row r="12329" spans="3:3" x14ac:dyDescent="0.3">
      <c r="C12329" s="87"/>
    </row>
    <row r="12330" spans="3:3" x14ac:dyDescent="0.3">
      <c r="C12330" s="87"/>
    </row>
    <row r="12331" spans="3:3" x14ac:dyDescent="0.3">
      <c r="C12331" s="87"/>
    </row>
    <row r="12332" spans="3:3" x14ac:dyDescent="0.3">
      <c r="C12332" s="87"/>
    </row>
    <row r="12333" spans="3:3" x14ac:dyDescent="0.3">
      <c r="C12333" s="87"/>
    </row>
    <row r="12334" spans="3:3" x14ac:dyDescent="0.3">
      <c r="C12334" s="87"/>
    </row>
    <row r="12335" spans="3:3" x14ac:dyDescent="0.3">
      <c r="C12335" s="87"/>
    </row>
    <row r="12336" spans="3:3" x14ac:dyDescent="0.3">
      <c r="C12336" s="87"/>
    </row>
    <row r="12337" spans="3:7" x14ac:dyDescent="0.3">
      <c r="C12337" s="87"/>
    </row>
    <row r="12338" spans="3:7" x14ac:dyDescent="0.3">
      <c r="C12338" s="87"/>
    </row>
    <row r="12339" spans="3:7" x14ac:dyDescent="0.3">
      <c r="C12339" s="87"/>
    </row>
    <row r="12340" spans="3:7" x14ac:dyDescent="0.3">
      <c r="C12340" s="87"/>
    </row>
    <row r="12341" spans="3:7" x14ac:dyDescent="0.3">
      <c r="C12341" s="87"/>
    </row>
    <row r="12342" spans="3:7" x14ac:dyDescent="0.3">
      <c r="C12342" s="87"/>
    </row>
    <row r="12343" spans="3:7" x14ac:dyDescent="0.3">
      <c r="C12343" s="87"/>
    </row>
    <row r="12344" spans="3:7" x14ac:dyDescent="0.3">
      <c r="C12344" s="87"/>
    </row>
    <row r="12345" spans="3:7" x14ac:dyDescent="0.3">
      <c r="C12345" s="87"/>
    </row>
    <row r="12346" spans="3:7" x14ac:dyDescent="0.3">
      <c r="C12346" s="87"/>
    </row>
    <row r="12347" spans="3:7" x14ac:dyDescent="0.3">
      <c r="C12347" s="87"/>
    </row>
    <row r="12348" spans="3:7" x14ac:dyDescent="0.3">
      <c r="C12348" s="87"/>
      <c r="G12348" s="115"/>
    </row>
    <row r="12349" spans="3:7" x14ac:dyDescent="0.3">
      <c r="C12349" s="87"/>
    </row>
    <row r="12350" spans="3:7" x14ac:dyDescent="0.3">
      <c r="C12350" s="87"/>
    </row>
    <row r="12351" spans="3:7" x14ac:dyDescent="0.3">
      <c r="C12351" s="87"/>
    </row>
    <row r="12352" spans="3:7" x14ac:dyDescent="0.3">
      <c r="C12352" s="87"/>
    </row>
    <row r="12353" spans="3:3" x14ac:dyDescent="0.3">
      <c r="C12353" s="87"/>
    </row>
    <row r="12354" spans="3:3" x14ac:dyDescent="0.3">
      <c r="C12354" s="87"/>
    </row>
    <row r="12355" spans="3:3" x14ac:dyDescent="0.3">
      <c r="C12355" s="87"/>
    </row>
    <row r="12356" spans="3:3" x14ac:dyDescent="0.3">
      <c r="C12356" s="87"/>
    </row>
    <row r="12357" spans="3:3" x14ac:dyDescent="0.3">
      <c r="C12357" s="87"/>
    </row>
    <row r="12358" spans="3:3" x14ac:dyDescent="0.3">
      <c r="C12358" s="87"/>
    </row>
    <row r="12359" spans="3:3" x14ac:dyDescent="0.3">
      <c r="C12359" s="87"/>
    </row>
    <row r="12360" spans="3:3" x14ac:dyDescent="0.3">
      <c r="C12360" s="87"/>
    </row>
    <row r="12361" spans="3:3" x14ac:dyDescent="0.3">
      <c r="C12361" s="87"/>
    </row>
    <row r="12362" spans="3:3" x14ac:dyDescent="0.3">
      <c r="C12362" s="87"/>
    </row>
    <row r="12363" spans="3:3" x14ac:dyDescent="0.3">
      <c r="C12363" s="87"/>
    </row>
    <row r="12364" spans="3:3" x14ac:dyDescent="0.3">
      <c r="C12364" s="87"/>
    </row>
    <row r="12365" spans="3:3" x14ac:dyDescent="0.3">
      <c r="C12365" s="87"/>
    </row>
    <row r="12366" spans="3:3" x14ac:dyDescent="0.3">
      <c r="C12366" s="87"/>
    </row>
    <row r="12367" spans="3:3" x14ac:dyDescent="0.3">
      <c r="C12367" s="87"/>
    </row>
    <row r="12368" spans="3:3" x14ac:dyDescent="0.3">
      <c r="C12368" s="87"/>
    </row>
    <row r="12369" spans="3:3" x14ac:dyDescent="0.3">
      <c r="C12369" s="87"/>
    </row>
    <row r="12370" spans="3:3" x14ac:dyDescent="0.3">
      <c r="C12370" s="87"/>
    </row>
    <row r="12371" spans="3:3" x14ac:dyDescent="0.3">
      <c r="C12371" s="87"/>
    </row>
    <row r="12372" spans="3:3" x14ac:dyDescent="0.3">
      <c r="C12372" s="87"/>
    </row>
    <row r="12373" spans="3:3" x14ac:dyDescent="0.3">
      <c r="C12373" s="87"/>
    </row>
    <row r="12374" spans="3:3" x14ac:dyDescent="0.3">
      <c r="C12374" s="87"/>
    </row>
    <row r="12375" spans="3:3" x14ac:dyDescent="0.3">
      <c r="C12375" s="87"/>
    </row>
    <row r="12376" spans="3:3" x14ac:dyDescent="0.3">
      <c r="C12376" s="87"/>
    </row>
    <row r="12377" spans="3:3" x14ac:dyDescent="0.3">
      <c r="C12377" s="87"/>
    </row>
    <row r="12378" spans="3:3" x14ac:dyDescent="0.3">
      <c r="C12378" s="87"/>
    </row>
    <row r="12379" spans="3:3" x14ac:dyDescent="0.3">
      <c r="C12379" s="87"/>
    </row>
    <row r="12380" spans="3:3" x14ac:dyDescent="0.3">
      <c r="C12380" s="87"/>
    </row>
    <row r="12381" spans="3:3" x14ac:dyDescent="0.3">
      <c r="C12381" s="87"/>
    </row>
    <row r="12382" spans="3:3" x14ac:dyDescent="0.3">
      <c r="C12382" s="87"/>
    </row>
    <row r="12383" spans="3:3" x14ac:dyDescent="0.3">
      <c r="C12383" s="87"/>
    </row>
    <row r="12384" spans="3:3" x14ac:dyDescent="0.3">
      <c r="C12384" s="87"/>
    </row>
    <row r="12385" spans="3:3" x14ac:dyDescent="0.3">
      <c r="C12385" s="87"/>
    </row>
    <row r="12386" spans="3:3" x14ac:dyDescent="0.3">
      <c r="C12386" s="87"/>
    </row>
    <row r="12387" spans="3:3" x14ac:dyDescent="0.3">
      <c r="C12387" s="87"/>
    </row>
    <row r="12388" spans="3:3" x14ac:dyDescent="0.3">
      <c r="C12388" s="87"/>
    </row>
    <row r="12389" spans="3:3" x14ac:dyDescent="0.3">
      <c r="C12389" s="87"/>
    </row>
    <row r="12390" spans="3:3" x14ac:dyDescent="0.3">
      <c r="C12390" s="87"/>
    </row>
    <row r="12391" spans="3:3" x14ac:dyDescent="0.3">
      <c r="C12391" s="87"/>
    </row>
    <row r="12392" spans="3:3" x14ac:dyDescent="0.3">
      <c r="C12392" s="87"/>
    </row>
    <row r="12393" spans="3:3" x14ac:dyDescent="0.3">
      <c r="C12393" s="87"/>
    </row>
    <row r="12394" spans="3:3" x14ac:dyDescent="0.3">
      <c r="C12394" s="87"/>
    </row>
    <row r="12395" spans="3:3" x14ac:dyDescent="0.3">
      <c r="C12395" s="87"/>
    </row>
    <row r="12396" spans="3:3" x14ac:dyDescent="0.3">
      <c r="C12396" s="87"/>
    </row>
    <row r="12397" spans="3:3" x14ac:dyDescent="0.3">
      <c r="C12397" s="87"/>
    </row>
    <row r="12398" spans="3:3" x14ac:dyDescent="0.3">
      <c r="C12398" s="87"/>
    </row>
    <row r="12399" spans="3:3" x14ac:dyDescent="0.3">
      <c r="C12399" s="87"/>
    </row>
    <row r="12400" spans="3:3" x14ac:dyDescent="0.3">
      <c r="C12400" s="87"/>
    </row>
    <row r="12401" spans="3:3" x14ac:dyDescent="0.3">
      <c r="C12401" s="87"/>
    </row>
    <row r="12402" spans="3:3" x14ac:dyDescent="0.3">
      <c r="C12402" s="87"/>
    </row>
    <row r="12403" spans="3:3" x14ac:dyDescent="0.3">
      <c r="C12403" s="87"/>
    </row>
    <row r="12404" spans="3:3" x14ac:dyDescent="0.3">
      <c r="C12404" s="87"/>
    </row>
    <row r="12405" spans="3:3" x14ac:dyDescent="0.3">
      <c r="C12405" s="87"/>
    </row>
    <row r="12406" spans="3:3" x14ac:dyDescent="0.3">
      <c r="C12406" s="87"/>
    </row>
    <row r="12407" spans="3:3" x14ac:dyDescent="0.3">
      <c r="C12407" s="87"/>
    </row>
    <row r="12408" spans="3:3" x14ac:dyDescent="0.3">
      <c r="C12408" s="87"/>
    </row>
    <row r="12409" spans="3:3" x14ac:dyDescent="0.3">
      <c r="C12409" s="87"/>
    </row>
    <row r="12410" spans="3:3" x14ac:dyDescent="0.3">
      <c r="C12410" s="87"/>
    </row>
    <row r="12411" spans="3:3" x14ac:dyDescent="0.3">
      <c r="C12411" s="87"/>
    </row>
    <row r="12412" spans="3:3" x14ac:dyDescent="0.3">
      <c r="C12412" s="87"/>
    </row>
    <row r="12413" spans="3:3" x14ac:dyDescent="0.3">
      <c r="C12413" s="87"/>
    </row>
    <row r="12414" spans="3:3" x14ac:dyDescent="0.3">
      <c r="C12414" s="87"/>
    </row>
    <row r="12415" spans="3:3" x14ac:dyDescent="0.3">
      <c r="C12415" s="87"/>
    </row>
    <row r="12416" spans="3:3" x14ac:dyDescent="0.3">
      <c r="C12416" s="87"/>
    </row>
    <row r="12417" spans="3:3" x14ac:dyDescent="0.3">
      <c r="C12417" s="87"/>
    </row>
    <row r="12418" spans="3:3" x14ac:dyDescent="0.3">
      <c r="C12418" s="87"/>
    </row>
    <row r="12419" spans="3:3" x14ac:dyDescent="0.3">
      <c r="C12419" s="87"/>
    </row>
    <row r="12420" spans="3:3" x14ac:dyDescent="0.3">
      <c r="C12420" s="87"/>
    </row>
    <row r="12421" spans="3:3" x14ac:dyDescent="0.3">
      <c r="C12421" s="87"/>
    </row>
    <row r="12422" spans="3:3" x14ac:dyDescent="0.3">
      <c r="C12422" s="87"/>
    </row>
    <row r="12423" spans="3:3" x14ac:dyDescent="0.3">
      <c r="C12423" s="87"/>
    </row>
    <row r="12424" spans="3:3" x14ac:dyDescent="0.3">
      <c r="C12424" s="87"/>
    </row>
    <row r="12425" spans="3:3" x14ac:dyDescent="0.3">
      <c r="C12425" s="87"/>
    </row>
    <row r="12426" spans="3:3" x14ac:dyDescent="0.3">
      <c r="C12426" s="87"/>
    </row>
    <row r="12427" spans="3:3" x14ac:dyDescent="0.3">
      <c r="C12427" s="87"/>
    </row>
    <row r="12428" spans="3:3" x14ac:dyDescent="0.3">
      <c r="C12428" s="87"/>
    </row>
    <row r="12429" spans="3:3" x14ac:dyDescent="0.3">
      <c r="C12429" s="87"/>
    </row>
    <row r="12430" spans="3:3" x14ac:dyDescent="0.3">
      <c r="C12430" s="87"/>
    </row>
    <row r="12431" spans="3:3" x14ac:dyDescent="0.3">
      <c r="C12431" s="87"/>
    </row>
    <row r="12432" spans="3:3" x14ac:dyDescent="0.3">
      <c r="C12432" s="87"/>
    </row>
    <row r="12433" spans="3:3" x14ac:dyDescent="0.3">
      <c r="C12433" s="87"/>
    </row>
    <row r="12434" spans="3:3" x14ac:dyDescent="0.3">
      <c r="C12434" s="87"/>
    </row>
    <row r="12435" spans="3:3" x14ac:dyDescent="0.3">
      <c r="C12435" s="87"/>
    </row>
    <row r="12436" spans="3:3" x14ac:dyDescent="0.3">
      <c r="C12436" s="87"/>
    </row>
    <row r="12437" spans="3:3" x14ac:dyDescent="0.3">
      <c r="C12437" s="87"/>
    </row>
    <row r="12438" spans="3:3" x14ac:dyDescent="0.3">
      <c r="C12438" s="87"/>
    </row>
    <row r="12439" spans="3:3" x14ac:dyDescent="0.3">
      <c r="C12439" s="87"/>
    </row>
    <row r="12440" spans="3:3" x14ac:dyDescent="0.3">
      <c r="C12440" s="87"/>
    </row>
    <row r="12441" spans="3:3" x14ac:dyDescent="0.3">
      <c r="C12441" s="87"/>
    </row>
    <row r="12442" spans="3:3" x14ac:dyDescent="0.3">
      <c r="C12442" s="87"/>
    </row>
    <row r="12443" spans="3:3" x14ac:dyDescent="0.3">
      <c r="C12443" s="87"/>
    </row>
    <row r="12444" spans="3:3" x14ac:dyDescent="0.3">
      <c r="C12444" s="87"/>
    </row>
    <row r="12445" spans="3:3" x14ac:dyDescent="0.3">
      <c r="C12445" s="87"/>
    </row>
    <row r="12446" spans="3:3" x14ac:dyDescent="0.3">
      <c r="C12446" s="87"/>
    </row>
    <row r="12447" spans="3:3" x14ac:dyDescent="0.3">
      <c r="C12447" s="87"/>
    </row>
    <row r="12448" spans="3:3" x14ac:dyDescent="0.3">
      <c r="C12448" s="87"/>
    </row>
    <row r="12449" spans="3:7" x14ac:dyDescent="0.3">
      <c r="C12449" s="87"/>
    </row>
    <row r="12450" spans="3:7" x14ac:dyDescent="0.3">
      <c r="C12450" s="87"/>
    </row>
    <row r="12451" spans="3:7" x14ac:dyDescent="0.3">
      <c r="C12451" s="87"/>
    </row>
    <row r="12452" spans="3:7" x14ac:dyDescent="0.3">
      <c r="C12452" s="87"/>
    </row>
    <row r="12453" spans="3:7" x14ac:dyDescent="0.3">
      <c r="C12453" s="87"/>
    </row>
    <row r="12454" spans="3:7" x14ac:dyDescent="0.3">
      <c r="C12454" s="87"/>
    </row>
    <row r="12455" spans="3:7" x14ac:dyDescent="0.3">
      <c r="C12455" s="87"/>
    </row>
    <row r="12456" spans="3:7" x14ac:dyDescent="0.3">
      <c r="C12456" s="87"/>
    </row>
    <row r="12457" spans="3:7" x14ac:dyDescent="0.3">
      <c r="C12457" s="87"/>
      <c r="G12457" s="115"/>
    </row>
    <row r="12458" spans="3:7" x14ac:dyDescent="0.3">
      <c r="C12458" s="87"/>
    </row>
    <row r="12459" spans="3:7" x14ac:dyDescent="0.3">
      <c r="C12459" s="87"/>
    </row>
    <row r="12460" spans="3:7" x14ac:dyDescent="0.3">
      <c r="C12460" s="87"/>
    </row>
    <row r="12461" spans="3:7" x14ac:dyDescent="0.3">
      <c r="C12461" s="87"/>
    </row>
    <row r="12462" spans="3:7" x14ac:dyDescent="0.3">
      <c r="C12462" s="87"/>
    </row>
    <row r="12463" spans="3:7" x14ac:dyDescent="0.3">
      <c r="C12463" s="87"/>
    </row>
    <row r="12464" spans="3:7" x14ac:dyDescent="0.3">
      <c r="C12464" s="87"/>
    </row>
    <row r="12465" spans="3:3" x14ac:dyDescent="0.3">
      <c r="C12465" s="87"/>
    </row>
    <row r="12466" spans="3:3" x14ac:dyDescent="0.3">
      <c r="C12466" s="87"/>
    </row>
    <row r="12467" spans="3:3" x14ac:dyDescent="0.3">
      <c r="C12467" s="87"/>
    </row>
    <row r="12468" spans="3:3" x14ac:dyDescent="0.3">
      <c r="C12468" s="87"/>
    </row>
    <row r="12469" spans="3:3" x14ac:dyDescent="0.3">
      <c r="C12469" s="87"/>
    </row>
    <row r="12470" spans="3:3" x14ac:dyDescent="0.3">
      <c r="C12470" s="87"/>
    </row>
    <row r="12471" spans="3:3" x14ac:dyDescent="0.3">
      <c r="C12471" s="87"/>
    </row>
    <row r="12472" spans="3:3" x14ac:dyDescent="0.3">
      <c r="C12472" s="87"/>
    </row>
    <row r="12473" spans="3:3" x14ac:dyDescent="0.3">
      <c r="C12473" s="87"/>
    </row>
    <row r="12474" spans="3:3" x14ac:dyDescent="0.3">
      <c r="C12474" s="87"/>
    </row>
    <row r="12475" spans="3:3" x14ac:dyDescent="0.3">
      <c r="C12475" s="87"/>
    </row>
    <row r="12476" spans="3:3" x14ac:dyDescent="0.3">
      <c r="C12476" s="87"/>
    </row>
    <row r="12477" spans="3:3" x14ac:dyDescent="0.3">
      <c r="C12477" s="87"/>
    </row>
    <row r="12478" spans="3:3" x14ac:dyDescent="0.3">
      <c r="C12478" s="87"/>
    </row>
    <row r="12479" spans="3:3" x14ac:dyDescent="0.3">
      <c r="C12479" s="87"/>
    </row>
    <row r="12480" spans="3:3" x14ac:dyDescent="0.3">
      <c r="C12480" s="87"/>
    </row>
    <row r="12481" spans="3:3" x14ac:dyDescent="0.3">
      <c r="C12481" s="87"/>
    </row>
    <row r="12482" spans="3:3" x14ac:dyDescent="0.3">
      <c r="C12482" s="87"/>
    </row>
    <row r="12483" spans="3:3" x14ac:dyDescent="0.3">
      <c r="C12483" s="87"/>
    </row>
    <row r="12484" spans="3:3" x14ac:dyDescent="0.3">
      <c r="C12484" s="87"/>
    </row>
    <row r="12485" spans="3:3" x14ac:dyDescent="0.3">
      <c r="C12485" s="87"/>
    </row>
    <row r="12486" spans="3:3" x14ac:dyDescent="0.3">
      <c r="C12486" s="87"/>
    </row>
    <row r="12487" spans="3:3" x14ac:dyDescent="0.3">
      <c r="C12487" s="87"/>
    </row>
    <row r="12488" spans="3:3" x14ac:dyDescent="0.3">
      <c r="C12488" s="87"/>
    </row>
    <row r="12489" spans="3:3" x14ac:dyDescent="0.3">
      <c r="C12489" s="87"/>
    </row>
    <row r="12490" spans="3:3" x14ac:dyDescent="0.3">
      <c r="C12490" s="87"/>
    </row>
    <row r="12491" spans="3:3" x14ac:dyDescent="0.3">
      <c r="C12491" s="87"/>
    </row>
    <row r="12492" spans="3:3" x14ac:dyDescent="0.3">
      <c r="C12492" s="87"/>
    </row>
    <row r="12493" spans="3:3" x14ac:dyDescent="0.3">
      <c r="C12493" s="87"/>
    </row>
    <row r="12494" spans="3:3" x14ac:dyDescent="0.3">
      <c r="C12494" s="87"/>
    </row>
    <row r="12495" spans="3:3" x14ac:dyDescent="0.3">
      <c r="C12495" s="87"/>
    </row>
    <row r="12496" spans="3:3" x14ac:dyDescent="0.3">
      <c r="C12496" s="87"/>
    </row>
    <row r="12497" spans="3:3" x14ac:dyDescent="0.3">
      <c r="C12497" s="87"/>
    </row>
    <row r="12498" spans="3:3" x14ac:dyDescent="0.3">
      <c r="C12498" s="87"/>
    </row>
    <row r="12499" spans="3:3" x14ac:dyDescent="0.3">
      <c r="C12499" s="87"/>
    </row>
    <row r="12500" spans="3:3" x14ac:dyDescent="0.3">
      <c r="C12500" s="87"/>
    </row>
    <row r="12501" spans="3:3" x14ac:dyDescent="0.3">
      <c r="C12501" s="87"/>
    </row>
    <row r="12502" spans="3:3" x14ac:dyDescent="0.3">
      <c r="C12502" s="87"/>
    </row>
    <row r="12503" spans="3:3" x14ac:dyDescent="0.3">
      <c r="C12503" s="87"/>
    </row>
    <row r="12504" spans="3:3" x14ac:dyDescent="0.3">
      <c r="C12504" s="87"/>
    </row>
    <row r="12505" spans="3:3" x14ac:dyDescent="0.3">
      <c r="C12505" s="87"/>
    </row>
    <row r="12506" spans="3:3" x14ac:dyDescent="0.3">
      <c r="C12506" s="87"/>
    </row>
    <row r="12507" spans="3:3" x14ac:dyDescent="0.3">
      <c r="C12507" s="87"/>
    </row>
    <row r="12508" spans="3:3" x14ac:dyDescent="0.3">
      <c r="C12508" s="87"/>
    </row>
    <row r="12509" spans="3:3" x14ac:dyDescent="0.3">
      <c r="C12509" s="87"/>
    </row>
    <row r="12510" spans="3:3" x14ac:dyDescent="0.3">
      <c r="C12510" s="87"/>
    </row>
    <row r="12511" spans="3:3" x14ac:dyDescent="0.3">
      <c r="C12511" s="87"/>
    </row>
    <row r="12512" spans="3:3" x14ac:dyDescent="0.3">
      <c r="C12512" s="87"/>
    </row>
    <row r="12513" spans="3:3" x14ac:dyDescent="0.3">
      <c r="C12513" s="87"/>
    </row>
    <row r="12514" spans="3:3" x14ac:dyDescent="0.3">
      <c r="C12514" s="87"/>
    </row>
    <row r="12515" spans="3:3" x14ac:dyDescent="0.3">
      <c r="C12515" s="87"/>
    </row>
    <row r="12516" spans="3:3" x14ac:dyDescent="0.3">
      <c r="C12516" s="87"/>
    </row>
    <row r="12517" spans="3:3" x14ac:dyDescent="0.3">
      <c r="C12517" s="87"/>
    </row>
    <row r="12518" spans="3:3" x14ac:dyDescent="0.3">
      <c r="C12518" s="87"/>
    </row>
    <row r="12519" spans="3:3" x14ac:dyDescent="0.3">
      <c r="C12519" s="87"/>
    </row>
    <row r="12520" spans="3:3" x14ac:dyDescent="0.3">
      <c r="C12520" s="87"/>
    </row>
    <row r="12521" spans="3:3" x14ac:dyDescent="0.3">
      <c r="C12521" s="87"/>
    </row>
    <row r="12522" spans="3:3" x14ac:dyDescent="0.3">
      <c r="C12522" s="87"/>
    </row>
    <row r="12523" spans="3:3" x14ac:dyDescent="0.3">
      <c r="C12523" s="87"/>
    </row>
    <row r="12524" spans="3:3" x14ac:dyDescent="0.3">
      <c r="C12524" s="87"/>
    </row>
    <row r="12525" spans="3:3" x14ac:dyDescent="0.3">
      <c r="C12525" s="87"/>
    </row>
    <row r="12526" spans="3:3" x14ac:dyDescent="0.3">
      <c r="C12526" s="87"/>
    </row>
    <row r="12527" spans="3:3" x14ac:dyDescent="0.3">
      <c r="C12527" s="87"/>
    </row>
    <row r="12528" spans="3:3" x14ac:dyDescent="0.3">
      <c r="C12528" s="87"/>
    </row>
    <row r="12529" spans="3:3" x14ac:dyDescent="0.3">
      <c r="C12529" s="87"/>
    </row>
    <row r="12530" spans="3:3" x14ac:dyDescent="0.3">
      <c r="C12530" s="87"/>
    </row>
    <row r="12531" spans="3:3" x14ac:dyDescent="0.3">
      <c r="C12531" s="87"/>
    </row>
    <row r="12532" spans="3:3" x14ac:dyDescent="0.3">
      <c r="C12532" s="87"/>
    </row>
    <row r="12533" spans="3:3" x14ac:dyDescent="0.3">
      <c r="C12533" s="87"/>
    </row>
    <row r="12534" spans="3:3" x14ac:dyDescent="0.3">
      <c r="C12534" s="87"/>
    </row>
    <row r="12535" spans="3:3" x14ac:dyDescent="0.3">
      <c r="C12535" s="87"/>
    </row>
    <row r="12536" spans="3:3" x14ac:dyDescent="0.3">
      <c r="C12536" s="87"/>
    </row>
    <row r="12537" spans="3:3" x14ac:dyDescent="0.3">
      <c r="C12537" s="87"/>
    </row>
    <row r="12538" spans="3:3" x14ac:dyDescent="0.3">
      <c r="C12538" s="87"/>
    </row>
    <row r="12539" spans="3:3" x14ac:dyDescent="0.3">
      <c r="C12539" s="87"/>
    </row>
    <row r="12540" spans="3:3" x14ac:dyDescent="0.3">
      <c r="C12540" s="87"/>
    </row>
    <row r="12541" spans="3:3" x14ac:dyDescent="0.3">
      <c r="C12541" s="87"/>
    </row>
    <row r="12542" spans="3:3" x14ac:dyDescent="0.3">
      <c r="C12542" s="87"/>
    </row>
    <row r="12543" spans="3:3" x14ac:dyDescent="0.3">
      <c r="C12543" s="87"/>
    </row>
    <row r="12544" spans="3:3" x14ac:dyDescent="0.3">
      <c r="C12544" s="87"/>
    </row>
    <row r="12545" spans="3:3" x14ac:dyDescent="0.3">
      <c r="C12545" s="87"/>
    </row>
    <row r="12546" spans="3:3" x14ac:dyDescent="0.3">
      <c r="C12546" s="87"/>
    </row>
    <row r="12547" spans="3:3" x14ac:dyDescent="0.3">
      <c r="C12547" s="87"/>
    </row>
    <row r="12548" spans="3:3" x14ac:dyDescent="0.3">
      <c r="C12548" s="87"/>
    </row>
    <row r="12549" spans="3:3" x14ac:dyDescent="0.3">
      <c r="C12549" s="87"/>
    </row>
    <row r="12550" spans="3:3" x14ac:dyDescent="0.3">
      <c r="C12550" s="87"/>
    </row>
    <row r="12551" spans="3:3" x14ac:dyDescent="0.3">
      <c r="C12551" s="87"/>
    </row>
    <row r="12552" spans="3:3" x14ac:dyDescent="0.3">
      <c r="C12552" s="87"/>
    </row>
    <row r="12553" spans="3:3" x14ac:dyDescent="0.3">
      <c r="C12553" s="87"/>
    </row>
    <row r="12554" spans="3:3" x14ac:dyDescent="0.3">
      <c r="C12554" s="87"/>
    </row>
    <row r="12555" spans="3:3" x14ac:dyDescent="0.3">
      <c r="C12555" s="87"/>
    </row>
    <row r="12556" spans="3:3" x14ac:dyDescent="0.3">
      <c r="C12556" s="87"/>
    </row>
    <row r="12557" spans="3:3" x14ac:dyDescent="0.3">
      <c r="C12557" s="87"/>
    </row>
    <row r="12558" spans="3:3" x14ac:dyDescent="0.3">
      <c r="C12558" s="87"/>
    </row>
    <row r="12559" spans="3:3" x14ac:dyDescent="0.3">
      <c r="C12559" s="87"/>
    </row>
    <row r="12560" spans="3:3" x14ac:dyDescent="0.3">
      <c r="C12560" s="87"/>
    </row>
    <row r="12561" spans="3:3" x14ac:dyDescent="0.3">
      <c r="C12561" s="87"/>
    </row>
    <row r="12562" spans="3:3" x14ac:dyDescent="0.3">
      <c r="C12562" s="87"/>
    </row>
    <row r="12563" spans="3:3" x14ac:dyDescent="0.3">
      <c r="C12563" s="87"/>
    </row>
    <row r="12564" spans="3:3" x14ac:dyDescent="0.3">
      <c r="C12564" s="87"/>
    </row>
    <row r="12565" spans="3:3" x14ac:dyDescent="0.3">
      <c r="C12565" s="87"/>
    </row>
    <row r="12566" spans="3:3" x14ac:dyDescent="0.3">
      <c r="C12566" s="87"/>
    </row>
    <row r="12567" spans="3:3" x14ac:dyDescent="0.3">
      <c r="C12567" s="87"/>
    </row>
    <row r="12568" spans="3:3" x14ac:dyDescent="0.3">
      <c r="C12568" s="87"/>
    </row>
    <row r="12569" spans="3:3" x14ac:dyDescent="0.3">
      <c r="C12569" s="87"/>
    </row>
    <row r="12570" spans="3:3" x14ac:dyDescent="0.3">
      <c r="C12570" s="87"/>
    </row>
    <row r="12571" spans="3:3" x14ac:dyDescent="0.3">
      <c r="C12571" s="87"/>
    </row>
    <row r="12572" spans="3:3" x14ac:dyDescent="0.3">
      <c r="C12572" s="87"/>
    </row>
    <row r="12573" spans="3:3" x14ac:dyDescent="0.3">
      <c r="C12573" s="87"/>
    </row>
    <row r="12574" spans="3:3" x14ac:dyDescent="0.3">
      <c r="C12574" s="87"/>
    </row>
    <row r="12575" spans="3:3" x14ac:dyDescent="0.3">
      <c r="C12575" s="87"/>
    </row>
    <row r="12576" spans="3:3" x14ac:dyDescent="0.3">
      <c r="C12576" s="87"/>
    </row>
    <row r="12577" spans="3:3" x14ac:dyDescent="0.3">
      <c r="C12577" s="87"/>
    </row>
    <row r="12578" spans="3:3" x14ac:dyDescent="0.3">
      <c r="C12578" s="87"/>
    </row>
    <row r="12579" spans="3:3" x14ac:dyDescent="0.3">
      <c r="C12579" s="87"/>
    </row>
    <row r="12580" spans="3:3" x14ac:dyDescent="0.3">
      <c r="C12580" s="87"/>
    </row>
    <row r="12581" spans="3:3" x14ac:dyDescent="0.3">
      <c r="C12581" s="87"/>
    </row>
    <row r="12582" spans="3:3" x14ac:dyDescent="0.3">
      <c r="C12582" s="87"/>
    </row>
    <row r="12583" spans="3:3" x14ac:dyDescent="0.3">
      <c r="C12583" s="87"/>
    </row>
    <row r="12584" spans="3:3" x14ac:dyDescent="0.3">
      <c r="C12584" s="87"/>
    </row>
    <row r="12585" spans="3:3" x14ac:dyDescent="0.3">
      <c r="C12585" s="87"/>
    </row>
    <row r="12586" spans="3:3" x14ac:dyDescent="0.3">
      <c r="C12586" s="87"/>
    </row>
    <row r="12587" spans="3:3" x14ac:dyDescent="0.3">
      <c r="C12587" s="87"/>
    </row>
    <row r="12588" spans="3:3" x14ac:dyDescent="0.3">
      <c r="C12588" s="87"/>
    </row>
    <row r="12589" spans="3:3" x14ac:dyDescent="0.3">
      <c r="C12589" s="87"/>
    </row>
    <row r="12590" spans="3:3" x14ac:dyDescent="0.3">
      <c r="C12590" s="87"/>
    </row>
    <row r="12591" spans="3:3" x14ac:dyDescent="0.3">
      <c r="C12591" s="87"/>
    </row>
    <row r="12592" spans="3:3" x14ac:dyDescent="0.3">
      <c r="C12592" s="87"/>
    </row>
    <row r="12593" spans="3:3" x14ac:dyDescent="0.3">
      <c r="C12593" s="87"/>
    </row>
    <row r="12594" spans="3:3" x14ac:dyDescent="0.3">
      <c r="C12594" s="87"/>
    </row>
    <row r="12595" spans="3:3" x14ac:dyDescent="0.3">
      <c r="C12595" s="87"/>
    </row>
    <row r="12596" spans="3:3" x14ac:dyDescent="0.3">
      <c r="C12596" s="87"/>
    </row>
    <row r="12597" spans="3:3" x14ac:dyDescent="0.3">
      <c r="C12597" s="87"/>
    </row>
    <row r="12598" spans="3:3" x14ac:dyDescent="0.3">
      <c r="C12598" s="87"/>
    </row>
    <row r="12599" spans="3:3" x14ac:dyDescent="0.3">
      <c r="C12599" s="87"/>
    </row>
    <row r="12600" spans="3:3" x14ac:dyDescent="0.3">
      <c r="C12600" s="87"/>
    </row>
    <row r="12601" spans="3:3" x14ac:dyDescent="0.3">
      <c r="C12601" s="87"/>
    </row>
    <row r="12602" spans="3:3" x14ac:dyDescent="0.3">
      <c r="C12602" s="87"/>
    </row>
    <row r="12603" spans="3:3" x14ac:dyDescent="0.3">
      <c r="C12603" s="87"/>
    </row>
    <row r="12604" spans="3:3" x14ac:dyDescent="0.3">
      <c r="C12604" s="87"/>
    </row>
    <row r="12605" spans="3:3" x14ac:dyDescent="0.3">
      <c r="C12605" s="87"/>
    </row>
    <row r="12606" spans="3:3" x14ac:dyDescent="0.3">
      <c r="C12606" s="87"/>
    </row>
    <row r="12607" spans="3:3" x14ac:dyDescent="0.3">
      <c r="C12607" s="87"/>
    </row>
    <row r="12608" spans="3:3" x14ac:dyDescent="0.3">
      <c r="C12608" s="87"/>
    </row>
    <row r="12609" spans="3:3" x14ac:dyDescent="0.3">
      <c r="C12609" s="87"/>
    </row>
    <row r="12610" spans="3:3" x14ac:dyDescent="0.3">
      <c r="C12610" s="87"/>
    </row>
    <row r="12611" spans="3:3" x14ac:dyDescent="0.3">
      <c r="C12611" s="87"/>
    </row>
    <row r="12612" spans="3:3" x14ac:dyDescent="0.3">
      <c r="C12612" s="87"/>
    </row>
    <row r="12613" spans="3:3" x14ac:dyDescent="0.3">
      <c r="C12613" s="87"/>
    </row>
    <row r="12614" spans="3:3" x14ac:dyDescent="0.3">
      <c r="C12614" s="87"/>
    </row>
    <row r="12615" spans="3:3" x14ac:dyDescent="0.3">
      <c r="C12615" s="87"/>
    </row>
    <row r="12616" spans="3:3" x14ac:dyDescent="0.3">
      <c r="C12616" s="87"/>
    </row>
    <row r="12617" spans="3:3" x14ac:dyDescent="0.3">
      <c r="C12617" s="87"/>
    </row>
    <row r="12618" spans="3:3" x14ac:dyDescent="0.3">
      <c r="C12618" s="87"/>
    </row>
    <row r="12619" spans="3:3" x14ac:dyDescent="0.3">
      <c r="C12619" s="87"/>
    </row>
    <row r="12620" spans="3:3" x14ac:dyDescent="0.3">
      <c r="C12620" s="87"/>
    </row>
    <row r="12621" spans="3:3" x14ac:dyDescent="0.3">
      <c r="C12621" s="87"/>
    </row>
    <row r="12622" spans="3:3" x14ac:dyDescent="0.3">
      <c r="C12622" s="87"/>
    </row>
    <row r="12623" spans="3:3" x14ac:dyDescent="0.3">
      <c r="C12623" s="87"/>
    </row>
    <row r="12624" spans="3:3" x14ac:dyDescent="0.3">
      <c r="C12624" s="87"/>
    </row>
    <row r="12625" spans="3:3" x14ac:dyDescent="0.3">
      <c r="C12625" s="87"/>
    </row>
    <row r="12626" spans="3:3" x14ac:dyDescent="0.3">
      <c r="C12626" s="87"/>
    </row>
    <row r="12627" spans="3:3" x14ac:dyDescent="0.3">
      <c r="C12627" s="87"/>
    </row>
    <row r="12628" spans="3:3" x14ac:dyDescent="0.3">
      <c r="C12628" s="87"/>
    </row>
    <row r="12629" spans="3:3" x14ac:dyDescent="0.3">
      <c r="C12629" s="87"/>
    </row>
    <row r="12630" spans="3:3" x14ac:dyDescent="0.3">
      <c r="C12630" s="87"/>
    </row>
    <row r="12631" spans="3:3" x14ac:dyDescent="0.3">
      <c r="C12631" s="87"/>
    </row>
    <row r="12632" spans="3:3" x14ac:dyDescent="0.3">
      <c r="C12632" s="87"/>
    </row>
    <row r="12633" spans="3:3" x14ac:dyDescent="0.3">
      <c r="C12633" s="87"/>
    </row>
    <row r="12634" spans="3:3" x14ac:dyDescent="0.3">
      <c r="C12634" s="87"/>
    </row>
    <row r="12635" spans="3:3" x14ac:dyDescent="0.3">
      <c r="C12635" s="87"/>
    </row>
    <row r="12636" spans="3:3" x14ac:dyDescent="0.3">
      <c r="C12636" s="87"/>
    </row>
    <row r="12637" spans="3:3" x14ac:dyDescent="0.3">
      <c r="C12637" s="87"/>
    </row>
    <row r="12638" spans="3:3" x14ac:dyDescent="0.3">
      <c r="C12638" s="87"/>
    </row>
    <row r="12639" spans="3:3" x14ac:dyDescent="0.3">
      <c r="C12639" s="87"/>
    </row>
    <row r="12640" spans="3:3" x14ac:dyDescent="0.3">
      <c r="C12640" s="87"/>
    </row>
    <row r="12641" spans="3:3" x14ac:dyDescent="0.3">
      <c r="C12641" s="87"/>
    </row>
    <row r="12642" spans="3:3" x14ac:dyDescent="0.3">
      <c r="C12642" s="87"/>
    </row>
    <row r="12643" spans="3:3" x14ac:dyDescent="0.3">
      <c r="C12643" s="87"/>
    </row>
    <row r="12644" spans="3:3" x14ac:dyDescent="0.3">
      <c r="C12644" s="87"/>
    </row>
    <row r="12645" spans="3:3" x14ac:dyDescent="0.3">
      <c r="C12645" s="87"/>
    </row>
    <row r="12646" spans="3:3" x14ac:dyDescent="0.3">
      <c r="C12646" s="87"/>
    </row>
    <row r="12647" spans="3:3" x14ac:dyDescent="0.3">
      <c r="C12647" s="87"/>
    </row>
    <row r="12648" spans="3:3" x14ac:dyDescent="0.3">
      <c r="C12648" s="87"/>
    </row>
    <row r="12649" spans="3:3" x14ac:dyDescent="0.3">
      <c r="C12649" s="87"/>
    </row>
    <row r="12650" spans="3:3" x14ac:dyDescent="0.3">
      <c r="C12650" s="87"/>
    </row>
    <row r="12651" spans="3:3" x14ac:dyDescent="0.3">
      <c r="C12651" s="87"/>
    </row>
    <row r="12652" spans="3:3" x14ac:dyDescent="0.3">
      <c r="C12652" s="87"/>
    </row>
    <row r="12653" spans="3:3" x14ac:dyDescent="0.3">
      <c r="C12653" s="87"/>
    </row>
    <row r="12654" spans="3:3" x14ac:dyDescent="0.3">
      <c r="C12654" s="87"/>
    </row>
    <row r="12655" spans="3:3" x14ac:dyDescent="0.3">
      <c r="C12655" s="87"/>
    </row>
    <row r="12656" spans="3:3" x14ac:dyDescent="0.3">
      <c r="C12656" s="87"/>
    </row>
    <row r="12657" spans="3:3" x14ac:dyDescent="0.3">
      <c r="C12657" s="87"/>
    </row>
    <row r="12658" spans="3:3" x14ac:dyDescent="0.3">
      <c r="C12658" s="87"/>
    </row>
    <row r="12659" spans="3:3" x14ac:dyDescent="0.3">
      <c r="C12659" s="87"/>
    </row>
    <row r="12660" spans="3:3" x14ac:dyDescent="0.3">
      <c r="C12660" s="87"/>
    </row>
    <row r="12661" spans="3:3" x14ac:dyDescent="0.3">
      <c r="C12661" s="87"/>
    </row>
    <row r="12662" spans="3:3" x14ac:dyDescent="0.3">
      <c r="C12662" s="87"/>
    </row>
    <row r="12663" spans="3:3" x14ac:dyDescent="0.3">
      <c r="C12663" s="87"/>
    </row>
    <row r="12664" spans="3:3" x14ac:dyDescent="0.3">
      <c r="C12664" s="87"/>
    </row>
    <row r="12665" spans="3:3" x14ac:dyDescent="0.3">
      <c r="C12665" s="87"/>
    </row>
    <row r="12666" spans="3:3" x14ac:dyDescent="0.3">
      <c r="C12666" s="87"/>
    </row>
    <row r="12667" spans="3:3" x14ac:dyDescent="0.3">
      <c r="C12667" s="87"/>
    </row>
    <row r="12668" spans="3:3" x14ac:dyDescent="0.3">
      <c r="C12668" s="87"/>
    </row>
    <row r="12669" spans="3:3" x14ac:dyDescent="0.3">
      <c r="C12669" s="87"/>
    </row>
    <row r="12670" spans="3:3" x14ac:dyDescent="0.3">
      <c r="C12670" s="87"/>
    </row>
    <row r="12671" spans="3:3" x14ac:dyDescent="0.3">
      <c r="C12671" s="87"/>
    </row>
    <row r="12672" spans="3:3" x14ac:dyDescent="0.3">
      <c r="C12672" s="87"/>
    </row>
    <row r="12673" spans="3:3" x14ac:dyDescent="0.3">
      <c r="C12673" s="87"/>
    </row>
    <row r="12674" spans="3:3" x14ac:dyDescent="0.3">
      <c r="C12674" s="87"/>
    </row>
    <row r="12675" spans="3:3" x14ac:dyDescent="0.3">
      <c r="C12675" s="87"/>
    </row>
    <row r="12676" spans="3:3" x14ac:dyDescent="0.3">
      <c r="C12676" s="87"/>
    </row>
    <row r="12677" spans="3:3" x14ac:dyDescent="0.3">
      <c r="C12677" s="87"/>
    </row>
    <row r="12678" spans="3:3" x14ac:dyDescent="0.3">
      <c r="C12678" s="87"/>
    </row>
    <row r="12679" spans="3:3" x14ac:dyDescent="0.3">
      <c r="C12679" s="87"/>
    </row>
    <row r="12680" spans="3:3" x14ac:dyDescent="0.3">
      <c r="C12680" s="87"/>
    </row>
    <row r="12681" spans="3:3" x14ac:dyDescent="0.3">
      <c r="C12681" s="87"/>
    </row>
    <row r="12682" spans="3:3" x14ac:dyDescent="0.3">
      <c r="C12682" s="87"/>
    </row>
    <row r="12683" spans="3:3" x14ac:dyDescent="0.3">
      <c r="C12683" s="87"/>
    </row>
    <row r="12684" spans="3:3" x14ac:dyDescent="0.3">
      <c r="C12684" s="87"/>
    </row>
    <row r="12685" spans="3:3" x14ac:dyDescent="0.3">
      <c r="C12685" s="87"/>
    </row>
    <row r="12686" spans="3:3" x14ac:dyDescent="0.3">
      <c r="C12686" s="87"/>
    </row>
    <row r="12687" spans="3:3" x14ac:dyDescent="0.3">
      <c r="C12687" s="87"/>
    </row>
    <row r="12688" spans="3:3" x14ac:dyDescent="0.3">
      <c r="C12688" s="87"/>
    </row>
    <row r="12689" spans="3:3" x14ac:dyDescent="0.3">
      <c r="C12689" s="87"/>
    </row>
    <row r="12690" spans="3:3" x14ac:dyDescent="0.3">
      <c r="C12690" s="87"/>
    </row>
    <row r="12691" spans="3:3" x14ac:dyDescent="0.3">
      <c r="C12691" s="87"/>
    </row>
    <row r="12692" spans="3:3" x14ac:dyDescent="0.3">
      <c r="C12692" s="87"/>
    </row>
    <row r="12693" spans="3:3" x14ac:dyDescent="0.3">
      <c r="C12693" s="87"/>
    </row>
    <row r="12694" spans="3:3" x14ac:dyDescent="0.3">
      <c r="C12694" s="87"/>
    </row>
    <row r="12695" spans="3:3" x14ac:dyDescent="0.3">
      <c r="C12695" s="87"/>
    </row>
    <row r="12696" spans="3:3" x14ac:dyDescent="0.3">
      <c r="C12696" s="87"/>
    </row>
    <row r="12697" spans="3:3" x14ac:dyDescent="0.3">
      <c r="C12697" s="87"/>
    </row>
    <row r="12698" spans="3:3" x14ac:dyDescent="0.3">
      <c r="C12698" s="87"/>
    </row>
    <row r="12699" spans="3:3" x14ac:dyDescent="0.3">
      <c r="C12699" s="87"/>
    </row>
    <row r="12700" spans="3:3" x14ac:dyDescent="0.3">
      <c r="C12700" s="87"/>
    </row>
    <row r="12701" spans="3:3" x14ac:dyDescent="0.3">
      <c r="C12701" s="87"/>
    </row>
    <row r="12702" spans="3:3" x14ac:dyDescent="0.3">
      <c r="C12702" s="87"/>
    </row>
    <row r="12703" spans="3:3" x14ac:dyDescent="0.3">
      <c r="C12703" s="87"/>
    </row>
    <row r="12704" spans="3:3" x14ac:dyDescent="0.3">
      <c r="C12704" s="87"/>
    </row>
    <row r="12705" spans="3:3" x14ac:dyDescent="0.3">
      <c r="C12705" s="87"/>
    </row>
    <row r="12706" spans="3:3" x14ac:dyDescent="0.3">
      <c r="C12706" s="87"/>
    </row>
    <row r="12707" spans="3:3" x14ac:dyDescent="0.3">
      <c r="C12707" s="87"/>
    </row>
    <row r="12708" spans="3:3" x14ac:dyDescent="0.3">
      <c r="C12708" s="87"/>
    </row>
    <row r="12709" spans="3:3" x14ac:dyDescent="0.3">
      <c r="C12709" s="87"/>
    </row>
    <row r="12710" spans="3:3" x14ac:dyDescent="0.3">
      <c r="C12710" s="87"/>
    </row>
    <row r="12711" spans="3:3" x14ac:dyDescent="0.3">
      <c r="C12711" s="87"/>
    </row>
    <row r="12712" spans="3:3" x14ac:dyDescent="0.3">
      <c r="C12712" s="87"/>
    </row>
    <row r="12713" spans="3:3" x14ac:dyDescent="0.3">
      <c r="C12713" s="87"/>
    </row>
    <row r="12714" spans="3:3" x14ac:dyDescent="0.3">
      <c r="C12714" s="87"/>
    </row>
    <row r="12715" spans="3:3" x14ac:dyDescent="0.3">
      <c r="C12715" s="87"/>
    </row>
    <row r="12716" spans="3:3" x14ac:dyDescent="0.3">
      <c r="C12716" s="87"/>
    </row>
    <row r="12717" spans="3:3" x14ac:dyDescent="0.3">
      <c r="C12717" s="87"/>
    </row>
    <row r="12718" spans="3:3" x14ac:dyDescent="0.3">
      <c r="C12718" s="87"/>
    </row>
    <row r="12719" spans="3:3" x14ac:dyDescent="0.3">
      <c r="C12719" s="87"/>
    </row>
    <row r="12720" spans="3:3" x14ac:dyDescent="0.3">
      <c r="C12720" s="87"/>
    </row>
    <row r="12721" spans="3:3" x14ac:dyDescent="0.3">
      <c r="C12721" s="87"/>
    </row>
    <row r="12722" spans="3:3" x14ac:dyDescent="0.3">
      <c r="C12722" s="87"/>
    </row>
    <row r="12723" spans="3:3" x14ac:dyDescent="0.3">
      <c r="C12723" s="87"/>
    </row>
    <row r="12724" spans="3:3" x14ac:dyDescent="0.3">
      <c r="C12724" s="87"/>
    </row>
    <row r="12725" spans="3:3" x14ac:dyDescent="0.3">
      <c r="C12725" s="87"/>
    </row>
    <row r="12726" spans="3:3" x14ac:dyDescent="0.3">
      <c r="C12726" s="87"/>
    </row>
    <row r="12727" spans="3:3" x14ac:dyDescent="0.3">
      <c r="C12727" s="87"/>
    </row>
    <row r="12728" spans="3:3" x14ac:dyDescent="0.3">
      <c r="C12728" s="87"/>
    </row>
    <row r="12729" spans="3:3" x14ac:dyDescent="0.3">
      <c r="C12729" s="87"/>
    </row>
    <row r="12730" spans="3:3" x14ac:dyDescent="0.3">
      <c r="C12730" s="87"/>
    </row>
    <row r="12731" spans="3:3" x14ac:dyDescent="0.3">
      <c r="C12731" s="87"/>
    </row>
    <row r="12732" spans="3:3" x14ac:dyDescent="0.3">
      <c r="C12732" s="87"/>
    </row>
    <row r="12733" spans="3:3" x14ac:dyDescent="0.3">
      <c r="C12733" s="87"/>
    </row>
    <row r="12734" spans="3:3" x14ac:dyDescent="0.3">
      <c r="C12734" s="87"/>
    </row>
    <row r="12735" spans="3:3" x14ac:dyDescent="0.3">
      <c r="C12735" s="87"/>
    </row>
    <row r="12736" spans="3:3" x14ac:dyDescent="0.3">
      <c r="C12736" s="87"/>
    </row>
    <row r="12737" spans="3:3" x14ac:dyDescent="0.3">
      <c r="C12737" s="87"/>
    </row>
    <row r="12738" spans="3:3" x14ac:dyDescent="0.3">
      <c r="C12738" s="87"/>
    </row>
    <row r="12739" spans="3:3" x14ac:dyDescent="0.3">
      <c r="C12739" s="87"/>
    </row>
    <row r="12740" spans="3:3" x14ac:dyDescent="0.3">
      <c r="C12740" s="87"/>
    </row>
    <row r="12741" spans="3:3" x14ac:dyDescent="0.3">
      <c r="C12741" s="87"/>
    </row>
    <row r="12742" spans="3:3" x14ac:dyDescent="0.3">
      <c r="C12742" s="87"/>
    </row>
    <row r="12743" spans="3:3" x14ac:dyDescent="0.3">
      <c r="C12743" s="87"/>
    </row>
    <row r="12744" spans="3:3" x14ac:dyDescent="0.3">
      <c r="C12744" s="87"/>
    </row>
    <row r="12745" spans="3:3" x14ac:dyDescent="0.3">
      <c r="C12745" s="87"/>
    </row>
    <row r="12746" spans="3:3" x14ac:dyDescent="0.3">
      <c r="C12746" s="87"/>
    </row>
    <row r="12747" spans="3:3" x14ac:dyDescent="0.3">
      <c r="C12747" s="87"/>
    </row>
    <row r="12748" spans="3:3" x14ac:dyDescent="0.3">
      <c r="C12748" s="87"/>
    </row>
    <row r="12749" spans="3:3" x14ac:dyDescent="0.3">
      <c r="C12749" s="87"/>
    </row>
    <row r="12750" spans="3:3" x14ac:dyDescent="0.3">
      <c r="C12750" s="87"/>
    </row>
    <row r="12751" spans="3:3" x14ac:dyDescent="0.3">
      <c r="C12751" s="87"/>
    </row>
    <row r="12752" spans="3:3" x14ac:dyDescent="0.3">
      <c r="C12752" s="87"/>
    </row>
    <row r="12753" spans="3:3" x14ac:dyDescent="0.3">
      <c r="C12753" s="87"/>
    </row>
    <row r="12754" spans="3:3" x14ac:dyDescent="0.3">
      <c r="C12754" s="87"/>
    </row>
    <row r="12755" spans="3:3" x14ac:dyDescent="0.3">
      <c r="C12755" s="87"/>
    </row>
    <row r="12756" spans="3:3" x14ac:dyDescent="0.3">
      <c r="C12756" s="87"/>
    </row>
    <row r="12757" spans="3:3" x14ac:dyDescent="0.3">
      <c r="C12757" s="87"/>
    </row>
    <row r="12758" spans="3:3" x14ac:dyDescent="0.3">
      <c r="C12758" s="87"/>
    </row>
    <row r="12759" spans="3:3" x14ac:dyDescent="0.3">
      <c r="C12759" s="87"/>
    </row>
    <row r="12760" spans="3:3" x14ac:dyDescent="0.3">
      <c r="C12760" s="87"/>
    </row>
    <row r="12761" spans="3:3" x14ac:dyDescent="0.3">
      <c r="C12761" s="87"/>
    </row>
    <row r="12762" spans="3:3" x14ac:dyDescent="0.3">
      <c r="C12762" s="87"/>
    </row>
    <row r="12763" spans="3:3" x14ac:dyDescent="0.3">
      <c r="C12763" s="87"/>
    </row>
    <row r="12764" spans="3:3" x14ac:dyDescent="0.3">
      <c r="C12764" s="87"/>
    </row>
    <row r="12765" spans="3:3" x14ac:dyDescent="0.3">
      <c r="C12765" s="87"/>
    </row>
    <row r="12766" spans="3:3" x14ac:dyDescent="0.3">
      <c r="C12766" s="87"/>
    </row>
    <row r="12767" spans="3:3" x14ac:dyDescent="0.3">
      <c r="C12767" s="87"/>
    </row>
    <row r="12768" spans="3:3" x14ac:dyDescent="0.3">
      <c r="C12768" s="87"/>
    </row>
    <row r="12769" spans="3:3" x14ac:dyDescent="0.3">
      <c r="C12769" s="87"/>
    </row>
    <row r="12770" spans="3:3" x14ac:dyDescent="0.3">
      <c r="C12770" s="87"/>
    </row>
    <row r="12771" spans="3:3" x14ac:dyDescent="0.3">
      <c r="C12771" s="87"/>
    </row>
    <row r="12772" spans="3:3" x14ac:dyDescent="0.3">
      <c r="C12772" s="87"/>
    </row>
    <row r="12773" spans="3:3" x14ac:dyDescent="0.3">
      <c r="C12773" s="87"/>
    </row>
    <row r="12774" spans="3:3" x14ac:dyDescent="0.3">
      <c r="C12774" s="87"/>
    </row>
    <row r="12775" spans="3:3" x14ac:dyDescent="0.3">
      <c r="C12775" s="87"/>
    </row>
    <row r="12776" spans="3:3" x14ac:dyDescent="0.3">
      <c r="C12776" s="87"/>
    </row>
    <row r="12777" spans="3:3" x14ac:dyDescent="0.3">
      <c r="C12777" s="87"/>
    </row>
    <row r="12778" spans="3:3" x14ac:dyDescent="0.3">
      <c r="C12778" s="87"/>
    </row>
    <row r="12779" spans="3:3" x14ac:dyDescent="0.3">
      <c r="C12779" s="87"/>
    </row>
    <row r="12780" spans="3:3" x14ac:dyDescent="0.3">
      <c r="C12780" s="87"/>
    </row>
    <row r="12781" spans="3:3" x14ac:dyDescent="0.3">
      <c r="C12781" s="87"/>
    </row>
    <row r="12782" spans="3:3" x14ac:dyDescent="0.3">
      <c r="C12782" s="87"/>
    </row>
    <row r="12783" spans="3:3" x14ac:dyDescent="0.3">
      <c r="C12783" s="87"/>
    </row>
    <row r="12784" spans="3:3" x14ac:dyDescent="0.3">
      <c r="C12784" s="87"/>
    </row>
    <row r="12785" spans="3:3" x14ac:dyDescent="0.3">
      <c r="C12785" s="87"/>
    </row>
    <row r="12786" spans="3:3" x14ac:dyDescent="0.3">
      <c r="C12786" s="87"/>
    </row>
    <row r="12787" spans="3:3" x14ac:dyDescent="0.3">
      <c r="C12787" s="87"/>
    </row>
    <row r="12788" spans="3:3" x14ac:dyDescent="0.3">
      <c r="C12788" s="87"/>
    </row>
    <row r="12789" spans="3:3" x14ac:dyDescent="0.3">
      <c r="C12789" s="87"/>
    </row>
    <row r="12790" spans="3:3" x14ac:dyDescent="0.3">
      <c r="C12790" s="87"/>
    </row>
    <row r="12791" spans="3:3" x14ac:dyDescent="0.3">
      <c r="C12791" s="87"/>
    </row>
    <row r="12792" spans="3:3" x14ac:dyDescent="0.3">
      <c r="C12792" s="87"/>
    </row>
    <row r="12793" spans="3:3" x14ac:dyDescent="0.3">
      <c r="C12793" s="87"/>
    </row>
    <row r="12794" spans="3:3" x14ac:dyDescent="0.3">
      <c r="C12794" s="87"/>
    </row>
    <row r="12795" spans="3:3" x14ac:dyDescent="0.3">
      <c r="C12795" s="87"/>
    </row>
    <row r="12796" spans="3:3" x14ac:dyDescent="0.3">
      <c r="C12796" s="87"/>
    </row>
    <row r="12797" spans="3:3" x14ac:dyDescent="0.3">
      <c r="C12797" s="87"/>
    </row>
    <row r="12798" spans="3:3" x14ac:dyDescent="0.3">
      <c r="C12798" s="87"/>
    </row>
    <row r="12799" spans="3:3" x14ac:dyDescent="0.3">
      <c r="C12799" s="87"/>
    </row>
    <row r="12800" spans="3:3" x14ac:dyDescent="0.3">
      <c r="C12800" s="87"/>
    </row>
    <row r="12801" spans="3:3" x14ac:dyDescent="0.3">
      <c r="C12801" s="87"/>
    </row>
    <row r="12802" spans="3:3" x14ac:dyDescent="0.3">
      <c r="C12802" s="87"/>
    </row>
    <row r="12803" spans="3:3" x14ac:dyDescent="0.3">
      <c r="C12803" s="87"/>
    </row>
    <row r="12804" spans="3:3" x14ac:dyDescent="0.3">
      <c r="C12804" s="87"/>
    </row>
    <row r="12805" spans="3:3" x14ac:dyDescent="0.3">
      <c r="C12805" s="87"/>
    </row>
    <row r="12806" spans="3:3" x14ac:dyDescent="0.3">
      <c r="C12806" s="87"/>
    </row>
    <row r="12807" spans="3:3" x14ac:dyDescent="0.3">
      <c r="C12807" s="87"/>
    </row>
    <row r="12808" spans="3:3" x14ac:dyDescent="0.3">
      <c r="C12808" s="87"/>
    </row>
    <row r="12809" spans="3:3" x14ac:dyDescent="0.3">
      <c r="C12809" s="87"/>
    </row>
    <row r="12810" spans="3:3" x14ac:dyDescent="0.3">
      <c r="C12810" s="87"/>
    </row>
    <row r="12811" spans="3:3" x14ac:dyDescent="0.3">
      <c r="C12811" s="87"/>
    </row>
    <row r="12812" spans="3:3" x14ac:dyDescent="0.3">
      <c r="C12812" s="87"/>
    </row>
    <row r="12813" spans="3:3" x14ac:dyDescent="0.3">
      <c r="C12813" s="87"/>
    </row>
    <row r="12814" spans="3:3" x14ac:dyDescent="0.3">
      <c r="C12814" s="87"/>
    </row>
    <row r="12815" spans="3:3" x14ac:dyDescent="0.3">
      <c r="C12815" s="87"/>
    </row>
    <row r="12816" spans="3:3" x14ac:dyDescent="0.3">
      <c r="C12816" s="87"/>
    </row>
    <row r="12817" spans="3:3" x14ac:dyDescent="0.3">
      <c r="C12817" s="87"/>
    </row>
    <row r="12818" spans="3:3" x14ac:dyDescent="0.3">
      <c r="C12818" s="87"/>
    </row>
    <row r="12819" spans="3:3" x14ac:dyDescent="0.3">
      <c r="C12819" s="87"/>
    </row>
    <row r="12820" spans="3:3" x14ac:dyDescent="0.3">
      <c r="C12820" s="87"/>
    </row>
    <row r="12821" spans="3:3" x14ac:dyDescent="0.3">
      <c r="C12821" s="87"/>
    </row>
    <row r="12822" spans="3:3" x14ac:dyDescent="0.3">
      <c r="C12822" s="87"/>
    </row>
    <row r="12823" spans="3:3" x14ac:dyDescent="0.3">
      <c r="C12823" s="87"/>
    </row>
    <row r="12824" spans="3:3" x14ac:dyDescent="0.3">
      <c r="C12824" s="87"/>
    </row>
    <row r="12825" spans="3:3" x14ac:dyDescent="0.3">
      <c r="C12825" s="87"/>
    </row>
    <row r="12826" spans="3:3" x14ac:dyDescent="0.3">
      <c r="C12826" s="87"/>
    </row>
    <row r="12827" spans="3:3" x14ac:dyDescent="0.3">
      <c r="C12827" s="87"/>
    </row>
    <row r="12828" spans="3:3" x14ac:dyDescent="0.3">
      <c r="C12828" s="87"/>
    </row>
    <row r="12829" spans="3:3" x14ac:dyDescent="0.3">
      <c r="C12829" s="87"/>
    </row>
    <row r="12830" spans="3:3" x14ac:dyDescent="0.3">
      <c r="C12830" s="87"/>
    </row>
    <row r="12831" spans="3:3" x14ac:dyDescent="0.3">
      <c r="C12831" s="87"/>
    </row>
    <row r="12832" spans="3:3" x14ac:dyDescent="0.3">
      <c r="C12832" s="87"/>
    </row>
    <row r="12833" spans="3:3" x14ac:dyDescent="0.3">
      <c r="C12833" s="87"/>
    </row>
    <row r="12834" spans="3:3" x14ac:dyDescent="0.3">
      <c r="C12834" s="87"/>
    </row>
    <row r="12835" spans="3:3" x14ac:dyDescent="0.3">
      <c r="C12835" s="87"/>
    </row>
    <row r="12836" spans="3:3" x14ac:dyDescent="0.3">
      <c r="C12836" s="87"/>
    </row>
    <row r="12837" spans="3:3" x14ac:dyDescent="0.3">
      <c r="C12837" s="87"/>
    </row>
    <row r="12838" spans="3:3" x14ac:dyDescent="0.3">
      <c r="C12838" s="87"/>
    </row>
    <row r="12839" spans="3:3" x14ac:dyDescent="0.3">
      <c r="C12839" s="87"/>
    </row>
    <row r="12840" spans="3:3" x14ac:dyDescent="0.3">
      <c r="C12840" s="87"/>
    </row>
    <row r="12841" spans="3:3" x14ac:dyDescent="0.3">
      <c r="C12841" s="87"/>
    </row>
    <row r="12842" spans="3:3" x14ac:dyDescent="0.3">
      <c r="C12842" s="87"/>
    </row>
    <row r="12843" spans="3:3" x14ac:dyDescent="0.3">
      <c r="C12843" s="87"/>
    </row>
    <row r="12844" spans="3:3" x14ac:dyDescent="0.3">
      <c r="C12844" s="87"/>
    </row>
    <row r="12845" spans="3:3" x14ac:dyDescent="0.3">
      <c r="C12845" s="87"/>
    </row>
    <row r="12846" spans="3:3" x14ac:dyDescent="0.3">
      <c r="C12846" s="87"/>
    </row>
    <row r="12847" spans="3:3" x14ac:dyDescent="0.3">
      <c r="C12847" s="87"/>
    </row>
    <row r="12848" spans="3:3" x14ac:dyDescent="0.3">
      <c r="C12848" s="87"/>
    </row>
    <row r="12849" spans="3:3" x14ac:dyDescent="0.3">
      <c r="C12849" s="87"/>
    </row>
    <row r="12850" spans="3:3" x14ac:dyDescent="0.3">
      <c r="C12850" s="87"/>
    </row>
    <row r="12851" spans="3:3" x14ac:dyDescent="0.3">
      <c r="C12851" s="87"/>
    </row>
    <row r="12852" spans="3:3" x14ac:dyDescent="0.3">
      <c r="C12852" s="87"/>
    </row>
    <row r="12853" spans="3:3" x14ac:dyDescent="0.3">
      <c r="C12853" s="87"/>
    </row>
    <row r="12854" spans="3:3" x14ac:dyDescent="0.3">
      <c r="C12854" s="87"/>
    </row>
    <row r="12855" spans="3:3" x14ac:dyDescent="0.3">
      <c r="C12855" s="87"/>
    </row>
    <row r="12856" spans="3:3" x14ac:dyDescent="0.3">
      <c r="C12856" s="87"/>
    </row>
    <row r="12857" spans="3:3" x14ac:dyDescent="0.3">
      <c r="C12857" s="87"/>
    </row>
    <row r="12858" spans="3:3" x14ac:dyDescent="0.3">
      <c r="C12858" s="87"/>
    </row>
    <row r="12859" spans="3:3" x14ac:dyDescent="0.3">
      <c r="C12859" s="87"/>
    </row>
    <row r="12860" spans="3:3" x14ac:dyDescent="0.3">
      <c r="C12860" s="87"/>
    </row>
    <row r="12861" spans="3:3" x14ac:dyDescent="0.3">
      <c r="C12861" s="87"/>
    </row>
    <row r="12862" spans="3:3" x14ac:dyDescent="0.3">
      <c r="C12862" s="87"/>
    </row>
    <row r="12863" spans="3:3" x14ac:dyDescent="0.3">
      <c r="C12863" s="87"/>
    </row>
    <row r="12864" spans="3:3" x14ac:dyDescent="0.3">
      <c r="C12864" s="87"/>
    </row>
    <row r="12865" spans="3:3" x14ac:dyDescent="0.3">
      <c r="C12865" s="87"/>
    </row>
    <row r="12866" spans="3:3" x14ac:dyDescent="0.3">
      <c r="C12866" s="87"/>
    </row>
    <row r="12867" spans="3:3" x14ac:dyDescent="0.3">
      <c r="C12867" s="87"/>
    </row>
    <row r="12868" spans="3:3" x14ac:dyDescent="0.3">
      <c r="C12868" s="87"/>
    </row>
    <row r="12869" spans="3:3" x14ac:dyDescent="0.3">
      <c r="C12869" s="87"/>
    </row>
    <row r="12870" spans="3:3" x14ac:dyDescent="0.3">
      <c r="C12870" s="87"/>
    </row>
    <row r="12871" spans="3:3" x14ac:dyDescent="0.3">
      <c r="C12871" s="87"/>
    </row>
    <row r="12872" spans="3:3" x14ac:dyDescent="0.3">
      <c r="C12872" s="87"/>
    </row>
    <row r="12873" spans="3:3" x14ac:dyDescent="0.3">
      <c r="C12873" s="87"/>
    </row>
    <row r="12874" spans="3:3" x14ac:dyDescent="0.3">
      <c r="C12874" s="87"/>
    </row>
    <row r="12875" spans="3:3" x14ac:dyDescent="0.3">
      <c r="C12875" s="87"/>
    </row>
    <row r="12876" spans="3:3" x14ac:dyDescent="0.3">
      <c r="C12876" s="87"/>
    </row>
    <row r="12877" spans="3:3" x14ac:dyDescent="0.3">
      <c r="C12877" s="87"/>
    </row>
    <row r="12878" spans="3:3" x14ac:dyDescent="0.3">
      <c r="C12878" s="87"/>
    </row>
    <row r="12879" spans="3:3" x14ac:dyDescent="0.3">
      <c r="C12879" s="87"/>
    </row>
    <row r="12880" spans="3:3" x14ac:dyDescent="0.3">
      <c r="C12880" s="87"/>
    </row>
    <row r="12881" spans="3:3" x14ac:dyDescent="0.3">
      <c r="C12881" s="87"/>
    </row>
    <row r="12882" spans="3:3" x14ac:dyDescent="0.3">
      <c r="C12882" s="87"/>
    </row>
    <row r="12883" spans="3:3" x14ac:dyDescent="0.3">
      <c r="C12883" s="87"/>
    </row>
    <row r="12884" spans="3:3" x14ac:dyDescent="0.3">
      <c r="C12884" s="87"/>
    </row>
    <row r="12885" spans="3:3" x14ac:dyDescent="0.3">
      <c r="C12885" s="87"/>
    </row>
    <row r="12886" spans="3:3" x14ac:dyDescent="0.3">
      <c r="C12886" s="87"/>
    </row>
    <row r="12887" spans="3:3" x14ac:dyDescent="0.3">
      <c r="C12887" s="87"/>
    </row>
    <row r="12888" spans="3:3" x14ac:dyDescent="0.3">
      <c r="C12888" s="87"/>
    </row>
    <row r="12889" spans="3:3" x14ac:dyDescent="0.3">
      <c r="C12889" s="87"/>
    </row>
    <row r="12890" spans="3:3" x14ac:dyDescent="0.3">
      <c r="C12890" s="87"/>
    </row>
    <row r="12891" spans="3:3" x14ac:dyDescent="0.3">
      <c r="C12891" s="87"/>
    </row>
    <row r="12892" spans="3:3" x14ac:dyDescent="0.3">
      <c r="C12892" s="87"/>
    </row>
    <row r="12893" spans="3:3" x14ac:dyDescent="0.3">
      <c r="C12893" s="87"/>
    </row>
    <row r="12894" spans="3:3" x14ac:dyDescent="0.3">
      <c r="C12894" s="87"/>
    </row>
    <row r="12895" spans="3:3" x14ac:dyDescent="0.3">
      <c r="C12895" s="87"/>
    </row>
    <row r="12896" spans="3:3" x14ac:dyDescent="0.3">
      <c r="C12896" s="87"/>
    </row>
    <row r="12897" spans="3:3" x14ac:dyDescent="0.3">
      <c r="C12897" s="87"/>
    </row>
    <row r="12898" spans="3:3" x14ac:dyDescent="0.3">
      <c r="C12898" s="87"/>
    </row>
    <row r="12899" spans="3:3" x14ac:dyDescent="0.3">
      <c r="C12899" s="87"/>
    </row>
    <row r="12900" spans="3:3" x14ac:dyDescent="0.3">
      <c r="C12900" s="87"/>
    </row>
    <row r="12901" spans="3:3" x14ac:dyDescent="0.3">
      <c r="C12901" s="87"/>
    </row>
    <row r="12902" spans="3:3" x14ac:dyDescent="0.3">
      <c r="C12902" s="87"/>
    </row>
    <row r="12903" spans="3:3" x14ac:dyDescent="0.3">
      <c r="C12903" s="87"/>
    </row>
    <row r="12904" spans="3:3" x14ac:dyDescent="0.3">
      <c r="C12904" s="87"/>
    </row>
    <row r="12905" spans="3:3" x14ac:dyDescent="0.3">
      <c r="C12905" s="87"/>
    </row>
    <row r="12906" spans="3:3" x14ac:dyDescent="0.3">
      <c r="C12906" s="87"/>
    </row>
    <row r="12907" spans="3:3" x14ac:dyDescent="0.3">
      <c r="C12907" s="87"/>
    </row>
    <row r="12908" spans="3:3" x14ac:dyDescent="0.3">
      <c r="C12908" s="87"/>
    </row>
    <row r="12909" spans="3:3" x14ac:dyDescent="0.3">
      <c r="C12909" s="87"/>
    </row>
    <row r="12910" spans="3:3" x14ac:dyDescent="0.3">
      <c r="C12910" s="87"/>
    </row>
    <row r="12911" spans="3:3" x14ac:dyDescent="0.3">
      <c r="C12911" s="87"/>
    </row>
    <row r="12912" spans="3:3" x14ac:dyDescent="0.3">
      <c r="C12912" s="87"/>
    </row>
    <row r="12913" spans="3:3" x14ac:dyDescent="0.3">
      <c r="C12913" s="87"/>
    </row>
    <row r="12914" spans="3:3" x14ac:dyDescent="0.3">
      <c r="C12914" s="87"/>
    </row>
    <row r="12915" spans="3:3" x14ac:dyDescent="0.3">
      <c r="C12915" s="87"/>
    </row>
    <row r="12916" spans="3:3" x14ac:dyDescent="0.3">
      <c r="C12916" s="87"/>
    </row>
    <row r="12917" spans="3:3" x14ac:dyDescent="0.3">
      <c r="C12917" s="87"/>
    </row>
    <row r="12918" spans="3:3" x14ac:dyDescent="0.3">
      <c r="C12918" s="87"/>
    </row>
    <row r="12919" spans="3:3" x14ac:dyDescent="0.3">
      <c r="C12919" s="87"/>
    </row>
    <row r="12920" spans="3:3" x14ac:dyDescent="0.3">
      <c r="C12920" s="87"/>
    </row>
    <row r="12921" spans="3:3" x14ac:dyDescent="0.3">
      <c r="C12921" s="87"/>
    </row>
    <row r="12922" spans="3:3" x14ac:dyDescent="0.3">
      <c r="C12922" s="87"/>
    </row>
    <row r="12923" spans="3:3" x14ac:dyDescent="0.3">
      <c r="C12923" s="87"/>
    </row>
    <row r="12924" spans="3:3" x14ac:dyDescent="0.3">
      <c r="C12924" s="87"/>
    </row>
    <row r="12925" spans="3:3" x14ac:dyDescent="0.3">
      <c r="C12925" s="87"/>
    </row>
    <row r="12926" spans="3:3" x14ac:dyDescent="0.3">
      <c r="C12926" s="87"/>
    </row>
    <row r="12927" spans="3:3" x14ac:dyDescent="0.3">
      <c r="C12927" s="87"/>
    </row>
    <row r="12928" spans="3:3" x14ac:dyDescent="0.3">
      <c r="C12928" s="87"/>
    </row>
    <row r="12929" spans="3:3" x14ac:dyDescent="0.3">
      <c r="C12929" s="87"/>
    </row>
    <row r="12930" spans="3:3" x14ac:dyDescent="0.3">
      <c r="C12930" s="87"/>
    </row>
    <row r="12931" spans="3:3" x14ac:dyDescent="0.3">
      <c r="C12931" s="87"/>
    </row>
    <row r="12932" spans="3:3" x14ac:dyDescent="0.3">
      <c r="C12932" s="87"/>
    </row>
    <row r="12933" spans="3:3" x14ac:dyDescent="0.3">
      <c r="C12933" s="87"/>
    </row>
    <row r="12934" spans="3:3" x14ac:dyDescent="0.3">
      <c r="C12934" s="87"/>
    </row>
    <row r="12935" spans="3:3" x14ac:dyDescent="0.3">
      <c r="C12935" s="87"/>
    </row>
    <row r="12936" spans="3:3" x14ac:dyDescent="0.3">
      <c r="C12936" s="87"/>
    </row>
    <row r="12937" spans="3:3" x14ac:dyDescent="0.3">
      <c r="C12937" s="87"/>
    </row>
    <row r="12938" spans="3:3" x14ac:dyDescent="0.3">
      <c r="C12938" s="87"/>
    </row>
    <row r="12939" spans="3:3" x14ac:dyDescent="0.3">
      <c r="C12939" s="87"/>
    </row>
    <row r="12940" spans="3:3" x14ac:dyDescent="0.3">
      <c r="C12940" s="87"/>
    </row>
    <row r="12941" spans="3:3" x14ac:dyDescent="0.3">
      <c r="C12941" s="87"/>
    </row>
    <row r="12942" spans="3:3" x14ac:dyDescent="0.3">
      <c r="C12942" s="87"/>
    </row>
    <row r="12943" spans="3:3" x14ac:dyDescent="0.3">
      <c r="C12943" s="87"/>
    </row>
    <row r="12944" spans="3:3" x14ac:dyDescent="0.3">
      <c r="C12944" s="87"/>
    </row>
    <row r="12945" spans="3:3" x14ac:dyDescent="0.3">
      <c r="C12945" s="87"/>
    </row>
    <row r="12946" spans="3:3" x14ac:dyDescent="0.3">
      <c r="C12946" s="87"/>
    </row>
    <row r="12947" spans="3:3" x14ac:dyDescent="0.3">
      <c r="C12947" s="87"/>
    </row>
    <row r="12948" spans="3:3" x14ac:dyDescent="0.3">
      <c r="C12948" s="87"/>
    </row>
    <row r="12949" spans="3:3" x14ac:dyDescent="0.3">
      <c r="C12949" s="87"/>
    </row>
    <row r="12950" spans="3:3" x14ac:dyDescent="0.3">
      <c r="C12950" s="87"/>
    </row>
    <row r="12951" spans="3:3" x14ac:dyDescent="0.3">
      <c r="C12951" s="87"/>
    </row>
    <row r="12952" spans="3:3" x14ac:dyDescent="0.3">
      <c r="C12952" s="87"/>
    </row>
    <row r="12953" spans="3:3" x14ac:dyDescent="0.3">
      <c r="C12953" s="87"/>
    </row>
    <row r="12954" spans="3:3" x14ac:dyDescent="0.3">
      <c r="C12954" s="87"/>
    </row>
    <row r="12955" spans="3:3" x14ac:dyDescent="0.3">
      <c r="C12955" s="87"/>
    </row>
    <row r="12956" spans="3:3" x14ac:dyDescent="0.3">
      <c r="C12956" s="87"/>
    </row>
    <row r="12957" spans="3:3" x14ac:dyDescent="0.3">
      <c r="C12957" s="87"/>
    </row>
    <row r="12958" spans="3:3" x14ac:dyDescent="0.3">
      <c r="C12958" s="87"/>
    </row>
    <row r="12959" spans="3:3" x14ac:dyDescent="0.3">
      <c r="C12959" s="87"/>
    </row>
    <row r="12960" spans="3:3" x14ac:dyDescent="0.3">
      <c r="C12960" s="87"/>
    </row>
    <row r="12961" spans="3:3" x14ac:dyDescent="0.3">
      <c r="C12961" s="87"/>
    </row>
    <row r="12962" spans="3:3" x14ac:dyDescent="0.3">
      <c r="C12962" s="87"/>
    </row>
    <row r="12963" spans="3:3" x14ac:dyDescent="0.3">
      <c r="C12963" s="87"/>
    </row>
    <row r="12964" spans="3:3" x14ac:dyDescent="0.3">
      <c r="C12964" s="87"/>
    </row>
    <row r="12965" spans="3:3" x14ac:dyDescent="0.3">
      <c r="C12965" s="87"/>
    </row>
    <row r="12966" spans="3:3" x14ac:dyDescent="0.3">
      <c r="C12966" s="87"/>
    </row>
    <row r="12967" spans="3:3" x14ac:dyDescent="0.3">
      <c r="C12967" s="87"/>
    </row>
    <row r="12968" spans="3:3" x14ac:dyDescent="0.3">
      <c r="C12968" s="87"/>
    </row>
    <row r="12969" spans="3:3" x14ac:dyDescent="0.3">
      <c r="C12969" s="87"/>
    </row>
    <row r="12970" spans="3:3" x14ac:dyDescent="0.3">
      <c r="C12970" s="87"/>
    </row>
    <row r="12971" spans="3:3" x14ac:dyDescent="0.3">
      <c r="C12971" s="87"/>
    </row>
    <row r="12972" spans="3:3" x14ac:dyDescent="0.3">
      <c r="C12972" s="87"/>
    </row>
    <row r="12973" spans="3:3" x14ac:dyDescent="0.3">
      <c r="C12973" s="87"/>
    </row>
    <row r="12974" spans="3:3" x14ac:dyDescent="0.3">
      <c r="C12974" s="87"/>
    </row>
    <row r="12975" spans="3:3" x14ac:dyDescent="0.3">
      <c r="C12975" s="87"/>
    </row>
    <row r="12976" spans="3:3" x14ac:dyDescent="0.3">
      <c r="C12976" s="87"/>
    </row>
    <row r="12977" spans="3:3" x14ac:dyDescent="0.3">
      <c r="C12977" s="87"/>
    </row>
    <row r="12978" spans="3:3" x14ac:dyDescent="0.3">
      <c r="C12978" s="87"/>
    </row>
    <row r="12979" spans="3:3" x14ac:dyDescent="0.3">
      <c r="C12979" s="87"/>
    </row>
    <row r="12980" spans="3:3" x14ac:dyDescent="0.3">
      <c r="C12980" s="87"/>
    </row>
    <row r="12981" spans="3:3" x14ac:dyDescent="0.3">
      <c r="C12981" s="87"/>
    </row>
    <row r="12982" spans="3:3" x14ac:dyDescent="0.3">
      <c r="C12982" s="87"/>
    </row>
    <row r="12983" spans="3:3" x14ac:dyDescent="0.3">
      <c r="C12983" s="87"/>
    </row>
    <row r="12984" spans="3:3" x14ac:dyDescent="0.3">
      <c r="C12984" s="87"/>
    </row>
    <row r="12985" spans="3:3" x14ac:dyDescent="0.3">
      <c r="C12985" s="87"/>
    </row>
    <row r="12986" spans="3:3" x14ac:dyDescent="0.3">
      <c r="C12986" s="87"/>
    </row>
    <row r="12987" spans="3:3" x14ac:dyDescent="0.3">
      <c r="C12987" s="87"/>
    </row>
    <row r="12988" spans="3:3" x14ac:dyDescent="0.3">
      <c r="C12988" s="87"/>
    </row>
    <row r="12989" spans="3:3" x14ac:dyDescent="0.3">
      <c r="C12989" s="87"/>
    </row>
    <row r="12990" spans="3:3" x14ac:dyDescent="0.3">
      <c r="C12990" s="87"/>
    </row>
    <row r="12991" spans="3:3" x14ac:dyDescent="0.3">
      <c r="C12991" s="87"/>
    </row>
    <row r="12992" spans="3:3" x14ac:dyDescent="0.3">
      <c r="C12992" s="87"/>
    </row>
    <row r="12993" spans="3:3" x14ac:dyDescent="0.3">
      <c r="C12993" s="87"/>
    </row>
    <row r="12994" spans="3:3" x14ac:dyDescent="0.3">
      <c r="C12994" s="87"/>
    </row>
    <row r="12995" spans="3:3" x14ac:dyDescent="0.3">
      <c r="C12995" s="87"/>
    </row>
    <row r="12996" spans="3:3" x14ac:dyDescent="0.3">
      <c r="C12996" s="87"/>
    </row>
    <row r="12997" spans="3:3" x14ac:dyDescent="0.3">
      <c r="C12997" s="87"/>
    </row>
    <row r="12998" spans="3:3" x14ac:dyDescent="0.3">
      <c r="C12998" s="87"/>
    </row>
    <row r="12999" spans="3:3" x14ac:dyDescent="0.3">
      <c r="C12999" s="87"/>
    </row>
    <row r="13000" spans="3:3" x14ac:dyDescent="0.3">
      <c r="C13000" s="87"/>
    </row>
    <row r="13001" spans="3:3" x14ac:dyDescent="0.3">
      <c r="C13001" s="87"/>
    </row>
    <row r="13002" spans="3:3" x14ac:dyDescent="0.3">
      <c r="C13002" s="87"/>
    </row>
    <row r="13003" spans="3:3" x14ac:dyDescent="0.3">
      <c r="C13003" s="87"/>
    </row>
    <row r="13004" spans="3:3" x14ac:dyDescent="0.3">
      <c r="C13004" s="87"/>
    </row>
    <row r="13005" spans="3:3" x14ac:dyDescent="0.3">
      <c r="C13005" s="87"/>
    </row>
    <row r="13006" spans="3:3" x14ac:dyDescent="0.3">
      <c r="C13006" s="87"/>
    </row>
    <row r="13007" spans="3:3" x14ac:dyDescent="0.3">
      <c r="C13007" s="87"/>
    </row>
    <row r="13008" spans="3:3" x14ac:dyDescent="0.3">
      <c r="C13008" s="87"/>
    </row>
    <row r="13009" spans="3:3" x14ac:dyDescent="0.3">
      <c r="C13009" s="87"/>
    </row>
    <row r="13010" spans="3:3" x14ac:dyDescent="0.3">
      <c r="C13010" s="87"/>
    </row>
    <row r="13011" spans="3:3" x14ac:dyDescent="0.3">
      <c r="C13011" s="87"/>
    </row>
    <row r="13012" spans="3:3" x14ac:dyDescent="0.3">
      <c r="C13012" s="87"/>
    </row>
    <row r="13013" spans="3:3" x14ac:dyDescent="0.3">
      <c r="C13013" s="87"/>
    </row>
    <row r="13014" spans="3:3" x14ac:dyDescent="0.3">
      <c r="C13014" s="87"/>
    </row>
    <row r="13015" spans="3:3" x14ac:dyDescent="0.3">
      <c r="C13015" s="87"/>
    </row>
    <row r="13016" spans="3:3" x14ac:dyDescent="0.3">
      <c r="C13016" s="87"/>
    </row>
    <row r="13017" spans="3:3" x14ac:dyDescent="0.3">
      <c r="C13017" s="87"/>
    </row>
    <row r="13018" spans="3:3" x14ac:dyDescent="0.3">
      <c r="C13018" s="87"/>
    </row>
    <row r="13019" spans="3:3" x14ac:dyDescent="0.3">
      <c r="C13019" s="87"/>
    </row>
    <row r="13020" spans="3:3" x14ac:dyDescent="0.3">
      <c r="C13020" s="87"/>
    </row>
    <row r="13021" spans="3:3" x14ac:dyDescent="0.3">
      <c r="C13021" s="87"/>
    </row>
    <row r="13022" spans="3:3" x14ac:dyDescent="0.3">
      <c r="C13022" s="87"/>
    </row>
    <row r="13023" spans="3:3" x14ac:dyDescent="0.3">
      <c r="C13023" s="87"/>
    </row>
    <row r="13024" spans="3:3" x14ac:dyDescent="0.3">
      <c r="C13024" s="87"/>
    </row>
    <row r="13025" spans="3:3" x14ac:dyDescent="0.3">
      <c r="C13025" s="87"/>
    </row>
    <row r="13026" spans="3:3" x14ac:dyDescent="0.3">
      <c r="C13026" s="87"/>
    </row>
    <row r="13027" spans="3:3" x14ac:dyDescent="0.3">
      <c r="C13027" s="87"/>
    </row>
    <row r="13028" spans="3:3" x14ac:dyDescent="0.3">
      <c r="C13028" s="87"/>
    </row>
    <row r="13029" spans="3:3" x14ac:dyDescent="0.3">
      <c r="C13029" s="87"/>
    </row>
    <row r="13030" spans="3:3" x14ac:dyDescent="0.3">
      <c r="C13030" s="87"/>
    </row>
    <row r="13031" spans="3:3" x14ac:dyDescent="0.3">
      <c r="C13031" s="87"/>
    </row>
    <row r="13032" spans="3:3" x14ac:dyDescent="0.3">
      <c r="C13032" s="87"/>
    </row>
    <row r="13033" spans="3:3" x14ac:dyDescent="0.3">
      <c r="C13033" s="87"/>
    </row>
    <row r="13034" spans="3:3" x14ac:dyDescent="0.3">
      <c r="C13034" s="87"/>
    </row>
    <row r="13035" spans="3:3" x14ac:dyDescent="0.3">
      <c r="C13035" s="87"/>
    </row>
    <row r="13036" spans="3:3" x14ac:dyDescent="0.3">
      <c r="C13036" s="87"/>
    </row>
    <row r="13037" spans="3:3" x14ac:dyDescent="0.3">
      <c r="C13037" s="87"/>
    </row>
    <row r="13038" spans="3:3" x14ac:dyDescent="0.3">
      <c r="C13038" s="87"/>
    </row>
    <row r="13039" spans="3:3" x14ac:dyDescent="0.3">
      <c r="C13039" s="87"/>
    </row>
    <row r="13040" spans="3:3" x14ac:dyDescent="0.3">
      <c r="C13040" s="87"/>
    </row>
    <row r="13041" spans="3:3" x14ac:dyDescent="0.3">
      <c r="C13041" s="87"/>
    </row>
    <row r="13042" spans="3:3" x14ac:dyDescent="0.3">
      <c r="C13042" s="87"/>
    </row>
    <row r="13043" spans="3:3" x14ac:dyDescent="0.3">
      <c r="C13043" s="87"/>
    </row>
    <row r="13044" spans="3:3" x14ac:dyDescent="0.3">
      <c r="C13044" s="87"/>
    </row>
    <row r="13045" spans="3:3" x14ac:dyDescent="0.3">
      <c r="C13045" s="87"/>
    </row>
    <row r="13046" spans="3:3" x14ac:dyDescent="0.3">
      <c r="C13046" s="87"/>
    </row>
    <row r="13047" spans="3:3" x14ac:dyDescent="0.3">
      <c r="C13047" s="87"/>
    </row>
    <row r="13048" spans="3:3" x14ac:dyDescent="0.3">
      <c r="C13048" s="87"/>
    </row>
    <row r="13049" spans="3:3" x14ac:dyDescent="0.3">
      <c r="C13049" s="87"/>
    </row>
    <row r="13050" spans="3:3" x14ac:dyDescent="0.3">
      <c r="C13050" s="87"/>
    </row>
    <row r="13051" spans="3:3" x14ac:dyDescent="0.3">
      <c r="C13051" s="87"/>
    </row>
    <row r="13052" spans="3:3" x14ac:dyDescent="0.3">
      <c r="C13052" s="87"/>
    </row>
    <row r="13053" spans="3:3" x14ac:dyDescent="0.3">
      <c r="C13053" s="87"/>
    </row>
    <row r="13054" spans="3:3" x14ac:dyDescent="0.3">
      <c r="C13054" s="87"/>
    </row>
    <row r="13055" spans="3:3" x14ac:dyDescent="0.3">
      <c r="C13055" s="87"/>
    </row>
    <row r="13056" spans="3:3" x14ac:dyDescent="0.3">
      <c r="C13056" s="87"/>
    </row>
    <row r="13057" spans="3:3" x14ac:dyDescent="0.3">
      <c r="C13057" s="87"/>
    </row>
    <row r="13058" spans="3:3" x14ac:dyDescent="0.3">
      <c r="C13058" s="87"/>
    </row>
    <row r="13059" spans="3:3" x14ac:dyDescent="0.3">
      <c r="C13059" s="87"/>
    </row>
    <row r="13060" spans="3:3" x14ac:dyDescent="0.3">
      <c r="C13060" s="87"/>
    </row>
    <row r="13061" spans="3:3" x14ac:dyDescent="0.3">
      <c r="C13061" s="87"/>
    </row>
    <row r="13062" spans="3:3" x14ac:dyDescent="0.3">
      <c r="C13062" s="87"/>
    </row>
    <row r="13063" spans="3:3" x14ac:dyDescent="0.3">
      <c r="C13063" s="87"/>
    </row>
    <row r="13064" spans="3:3" x14ac:dyDescent="0.3">
      <c r="C13064" s="87"/>
    </row>
    <row r="13065" spans="3:3" x14ac:dyDescent="0.3">
      <c r="C13065" s="87"/>
    </row>
    <row r="13066" spans="3:3" x14ac:dyDescent="0.3">
      <c r="C13066" s="87"/>
    </row>
    <row r="13067" spans="3:3" x14ac:dyDescent="0.3">
      <c r="C13067" s="87"/>
    </row>
    <row r="13068" spans="3:3" x14ac:dyDescent="0.3">
      <c r="C13068" s="87"/>
    </row>
    <row r="13069" spans="3:3" x14ac:dyDescent="0.3">
      <c r="C13069" s="87"/>
    </row>
    <row r="13070" spans="3:3" x14ac:dyDescent="0.3">
      <c r="C13070" s="87"/>
    </row>
    <row r="13071" spans="3:3" x14ac:dyDescent="0.3">
      <c r="C13071" s="87"/>
    </row>
    <row r="13072" spans="3:3" x14ac:dyDescent="0.3">
      <c r="C13072" s="87"/>
    </row>
    <row r="13073" spans="3:3" x14ac:dyDescent="0.3">
      <c r="C13073" s="87"/>
    </row>
    <row r="13074" spans="3:3" x14ac:dyDescent="0.3">
      <c r="C13074" s="87"/>
    </row>
    <row r="13075" spans="3:3" x14ac:dyDescent="0.3">
      <c r="C13075" s="87"/>
    </row>
    <row r="13076" spans="3:3" x14ac:dyDescent="0.3">
      <c r="C13076" s="87"/>
    </row>
    <row r="13077" spans="3:3" x14ac:dyDescent="0.3">
      <c r="C13077" s="87"/>
    </row>
    <row r="13078" spans="3:3" x14ac:dyDescent="0.3">
      <c r="C13078" s="87"/>
    </row>
    <row r="13079" spans="3:3" x14ac:dyDescent="0.3">
      <c r="C13079" s="87"/>
    </row>
    <row r="13080" spans="3:3" x14ac:dyDescent="0.3">
      <c r="C13080" s="87"/>
    </row>
    <row r="13081" spans="3:3" x14ac:dyDescent="0.3">
      <c r="C13081" s="87"/>
    </row>
    <row r="13082" spans="3:3" x14ac:dyDescent="0.3">
      <c r="C13082" s="87"/>
    </row>
    <row r="13083" spans="3:3" x14ac:dyDescent="0.3">
      <c r="C13083" s="87"/>
    </row>
    <row r="13084" spans="3:3" x14ac:dyDescent="0.3">
      <c r="C13084" s="87"/>
    </row>
    <row r="13085" spans="3:3" x14ac:dyDescent="0.3">
      <c r="C13085" s="87"/>
    </row>
    <row r="13086" spans="3:3" x14ac:dyDescent="0.3">
      <c r="C13086" s="87"/>
    </row>
    <row r="13087" spans="3:3" x14ac:dyDescent="0.3">
      <c r="C13087" s="87"/>
    </row>
    <row r="13088" spans="3:3" x14ac:dyDescent="0.3">
      <c r="C13088" s="87"/>
    </row>
    <row r="13089" spans="3:3" x14ac:dyDescent="0.3">
      <c r="C13089" s="87"/>
    </row>
    <row r="13090" spans="3:3" x14ac:dyDescent="0.3">
      <c r="C13090" s="87"/>
    </row>
    <row r="13091" spans="3:3" x14ac:dyDescent="0.3">
      <c r="C13091" s="87"/>
    </row>
    <row r="13092" spans="3:3" x14ac:dyDescent="0.3">
      <c r="C13092" s="87"/>
    </row>
    <row r="13093" spans="3:3" x14ac:dyDescent="0.3">
      <c r="C13093" s="87"/>
    </row>
    <row r="13094" spans="3:3" x14ac:dyDescent="0.3">
      <c r="C13094" s="87"/>
    </row>
    <row r="13095" spans="3:3" x14ac:dyDescent="0.3">
      <c r="C13095" s="87"/>
    </row>
    <row r="13096" spans="3:3" x14ac:dyDescent="0.3">
      <c r="C13096" s="87"/>
    </row>
    <row r="13097" spans="3:3" x14ac:dyDescent="0.3">
      <c r="C13097" s="87"/>
    </row>
    <row r="13098" spans="3:3" x14ac:dyDescent="0.3">
      <c r="C13098" s="87"/>
    </row>
    <row r="13099" spans="3:3" x14ac:dyDescent="0.3">
      <c r="C13099" s="87"/>
    </row>
    <row r="13100" spans="3:3" x14ac:dyDescent="0.3">
      <c r="C13100" s="87"/>
    </row>
    <row r="13101" spans="3:3" x14ac:dyDescent="0.3">
      <c r="C13101" s="87"/>
    </row>
    <row r="13102" spans="3:3" x14ac:dyDescent="0.3">
      <c r="C13102" s="87"/>
    </row>
    <row r="13103" spans="3:3" x14ac:dyDescent="0.3">
      <c r="C13103" s="87"/>
    </row>
    <row r="13104" spans="3:3" x14ac:dyDescent="0.3">
      <c r="C13104" s="87"/>
    </row>
    <row r="13105" spans="3:3" x14ac:dyDescent="0.3">
      <c r="C13105" s="87"/>
    </row>
    <row r="13106" spans="3:3" x14ac:dyDescent="0.3">
      <c r="C13106" s="87"/>
    </row>
    <row r="13107" spans="3:3" x14ac:dyDescent="0.3">
      <c r="C13107" s="87"/>
    </row>
    <row r="13108" spans="3:3" x14ac:dyDescent="0.3">
      <c r="C13108" s="87"/>
    </row>
    <row r="13109" spans="3:3" x14ac:dyDescent="0.3">
      <c r="C13109" s="87"/>
    </row>
    <row r="13110" spans="3:3" x14ac:dyDescent="0.3">
      <c r="C13110" s="87"/>
    </row>
    <row r="13111" spans="3:3" x14ac:dyDescent="0.3">
      <c r="C13111" s="87"/>
    </row>
    <row r="13112" spans="3:3" x14ac:dyDescent="0.3">
      <c r="C13112" s="87"/>
    </row>
    <row r="13113" spans="3:3" x14ac:dyDescent="0.3">
      <c r="C13113" s="87"/>
    </row>
    <row r="13114" spans="3:3" x14ac:dyDescent="0.3">
      <c r="C13114" s="87"/>
    </row>
    <row r="13115" spans="3:3" x14ac:dyDescent="0.3">
      <c r="C13115" s="87"/>
    </row>
    <row r="13116" spans="3:3" x14ac:dyDescent="0.3">
      <c r="C13116" s="87"/>
    </row>
    <row r="13117" spans="3:3" x14ac:dyDescent="0.3">
      <c r="C13117" s="87"/>
    </row>
    <row r="13118" spans="3:3" x14ac:dyDescent="0.3">
      <c r="C13118" s="87"/>
    </row>
    <row r="13119" spans="3:3" x14ac:dyDescent="0.3">
      <c r="C13119" s="87"/>
    </row>
    <row r="13120" spans="3:3" x14ac:dyDescent="0.3">
      <c r="C13120" s="87"/>
    </row>
    <row r="13121" spans="3:3" x14ac:dyDescent="0.3">
      <c r="C13121" s="87"/>
    </row>
    <row r="13122" spans="3:3" x14ac:dyDescent="0.3">
      <c r="C13122" s="87"/>
    </row>
    <row r="13123" spans="3:3" x14ac:dyDescent="0.3">
      <c r="C13123" s="87"/>
    </row>
    <row r="13124" spans="3:3" x14ac:dyDescent="0.3">
      <c r="C13124" s="87"/>
    </row>
    <row r="13125" spans="3:3" x14ac:dyDescent="0.3">
      <c r="C13125" s="87"/>
    </row>
    <row r="13126" spans="3:3" x14ac:dyDescent="0.3">
      <c r="C13126" s="87"/>
    </row>
    <row r="13127" spans="3:3" x14ac:dyDescent="0.3">
      <c r="C13127" s="87"/>
    </row>
    <row r="13128" spans="3:3" x14ac:dyDescent="0.3">
      <c r="C13128" s="87"/>
    </row>
    <row r="13129" spans="3:3" x14ac:dyDescent="0.3">
      <c r="C13129" s="87"/>
    </row>
    <row r="13130" spans="3:3" x14ac:dyDescent="0.3">
      <c r="C13130" s="87"/>
    </row>
    <row r="13131" spans="3:3" x14ac:dyDescent="0.3">
      <c r="C13131" s="87"/>
    </row>
    <row r="13132" spans="3:3" x14ac:dyDescent="0.3">
      <c r="C13132" s="87"/>
    </row>
    <row r="13133" spans="3:3" x14ac:dyDescent="0.3">
      <c r="C13133" s="87"/>
    </row>
    <row r="13134" spans="3:3" x14ac:dyDescent="0.3">
      <c r="C13134" s="87"/>
    </row>
    <row r="13135" spans="3:3" x14ac:dyDescent="0.3">
      <c r="C13135" s="87"/>
    </row>
    <row r="13136" spans="3:3" x14ac:dyDescent="0.3">
      <c r="C13136" s="87"/>
    </row>
    <row r="13137" spans="3:3" x14ac:dyDescent="0.3">
      <c r="C13137" s="87"/>
    </row>
    <row r="13138" spans="3:3" x14ac:dyDescent="0.3">
      <c r="C13138" s="87"/>
    </row>
    <row r="13139" spans="3:3" x14ac:dyDescent="0.3">
      <c r="C13139" s="87"/>
    </row>
    <row r="13140" spans="3:3" x14ac:dyDescent="0.3">
      <c r="C13140" s="87"/>
    </row>
    <row r="13141" spans="3:3" x14ac:dyDescent="0.3">
      <c r="C13141" s="87"/>
    </row>
    <row r="13142" spans="3:3" x14ac:dyDescent="0.3">
      <c r="C13142" s="87"/>
    </row>
    <row r="13143" spans="3:3" x14ac:dyDescent="0.3">
      <c r="C13143" s="87"/>
    </row>
    <row r="13144" spans="3:3" x14ac:dyDescent="0.3">
      <c r="C13144" s="87"/>
    </row>
    <row r="13145" spans="3:3" x14ac:dyDescent="0.3">
      <c r="C13145" s="87"/>
    </row>
    <row r="13146" spans="3:3" x14ac:dyDescent="0.3">
      <c r="C13146" s="87"/>
    </row>
    <row r="13147" spans="3:3" x14ac:dyDescent="0.3">
      <c r="C13147" s="87"/>
    </row>
    <row r="13148" spans="3:3" x14ac:dyDescent="0.3">
      <c r="C13148" s="87"/>
    </row>
    <row r="13149" spans="3:3" x14ac:dyDescent="0.3">
      <c r="C13149" s="87"/>
    </row>
    <row r="13150" spans="3:3" x14ac:dyDescent="0.3">
      <c r="C13150" s="87"/>
    </row>
    <row r="13151" spans="3:3" x14ac:dyDescent="0.3">
      <c r="C13151" s="87"/>
    </row>
    <row r="13152" spans="3:3" x14ac:dyDescent="0.3">
      <c r="C13152" s="87"/>
    </row>
    <row r="13153" spans="3:3" x14ac:dyDescent="0.3">
      <c r="C13153" s="87"/>
    </row>
    <row r="13154" spans="3:3" x14ac:dyDescent="0.3">
      <c r="C13154" s="87"/>
    </row>
    <row r="13155" spans="3:3" x14ac:dyDescent="0.3">
      <c r="C13155" s="87"/>
    </row>
    <row r="13156" spans="3:3" x14ac:dyDescent="0.3">
      <c r="C13156" s="87"/>
    </row>
    <row r="13157" spans="3:3" x14ac:dyDescent="0.3">
      <c r="C13157" s="87"/>
    </row>
    <row r="13158" spans="3:3" x14ac:dyDescent="0.3">
      <c r="C13158" s="87"/>
    </row>
    <row r="13159" spans="3:3" x14ac:dyDescent="0.3">
      <c r="C13159" s="87"/>
    </row>
    <row r="13160" spans="3:3" x14ac:dyDescent="0.3">
      <c r="C13160" s="87"/>
    </row>
    <row r="13161" spans="3:3" x14ac:dyDescent="0.3">
      <c r="C13161" s="87"/>
    </row>
    <row r="13162" spans="3:3" x14ac:dyDescent="0.3">
      <c r="C13162" s="87"/>
    </row>
    <row r="13163" spans="3:3" x14ac:dyDescent="0.3">
      <c r="C13163" s="87"/>
    </row>
    <row r="13164" spans="3:3" x14ac:dyDescent="0.3">
      <c r="C13164" s="87"/>
    </row>
    <row r="13165" spans="3:3" x14ac:dyDescent="0.3">
      <c r="C13165" s="87"/>
    </row>
    <row r="13166" spans="3:3" x14ac:dyDescent="0.3">
      <c r="C13166" s="87"/>
    </row>
    <row r="13167" spans="3:3" x14ac:dyDescent="0.3">
      <c r="C13167" s="87"/>
    </row>
    <row r="13168" spans="3:3" x14ac:dyDescent="0.3">
      <c r="C13168" s="87"/>
    </row>
    <row r="13169" spans="3:3" x14ac:dyDescent="0.3">
      <c r="C13169" s="87"/>
    </row>
    <row r="13170" spans="3:3" x14ac:dyDescent="0.3">
      <c r="C13170" s="87"/>
    </row>
    <row r="13171" spans="3:3" x14ac:dyDescent="0.3">
      <c r="C13171" s="87"/>
    </row>
    <row r="13172" spans="3:3" x14ac:dyDescent="0.3">
      <c r="C13172" s="87"/>
    </row>
    <row r="13173" spans="3:3" x14ac:dyDescent="0.3">
      <c r="C13173" s="87"/>
    </row>
    <row r="13174" spans="3:3" x14ac:dyDescent="0.3">
      <c r="C13174" s="87"/>
    </row>
    <row r="13175" spans="3:3" x14ac:dyDescent="0.3">
      <c r="C13175" s="87"/>
    </row>
    <row r="13176" spans="3:3" x14ac:dyDescent="0.3">
      <c r="C13176" s="87"/>
    </row>
    <row r="13177" spans="3:3" x14ac:dyDescent="0.3">
      <c r="C13177" s="87"/>
    </row>
    <row r="13178" spans="3:3" x14ac:dyDescent="0.3">
      <c r="C13178" s="87"/>
    </row>
    <row r="13179" spans="3:3" x14ac:dyDescent="0.3">
      <c r="C13179" s="87"/>
    </row>
    <row r="13180" spans="3:3" x14ac:dyDescent="0.3">
      <c r="C13180" s="87"/>
    </row>
    <row r="13181" spans="3:3" x14ac:dyDescent="0.3">
      <c r="C13181" s="87"/>
    </row>
    <row r="13182" spans="3:3" x14ac:dyDescent="0.3">
      <c r="C13182" s="87"/>
    </row>
    <row r="13183" spans="3:3" x14ac:dyDescent="0.3">
      <c r="C13183" s="87"/>
    </row>
    <row r="13184" spans="3:3" x14ac:dyDescent="0.3">
      <c r="C13184" s="87"/>
    </row>
    <row r="13185" spans="3:3" x14ac:dyDescent="0.3">
      <c r="C13185" s="87"/>
    </row>
    <row r="13186" spans="3:3" x14ac:dyDescent="0.3">
      <c r="C13186" s="87"/>
    </row>
    <row r="13187" spans="3:3" x14ac:dyDescent="0.3">
      <c r="C13187" s="87"/>
    </row>
    <row r="13188" spans="3:3" x14ac:dyDescent="0.3">
      <c r="C13188" s="87"/>
    </row>
    <row r="13189" spans="3:3" x14ac:dyDescent="0.3">
      <c r="C13189" s="87"/>
    </row>
    <row r="13190" spans="3:3" x14ac:dyDescent="0.3">
      <c r="C13190" s="87"/>
    </row>
    <row r="13191" spans="3:3" x14ac:dyDescent="0.3">
      <c r="C13191" s="87"/>
    </row>
    <row r="13192" spans="3:3" x14ac:dyDescent="0.3">
      <c r="C13192" s="87"/>
    </row>
    <row r="13193" spans="3:3" x14ac:dyDescent="0.3">
      <c r="C13193" s="87"/>
    </row>
    <row r="13194" spans="3:3" x14ac:dyDescent="0.3">
      <c r="C13194" s="87"/>
    </row>
    <row r="13195" spans="3:3" x14ac:dyDescent="0.3">
      <c r="C13195" s="87"/>
    </row>
    <row r="13196" spans="3:3" x14ac:dyDescent="0.3">
      <c r="C13196" s="87"/>
    </row>
    <row r="13197" spans="3:3" x14ac:dyDescent="0.3">
      <c r="C13197" s="87"/>
    </row>
    <row r="13198" spans="3:3" x14ac:dyDescent="0.3">
      <c r="C13198" s="87"/>
    </row>
    <row r="13199" spans="3:3" x14ac:dyDescent="0.3">
      <c r="C13199" s="87"/>
    </row>
    <row r="13200" spans="3:3" x14ac:dyDescent="0.3">
      <c r="C13200" s="87"/>
    </row>
    <row r="13201" spans="3:3" x14ac:dyDescent="0.3">
      <c r="C13201" s="87"/>
    </row>
    <row r="13202" spans="3:3" x14ac:dyDescent="0.3">
      <c r="C13202" s="87"/>
    </row>
    <row r="13203" spans="3:3" x14ac:dyDescent="0.3">
      <c r="C13203" s="87"/>
    </row>
    <row r="13204" spans="3:3" x14ac:dyDescent="0.3">
      <c r="C13204" s="87"/>
    </row>
    <row r="13205" spans="3:3" x14ac:dyDescent="0.3">
      <c r="C13205" s="87"/>
    </row>
    <row r="13206" spans="3:3" x14ac:dyDescent="0.3">
      <c r="C13206" s="87"/>
    </row>
    <row r="13207" spans="3:3" x14ac:dyDescent="0.3">
      <c r="C13207" s="87"/>
    </row>
    <row r="13208" spans="3:3" x14ac:dyDescent="0.3">
      <c r="C13208" s="87"/>
    </row>
    <row r="13209" spans="3:3" x14ac:dyDescent="0.3">
      <c r="C13209" s="87"/>
    </row>
    <row r="13210" spans="3:3" x14ac:dyDescent="0.3">
      <c r="C13210" s="87"/>
    </row>
    <row r="13211" spans="3:3" x14ac:dyDescent="0.3">
      <c r="C13211" s="87"/>
    </row>
    <row r="13212" spans="3:3" x14ac:dyDescent="0.3">
      <c r="C13212" s="87"/>
    </row>
    <row r="13213" spans="3:3" x14ac:dyDescent="0.3">
      <c r="C13213" s="87"/>
    </row>
    <row r="13214" spans="3:3" x14ac:dyDescent="0.3">
      <c r="C13214" s="87"/>
    </row>
    <row r="13215" spans="3:3" x14ac:dyDescent="0.3">
      <c r="C13215" s="87"/>
    </row>
    <row r="13216" spans="3:3" x14ac:dyDescent="0.3">
      <c r="C13216" s="87"/>
    </row>
    <row r="13217" spans="3:3" x14ac:dyDescent="0.3">
      <c r="C13217" s="87"/>
    </row>
    <row r="13218" spans="3:3" x14ac:dyDescent="0.3">
      <c r="C13218" s="87"/>
    </row>
    <row r="13219" spans="3:3" x14ac:dyDescent="0.3">
      <c r="C13219" s="87"/>
    </row>
    <row r="13220" spans="3:3" x14ac:dyDescent="0.3">
      <c r="C13220" s="87"/>
    </row>
    <row r="13221" spans="3:3" x14ac:dyDescent="0.3">
      <c r="C13221" s="87"/>
    </row>
    <row r="13222" spans="3:3" x14ac:dyDescent="0.3">
      <c r="C13222" s="87"/>
    </row>
    <row r="13223" spans="3:3" x14ac:dyDescent="0.3">
      <c r="C13223" s="87"/>
    </row>
    <row r="13224" spans="3:3" x14ac:dyDescent="0.3">
      <c r="C13224" s="87"/>
    </row>
    <row r="13225" spans="3:3" x14ac:dyDescent="0.3">
      <c r="C13225" s="87"/>
    </row>
    <row r="13226" spans="3:3" x14ac:dyDescent="0.3">
      <c r="C13226" s="87"/>
    </row>
    <row r="13227" spans="3:3" x14ac:dyDescent="0.3">
      <c r="C13227" s="87"/>
    </row>
    <row r="13228" spans="3:3" x14ac:dyDescent="0.3">
      <c r="C13228" s="87"/>
    </row>
    <row r="13229" spans="3:3" x14ac:dyDescent="0.3">
      <c r="C13229" s="87"/>
    </row>
    <row r="13230" spans="3:3" x14ac:dyDescent="0.3">
      <c r="C13230" s="87"/>
    </row>
    <row r="13231" spans="3:3" x14ac:dyDescent="0.3">
      <c r="C13231" s="87"/>
    </row>
    <row r="13232" spans="3:3" x14ac:dyDescent="0.3">
      <c r="C13232" s="87"/>
    </row>
    <row r="13233" spans="3:3" x14ac:dyDescent="0.3">
      <c r="C13233" s="87"/>
    </row>
    <row r="13234" spans="3:3" x14ac:dyDescent="0.3">
      <c r="C13234" s="87"/>
    </row>
    <row r="13235" spans="3:3" x14ac:dyDescent="0.3">
      <c r="C13235" s="87"/>
    </row>
    <row r="13236" spans="3:3" x14ac:dyDescent="0.3">
      <c r="C13236" s="87"/>
    </row>
    <row r="13237" spans="3:3" x14ac:dyDescent="0.3">
      <c r="C13237" s="87"/>
    </row>
    <row r="13238" spans="3:3" x14ac:dyDescent="0.3">
      <c r="C13238" s="87"/>
    </row>
    <row r="13239" spans="3:3" x14ac:dyDescent="0.3">
      <c r="C13239" s="87"/>
    </row>
    <row r="13240" spans="3:3" x14ac:dyDescent="0.3">
      <c r="C13240" s="87"/>
    </row>
    <row r="13241" spans="3:3" x14ac:dyDescent="0.3">
      <c r="C13241" s="87"/>
    </row>
    <row r="13242" spans="3:3" x14ac:dyDescent="0.3">
      <c r="C13242" s="87"/>
    </row>
    <row r="13243" spans="3:3" x14ac:dyDescent="0.3">
      <c r="C13243" s="87"/>
    </row>
    <row r="13244" spans="3:3" x14ac:dyDescent="0.3">
      <c r="C13244" s="87"/>
    </row>
    <row r="13245" spans="3:3" x14ac:dyDescent="0.3">
      <c r="C13245" s="87"/>
    </row>
    <row r="13246" spans="3:3" x14ac:dyDescent="0.3">
      <c r="C13246" s="87"/>
    </row>
    <row r="13247" spans="3:3" x14ac:dyDescent="0.3">
      <c r="C13247" s="87"/>
    </row>
    <row r="13248" spans="3:3" x14ac:dyDescent="0.3">
      <c r="C13248" s="87"/>
    </row>
    <row r="13249" spans="3:3" x14ac:dyDescent="0.3">
      <c r="C13249" s="87"/>
    </row>
    <row r="13250" spans="3:3" x14ac:dyDescent="0.3">
      <c r="C13250" s="87"/>
    </row>
    <row r="13251" spans="3:3" x14ac:dyDescent="0.3">
      <c r="C13251" s="87"/>
    </row>
    <row r="13252" spans="3:3" x14ac:dyDescent="0.3">
      <c r="C13252" s="87"/>
    </row>
    <row r="13253" spans="3:3" x14ac:dyDescent="0.3">
      <c r="C13253" s="87"/>
    </row>
    <row r="13254" spans="3:3" x14ac:dyDescent="0.3">
      <c r="C13254" s="87"/>
    </row>
    <row r="13255" spans="3:3" x14ac:dyDescent="0.3">
      <c r="C13255" s="87"/>
    </row>
    <row r="13256" spans="3:3" x14ac:dyDescent="0.3">
      <c r="C13256" s="87"/>
    </row>
    <row r="13257" spans="3:3" x14ac:dyDescent="0.3">
      <c r="C13257" s="87"/>
    </row>
    <row r="13258" spans="3:3" x14ac:dyDescent="0.3">
      <c r="C13258" s="87"/>
    </row>
    <row r="13259" spans="3:3" x14ac:dyDescent="0.3">
      <c r="C13259" s="87"/>
    </row>
    <row r="13260" spans="3:3" x14ac:dyDescent="0.3">
      <c r="C13260" s="87"/>
    </row>
    <row r="13261" spans="3:3" x14ac:dyDescent="0.3">
      <c r="C13261" s="87"/>
    </row>
    <row r="13262" spans="3:3" x14ac:dyDescent="0.3">
      <c r="C13262" s="87"/>
    </row>
    <row r="13263" spans="3:3" x14ac:dyDescent="0.3">
      <c r="C13263" s="87"/>
    </row>
    <row r="13264" spans="3:3" x14ac:dyDescent="0.3">
      <c r="C13264" s="87"/>
    </row>
    <row r="13265" spans="3:3" x14ac:dyDescent="0.3">
      <c r="C13265" s="87"/>
    </row>
    <row r="13266" spans="3:3" x14ac:dyDescent="0.3">
      <c r="C13266" s="87"/>
    </row>
    <row r="13267" spans="3:3" x14ac:dyDescent="0.3">
      <c r="C13267" s="87"/>
    </row>
    <row r="13268" spans="3:3" x14ac:dyDescent="0.3">
      <c r="C13268" s="87"/>
    </row>
    <row r="13269" spans="3:3" x14ac:dyDescent="0.3">
      <c r="C13269" s="87"/>
    </row>
    <row r="13270" spans="3:3" x14ac:dyDescent="0.3">
      <c r="C13270" s="87"/>
    </row>
    <row r="13271" spans="3:3" x14ac:dyDescent="0.3">
      <c r="C13271" s="87"/>
    </row>
    <row r="13272" spans="3:3" x14ac:dyDescent="0.3">
      <c r="C13272" s="87"/>
    </row>
    <row r="13273" spans="3:3" x14ac:dyDescent="0.3">
      <c r="C13273" s="87"/>
    </row>
    <row r="13274" spans="3:3" x14ac:dyDescent="0.3">
      <c r="C13274" s="87"/>
    </row>
    <row r="13275" spans="3:3" x14ac:dyDescent="0.3">
      <c r="C13275" s="87"/>
    </row>
    <row r="13276" spans="3:3" x14ac:dyDescent="0.3">
      <c r="C13276" s="87"/>
    </row>
    <row r="13277" spans="3:3" x14ac:dyDescent="0.3">
      <c r="C13277" s="87"/>
    </row>
    <row r="13278" spans="3:3" x14ac:dyDescent="0.3">
      <c r="C13278" s="87"/>
    </row>
    <row r="13279" spans="3:3" x14ac:dyDescent="0.3">
      <c r="C13279" s="87"/>
    </row>
    <row r="13280" spans="3:3" x14ac:dyDescent="0.3">
      <c r="C13280" s="87"/>
    </row>
    <row r="13281" spans="3:7" x14ac:dyDescent="0.3">
      <c r="C13281" s="87"/>
    </row>
    <row r="13282" spans="3:7" x14ac:dyDescent="0.3">
      <c r="C13282" s="87"/>
    </row>
    <row r="13283" spans="3:7" x14ac:dyDescent="0.3">
      <c r="C13283" s="87"/>
    </row>
    <row r="13284" spans="3:7" x14ac:dyDescent="0.3">
      <c r="C13284" s="87"/>
    </row>
    <row r="13285" spans="3:7" x14ac:dyDescent="0.3">
      <c r="C13285" s="87"/>
    </row>
    <row r="13286" spans="3:7" x14ac:dyDescent="0.3">
      <c r="C13286" s="87"/>
      <c r="G13286" s="115"/>
    </row>
    <row r="13287" spans="3:7" x14ac:dyDescent="0.3">
      <c r="C13287" s="87"/>
    </row>
    <row r="13288" spans="3:7" x14ac:dyDescent="0.3">
      <c r="C13288" s="87"/>
    </row>
    <row r="13289" spans="3:7" x14ac:dyDescent="0.3">
      <c r="C13289" s="87"/>
    </row>
    <row r="13290" spans="3:7" x14ac:dyDescent="0.3">
      <c r="C13290" s="87"/>
    </row>
    <row r="13291" spans="3:7" x14ac:dyDescent="0.3">
      <c r="C13291" s="87"/>
    </row>
    <row r="13292" spans="3:7" x14ac:dyDescent="0.3">
      <c r="C13292" s="87"/>
    </row>
    <row r="13293" spans="3:7" x14ac:dyDescent="0.3">
      <c r="C13293" s="87"/>
    </row>
    <row r="13294" spans="3:7" x14ac:dyDescent="0.3">
      <c r="C13294" s="87"/>
    </row>
    <row r="13295" spans="3:7" x14ac:dyDescent="0.3">
      <c r="C13295" s="87"/>
    </row>
    <row r="13296" spans="3:7" x14ac:dyDescent="0.3">
      <c r="C13296" s="87"/>
    </row>
    <row r="13297" spans="3:3" x14ac:dyDescent="0.3">
      <c r="C13297" s="87"/>
    </row>
    <row r="13298" spans="3:3" x14ac:dyDescent="0.3">
      <c r="C13298" s="87"/>
    </row>
    <row r="13299" spans="3:3" x14ac:dyDescent="0.3">
      <c r="C13299" s="87"/>
    </row>
    <row r="13300" spans="3:3" x14ac:dyDescent="0.3">
      <c r="C13300" s="87"/>
    </row>
    <row r="13301" spans="3:3" x14ac:dyDescent="0.3">
      <c r="C13301" s="87"/>
    </row>
    <row r="13302" spans="3:3" x14ac:dyDescent="0.3">
      <c r="C13302" s="87"/>
    </row>
    <row r="13303" spans="3:3" x14ac:dyDescent="0.3">
      <c r="C13303" s="87"/>
    </row>
    <row r="13304" spans="3:3" x14ac:dyDescent="0.3">
      <c r="C13304" s="87"/>
    </row>
    <row r="13305" spans="3:3" x14ac:dyDescent="0.3">
      <c r="C13305" s="87"/>
    </row>
    <row r="13306" spans="3:3" x14ac:dyDescent="0.3">
      <c r="C13306" s="87"/>
    </row>
    <row r="13307" spans="3:3" x14ac:dyDescent="0.3">
      <c r="C13307" s="87"/>
    </row>
    <row r="13308" spans="3:3" x14ac:dyDescent="0.3">
      <c r="C13308" s="87"/>
    </row>
    <row r="13309" spans="3:3" x14ac:dyDescent="0.3">
      <c r="C13309" s="87"/>
    </row>
    <row r="13310" spans="3:3" x14ac:dyDescent="0.3">
      <c r="C13310" s="87"/>
    </row>
    <row r="13311" spans="3:3" x14ac:dyDescent="0.3">
      <c r="C13311" s="87"/>
    </row>
    <row r="13312" spans="3:3" x14ac:dyDescent="0.3">
      <c r="C13312" s="87"/>
    </row>
    <row r="13313" spans="3:3" x14ac:dyDescent="0.3">
      <c r="C13313" s="87"/>
    </row>
    <row r="13314" spans="3:3" x14ac:dyDescent="0.3">
      <c r="C13314" s="87"/>
    </row>
    <row r="13315" spans="3:3" x14ac:dyDescent="0.3">
      <c r="C13315" s="87"/>
    </row>
    <row r="13316" spans="3:3" x14ac:dyDescent="0.3">
      <c r="C13316" s="87"/>
    </row>
    <row r="13317" spans="3:3" x14ac:dyDescent="0.3">
      <c r="C13317" s="87"/>
    </row>
    <row r="13318" spans="3:3" x14ac:dyDescent="0.3">
      <c r="C13318" s="87"/>
    </row>
    <row r="13319" spans="3:3" x14ac:dyDescent="0.3">
      <c r="C13319" s="87"/>
    </row>
    <row r="13320" spans="3:3" x14ac:dyDescent="0.3">
      <c r="C13320" s="87"/>
    </row>
    <row r="13321" spans="3:3" x14ac:dyDescent="0.3">
      <c r="C13321" s="87"/>
    </row>
    <row r="13322" spans="3:3" x14ac:dyDescent="0.3">
      <c r="C13322" s="87"/>
    </row>
    <row r="13323" spans="3:3" x14ac:dyDescent="0.3">
      <c r="C13323" s="87"/>
    </row>
    <row r="13324" spans="3:3" x14ac:dyDescent="0.3">
      <c r="C13324" s="87"/>
    </row>
    <row r="13325" spans="3:3" x14ac:dyDescent="0.3">
      <c r="C13325" s="87"/>
    </row>
    <row r="13326" spans="3:3" x14ac:dyDescent="0.3">
      <c r="C13326" s="87"/>
    </row>
    <row r="13327" spans="3:3" x14ac:dyDescent="0.3">
      <c r="C13327" s="87"/>
    </row>
    <row r="13328" spans="3:3" x14ac:dyDescent="0.3">
      <c r="C13328" s="87"/>
    </row>
    <row r="13329" spans="3:3" x14ac:dyDescent="0.3">
      <c r="C13329" s="87"/>
    </row>
    <row r="13330" spans="3:3" x14ac:dyDescent="0.3">
      <c r="C13330" s="87"/>
    </row>
    <row r="13331" spans="3:3" x14ac:dyDescent="0.3">
      <c r="C13331" s="87"/>
    </row>
    <row r="13332" spans="3:3" x14ac:dyDescent="0.3">
      <c r="C13332" s="87"/>
    </row>
    <row r="13333" spans="3:3" x14ac:dyDescent="0.3">
      <c r="C13333" s="87"/>
    </row>
    <row r="13334" spans="3:3" x14ac:dyDescent="0.3">
      <c r="C13334" s="87"/>
    </row>
    <row r="13335" spans="3:3" x14ac:dyDescent="0.3">
      <c r="C13335" s="87"/>
    </row>
    <row r="13336" spans="3:3" x14ac:dyDescent="0.3">
      <c r="C13336" s="87"/>
    </row>
    <row r="13337" spans="3:3" x14ac:dyDescent="0.3">
      <c r="C13337" s="87"/>
    </row>
    <row r="13338" spans="3:3" x14ac:dyDescent="0.3">
      <c r="C13338" s="87"/>
    </row>
    <row r="13339" spans="3:3" x14ac:dyDescent="0.3">
      <c r="C13339" s="87"/>
    </row>
    <row r="13340" spans="3:3" x14ac:dyDescent="0.3">
      <c r="C13340" s="87"/>
    </row>
    <row r="13341" spans="3:3" x14ac:dyDescent="0.3">
      <c r="C13341" s="87"/>
    </row>
    <row r="13342" spans="3:3" x14ac:dyDescent="0.3">
      <c r="C13342" s="87"/>
    </row>
    <row r="13343" spans="3:3" x14ac:dyDescent="0.3">
      <c r="C13343" s="87"/>
    </row>
    <row r="13344" spans="3:3" x14ac:dyDescent="0.3">
      <c r="C13344" s="87"/>
    </row>
    <row r="13345" spans="3:3" x14ac:dyDescent="0.3">
      <c r="C13345" s="87"/>
    </row>
    <row r="13346" spans="3:3" x14ac:dyDescent="0.3">
      <c r="C13346" s="87"/>
    </row>
    <row r="13347" spans="3:3" x14ac:dyDescent="0.3">
      <c r="C13347" s="87"/>
    </row>
    <row r="13348" spans="3:3" x14ac:dyDescent="0.3">
      <c r="C13348" s="87"/>
    </row>
    <row r="13349" spans="3:3" x14ac:dyDescent="0.3">
      <c r="C13349" s="87"/>
    </row>
    <row r="13350" spans="3:3" x14ac:dyDescent="0.3">
      <c r="C13350" s="87"/>
    </row>
    <row r="13351" spans="3:3" x14ac:dyDescent="0.3">
      <c r="C13351" s="87"/>
    </row>
    <row r="13352" spans="3:3" x14ac:dyDescent="0.3">
      <c r="C13352" s="87"/>
    </row>
    <row r="13353" spans="3:3" x14ac:dyDescent="0.3">
      <c r="C13353" s="87"/>
    </row>
    <row r="13354" spans="3:3" x14ac:dyDescent="0.3">
      <c r="C13354" s="87"/>
    </row>
    <row r="13355" spans="3:3" x14ac:dyDescent="0.3">
      <c r="C13355" s="87"/>
    </row>
    <row r="13356" spans="3:3" x14ac:dyDescent="0.3">
      <c r="C13356" s="87"/>
    </row>
    <row r="13357" spans="3:3" x14ac:dyDescent="0.3">
      <c r="C13357" s="87"/>
    </row>
    <row r="13358" spans="3:3" x14ac:dyDescent="0.3">
      <c r="C13358" s="87"/>
    </row>
    <row r="13359" spans="3:3" x14ac:dyDescent="0.3">
      <c r="C13359" s="87"/>
    </row>
    <row r="13360" spans="3:3" x14ac:dyDescent="0.3">
      <c r="C13360" s="87"/>
    </row>
    <row r="13361" spans="3:3" x14ac:dyDescent="0.3">
      <c r="C13361" s="87"/>
    </row>
    <row r="13362" spans="3:3" x14ac:dyDescent="0.3">
      <c r="C13362" s="87"/>
    </row>
    <row r="13363" spans="3:3" x14ac:dyDescent="0.3">
      <c r="C13363" s="87"/>
    </row>
    <row r="13364" spans="3:3" x14ac:dyDescent="0.3">
      <c r="C13364" s="87"/>
    </row>
    <row r="13365" spans="3:3" x14ac:dyDescent="0.3">
      <c r="C13365" s="87"/>
    </row>
    <row r="13366" spans="3:3" x14ac:dyDescent="0.3">
      <c r="C13366" s="87"/>
    </row>
    <row r="13367" spans="3:3" x14ac:dyDescent="0.3">
      <c r="C13367" s="87"/>
    </row>
    <row r="13368" spans="3:3" x14ac:dyDescent="0.3">
      <c r="C13368" s="87"/>
    </row>
    <row r="13369" spans="3:3" x14ac:dyDescent="0.3">
      <c r="C13369" s="87"/>
    </row>
    <row r="13370" spans="3:3" x14ac:dyDescent="0.3">
      <c r="C13370" s="87"/>
    </row>
    <row r="13371" spans="3:3" x14ac:dyDescent="0.3">
      <c r="C13371" s="87"/>
    </row>
    <row r="13372" spans="3:3" x14ac:dyDescent="0.3">
      <c r="C13372" s="87"/>
    </row>
    <row r="13373" spans="3:3" x14ac:dyDescent="0.3">
      <c r="C13373" s="87"/>
    </row>
    <row r="13374" spans="3:3" x14ac:dyDescent="0.3">
      <c r="C13374" s="87"/>
    </row>
    <row r="13375" spans="3:3" x14ac:dyDescent="0.3">
      <c r="C13375" s="87"/>
    </row>
    <row r="13376" spans="3:3" x14ac:dyDescent="0.3">
      <c r="C13376" s="87"/>
    </row>
    <row r="13377" spans="3:3" x14ac:dyDescent="0.3">
      <c r="C13377" s="87"/>
    </row>
    <row r="13378" spans="3:3" x14ac:dyDescent="0.3">
      <c r="C13378" s="87"/>
    </row>
    <row r="13379" spans="3:3" x14ac:dyDescent="0.3">
      <c r="C13379" s="87"/>
    </row>
    <row r="13380" spans="3:3" x14ac:dyDescent="0.3">
      <c r="C13380" s="87"/>
    </row>
    <row r="13381" spans="3:3" x14ac:dyDescent="0.3">
      <c r="C13381" s="87"/>
    </row>
    <row r="13382" spans="3:3" x14ac:dyDescent="0.3">
      <c r="C13382" s="87"/>
    </row>
    <row r="13383" spans="3:3" x14ac:dyDescent="0.3">
      <c r="C13383" s="87"/>
    </row>
    <row r="13384" spans="3:3" x14ac:dyDescent="0.3">
      <c r="C13384" s="87"/>
    </row>
    <row r="13385" spans="3:3" x14ac:dyDescent="0.3">
      <c r="C13385" s="87"/>
    </row>
    <row r="13386" spans="3:3" x14ac:dyDescent="0.3">
      <c r="C13386" s="87"/>
    </row>
    <row r="13387" spans="3:3" x14ac:dyDescent="0.3">
      <c r="C13387" s="87"/>
    </row>
    <row r="13388" spans="3:3" x14ac:dyDescent="0.3">
      <c r="C13388" s="87"/>
    </row>
    <row r="13389" spans="3:3" x14ac:dyDescent="0.3">
      <c r="C13389" s="87"/>
    </row>
    <row r="13390" spans="3:3" x14ac:dyDescent="0.3">
      <c r="C13390" s="87"/>
    </row>
    <row r="13391" spans="3:3" x14ac:dyDescent="0.3">
      <c r="C13391" s="87"/>
    </row>
    <row r="13392" spans="3:3" x14ac:dyDescent="0.3">
      <c r="C13392" s="87"/>
    </row>
    <row r="13393" spans="3:3" x14ac:dyDescent="0.3">
      <c r="C13393" s="87"/>
    </row>
    <row r="13394" spans="3:3" x14ac:dyDescent="0.3">
      <c r="C13394" s="87"/>
    </row>
    <row r="13395" spans="3:3" x14ac:dyDescent="0.3">
      <c r="C13395" s="87"/>
    </row>
    <row r="13396" spans="3:3" x14ac:dyDescent="0.3">
      <c r="C13396" s="87"/>
    </row>
    <row r="13397" spans="3:3" x14ac:dyDescent="0.3">
      <c r="C13397" s="87"/>
    </row>
    <row r="13398" spans="3:3" x14ac:dyDescent="0.3">
      <c r="C13398" s="87"/>
    </row>
    <row r="13399" spans="3:3" x14ac:dyDescent="0.3">
      <c r="C13399" s="87"/>
    </row>
    <row r="13400" spans="3:3" x14ac:dyDescent="0.3">
      <c r="C13400" s="87"/>
    </row>
    <row r="13401" spans="3:3" x14ac:dyDescent="0.3">
      <c r="C13401" s="87"/>
    </row>
    <row r="13402" spans="3:3" x14ac:dyDescent="0.3">
      <c r="C13402" s="87"/>
    </row>
    <row r="13403" spans="3:3" x14ac:dyDescent="0.3">
      <c r="C13403" s="87"/>
    </row>
    <row r="13404" spans="3:3" x14ac:dyDescent="0.3">
      <c r="C13404" s="87"/>
    </row>
    <row r="13405" spans="3:3" x14ac:dyDescent="0.3">
      <c r="C13405" s="87"/>
    </row>
    <row r="13406" spans="3:3" x14ac:dyDescent="0.3">
      <c r="C13406" s="87"/>
    </row>
    <row r="13407" spans="3:3" x14ac:dyDescent="0.3">
      <c r="C13407" s="87"/>
    </row>
    <row r="13408" spans="3:3" x14ac:dyDescent="0.3">
      <c r="C13408" s="87"/>
    </row>
    <row r="13409" spans="3:3" x14ac:dyDescent="0.3">
      <c r="C13409" s="87"/>
    </row>
    <row r="13410" spans="3:3" x14ac:dyDescent="0.3">
      <c r="C13410" s="87"/>
    </row>
    <row r="13411" spans="3:3" x14ac:dyDescent="0.3">
      <c r="C13411" s="87"/>
    </row>
    <row r="13412" spans="3:3" x14ac:dyDescent="0.3">
      <c r="C13412" s="87"/>
    </row>
    <row r="13413" spans="3:3" x14ac:dyDescent="0.3">
      <c r="C13413" s="87"/>
    </row>
    <row r="13414" spans="3:3" x14ac:dyDescent="0.3">
      <c r="C13414" s="87"/>
    </row>
    <row r="13415" spans="3:3" x14ac:dyDescent="0.3">
      <c r="C13415" s="87"/>
    </row>
    <row r="13416" spans="3:3" x14ac:dyDescent="0.3">
      <c r="C13416" s="87"/>
    </row>
    <row r="13417" spans="3:3" x14ac:dyDescent="0.3">
      <c r="C13417" s="87"/>
    </row>
    <row r="13418" spans="3:3" x14ac:dyDescent="0.3">
      <c r="C13418" s="87"/>
    </row>
    <row r="13419" spans="3:3" x14ac:dyDescent="0.3">
      <c r="C13419" s="87"/>
    </row>
    <row r="13420" spans="3:3" x14ac:dyDescent="0.3">
      <c r="C13420" s="87"/>
    </row>
    <row r="13421" spans="3:3" x14ac:dyDescent="0.3">
      <c r="C13421" s="87"/>
    </row>
    <row r="13422" spans="3:3" x14ac:dyDescent="0.3">
      <c r="C13422" s="87"/>
    </row>
    <row r="13423" spans="3:3" x14ac:dyDescent="0.3">
      <c r="C13423" s="87"/>
    </row>
    <row r="13424" spans="3:3" x14ac:dyDescent="0.3">
      <c r="C13424" s="87"/>
    </row>
    <row r="13425" spans="3:3" x14ac:dyDescent="0.3">
      <c r="C13425" s="87"/>
    </row>
    <row r="13426" spans="3:3" x14ac:dyDescent="0.3">
      <c r="C13426" s="87"/>
    </row>
    <row r="13427" spans="3:3" x14ac:dyDescent="0.3">
      <c r="C13427" s="87"/>
    </row>
    <row r="13428" spans="3:3" x14ac:dyDescent="0.3">
      <c r="C13428" s="87"/>
    </row>
    <row r="13429" spans="3:3" x14ac:dyDescent="0.3">
      <c r="C13429" s="87"/>
    </row>
    <row r="13430" spans="3:3" x14ac:dyDescent="0.3">
      <c r="C13430" s="87"/>
    </row>
    <row r="13431" spans="3:3" x14ac:dyDescent="0.3">
      <c r="C13431" s="87"/>
    </row>
    <row r="13432" spans="3:3" x14ac:dyDescent="0.3">
      <c r="C13432" s="87"/>
    </row>
    <row r="13433" spans="3:3" x14ac:dyDescent="0.3">
      <c r="C13433" s="87"/>
    </row>
    <row r="13434" spans="3:3" x14ac:dyDescent="0.3">
      <c r="C13434" s="87"/>
    </row>
    <row r="13435" spans="3:3" x14ac:dyDescent="0.3">
      <c r="C13435" s="87"/>
    </row>
    <row r="13436" spans="3:3" x14ac:dyDescent="0.3">
      <c r="C13436" s="87"/>
    </row>
    <row r="13437" spans="3:3" x14ac:dyDescent="0.3">
      <c r="C13437" s="87"/>
    </row>
    <row r="13438" spans="3:3" x14ac:dyDescent="0.3">
      <c r="C13438" s="87"/>
    </row>
    <row r="13439" spans="3:3" x14ac:dyDescent="0.3">
      <c r="C13439" s="87"/>
    </row>
    <row r="13440" spans="3:3" x14ac:dyDescent="0.3">
      <c r="C13440" s="87"/>
    </row>
    <row r="13441" spans="3:3" x14ac:dyDescent="0.3">
      <c r="C13441" s="87"/>
    </row>
    <row r="13442" spans="3:3" x14ac:dyDescent="0.3">
      <c r="C13442" s="87"/>
    </row>
    <row r="13443" spans="3:3" x14ac:dyDescent="0.3">
      <c r="C13443" s="87"/>
    </row>
    <row r="13444" spans="3:3" x14ac:dyDescent="0.3">
      <c r="C13444" s="87"/>
    </row>
    <row r="13445" spans="3:3" x14ac:dyDescent="0.3">
      <c r="C13445" s="87"/>
    </row>
    <row r="13446" spans="3:3" x14ac:dyDescent="0.3">
      <c r="C13446" s="87"/>
    </row>
    <row r="13447" spans="3:3" x14ac:dyDescent="0.3">
      <c r="C13447" s="87"/>
    </row>
    <row r="13448" spans="3:3" x14ac:dyDescent="0.3">
      <c r="C13448" s="87"/>
    </row>
    <row r="13449" spans="3:3" x14ac:dyDescent="0.3">
      <c r="C13449" s="87"/>
    </row>
    <row r="13450" spans="3:3" x14ac:dyDescent="0.3">
      <c r="C13450" s="87"/>
    </row>
    <row r="13451" spans="3:3" x14ac:dyDescent="0.3">
      <c r="C13451" s="87"/>
    </row>
    <row r="13452" spans="3:3" x14ac:dyDescent="0.3">
      <c r="C13452" s="87"/>
    </row>
    <row r="13453" spans="3:3" x14ac:dyDescent="0.3">
      <c r="C13453" s="87"/>
    </row>
    <row r="13454" spans="3:3" x14ac:dyDescent="0.3">
      <c r="C13454" s="87"/>
    </row>
    <row r="13455" spans="3:3" x14ac:dyDescent="0.3">
      <c r="C13455" s="87"/>
    </row>
    <row r="13456" spans="3:3" x14ac:dyDescent="0.3">
      <c r="C13456" s="87"/>
    </row>
    <row r="13457" spans="3:3" x14ac:dyDescent="0.3">
      <c r="C13457" s="87"/>
    </row>
    <row r="13458" spans="3:3" x14ac:dyDescent="0.3">
      <c r="C13458" s="87"/>
    </row>
    <row r="13459" spans="3:3" x14ac:dyDescent="0.3">
      <c r="C13459" s="87"/>
    </row>
    <row r="13460" spans="3:3" x14ac:dyDescent="0.3">
      <c r="C13460" s="87"/>
    </row>
    <row r="13461" spans="3:3" x14ac:dyDescent="0.3">
      <c r="C13461" s="87"/>
    </row>
    <row r="13462" spans="3:3" x14ac:dyDescent="0.3">
      <c r="C13462" s="87"/>
    </row>
    <row r="13463" spans="3:3" x14ac:dyDescent="0.3">
      <c r="C13463" s="87"/>
    </row>
    <row r="13464" spans="3:3" x14ac:dyDescent="0.3">
      <c r="C13464" s="87"/>
    </row>
    <row r="13465" spans="3:3" x14ac:dyDescent="0.3">
      <c r="C13465" s="87"/>
    </row>
    <row r="13466" spans="3:3" x14ac:dyDescent="0.3">
      <c r="C13466" s="87"/>
    </row>
    <row r="13467" spans="3:3" x14ac:dyDescent="0.3">
      <c r="C13467" s="87"/>
    </row>
    <row r="13468" spans="3:3" x14ac:dyDescent="0.3">
      <c r="C13468" s="87"/>
    </row>
    <row r="13469" spans="3:3" x14ac:dyDescent="0.3">
      <c r="C13469" s="87"/>
    </row>
    <row r="13470" spans="3:3" x14ac:dyDescent="0.3">
      <c r="C13470" s="87"/>
    </row>
    <row r="13471" spans="3:3" x14ac:dyDescent="0.3">
      <c r="C13471" s="87"/>
    </row>
    <row r="13472" spans="3:3" x14ac:dyDescent="0.3">
      <c r="C13472" s="87"/>
    </row>
    <row r="13473" spans="3:3" x14ac:dyDescent="0.3">
      <c r="C13473" s="87"/>
    </row>
    <row r="13474" spans="3:3" x14ac:dyDescent="0.3">
      <c r="C13474" s="87"/>
    </row>
    <row r="13475" spans="3:3" x14ac:dyDescent="0.3">
      <c r="C13475" s="87"/>
    </row>
    <row r="13476" spans="3:3" x14ac:dyDescent="0.3">
      <c r="C13476" s="87"/>
    </row>
    <row r="13477" spans="3:3" x14ac:dyDescent="0.3">
      <c r="C13477" s="87"/>
    </row>
    <row r="13478" spans="3:3" x14ac:dyDescent="0.3">
      <c r="C13478" s="87"/>
    </row>
    <row r="13479" spans="3:3" x14ac:dyDescent="0.3">
      <c r="C13479" s="87"/>
    </row>
    <row r="13480" spans="3:3" x14ac:dyDescent="0.3">
      <c r="C13480" s="87"/>
    </row>
    <row r="13481" spans="3:3" x14ac:dyDescent="0.3">
      <c r="C13481" s="87"/>
    </row>
    <row r="13482" spans="3:3" x14ac:dyDescent="0.3">
      <c r="C13482" s="87"/>
    </row>
    <row r="13483" spans="3:3" x14ac:dyDescent="0.3">
      <c r="C13483" s="87"/>
    </row>
    <row r="13484" spans="3:3" x14ac:dyDescent="0.3">
      <c r="C13484" s="87"/>
    </row>
    <row r="13485" spans="3:3" x14ac:dyDescent="0.3">
      <c r="C13485" s="87"/>
    </row>
    <row r="13486" spans="3:3" x14ac:dyDescent="0.3">
      <c r="C13486" s="87"/>
    </row>
    <row r="13487" spans="3:3" x14ac:dyDescent="0.3">
      <c r="C13487" s="87"/>
    </row>
    <row r="13488" spans="3:3" x14ac:dyDescent="0.3">
      <c r="C13488" s="87"/>
    </row>
    <row r="13489" spans="3:3" x14ac:dyDescent="0.3">
      <c r="C13489" s="87"/>
    </row>
    <row r="13490" spans="3:3" x14ac:dyDescent="0.3">
      <c r="C13490" s="87"/>
    </row>
    <row r="13491" spans="3:3" x14ac:dyDescent="0.3">
      <c r="C13491" s="87"/>
    </row>
    <row r="13492" spans="3:3" x14ac:dyDescent="0.3">
      <c r="C13492" s="87"/>
    </row>
    <row r="13493" spans="3:3" x14ac:dyDescent="0.3">
      <c r="C13493" s="87"/>
    </row>
    <row r="13494" spans="3:3" x14ac:dyDescent="0.3">
      <c r="C13494" s="87"/>
    </row>
    <row r="13495" spans="3:3" x14ac:dyDescent="0.3">
      <c r="C13495" s="87"/>
    </row>
    <row r="13496" spans="3:3" x14ac:dyDescent="0.3">
      <c r="C13496" s="87"/>
    </row>
    <row r="13497" spans="3:3" x14ac:dyDescent="0.3">
      <c r="C13497" s="87"/>
    </row>
    <row r="13498" spans="3:3" x14ac:dyDescent="0.3">
      <c r="C13498" s="87"/>
    </row>
    <row r="13499" spans="3:3" x14ac:dyDescent="0.3">
      <c r="C13499" s="87"/>
    </row>
    <row r="13500" spans="3:3" x14ac:dyDescent="0.3">
      <c r="C13500" s="87"/>
    </row>
    <row r="13501" spans="3:3" x14ac:dyDescent="0.3">
      <c r="C13501" s="87"/>
    </row>
    <row r="13502" spans="3:3" x14ac:dyDescent="0.3">
      <c r="C13502" s="87"/>
    </row>
    <row r="13503" spans="3:3" x14ac:dyDescent="0.3">
      <c r="C13503" s="87"/>
    </row>
    <row r="13504" spans="3:3" x14ac:dyDescent="0.3">
      <c r="C13504" s="87"/>
    </row>
    <row r="13505" spans="3:3" x14ac:dyDescent="0.3">
      <c r="C13505" s="87"/>
    </row>
    <row r="13506" spans="3:3" x14ac:dyDescent="0.3">
      <c r="C13506" s="87"/>
    </row>
    <row r="13507" spans="3:3" x14ac:dyDescent="0.3">
      <c r="C13507" s="87"/>
    </row>
    <row r="13508" spans="3:3" x14ac:dyDescent="0.3">
      <c r="C13508" s="87"/>
    </row>
    <row r="13509" spans="3:3" x14ac:dyDescent="0.3">
      <c r="C13509" s="87"/>
    </row>
    <row r="13510" spans="3:3" x14ac:dyDescent="0.3">
      <c r="C13510" s="87"/>
    </row>
    <row r="13511" spans="3:3" x14ac:dyDescent="0.3">
      <c r="C13511" s="87"/>
    </row>
    <row r="13512" spans="3:3" x14ac:dyDescent="0.3">
      <c r="C13512" s="87"/>
    </row>
    <row r="13513" spans="3:3" x14ac:dyDescent="0.3">
      <c r="C13513" s="87"/>
    </row>
    <row r="13514" spans="3:3" x14ac:dyDescent="0.3">
      <c r="C13514" s="87"/>
    </row>
    <row r="13515" spans="3:3" x14ac:dyDescent="0.3">
      <c r="C13515" s="87"/>
    </row>
    <row r="13516" spans="3:3" x14ac:dyDescent="0.3">
      <c r="C13516" s="87"/>
    </row>
    <row r="13517" spans="3:3" x14ac:dyDescent="0.3">
      <c r="C13517" s="87"/>
    </row>
    <row r="13518" spans="3:3" x14ac:dyDescent="0.3">
      <c r="C13518" s="87"/>
    </row>
    <row r="13519" spans="3:3" x14ac:dyDescent="0.3">
      <c r="C13519" s="87"/>
    </row>
    <row r="13520" spans="3:3" x14ac:dyDescent="0.3">
      <c r="C13520" s="87"/>
    </row>
    <row r="13521" spans="3:3" x14ac:dyDescent="0.3">
      <c r="C13521" s="87"/>
    </row>
    <row r="13522" spans="3:3" x14ac:dyDescent="0.3">
      <c r="C13522" s="87"/>
    </row>
    <row r="13523" spans="3:3" x14ac:dyDescent="0.3">
      <c r="C13523" s="87"/>
    </row>
    <row r="13524" spans="3:3" x14ac:dyDescent="0.3">
      <c r="C13524" s="87"/>
    </row>
    <row r="13525" spans="3:3" x14ac:dyDescent="0.3">
      <c r="C13525" s="87"/>
    </row>
    <row r="13526" spans="3:3" x14ac:dyDescent="0.3">
      <c r="C13526" s="87"/>
    </row>
    <row r="13527" spans="3:3" x14ac:dyDescent="0.3">
      <c r="C13527" s="87"/>
    </row>
    <row r="13528" spans="3:3" x14ac:dyDescent="0.3">
      <c r="C13528" s="87"/>
    </row>
    <row r="13529" spans="3:3" x14ac:dyDescent="0.3">
      <c r="C13529" s="87"/>
    </row>
    <row r="13530" spans="3:3" x14ac:dyDescent="0.3">
      <c r="C13530" s="87"/>
    </row>
    <row r="13531" spans="3:3" x14ac:dyDescent="0.3">
      <c r="C13531" s="87"/>
    </row>
    <row r="13532" spans="3:3" x14ac:dyDescent="0.3">
      <c r="C13532" s="87"/>
    </row>
    <row r="13533" spans="3:3" x14ac:dyDescent="0.3">
      <c r="C13533" s="87"/>
    </row>
    <row r="13534" spans="3:3" x14ac:dyDescent="0.3">
      <c r="C13534" s="87"/>
    </row>
    <row r="13535" spans="3:3" x14ac:dyDescent="0.3">
      <c r="C13535" s="87"/>
    </row>
    <row r="13536" spans="3:3" x14ac:dyDescent="0.3">
      <c r="C13536" s="87"/>
    </row>
    <row r="13537" spans="3:3" x14ac:dyDescent="0.3">
      <c r="C13537" s="87"/>
    </row>
    <row r="13538" spans="3:3" x14ac:dyDescent="0.3">
      <c r="C13538" s="87"/>
    </row>
    <row r="13539" spans="3:3" x14ac:dyDescent="0.3">
      <c r="C13539" s="87"/>
    </row>
    <row r="13540" spans="3:3" x14ac:dyDescent="0.3">
      <c r="C13540" s="87"/>
    </row>
    <row r="13541" spans="3:3" x14ac:dyDescent="0.3">
      <c r="C13541" s="87"/>
    </row>
    <row r="13542" spans="3:3" x14ac:dyDescent="0.3">
      <c r="C13542" s="87"/>
    </row>
    <row r="13543" spans="3:3" x14ac:dyDescent="0.3">
      <c r="C13543" s="87"/>
    </row>
    <row r="13544" spans="3:3" x14ac:dyDescent="0.3">
      <c r="C13544" s="87"/>
    </row>
    <row r="13545" spans="3:3" x14ac:dyDescent="0.3">
      <c r="C13545" s="87"/>
    </row>
    <row r="13546" spans="3:3" x14ac:dyDescent="0.3">
      <c r="C13546" s="87"/>
    </row>
    <row r="13547" spans="3:3" x14ac:dyDescent="0.3">
      <c r="C13547" s="87"/>
    </row>
    <row r="13548" spans="3:3" x14ac:dyDescent="0.3">
      <c r="C13548" s="87"/>
    </row>
    <row r="13549" spans="3:3" x14ac:dyDescent="0.3">
      <c r="C13549" s="87"/>
    </row>
    <row r="13550" spans="3:3" x14ac:dyDescent="0.3">
      <c r="C13550" s="87"/>
    </row>
    <row r="13551" spans="3:3" x14ac:dyDescent="0.3">
      <c r="C13551" s="87"/>
    </row>
    <row r="13552" spans="3:3" x14ac:dyDescent="0.3">
      <c r="C13552" s="87"/>
    </row>
    <row r="13553" spans="3:3" x14ac:dyDescent="0.3">
      <c r="C13553" s="87"/>
    </row>
    <row r="13554" spans="3:3" x14ac:dyDescent="0.3">
      <c r="C13554" s="87"/>
    </row>
    <row r="13555" spans="3:3" x14ac:dyDescent="0.3">
      <c r="C13555" s="87"/>
    </row>
    <row r="13556" spans="3:3" x14ac:dyDescent="0.3">
      <c r="C13556" s="87"/>
    </row>
    <row r="13557" spans="3:3" x14ac:dyDescent="0.3">
      <c r="C13557" s="87"/>
    </row>
    <row r="13558" spans="3:3" x14ac:dyDescent="0.3">
      <c r="C13558" s="87"/>
    </row>
    <row r="13559" spans="3:3" x14ac:dyDescent="0.3">
      <c r="C13559" s="87"/>
    </row>
    <row r="13560" spans="3:3" x14ac:dyDescent="0.3">
      <c r="C13560" s="87"/>
    </row>
    <row r="13561" spans="3:3" x14ac:dyDescent="0.3">
      <c r="C13561" s="87"/>
    </row>
    <row r="13562" spans="3:3" x14ac:dyDescent="0.3">
      <c r="C13562" s="87"/>
    </row>
    <row r="13563" spans="3:3" x14ac:dyDescent="0.3">
      <c r="C13563" s="87"/>
    </row>
    <row r="13564" spans="3:3" x14ac:dyDescent="0.3">
      <c r="C13564" s="87"/>
    </row>
    <row r="13565" spans="3:3" x14ac:dyDescent="0.3">
      <c r="C13565" s="87"/>
    </row>
    <row r="13566" spans="3:3" x14ac:dyDescent="0.3">
      <c r="C13566" s="87"/>
    </row>
    <row r="13567" spans="3:3" x14ac:dyDescent="0.3">
      <c r="C13567" s="87"/>
    </row>
    <row r="13568" spans="3:3" x14ac:dyDescent="0.3">
      <c r="C13568" s="87"/>
    </row>
    <row r="13569" spans="3:7" x14ac:dyDescent="0.3">
      <c r="C13569" s="87"/>
    </row>
    <row r="13570" spans="3:7" x14ac:dyDescent="0.3">
      <c r="C13570" s="87"/>
    </row>
    <row r="13571" spans="3:7" x14ac:dyDescent="0.3">
      <c r="C13571" s="87"/>
    </row>
    <row r="13572" spans="3:7" x14ac:dyDescent="0.3">
      <c r="C13572" s="87"/>
    </row>
    <row r="13573" spans="3:7" x14ac:dyDescent="0.3">
      <c r="C13573" s="87"/>
    </row>
    <row r="13574" spans="3:7" x14ac:dyDescent="0.3">
      <c r="C13574" s="87"/>
    </row>
    <row r="13575" spans="3:7" x14ac:dyDescent="0.3">
      <c r="C13575" s="87"/>
    </row>
    <row r="13576" spans="3:7" x14ac:dyDescent="0.3">
      <c r="C13576" s="87"/>
    </row>
    <row r="13577" spans="3:7" x14ac:dyDescent="0.3">
      <c r="C13577" s="87"/>
      <c r="G13577" s="115"/>
    </row>
    <row r="13578" spans="3:7" x14ac:dyDescent="0.3">
      <c r="C13578" s="87"/>
    </row>
    <row r="13579" spans="3:7" x14ac:dyDescent="0.3">
      <c r="C13579" s="87"/>
    </row>
    <row r="13580" spans="3:7" x14ac:dyDescent="0.3">
      <c r="C13580" s="87"/>
    </row>
    <row r="13581" spans="3:7" x14ac:dyDescent="0.3">
      <c r="C13581" s="87"/>
    </row>
    <row r="13582" spans="3:7" x14ac:dyDescent="0.3">
      <c r="C13582" s="87"/>
    </row>
    <row r="13583" spans="3:7" x14ac:dyDescent="0.3">
      <c r="C13583" s="87"/>
    </row>
    <row r="13584" spans="3:7" x14ac:dyDescent="0.3">
      <c r="C13584" s="87"/>
    </row>
    <row r="13585" spans="3:3" x14ac:dyDescent="0.3">
      <c r="C13585" s="87"/>
    </row>
    <row r="13586" spans="3:3" x14ac:dyDescent="0.3">
      <c r="C13586" s="87"/>
    </row>
    <row r="13587" spans="3:3" x14ac:dyDescent="0.3">
      <c r="C13587" s="87"/>
    </row>
    <row r="13588" spans="3:3" x14ac:dyDescent="0.3">
      <c r="C13588" s="87"/>
    </row>
    <row r="13589" spans="3:3" x14ac:dyDescent="0.3">
      <c r="C13589" s="87"/>
    </row>
    <row r="13590" spans="3:3" x14ac:dyDescent="0.3">
      <c r="C13590" s="87"/>
    </row>
    <row r="13591" spans="3:3" x14ac:dyDescent="0.3">
      <c r="C13591" s="87"/>
    </row>
    <row r="13592" spans="3:3" x14ac:dyDescent="0.3">
      <c r="C13592" s="87"/>
    </row>
    <row r="13593" spans="3:3" x14ac:dyDescent="0.3">
      <c r="C13593" s="87"/>
    </row>
    <row r="13594" spans="3:3" x14ac:dyDescent="0.3">
      <c r="C13594" s="87"/>
    </row>
    <row r="13595" spans="3:3" x14ac:dyDescent="0.3">
      <c r="C13595" s="87"/>
    </row>
    <row r="13596" spans="3:3" x14ac:dyDescent="0.3">
      <c r="C13596" s="87"/>
    </row>
    <row r="13597" spans="3:3" x14ac:dyDescent="0.3">
      <c r="C13597" s="87"/>
    </row>
    <row r="13598" spans="3:3" x14ac:dyDescent="0.3">
      <c r="C13598" s="87"/>
    </row>
    <row r="13599" spans="3:3" x14ac:dyDescent="0.3">
      <c r="C13599" s="87"/>
    </row>
    <row r="13600" spans="3:3" x14ac:dyDescent="0.3">
      <c r="C13600" s="87"/>
    </row>
    <row r="13601" spans="3:3" x14ac:dyDescent="0.3">
      <c r="C13601" s="87"/>
    </row>
    <row r="13602" spans="3:3" x14ac:dyDescent="0.3">
      <c r="C13602" s="87"/>
    </row>
    <row r="13603" spans="3:3" x14ac:dyDescent="0.3">
      <c r="C13603" s="87"/>
    </row>
    <row r="13604" spans="3:3" x14ac:dyDescent="0.3">
      <c r="C13604" s="87"/>
    </row>
    <row r="13605" spans="3:3" x14ac:dyDescent="0.3">
      <c r="C13605" s="87"/>
    </row>
    <row r="13606" spans="3:3" x14ac:dyDescent="0.3">
      <c r="C13606" s="87"/>
    </row>
    <row r="13607" spans="3:3" x14ac:dyDescent="0.3">
      <c r="C13607" s="87"/>
    </row>
    <row r="13608" spans="3:3" x14ac:dyDescent="0.3">
      <c r="C13608" s="87"/>
    </row>
    <row r="13609" spans="3:3" x14ac:dyDescent="0.3">
      <c r="C13609" s="87"/>
    </row>
    <row r="13610" spans="3:3" x14ac:dyDescent="0.3">
      <c r="C13610" s="87"/>
    </row>
    <row r="13611" spans="3:3" x14ac:dyDescent="0.3">
      <c r="C13611" s="87"/>
    </row>
    <row r="13612" spans="3:3" x14ac:dyDescent="0.3">
      <c r="C13612" s="87"/>
    </row>
    <row r="13613" spans="3:3" x14ac:dyDescent="0.3">
      <c r="C13613" s="87"/>
    </row>
    <row r="13614" spans="3:3" x14ac:dyDescent="0.3">
      <c r="C13614" s="87"/>
    </row>
    <row r="13615" spans="3:3" x14ac:dyDescent="0.3">
      <c r="C13615" s="87"/>
    </row>
    <row r="13616" spans="3:3" x14ac:dyDescent="0.3">
      <c r="C13616" s="87"/>
    </row>
    <row r="13617" spans="3:3" x14ac:dyDescent="0.3">
      <c r="C13617" s="87"/>
    </row>
    <row r="13618" spans="3:3" x14ac:dyDescent="0.3">
      <c r="C13618" s="87"/>
    </row>
    <row r="13619" spans="3:3" x14ac:dyDescent="0.3">
      <c r="C13619" s="87"/>
    </row>
    <row r="13620" spans="3:3" x14ac:dyDescent="0.3">
      <c r="C13620" s="87"/>
    </row>
    <row r="13621" spans="3:3" x14ac:dyDescent="0.3">
      <c r="C13621" s="87"/>
    </row>
    <row r="13622" spans="3:3" x14ac:dyDescent="0.3">
      <c r="C13622" s="87"/>
    </row>
    <row r="13623" spans="3:3" x14ac:dyDescent="0.3">
      <c r="C13623" s="87"/>
    </row>
    <row r="13624" spans="3:3" x14ac:dyDescent="0.3">
      <c r="C13624" s="87"/>
    </row>
    <row r="13625" spans="3:3" x14ac:dyDescent="0.3">
      <c r="C13625" s="87"/>
    </row>
    <row r="13626" spans="3:3" x14ac:dyDescent="0.3">
      <c r="C13626" s="87"/>
    </row>
    <row r="13627" spans="3:3" x14ac:dyDescent="0.3">
      <c r="C13627" s="87"/>
    </row>
    <row r="13628" spans="3:3" x14ac:dyDescent="0.3">
      <c r="C13628" s="87"/>
    </row>
    <row r="13629" spans="3:3" x14ac:dyDescent="0.3">
      <c r="C13629" s="87"/>
    </row>
    <row r="13630" spans="3:3" x14ac:dyDescent="0.3">
      <c r="C13630" s="87"/>
    </row>
    <row r="13631" spans="3:3" x14ac:dyDescent="0.3">
      <c r="C13631" s="87"/>
    </row>
    <row r="13632" spans="3:3" x14ac:dyDescent="0.3">
      <c r="C13632" s="87"/>
    </row>
    <row r="13633" spans="3:3" x14ac:dyDescent="0.3">
      <c r="C13633" s="87"/>
    </row>
    <row r="13634" spans="3:3" x14ac:dyDescent="0.3">
      <c r="C13634" s="87"/>
    </row>
    <row r="13635" spans="3:3" x14ac:dyDescent="0.3">
      <c r="C13635" s="87"/>
    </row>
    <row r="13636" spans="3:3" x14ac:dyDescent="0.3">
      <c r="C13636" s="87"/>
    </row>
    <row r="13637" spans="3:3" x14ac:dyDescent="0.3">
      <c r="C13637" s="87"/>
    </row>
    <row r="13638" spans="3:3" x14ac:dyDescent="0.3">
      <c r="C13638" s="87"/>
    </row>
    <row r="13639" spans="3:3" x14ac:dyDescent="0.3">
      <c r="C13639" s="87"/>
    </row>
    <row r="13640" spans="3:3" x14ac:dyDescent="0.3">
      <c r="C13640" s="87"/>
    </row>
    <row r="13641" spans="3:3" x14ac:dyDescent="0.3">
      <c r="C13641" s="87"/>
    </row>
    <row r="13642" spans="3:3" x14ac:dyDescent="0.3">
      <c r="C13642" s="87"/>
    </row>
    <row r="13643" spans="3:3" x14ac:dyDescent="0.3">
      <c r="C13643" s="87"/>
    </row>
    <row r="13644" spans="3:3" x14ac:dyDescent="0.3">
      <c r="C13644" s="87"/>
    </row>
    <row r="13645" spans="3:3" x14ac:dyDescent="0.3">
      <c r="C13645" s="87"/>
    </row>
    <row r="13646" spans="3:3" x14ac:dyDescent="0.3">
      <c r="C13646" s="87"/>
    </row>
    <row r="13647" spans="3:3" x14ac:dyDescent="0.3">
      <c r="C13647" s="87"/>
    </row>
    <row r="13648" spans="3:3" x14ac:dyDescent="0.3">
      <c r="C13648" s="87"/>
    </row>
    <row r="13649" spans="3:3" x14ac:dyDescent="0.3">
      <c r="C13649" s="87"/>
    </row>
    <row r="13650" spans="3:3" x14ac:dyDescent="0.3">
      <c r="C13650" s="87"/>
    </row>
    <row r="13651" spans="3:3" x14ac:dyDescent="0.3">
      <c r="C13651" s="87"/>
    </row>
    <row r="13652" spans="3:3" x14ac:dyDescent="0.3">
      <c r="C13652" s="87"/>
    </row>
    <row r="13653" spans="3:3" x14ac:dyDescent="0.3">
      <c r="C13653" s="87"/>
    </row>
    <row r="13654" spans="3:3" x14ac:dyDescent="0.3">
      <c r="C13654" s="87"/>
    </row>
    <row r="13655" spans="3:3" x14ac:dyDescent="0.3">
      <c r="C13655" s="87"/>
    </row>
    <row r="13656" spans="3:3" x14ac:dyDescent="0.3">
      <c r="C13656" s="87"/>
    </row>
    <row r="13657" spans="3:3" x14ac:dyDescent="0.3">
      <c r="C13657" s="87"/>
    </row>
    <row r="13658" spans="3:3" x14ac:dyDescent="0.3">
      <c r="C13658" s="87"/>
    </row>
    <row r="13659" spans="3:3" x14ac:dyDescent="0.3">
      <c r="C13659" s="87"/>
    </row>
    <row r="13660" spans="3:3" x14ac:dyDescent="0.3">
      <c r="C13660" s="87"/>
    </row>
    <row r="13661" spans="3:3" x14ac:dyDescent="0.3">
      <c r="C13661" s="87"/>
    </row>
    <row r="13662" spans="3:3" x14ac:dyDescent="0.3">
      <c r="C13662" s="87"/>
    </row>
    <row r="13663" spans="3:3" x14ac:dyDescent="0.3">
      <c r="C13663" s="87"/>
    </row>
    <row r="13664" spans="3:3" x14ac:dyDescent="0.3">
      <c r="C13664" s="87"/>
    </row>
    <row r="13665" spans="3:3" x14ac:dyDescent="0.3">
      <c r="C13665" s="87"/>
    </row>
    <row r="13666" spans="3:3" x14ac:dyDescent="0.3">
      <c r="C13666" s="87"/>
    </row>
    <row r="13667" spans="3:3" x14ac:dyDescent="0.3">
      <c r="C13667" s="87"/>
    </row>
    <row r="13668" spans="3:3" x14ac:dyDescent="0.3">
      <c r="C13668" s="87"/>
    </row>
    <row r="13669" spans="3:3" x14ac:dyDescent="0.3">
      <c r="C13669" s="87"/>
    </row>
    <row r="13670" spans="3:3" x14ac:dyDescent="0.3">
      <c r="C13670" s="87"/>
    </row>
    <row r="13671" spans="3:3" x14ac:dyDescent="0.3">
      <c r="C13671" s="87"/>
    </row>
    <row r="13672" spans="3:3" x14ac:dyDescent="0.3">
      <c r="C13672" s="87"/>
    </row>
    <row r="13673" spans="3:3" x14ac:dyDescent="0.3">
      <c r="C13673" s="87"/>
    </row>
    <row r="13674" spans="3:3" x14ac:dyDescent="0.3">
      <c r="C13674" s="87"/>
    </row>
    <row r="13675" spans="3:3" x14ac:dyDescent="0.3">
      <c r="C13675" s="87"/>
    </row>
    <row r="13676" spans="3:3" x14ac:dyDescent="0.3">
      <c r="C13676" s="87"/>
    </row>
    <row r="13677" spans="3:3" x14ac:dyDescent="0.3">
      <c r="C13677" s="87"/>
    </row>
    <row r="13678" spans="3:3" x14ac:dyDescent="0.3">
      <c r="C13678" s="87"/>
    </row>
    <row r="13679" spans="3:3" x14ac:dyDescent="0.3">
      <c r="C13679" s="87"/>
    </row>
    <row r="13680" spans="3:3" x14ac:dyDescent="0.3">
      <c r="C13680" s="87"/>
    </row>
    <row r="13681" spans="3:3" x14ac:dyDescent="0.3">
      <c r="C13681" s="87"/>
    </row>
    <row r="13682" spans="3:3" x14ac:dyDescent="0.3">
      <c r="C13682" s="87"/>
    </row>
    <row r="13683" spans="3:3" x14ac:dyDescent="0.3">
      <c r="C13683" s="87"/>
    </row>
    <row r="13684" spans="3:3" x14ac:dyDescent="0.3">
      <c r="C13684" s="87"/>
    </row>
    <row r="13685" spans="3:3" x14ac:dyDescent="0.3">
      <c r="C13685" s="87"/>
    </row>
    <row r="13686" spans="3:3" x14ac:dyDescent="0.3">
      <c r="C13686" s="87"/>
    </row>
    <row r="13687" spans="3:3" x14ac:dyDescent="0.3">
      <c r="C13687" s="87"/>
    </row>
    <row r="13688" spans="3:3" x14ac:dyDescent="0.3">
      <c r="C13688" s="87"/>
    </row>
    <row r="13689" spans="3:3" x14ac:dyDescent="0.3">
      <c r="C13689" s="87"/>
    </row>
    <row r="13690" spans="3:3" x14ac:dyDescent="0.3">
      <c r="C13690" s="87"/>
    </row>
    <row r="13691" spans="3:3" x14ac:dyDescent="0.3">
      <c r="C13691" s="87"/>
    </row>
    <row r="13692" spans="3:3" x14ac:dyDescent="0.3">
      <c r="C13692" s="87"/>
    </row>
    <row r="13693" spans="3:3" x14ac:dyDescent="0.3">
      <c r="C13693" s="87"/>
    </row>
    <row r="13694" spans="3:3" x14ac:dyDescent="0.3">
      <c r="C13694" s="87"/>
    </row>
    <row r="13695" spans="3:3" x14ac:dyDescent="0.3">
      <c r="C13695" s="87"/>
    </row>
    <row r="13696" spans="3:3" x14ac:dyDescent="0.3">
      <c r="C13696" s="87"/>
    </row>
    <row r="13697" spans="3:3" x14ac:dyDescent="0.3">
      <c r="C13697" s="87"/>
    </row>
    <row r="13698" spans="3:3" x14ac:dyDescent="0.3">
      <c r="C13698" s="87"/>
    </row>
    <row r="13699" spans="3:3" x14ac:dyDescent="0.3">
      <c r="C13699" s="87"/>
    </row>
    <row r="13700" spans="3:3" x14ac:dyDescent="0.3">
      <c r="C13700" s="87"/>
    </row>
    <row r="13701" spans="3:3" x14ac:dyDescent="0.3">
      <c r="C13701" s="87"/>
    </row>
    <row r="13702" spans="3:3" x14ac:dyDescent="0.3">
      <c r="C13702" s="87"/>
    </row>
    <row r="13703" spans="3:3" x14ac:dyDescent="0.3">
      <c r="C13703" s="87"/>
    </row>
    <row r="13704" spans="3:3" x14ac:dyDescent="0.3">
      <c r="C13704" s="87"/>
    </row>
    <row r="13705" spans="3:3" x14ac:dyDescent="0.3">
      <c r="C13705" s="87"/>
    </row>
    <row r="13706" spans="3:3" x14ac:dyDescent="0.3">
      <c r="C13706" s="87"/>
    </row>
    <row r="13707" spans="3:3" x14ac:dyDescent="0.3">
      <c r="C13707" s="87"/>
    </row>
    <row r="13708" spans="3:3" x14ac:dyDescent="0.3">
      <c r="C13708" s="87"/>
    </row>
    <row r="13709" spans="3:3" x14ac:dyDescent="0.3">
      <c r="C13709" s="87"/>
    </row>
    <row r="13710" spans="3:3" x14ac:dyDescent="0.3">
      <c r="C13710" s="87"/>
    </row>
    <row r="13711" spans="3:3" x14ac:dyDescent="0.3">
      <c r="C13711" s="87"/>
    </row>
    <row r="13712" spans="3:3" x14ac:dyDescent="0.3">
      <c r="C13712" s="87"/>
    </row>
    <row r="13713" spans="3:3" x14ac:dyDescent="0.3">
      <c r="C13713" s="87"/>
    </row>
    <row r="13714" spans="3:3" x14ac:dyDescent="0.3">
      <c r="C13714" s="87"/>
    </row>
    <row r="13715" spans="3:3" x14ac:dyDescent="0.3">
      <c r="C13715" s="87"/>
    </row>
    <row r="13716" spans="3:3" x14ac:dyDescent="0.3">
      <c r="C13716" s="87"/>
    </row>
    <row r="13717" spans="3:3" x14ac:dyDescent="0.3">
      <c r="C13717" s="87"/>
    </row>
    <row r="13718" spans="3:3" x14ac:dyDescent="0.3">
      <c r="C13718" s="87"/>
    </row>
    <row r="13719" spans="3:3" x14ac:dyDescent="0.3">
      <c r="C13719" s="87"/>
    </row>
    <row r="13720" spans="3:3" x14ac:dyDescent="0.3">
      <c r="C13720" s="87"/>
    </row>
    <row r="13721" spans="3:3" x14ac:dyDescent="0.3">
      <c r="C13721" s="87"/>
    </row>
    <row r="13722" spans="3:3" x14ac:dyDescent="0.3">
      <c r="C13722" s="87"/>
    </row>
    <row r="13723" spans="3:3" x14ac:dyDescent="0.3">
      <c r="C13723" s="87"/>
    </row>
    <row r="13724" spans="3:3" x14ac:dyDescent="0.3">
      <c r="C13724" s="87"/>
    </row>
    <row r="13725" spans="3:3" x14ac:dyDescent="0.3">
      <c r="C13725" s="87"/>
    </row>
    <row r="13726" spans="3:3" x14ac:dyDescent="0.3">
      <c r="C13726" s="87"/>
    </row>
    <row r="13727" spans="3:3" x14ac:dyDescent="0.3">
      <c r="C13727" s="87"/>
    </row>
    <row r="13728" spans="3:3" x14ac:dyDescent="0.3">
      <c r="C13728" s="87"/>
    </row>
    <row r="13729" spans="3:3" x14ac:dyDescent="0.3">
      <c r="C13729" s="87"/>
    </row>
    <row r="13730" spans="3:3" x14ac:dyDescent="0.3">
      <c r="C13730" s="87"/>
    </row>
    <row r="13731" spans="3:3" x14ac:dyDescent="0.3">
      <c r="C13731" s="87"/>
    </row>
    <row r="13732" spans="3:3" x14ac:dyDescent="0.3">
      <c r="C13732" s="87"/>
    </row>
    <row r="13733" spans="3:3" x14ac:dyDescent="0.3">
      <c r="C13733" s="87"/>
    </row>
    <row r="13734" spans="3:3" x14ac:dyDescent="0.3">
      <c r="C13734" s="87"/>
    </row>
    <row r="13735" spans="3:3" x14ac:dyDescent="0.3">
      <c r="C13735" s="87"/>
    </row>
    <row r="13736" spans="3:3" x14ac:dyDescent="0.3">
      <c r="C13736" s="87"/>
    </row>
    <row r="13737" spans="3:3" x14ac:dyDescent="0.3">
      <c r="C13737" s="87"/>
    </row>
    <row r="13738" spans="3:3" x14ac:dyDescent="0.3">
      <c r="C13738" s="87"/>
    </row>
    <row r="13739" spans="3:3" x14ac:dyDescent="0.3">
      <c r="C13739" s="87"/>
    </row>
    <row r="13740" spans="3:3" x14ac:dyDescent="0.3">
      <c r="C13740" s="87"/>
    </row>
    <row r="13741" spans="3:3" x14ac:dyDescent="0.3">
      <c r="C13741" s="87"/>
    </row>
    <row r="13742" spans="3:3" x14ac:dyDescent="0.3">
      <c r="C13742" s="87"/>
    </row>
    <row r="13743" spans="3:3" x14ac:dyDescent="0.3">
      <c r="C13743" s="87"/>
    </row>
    <row r="13744" spans="3:3" x14ac:dyDescent="0.3">
      <c r="C13744" s="87"/>
    </row>
    <row r="13745" spans="3:3" x14ac:dyDescent="0.3">
      <c r="C13745" s="87"/>
    </row>
    <row r="13746" spans="3:3" x14ac:dyDescent="0.3">
      <c r="C13746" s="87"/>
    </row>
    <row r="13747" spans="3:3" x14ac:dyDescent="0.3">
      <c r="C13747" s="87"/>
    </row>
    <row r="13748" spans="3:3" x14ac:dyDescent="0.3">
      <c r="C13748" s="87"/>
    </row>
    <row r="13749" spans="3:3" x14ac:dyDescent="0.3">
      <c r="C13749" s="87"/>
    </row>
    <row r="13750" spans="3:3" x14ac:dyDescent="0.3">
      <c r="C13750" s="87"/>
    </row>
    <row r="13751" spans="3:3" x14ac:dyDescent="0.3">
      <c r="C13751" s="87"/>
    </row>
    <row r="13752" spans="3:3" x14ac:dyDescent="0.3">
      <c r="C13752" s="87"/>
    </row>
    <row r="13753" spans="3:3" x14ac:dyDescent="0.3">
      <c r="C13753" s="87"/>
    </row>
    <row r="13754" spans="3:3" x14ac:dyDescent="0.3">
      <c r="C13754" s="87"/>
    </row>
    <row r="13755" spans="3:3" x14ac:dyDescent="0.3">
      <c r="C13755" s="87"/>
    </row>
    <row r="13756" spans="3:3" x14ac:dyDescent="0.3">
      <c r="C13756" s="87"/>
    </row>
    <row r="13757" spans="3:3" x14ac:dyDescent="0.3">
      <c r="C13757" s="87"/>
    </row>
    <row r="13758" spans="3:3" x14ac:dyDescent="0.3">
      <c r="C13758" s="87"/>
    </row>
    <row r="13759" spans="3:3" x14ac:dyDescent="0.3">
      <c r="C13759" s="87"/>
    </row>
    <row r="13760" spans="3:3" x14ac:dyDescent="0.3">
      <c r="C13760" s="87"/>
    </row>
    <row r="13761" spans="3:3" x14ac:dyDescent="0.3">
      <c r="C13761" s="87"/>
    </row>
    <row r="13762" spans="3:3" x14ac:dyDescent="0.3">
      <c r="C13762" s="87"/>
    </row>
    <row r="13763" spans="3:3" x14ac:dyDescent="0.3">
      <c r="C13763" s="87"/>
    </row>
    <row r="13764" spans="3:3" x14ac:dyDescent="0.3">
      <c r="C13764" s="87"/>
    </row>
    <row r="13765" spans="3:3" x14ac:dyDescent="0.3">
      <c r="C13765" s="87"/>
    </row>
    <row r="13766" spans="3:3" x14ac:dyDescent="0.3">
      <c r="C13766" s="87"/>
    </row>
    <row r="13767" spans="3:3" x14ac:dyDescent="0.3">
      <c r="C13767" s="87"/>
    </row>
    <row r="13768" spans="3:3" x14ac:dyDescent="0.3">
      <c r="C13768" s="87"/>
    </row>
    <row r="13769" spans="3:3" x14ac:dyDescent="0.3">
      <c r="C13769" s="87"/>
    </row>
    <row r="13770" spans="3:3" x14ac:dyDescent="0.3">
      <c r="C13770" s="87"/>
    </row>
    <row r="13771" spans="3:3" x14ac:dyDescent="0.3">
      <c r="C13771" s="87"/>
    </row>
    <row r="13772" spans="3:3" x14ac:dyDescent="0.3">
      <c r="C13772" s="87"/>
    </row>
    <row r="13773" spans="3:3" x14ac:dyDescent="0.3">
      <c r="C13773" s="87"/>
    </row>
    <row r="13774" spans="3:3" x14ac:dyDescent="0.3">
      <c r="C13774" s="87"/>
    </row>
    <row r="13775" spans="3:3" x14ac:dyDescent="0.3">
      <c r="C13775" s="87"/>
    </row>
    <row r="13776" spans="3:3" x14ac:dyDescent="0.3">
      <c r="C13776" s="87"/>
    </row>
    <row r="13777" spans="3:3" x14ac:dyDescent="0.3">
      <c r="C13777" s="87"/>
    </row>
    <row r="13778" spans="3:3" x14ac:dyDescent="0.3">
      <c r="C13778" s="87"/>
    </row>
    <row r="13779" spans="3:3" x14ac:dyDescent="0.3">
      <c r="C13779" s="87"/>
    </row>
    <row r="13780" spans="3:3" x14ac:dyDescent="0.3">
      <c r="C13780" s="87"/>
    </row>
    <row r="13781" spans="3:3" x14ac:dyDescent="0.3">
      <c r="C13781" s="87"/>
    </row>
    <row r="13782" spans="3:3" x14ac:dyDescent="0.3">
      <c r="C13782" s="87"/>
    </row>
    <row r="13783" spans="3:3" x14ac:dyDescent="0.3">
      <c r="C13783" s="87"/>
    </row>
    <row r="13784" spans="3:3" x14ac:dyDescent="0.3">
      <c r="C13784" s="87"/>
    </row>
    <row r="13785" spans="3:3" x14ac:dyDescent="0.3">
      <c r="C13785" s="87"/>
    </row>
    <row r="13786" spans="3:3" x14ac:dyDescent="0.3">
      <c r="C13786" s="87"/>
    </row>
    <row r="13787" spans="3:3" x14ac:dyDescent="0.3">
      <c r="C13787" s="87"/>
    </row>
    <row r="13788" spans="3:3" x14ac:dyDescent="0.3">
      <c r="C13788" s="87"/>
    </row>
    <row r="13789" spans="3:3" x14ac:dyDescent="0.3">
      <c r="C13789" s="87"/>
    </row>
    <row r="13790" spans="3:3" x14ac:dyDescent="0.3">
      <c r="C13790" s="87"/>
    </row>
    <row r="13791" spans="3:3" x14ac:dyDescent="0.3">
      <c r="C13791" s="87"/>
    </row>
    <row r="13792" spans="3:3" x14ac:dyDescent="0.3">
      <c r="C13792" s="87"/>
    </row>
    <row r="13793" spans="3:3" x14ac:dyDescent="0.3">
      <c r="C13793" s="87"/>
    </row>
    <row r="13794" spans="3:3" x14ac:dyDescent="0.3">
      <c r="C13794" s="87"/>
    </row>
    <row r="13795" spans="3:3" x14ac:dyDescent="0.3">
      <c r="C13795" s="87"/>
    </row>
    <row r="13796" spans="3:3" x14ac:dyDescent="0.3">
      <c r="C13796" s="87"/>
    </row>
    <row r="13797" spans="3:3" x14ac:dyDescent="0.3">
      <c r="C13797" s="87"/>
    </row>
    <row r="13798" spans="3:3" x14ac:dyDescent="0.3">
      <c r="C13798" s="87"/>
    </row>
    <row r="13799" spans="3:3" x14ac:dyDescent="0.3">
      <c r="C13799" s="87"/>
    </row>
    <row r="13800" spans="3:3" x14ac:dyDescent="0.3">
      <c r="C13800" s="87"/>
    </row>
    <row r="13801" spans="3:3" x14ac:dyDescent="0.3">
      <c r="C13801" s="87"/>
    </row>
    <row r="13802" spans="3:3" x14ac:dyDescent="0.3">
      <c r="C13802" s="87"/>
    </row>
    <row r="13803" spans="3:3" x14ac:dyDescent="0.3">
      <c r="C13803" s="87"/>
    </row>
    <row r="13804" spans="3:3" x14ac:dyDescent="0.3">
      <c r="C13804" s="87"/>
    </row>
    <row r="13805" spans="3:3" x14ac:dyDescent="0.3">
      <c r="C13805" s="87"/>
    </row>
    <row r="13806" spans="3:3" x14ac:dyDescent="0.3">
      <c r="C13806" s="87"/>
    </row>
    <row r="13807" spans="3:3" x14ac:dyDescent="0.3">
      <c r="C13807" s="87"/>
    </row>
    <row r="13808" spans="3:3" x14ac:dyDescent="0.3">
      <c r="C13808" s="87"/>
    </row>
    <row r="13809" spans="3:3" x14ac:dyDescent="0.3">
      <c r="C13809" s="87"/>
    </row>
    <row r="13810" spans="3:3" x14ac:dyDescent="0.3">
      <c r="C13810" s="87"/>
    </row>
    <row r="13811" spans="3:3" x14ac:dyDescent="0.3">
      <c r="C13811" s="87"/>
    </row>
    <row r="13812" spans="3:3" x14ac:dyDescent="0.3">
      <c r="C13812" s="87"/>
    </row>
    <row r="13813" spans="3:3" x14ac:dyDescent="0.3">
      <c r="C13813" s="87"/>
    </row>
    <row r="13814" spans="3:3" x14ac:dyDescent="0.3">
      <c r="C13814" s="87"/>
    </row>
    <row r="13815" spans="3:3" x14ac:dyDescent="0.3">
      <c r="C13815" s="87"/>
    </row>
    <row r="13816" spans="3:3" x14ac:dyDescent="0.3">
      <c r="C13816" s="87"/>
    </row>
    <row r="13817" spans="3:3" x14ac:dyDescent="0.3">
      <c r="C13817" s="87"/>
    </row>
    <row r="13818" spans="3:3" x14ac:dyDescent="0.3">
      <c r="C13818" s="87"/>
    </row>
    <row r="13819" spans="3:3" x14ac:dyDescent="0.3">
      <c r="C13819" s="87"/>
    </row>
    <row r="13820" spans="3:3" x14ac:dyDescent="0.3">
      <c r="C13820" s="87"/>
    </row>
    <row r="13821" spans="3:3" x14ac:dyDescent="0.3">
      <c r="C13821" s="87"/>
    </row>
    <row r="13822" spans="3:3" x14ac:dyDescent="0.3">
      <c r="C13822" s="87"/>
    </row>
    <row r="13823" spans="3:3" x14ac:dyDescent="0.3">
      <c r="C13823" s="87"/>
    </row>
    <row r="13824" spans="3:3" x14ac:dyDescent="0.3">
      <c r="C13824" s="87"/>
    </row>
    <row r="13825" spans="3:3" x14ac:dyDescent="0.3">
      <c r="C13825" s="87"/>
    </row>
    <row r="13826" spans="3:3" x14ac:dyDescent="0.3">
      <c r="C13826" s="87"/>
    </row>
    <row r="13827" spans="3:3" x14ac:dyDescent="0.3">
      <c r="C13827" s="87"/>
    </row>
    <row r="13828" spans="3:3" x14ac:dyDescent="0.3">
      <c r="C13828" s="87"/>
    </row>
    <row r="13829" spans="3:3" x14ac:dyDescent="0.3">
      <c r="C13829" s="87"/>
    </row>
    <row r="13830" spans="3:3" x14ac:dyDescent="0.3">
      <c r="C13830" s="87"/>
    </row>
    <row r="13831" spans="3:3" x14ac:dyDescent="0.3">
      <c r="C13831" s="87"/>
    </row>
    <row r="13832" spans="3:3" x14ac:dyDescent="0.3">
      <c r="C13832" s="87"/>
    </row>
    <row r="13833" spans="3:3" x14ac:dyDescent="0.3">
      <c r="C13833" s="87"/>
    </row>
    <row r="13834" spans="3:3" x14ac:dyDescent="0.3">
      <c r="C13834" s="87"/>
    </row>
    <row r="13835" spans="3:3" x14ac:dyDescent="0.3">
      <c r="C13835" s="87"/>
    </row>
    <row r="13836" spans="3:3" x14ac:dyDescent="0.3">
      <c r="C13836" s="87"/>
    </row>
    <row r="13837" spans="3:3" x14ac:dyDescent="0.3">
      <c r="C13837" s="87"/>
    </row>
    <row r="13838" spans="3:3" x14ac:dyDescent="0.3">
      <c r="C13838" s="87"/>
    </row>
    <row r="13839" spans="3:3" x14ac:dyDescent="0.3">
      <c r="C13839" s="87"/>
    </row>
    <row r="13840" spans="3:3" x14ac:dyDescent="0.3">
      <c r="C13840" s="87"/>
    </row>
    <row r="13841" spans="3:3" x14ac:dyDescent="0.3">
      <c r="C13841" s="87"/>
    </row>
    <row r="13842" spans="3:3" x14ac:dyDescent="0.3">
      <c r="C13842" s="87"/>
    </row>
    <row r="13843" spans="3:3" x14ac:dyDescent="0.3">
      <c r="C13843" s="87"/>
    </row>
    <row r="13844" spans="3:3" x14ac:dyDescent="0.3">
      <c r="C13844" s="87"/>
    </row>
    <row r="13845" spans="3:3" x14ac:dyDescent="0.3">
      <c r="C13845" s="87"/>
    </row>
    <row r="13846" spans="3:3" x14ac:dyDescent="0.3">
      <c r="C13846" s="87"/>
    </row>
    <row r="13847" spans="3:3" x14ac:dyDescent="0.3">
      <c r="C13847" s="87"/>
    </row>
    <row r="13848" spans="3:3" x14ac:dyDescent="0.3">
      <c r="C13848" s="87"/>
    </row>
    <row r="13849" spans="3:3" x14ac:dyDescent="0.3">
      <c r="C13849" s="87"/>
    </row>
    <row r="13850" spans="3:3" x14ac:dyDescent="0.3">
      <c r="C13850" s="87"/>
    </row>
    <row r="13851" spans="3:3" x14ac:dyDescent="0.3">
      <c r="C13851" s="87"/>
    </row>
    <row r="13852" spans="3:3" x14ac:dyDescent="0.3">
      <c r="C13852" s="87"/>
    </row>
    <row r="13853" spans="3:3" x14ac:dyDescent="0.3">
      <c r="C13853" s="87"/>
    </row>
    <row r="13854" spans="3:3" x14ac:dyDescent="0.3">
      <c r="C13854" s="87"/>
    </row>
    <row r="13855" spans="3:3" x14ac:dyDescent="0.3">
      <c r="C13855" s="87"/>
    </row>
    <row r="13856" spans="3:3" x14ac:dyDescent="0.3">
      <c r="C13856" s="87"/>
    </row>
    <row r="13857" spans="3:3" x14ac:dyDescent="0.3">
      <c r="C13857" s="87"/>
    </row>
    <row r="13858" spans="3:3" x14ac:dyDescent="0.3">
      <c r="C13858" s="87"/>
    </row>
    <row r="13859" spans="3:3" x14ac:dyDescent="0.3">
      <c r="C13859" s="87"/>
    </row>
    <row r="13860" spans="3:3" x14ac:dyDescent="0.3">
      <c r="C13860" s="87"/>
    </row>
    <row r="13861" spans="3:3" x14ac:dyDescent="0.3">
      <c r="C13861" s="87"/>
    </row>
    <row r="13862" spans="3:3" x14ac:dyDescent="0.3">
      <c r="C13862" s="87"/>
    </row>
    <row r="13863" spans="3:3" x14ac:dyDescent="0.3">
      <c r="C13863" s="87"/>
    </row>
    <row r="13864" spans="3:3" x14ac:dyDescent="0.3">
      <c r="C13864" s="87"/>
    </row>
    <row r="13865" spans="3:3" x14ac:dyDescent="0.3">
      <c r="C13865" s="87"/>
    </row>
    <row r="13866" spans="3:3" x14ac:dyDescent="0.3">
      <c r="C13866" s="87"/>
    </row>
    <row r="13867" spans="3:3" x14ac:dyDescent="0.3">
      <c r="C13867" s="87"/>
    </row>
    <row r="13868" spans="3:3" x14ac:dyDescent="0.3">
      <c r="C13868" s="87"/>
    </row>
    <row r="13869" spans="3:3" x14ac:dyDescent="0.3">
      <c r="C13869" s="87"/>
    </row>
    <row r="13870" spans="3:3" x14ac:dyDescent="0.3">
      <c r="C13870" s="87"/>
    </row>
    <row r="13871" spans="3:3" x14ac:dyDescent="0.3">
      <c r="C13871" s="87"/>
    </row>
    <row r="13872" spans="3:3" x14ac:dyDescent="0.3">
      <c r="C13872" s="87"/>
    </row>
    <row r="13873" spans="3:3" x14ac:dyDescent="0.3">
      <c r="C13873" s="87"/>
    </row>
    <row r="13874" spans="3:3" x14ac:dyDescent="0.3">
      <c r="C13874" s="87"/>
    </row>
    <row r="13875" spans="3:3" x14ac:dyDescent="0.3">
      <c r="C13875" s="87"/>
    </row>
    <row r="13876" spans="3:3" x14ac:dyDescent="0.3">
      <c r="C13876" s="87"/>
    </row>
    <row r="13877" spans="3:3" x14ac:dyDescent="0.3">
      <c r="C13877" s="87"/>
    </row>
    <row r="13878" spans="3:3" x14ac:dyDescent="0.3">
      <c r="C13878" s="87"/>
    </row>
    <row r="13879" spans="3:3" x14ac:dyDescent="0.3">
      <c r="C13879" s="87"/>
    </row>
    <row r="13880" spans="3:3" x14ac:dyDescent="0.3">
      <c r="C13880" s="87"/>
    </row>
    <row r="13881" spans="3:3" x14ac:dyDescent="0.3">
      <c r="C13881" s="87"/>
    </row>
    <row r="13882" spans="3:3" x14ac:dyDescent="0.3">
      <c r="C13882" s="87"/>
    </row>
    <row r="13883" spans="3:3" x14ac:dyDescent="0.3">
      <c r="C13883" s="87"/>
    </row>
    <row r="13884" spans="3:3" x14ac:dyDescent="0.3">
      <c r="C13884" s="87"/>
    </row>
    <row r="13885" spans="3:3" x14ac:dyDescent="0.3">
      <c r="C13885" s="87"/>
    </row>
    <row r="13886" spans="3:3" x14ac:dyDescent="0.3">
      <c r="C13886" s="87"/>
    </row>
    <row r="13887" spans="3:3" x14ac:dyDescent="0.3">
      <c r="C13887" s="87"/>
    </row>
    <row r="13888" spans="3:3" x14ac:dyDescent="0.3">
      <c r="C13888" s="87"/>
    </row>
    <row r="13889" spans="3:3" x14ac:dyDescent="0.3">
      <c r="C13889" s="87"/>
    </row>
    <row r="13890" spans="3:3" x14ac:dyDescent="0.3">
      <c r="C13890" s="87"/>
    </row>
    <row r="13891" spans="3:3" x14ac:dyDescent="0.3">
      <c r="C13891" s="87"/>
    </row>
    <row r="13892" spans="3:3" x14ac:dyDescent="0.3">
      <c r="C13892" s="87"/>
    </row>
    <row r="13893" spans="3:3" x14ac:dyDescent="0.3">
      <c r="C13893" s="87"/>
    </row>
    <row r="13894" spans="3:3" x14ac:dyDescent="0.3">
      <c r="C13894" s="87"/>
    </row>
    <row r="13895" spans="3:3" x14ac:dyDescent="0.3">
      <c r="C13895" s="87"/>
    </row>
    <row r="13896" spans="3:3" x14ac:dyDescent="0.3">
      <c r="C13896" s="87"/>
    </row>
    <row r="13897" spans="3:3" x14ac:dyDescent="0.3">
      <c r="C13897" s="87"/>
    </row>
    <row r="13898" spans="3:3" x14ac:dyDescent="0.3">
      <c r="C13898" s="87"/>
    </row>
    <row r="13899" spans="3:3" x14ac:dyDescent="0.3">
      <c r="C13899" s="87"/>
    </row>
    <row r="13900" spans="3:3" x14ac:dyDescent="0.3">
      <c r="C13900" s="87"/>
    </row>
    <row r="13901" spans="3:3" x14ac:dyDescent="0.3">
      <c r="C13901" s="87"/>
    </row>
    <row r="13902" spans="3:3" x14ac:dyDescent="0.3">
      <c r="C13902" s="87"/>
    </row>
    <row r="13903" spans="3:3" x14ac:dyDescent="0.3">
      <c r="C13903" s="87"/>
    </row>
    <row r="13904" spans="3:3" x14ac:dyDescent="0.3">
      <c r="C13904" s="87"/>
    </row>
    <row r="13905" spans="3:3" x14ac:dyDescent="0.3">
      <c r="C13905" s="87"/>
    </row>
    <row r="13906" spans="3:3" x14ac:dyDescent="0.3">
      <c r="C13906" s="87"/>
    </row>
    <row r="13907" spans="3:3" x14ac:dyDescent="0.3">
      <c r="C13907" s="87"/>
    </row>
    <row r="13908" spans="3:3" x14ac:dyDescent="0.3">
      <c r="C13908" s="87"/>
    </row>
    <row r="13909" spans="3:3" x14ac:dyDescent="0.3">
      <c r="C13909" s="87"/>
    </row>
    <row r="13910" spans="3:3" x14ac:dyDescent="0.3">
      <c r="C13910" s="87"/>
    </row>
    <row r="13911" spans="3:3" x14ac:dyDescent="0.3">
      <c r="C13911" s="87"/>
    </row>
    <row r="13912" spans="3:3" x14ac:dyDescent="0.3">
      <c r="C13912" s="87"/>
    </row>
    <row r="13913" spans="3:3" x14ac:dyDescent="0.3">
      <c r="C13913" s="87"/>
    </row>
    <row r="13914" spans="3:3" x14ac:dyDescent="0.3">
      <c r="C13914" s="87"/>
    </row>
    <row r="13915" spans="3:3" x14ac:dyDescent="0.3">
      <c r="C13915" s="87"/>
    </row>
    <row r="13916" spans="3:3" x14ac:dyDescent="0.3">
      <c r="C13916" s="87"/>
    </row>
    <row r="13917" spans="3:3" x14ac:dyDescent="0.3">
      <c r="C13917" s="87"/>
    </row>
    <row r="13918" spans="3:3" x14ac:dyDescent="0.3">
      <c r="C13918" s="87"/>
    </row>
    <row r="13919" spans="3:3" x14ac:dyDescent="0.3">
      <c r="C13919" s="87"/>
    </row>
    <row r="13920" spans="3:3" x14ac:dyDescent="0.3">
      <c r="C13920" s="87"/>
    </row>
    <row r="13921" spans="3:3" x14ac:dyDescent="0.3">
      <c r="C13921" s="87"/>
    </row>
    <row r="13922" spans="3:3" x14ac:dyDescent="0.3">
      <c r="C13922" s="87"/>
    </row>
    <row r="13923" spans="3:3" x14ac:dyDescent="0.3">
      <c r="C13923" s="87"/>
    </row>
    <row r="13924" spans="3:3" x14ac:dyDescent="0.3">
      <c r="C13924" s="87"/>
    </row>
    <row r="13925" spans="3:3" x14ac:dyDescent="0.3">
      <c r="C13925" s="87"/>
    </row>
    <row r="13926" spans="3:3" x14ac:dyDescent="0.3">
      <c r="C13926" s="87"/>
    </row>
    <row r="13927" spans="3:3" x14ac:dyDescent="0.3">
      <c r="C13927" s="87"/>
    </row>
    <row r="13928" spans="3:3" x14ac:dyDescent="0.3">
      <c r="C13928" s="87"/>
    </row>
    <row r="13929" spans="3:3" x14ac:dyDescent="0.3">
      <c r="C13929" s="87"/>
    </row>
    <row r="13930" spans="3:3" x14ac:dyDescent="0.3">
      <c r="C13930" s="87"/>
    </row>
    <row r="13931" spans="3:3" x14ac:dyDescent="0.3">
      <c r="C13931" s="87"/>
    </row>
    <row r="13932" spans="3:3" x14ac:dyDescent="0.3">
      <c r="C13932" s="87"/>
    </row>
    <row r="13933" spans="3:3" x14ac:dyDescent="0.3">
      <c r="C13933" s="87"/>
    </row>
    <row r="13934" spans="3:3" x14ac:dyDescent="0.3">
      <c r="C13934" s="87"/>
    </row>
    <row r="13935" spans="3:3" x14ac:dyDescent="0.3">
      <c r="C13935" s="87"/>
    </row>
    <row r="13936" spans="3:3" x14ac:dyDescent="0.3">
      <c r="C13936" s="87"/>
    </row>
    <row r="13937" spans="3:3" x14ac:dyDescent="0.3">
      <c r="C13937" s="87"/>
    </row>
    <row r="13938" spans="3:3" x14ac:dyDescent="0.3">
      <c r="C13938" s="87"/>
    </row>
    <row r="13939" spans="3:3" x14ac:dyDescent="0.3">
      <c r="C13939" s="87"/>
    </row>
    <row r="13940" spans="3:3" x14ac:dyDescent="0.3">
      <c r="C13940" s="87"/>
    </row>
    <row r="13941" spans="3:3" x14ac:dyDescent="0.3">
      <c r="C13941" s="87"/>
    </row>
    <row r="13942" spans="3:3" x14ac:dyDescent="0.3">
      <c r="C13942" s="87"/>
    </row>
    <row r="13943" spans="3:3" x14ac:dyDescent="0.3">
      <c r="C13943" s="87"/>
    </row>
    <row r="13944" spans="3:3" x14ac:dyDescent="0.3">
      <c r="C13944" s="87"/>
    </row>
    <row r="13945" spans="3:3" x14ac:dyDescent="0.3">
      <c r="C13945" s="87"/>
    </row>
    <row r="13946" spans="3:3" x14ac:dyDescent="0.3">
      <c r="C13946" s="87"/>
    </row>
    <row r="13947" spans="3:3" x14ac:dyDescent="0.3">
      <c r="C13947" s="87"/>
    </row>
    <row r="13948" spans="3:3" x14ac:dyDescent="0.3">
      <c r="C13948" s="87"/>
    </row>
    <row r="13949" spans="3:3" x14ac:dyDescent="0.3">
      <c r="C13949" s="87"/>
    </row>
    <row r="13950" spans="3:3" x14ac:dyDescent="0.3">
      <c r="C13950" s="87"/>
    </row>
    <row r="13951" spans="3:3" x14ac:dyDescent="0.3">
      <c r="C13951" s="87"/>
    </row>
    <row r="13952" spans="3:3" x14ac:dyDescent="0.3">
      <c r="C13952" s="87"/>
    </row>
    <row r="13953" spans="3:3" x14ac:dyDescent="0.3">
      <c r="C13953" s="87"/>
    </row>
    <row r="13954" spans="3:3" x14ac:dyDescent="0.3">
      <c r="C13954" s="87"/>
    </row>
    <row r="13955" spans="3:3" x14ac:dyDescent="0.3">
      <c r="C13955" s="87"/>
    </row>
    <row r="13956" spans="3:3" x14ac:dyDescent="0.3">
      <c r="C13956" s="87"/>
    </row>
    <row r="13957" spans="3:3" x14ac:dyDescent="0.3">
      <c r="C13957" s="87"/>
    </row>
    <row r="13958" spans="3:3" x14ac:dyDescent="0.3">
      <c r="C13958" s="87"/>
    </row>
    <row r="13959" spans="3:3" x14ac:dyDescent="0.3">
      <c r="C13959" s="87"/>
    </row>
    <row r="13960" spans="3:3" x14ac:dyDescent="0.3">
      <c r="C13960" s="87"/>
    </row>
    <row r="13961" spans="3:3" x14ac:dyDescent="0.3">
      <c r="C13961" s="87"/>
    </row>
    <row r="13962" spans="3:3" x14ac:dyDescent="0.3">
      <c r="C13962" s="87"/>
    </row>
    <row r="13963" spans="3:3" x14ac:dyDescent="0.3">
      <c r="C13963" s="87"/>
    </row>
    <row r="13964" spans="3:3" x14ac:dyDescent="0.3">
      <c r="C13964" s="87"/>
    </row>
    <row r="13965" spans="3:3" x14ac:dyDescent="0.3">
      <c r="C13965" s="87"/>
    </row>
    <row r="13966" spans="3:3" x14ac:dyDescent="0.3">
      <c r="C13966" s="87"/>
    </row>
    <row r="13967" spans="3:3" x14ac:dyDescent="0.3">
      <c r="C13967" s="87"/>
    </row>
    <row r="13968" spans="3:3" x14ac:dyDescent="0.3">
      <c r="C13968" s="87"/>
    </row>
    <row r="13969" spans="3:3" x14ac:dyDescent="0.3">
      <c r="C13969" s="87"/>
    </row>
    <row r="13970" spans="3:3" x14ac:dyDescent="0.3">
      <c r="C13970" s="87"/>
    </row>
    <row r="13971" spans="3:3" x14ac:dyDescent="0.3">
      <c r="C13971" s="87"/>
    </row>
    <row r="13972" spans="3:3" x14ac:dyDescent="0.3">
      <c r="C13972" s="87"/>
    </row>
    <row r="13973" spans="3:3" x14ac:dyDescent="0.3">
      <c r="C13973" s="87"/>
    </row>
    <row r="13974" spans="3:3" x14ac:dyDescent="0.3">
      <c r="C13974" s="87"/>
    </row>
    <row r="13975" spans="3:3" x14ac:dyDescent="0.3">
      <c r="C13975" s="87"/>
    </row>
    <row r="13976" spans="3:3" x14ac:dyDescent="0.3">
      <c r="C13976" s="87"/>
    </row>
    <row r="13977" spans="3:3" x14ac:dyDescent="0.3">
      <c r="C13977" s="87"/>
    </row>
    <row r="13978" spans="3:3" x14ac:dyDescent="0.3">
      <c r="C13978" s="87"/>
    </row>
    <row r="13979" spans="3:3" x14ac:dyDescent="0.3">
      <c r="C13979" s="87"/>
    </row>
    <row r="13980" spans="3:3" x14ac:dyDescent="0.3">
      <c r="C13980" s="87"/>
    </row>
    <row r="13981" spans="3:3" x14ac:dyDescent="0.3">
      <c r="C13981" s="87"/>
    </row>
    <row r="13982" spans="3:3" x14ac:dyDescent="0.3">
      <c r="C13982" s="87"/>
    </row>
    <row r="13983" spans="3:3" x14ac:dyDescent="0.3">
      <c r="C13983" s="87"/>
    </row>
    <row r="13984" spans="3:3" x14ac:dyDescent="0.3">
      <c r="C13984" s="87"/>
    </row>
    <row r="13985" spans="3:3" x14ac:dyDescent="0.3">
      <c r="C13985" s="87"/>
    </row>
    <row r="13986" spans="3:3" x14ac:dyDescent="0.3">
      <c r="C13986" s="87"/>
    </row>
    <row r="13987" spans="3:3" x14ac:dyDescent="0.3">
      <c r="C13987" s="87"/>
    </row>
    <row r="13988" spans="3:3" x14ac:dyDescent="0.3">
      <c r="C13988" s="87"/>
    </row>
    <row r="13989" spans="3:3" x14ac:dyDescent="0.3">
      <c r="C13989" s="87"/>
    </row>
    <row r="13990" spans="3:3" x14ac:dyDescent="0.3">
      <c r="C13990" s="87"/>
    </row>
    <row r="13991" spans="3:3" x14ac:dyDescent="0.3">
      <c r="C13991" s="87"/>
    </row>
    <row r="13992" spans="3:3" x14ac:dyDescent="0.3">
      <c r="C13992" s="87"/>
    </row>
    <row r="13993" spans="3:3" x14ac:dyDescent="0.3">
      <c r="C13993" s="87"/>
    </row>
    <row r="13994" spans="3:3" x14ac:dyDescent="0.3">
      <c r="C13994" s="87"/>
    </row>
    <row r="13995" spans="3:3" x14ac:dyDescent="0.3">
      <c r="C13995" s="87"/>
    </row>
    <row r="13996" spans="3:3" x14ac:dyDescent="0.3">
      <c r="C13996" s="87"/>
    </row>
    <row r="13997" spans="3:3" x14ac:dyDescent="0.3">
      <c r="C13997" s="87"/>
    </row>
    <row r="13998" spans="3:3" x14ac:dyDescent="0.3">
      <c r="C13998" s="87"/>
    </row>
    <row r="13999" spans="3:3" x14ac:dyDescent="0.3">
      <c r="C13999" s="87"/>
    </row>
    <row r="14000" spans="3:3" x14ac:dyDescent="0.3">
      <c r="C14000" s="87"/>
    </row>
    <row r="14001" spans="3:3" x14ac:dyDescent="0.3">
      <c r="C14001" s="87"/>
    </row>
    <row r="14002" spans="3:3" x14ac:dyDescent="0.3">
      <c r="C14002" s="87"/>
    </row>
    <row r="14003" spans="3:3" x14ac:dyDescent="0.3">
      <c r="C14003" s="87"/>
    </row>
    <row r="14004" spans="3:3" x14ac:dyDescent="0.3">
      <c r="C14004" s="87"/>
    </row>
    <row r="14005" spans="3:3" x14ac:dyDescent="0.3">
      <c r="C14005" s="87"/>
    </row>
    <row r="14006" spans="3:3" x14ac:dyDescent="0.3">
      <c r="C14006" s="87"/>
    </row>
    <row r="14007" spans="3:3" x14ac:dyDescent="0.3">
      <c r="C14007" s="87"/>
    </row>
    <row r="14008" spans="3:3" x14ac:dyDescent="0.3">
      <c r="C14008" s="87"/>
    </row>
    <row r="14009" spans="3:3" x14ac:dyDescent="0.3">
      <c r="C14009" s="87"/>
    </row>
    <row r="14010" spans="3:3" x14ac:dyDescent="0.3">
      <c r="C14010" s="87"/>
    </row>
    <row r="14011" spans="3:3" x14ac:dyDescent="0.3">
      <c r="C14011" s="87"/>
    </row>
    <row r="14012" spans="3:3" x14ac:dyDescent="0.3">
      <c r="C14012" s="87"/>
    </row>
    <row r="14013" spans="3:3" x14ac:dyDescent="0.3">
      <c r="C14013" s="87"/>
    </row>
    <row r="14014" spans="3:3" x14ac:dyDescent="0.3">
      <c r="C14014" s="87"/>
    </row>
    <row r="14015" spans="3:3" x14ac:dyDescent="0.3">
      <c r="C14015" s="87"/>
    </row>
    <row r="14016" spans="3:3" x14ac:dyDescent="0.3">
      <c r="C14016" s="87"/>
    </row>
    <row r="14017" spans="3:3" x14ac:dyDescent="0.3">
      <c r="C14017" s="87"/>
    </row>
    <row r="14018" spans="3:3" x14ac:dyDescent="0.3">
      <c r="C14018" s="87"/>
    </row>
    <row r="14019" spans="3:3" x14ac:dyDescent="0.3">
      <c r="C14019" s="87"/>
    </row>
    <row r="14020" spans="3:3" x14ac:dyDescent="0.3">
      <c r="C14020" s="87"/>
    </row>
    <row r="14021" spans="3:3" x14ac:dyDescent="0.3">
      <c r="C14021" s="87"/>
    </row>
    <row r="14022" spans="3:3" x14ac:dyDescent="0.3">
      <c r="C14022" s="87"/>
    </row>
    <row r="14023" spans="3:3" x14ac:dyDescent="0.3">
      <c r="C14023" s="87"/>
    </row>
    <row r="14024" spans="3:3" x14ac:dyDescent="0.3">
      <c r="C14024" s="87"/>
    </row>
    <row r="14025" spans="3:3" x14ac:dyDescent="0.3">
      <c r="C14025" s="87"/>
    </row>
    <row r="14026" spans="3:3" x14ac:dyDescent="0.3">
      <c r="C14026" s="87"/>
    </row>
    <row r="14027" spans="3:3" x14ac:dyDescent="0.3">
      <c r="C14027" s="87"/>
    </row>
    <row r="14028" spans="3:3" x14ac:dyDescent="0.3">
      <c r="C14028" s="87"/>
    </row>
    <row r="14029" spans="3:3" x14ac:dyDescent="0.3">
      <c r="C14029" s="87"/>
    </row>
    <row r="14030" spans="3:3" x14ac:dyDescent="0.3">
      <c r="C14030" s="87"/>
    </row>
    <row r="14031" spans="3:3" x14ac:dyDescent="0.3">
      <c r="C14031" s="87"/>
    </row>
    <row r="14032" spans="3:3" x14ac:dyDescent="0.3">
      <c r="C14032" s="87"/>
    </row>
    <row r="14033" spans="3:3" x14ac:dyDescent="0.3">
      <c r="C14033" s="87"/>
    </row>
    <row r="14034" spans="3:3" x14ac:dyDescent="0.3">
      <c r="C14034" s="87"/>
    </row>
    <row r="14035" spans="3:3" x14ac:dyDescent="0.3">
      <c r="C14035" s="87"/>
    </row>
    <row r="14036" spans="3:3" x14ac:dyDescent="0.3">
      <c r="C14036" s="87"/>
    </row>
    <row r="14037" spans="3:3" x14ac:dyDescent="0.3">
      <c r="C14037" s="87"/>
    </row>
    <row r="14038" spans="3:3" x14ac:dyDescent="0.3">
      <c r="C14038" s="87"/>
    </row>
    <row r="14039" spans="3:3" x14ac:dyDescent="0.3">
      <c r="C14039" s="87"/>
    </row>
    <row r="14040" spans="3:3" x14ac:dyDescent="0.3">
      <c r="C14040" s="87"/>
    </row>
    <row r="14041" spans="3:3" x14ac:dyDescent="0.3">
      <c r="C14041" s="87"/>
    </row>
    <row r="14042" spans="3:3" x14ac:dyDescent="0.3">
      <c r="C14042" s="87"/>
    </row>
    <row r="14043" spans="3:3" x14ac:dyDescent="0.3">
      <c r="C14043" s="87"/>
    </row>
    <row r="14044" spans="3:3" x14ac:dyDescent="0.3">
      <c r="C14044" s="87"/>
    </row>
    <row r="14045" spans="3:3" x14ac:dyDescent="0.3">
      <c r="C14045" s="87"/>
    </row>
    <row r="14046" spans="3:3" x14ac:dyDescent="0.3">
      <c r="C14046" s="87"/>
    </row>
    <row r="14047" spans="3:3" x14ac:dyDescent="0.3">
      <c r="C14047" s="87"/>
    </row>
    <row r="14048" spans="3:3" x14ac:dyDescent="0.3">
      <c r="C14048" s="87"/>
    </row>
    <row r="14049" spans="3:3" x14ac:dyDescent="0.3">
      <c r="C14049" s="87"/>
    </row>
    <row r="14050" spans="3:3" x14ac:dyDescent="0.3">
      <c r="C14050" s="87"/>
    </row>
    <row r="14051" spans="3:3" x14ac:dyDescent="0.3">
      <c r="C14051" s="87"/>
    </row>
    <row r="14052" spans="3:3" x14ac:dyDescent="0.3">
      <c r="C14052" s="87"/>
    </row>
    <row r="14053" spans="3:3" x14ac:dyDescent="0.3">
      <c r="C14053" s="87"/>
    </row>
    <row r="14054" spans="3:3" x14ac:dyDescent="0.3">
      <c r="C14054" s="87"/>
    </row>
    <row r="14055" spans="3:3" x14ac:dyDescent="0.3">
      <c r="C14055" s="87"/>
    </row>
    <row r="14056" spans="3:3" x14ac:dyDescent="0.3">
      <c r="C14056" s="87"/>
    </row>
    <row r="14057" spans="3:3" x14ac:dyDescent="0.3">
      <c r="C14057" s="87"/>
    </row>
    <row r="14058" spans="3:3" x14ac:dyDescent="0.3">
      <c r="C14058" s="87"/>
    </row>
    <row r="14059" spans="3:3" x14ac:dyDescent="0.3">
      <c r="C14059" s="87"/>
    </row>
    <row r="14060" spans="3:3" x14ac:dyDescent="0.3">
      <c r="C14060" s="87"/>
    </row>
    <row r="14061" spans="3:3" x14ac:dyDescent="0.3">
      <c r="C14061" s="87"/>
    </row>
    <row r="14062" spans="3:3" x14ac:dyDescent="0.3">
      <c r="C14062" s="87"/>
    </row>
    <row r="14063" spans="3:3" x14ac:dyDescent="0.3">
      <c r="C14063" s="87"/>
    </row>
    <row r="14064" spans="3:3" x14ac:dyDescent="0.3">
      <c r="C14064" s="87"/>
    </row>
    <row r="14065" spans="3:3" x14ac:dyDescent="0.3">
      <c r="C14065" s="87"/>
    </row>
    <row r="14066" spans="3:3" x14ac:dyDescent="0.3">
      <c r="C14066" s="87"/>
    </row>
    <row r="14067" spans="3:3" x14ac:dyDescent="0.3">
      <c r="C14067" s="87"/>
    </row>
    <row r="14068" spans="3:3" x14ac:dyDescent="0.3">
      <c r="C14068" s="87"/>
    </row>
    <row r="14069" spans="3:3" x14ac:dyDescent="0.3">
      <c r="C14069" s="87"/>
    </row>
    <row r="14070" spans="3:3" x14ac:dyDescent="0.3">
      <c r="C14070" s="87"/>
    </row>
    <row r="14071" spans="3:3" x14ac:dyDescent="0.3">
      <c r="C14071" s="87"/>
    </row>
    <row r="14072" spans="3:3" x14ac:dyDescent="0.3">
      <c r="C14072" s="87"/>
    </row>
    <row r="14073" spans="3:3" x14ac:dyDescent="0.3">
      <c r="C14073" s="87"/>
    </row>
    <row r="14074" spans="3:3" x14ac:dyDescent="0.3">
      <c r="C14074" s="87"/>
    </row>
    <row r="14075" spans="3:3" x14ac:dyDescent="0.3">
      <c r="C14075" s="87"/>
    </row>
    <row r="14076" spans="3:3" x14ac:dyDescent="0.3">
      <c r="C14076" s="87"/>
    </row>
    <row r="14077" spans="3:3" x14ac:dyDescent="0.3">
      <c r="C14077" s="87"/>
    </row>
    <row r="14078" spans="3:3" x14ac:dyDescent="0.3">
      <c r="C14078" s="87"/>
    </row>
    <row r="14079" spans="3:3" x14ac:dyDescent="0.3">
      <c r="C14079" s="87"/>
    </row>
    <row r="14080" spans="3:3" x14ac:dyDescent="0.3">
      <c r="C14080" s="87"/>
    </row>
    <row r="14081" spans="3:3" x14ac:dyDescent="0.3">
      <c r="C14081" s="87"/>
    </row>
    <row r="14082" spans="3:3" x14ac:dyDescent="0.3">
      <c r="C14082" s="87"/>
    </row>
    <row r="14083" spans="3:3" x14ac:dyDescent="0.3">
      <c r="C14083" s="87"/>
    </row>
    <row r="14084" spans="3:3" x14ac:dyDescent="0.3">
      <c r="C14084" s="87"/>
    </row>
    <row r="14085" spans="3:3" x14ac:dyDescent="0.3">
      <c r="C14085" s="87"/>
    </row>
    <row r="14086" spans="3:3" x14ac:dyDescent="0.3">
      <c r="C14086" s="87"/>
    </row>
    <row r="14087" spans="3:3" x14ac:dyDescent="0.3">
      <c r="C14087" s="87"/>
    </row>
    <row r="14088" spans="3:3" x14ac:dyDescent="0.3">
      <c r="C14088" s="87"/>
    </row>
    <row r="14089" spans="3:3" x14ac:dyDescent="0.3">
      <c r="C14089" s="87"/>
    </row>
    <row r="14090" spans="3:3" x14ac:dyDescent="0.3">
      <c r="C14090" s="87"/>
    </row>
    <row r="14091" spans="3:3" x14ac:dyDescent="0.3">
      <c r="C14091" s="87"/>
    </row>
    <row r="14092" spans="3:3" x14ac:dyDescent="0.3">
      <c r="C14092" s="87"/>
    </row>
    <row r="14093" spans="3:3" x14ac:dyDescent="0.3">
      <c r="C14093" s="87"/>
    </row>
    <row r="14094" spans="3:3" x14ac:dyDescent="0.3">
      <c r="C14094" s="87"/>
    </row>
    <row r="14095" spans="3:3" x14ac:dyDescent="0.3">
      <c r="C14095" s="87"/>
    </row>
    <row r="14096" spans="3:3" x14ac:dyDescent="0.3">
      <c r="C14096" s="87"/>
    </row>
    <row r="14097" spans="3:3" x14ac:dyDescent="0.3">
      <c r="C14097" s="87"/>
    </row>
    <row r="14098" spans="3:3" x14ac:dyDescent="0.3">
      <c r="C14098" s="87"/>
    </row>
    <row r="14099" spans="3:3" x14ac:dyDescent="0.3">
      <c r="C14099" s="87"/>
    </row>
    <row r="14100" spans="3:3" x14ac:dyDescent="0.3">
      <c r="C14100" s="87"/>
    </row>
    <row r="14101" spans="3:3" x14ac:dyDescent="0.3">
      <c r="C14101" s="87"/>
    </row>
    <row r="14102" spans="3:3" x14ac:dyDescent="0.3">
      <c r="C14102" s="87"/>
    </row>
    <row r="14103" spans="3:3" x14ac:dyDescent="0.3">
      <c r="C14103" s="87"/>
    </row>
    <row r="14104" spans="3:3" x14ac:dyDescent="0.3">
      <c r="C14104" s="87"/>
    </row>
    <row r="14105" spans="3:3" x14ac:dyDescent="0.3">
      <c r="C14105" s="87"/>
    </row>
    <row r="14106" spans="3:3" x14ac:dyDescent="0.3">
      <c r="C14106" s="87"/>
    </row>
    <row r="14107" spans="3:3" x14ac:dyDescent="0.3">
      <c r="C14107" s="87"/>
    </row>
    <row r="14108" spans="3:3" x14ac:dyDescent="0.3">
      <c r="C14108" s="87"/>
    </row>
    <row r="14109" spans="3:3" x14ac:dyDescent="0.3">
      <c r="C14109" s="87"/>
    </row>
    <row r="14110" spans="3:3" x14ac:dyDescent="0.3">
      <c r="C14110" s="87"/>
    </row>
    <row r="14111" spans="3:3" x14ac:dyDescent="0.3">
      <c r="C14111" s="87"/>
    </row>
    <row r="14112" spans="3:3" x14ac:dyDescent="0.3">
      <c r="C14112" s="87"/>
    </row>
    <row r="14113" spans="3:3" x14ac:dyDescent="0.3">
      <c r="C14113" s="87"/>
    </row>
    <row r="14114" spans="3:3" x14ac:dyDescent="0.3">
      <c r="C14114" s="87"/>
    </row>
    <row r="14115" spans="3:3" x14ac:dyDescent="0.3">
      <c r="C14115" s="87"/>
    </row>
    <row r="14116" spans="3:3" x14ac:dyDescent="0.3">
      <c r="C14116" s="87"/>
    </row>
    <row r="14117" spans="3:3" x14ac:dyDescent="0.3">
      <c r="C14117" s="87"/>
    </row>
    <row r="14118" spans="3:3" x14ac:dyDescent="0.3">
      <c r="C14118" s="87"/>
    </row>
    <row r="14119" spans="3:3" x14ac:dyDescent="0.3">
      <c r="C14119" s="87"/>
    </row>
    <row r="14120" spans="3:3" x14ac:dyDescent="0.3">
      <c r="C14120" s="87"/>
    </row>
    <row r="14121" spans="3:3" x14ac:dyDescent="0.3">
      <c r="C14121" s="87"/>
    </row>
    <row r="14122" spans="3:3" x14ac:dyDescent="0.3">
      <c r="C14122" s="87"/>
    </row>
    <row r="14123" spans="3:3" x14ac:dyDescent="0.3">
      <c r="C14123" s="87"/>
    </row>
    <row r="14124" spans="3:3" x14ac:dyDescent="0.3">
      <c r="C14124" s="87"/>
    </row>
    <row r="14125" spans="3:3" x14ac:dyDescent="0.3">
      <c r="C14125" s="87"/>
    </row>
    <row r="14126" spans="3:3" x14ac:dyDescent="0.3">
      <c r="C14126" s="87"/>
    </row>
    <row r="14127" spans="3:3" x14ac:dyDescent="0.3">
      <c r="C14127" s="87"/>
    </row>
    <row r="14128" spans="3:3" x14ac:dyDescent="0.3">
      <c r="C14128" s="87"/>
    </row>
    <row r="14129" spans="3:3" x14ac:dyDescent="0.3">
      <c r="C14129" s="87"/>
    </row>
    <row r="14130" spans="3:3" x14ac:dyDescent="0.3">
      <c r="C14130" s="87"/>
    </row>
    <row r="14131" spans="3:3" x14ac:dyDescent="0.3">
      <c r="C14131" s="87"/>
    </row>
    <row r="14132" spans="3:3" x14ac:dyDescent="0.3">
      <c r="C14132" s="87"/>
    </row>
    <row r="14133" spans="3:3" x14ac:dyDescent="0.3">
      <c r="C14133" s="87"/>
    </row>
    <row r="14134" spans="3:3" x14ac:dyDescent="0.3">
      <c r="C14134" s="87"/>
    </row>
    <row r="14135" spans="3:3" x14ac:dyDescent="0.3">
      <c r="C14135" s="87"/>
    </row>
    <row r="14136" spans="3:3" x14ac:dyDescent="0.3">
      <c r="C14136" s="87"/>
    </row>
    <row r="14137" spans="3:3" x14ac:dyDescent="0.3">
      <c r="C14137" s="87"/>
    </row>
    <row r="14138" spans="3:3" x14ac:dyDescent="0.3">
      <c r="C14138" s="87"/>
    </row>
    <row r="14139" spans="3:3" x14ac:dyDescent="0.3">
      <c r="C14139" s="87"/>
    </row>
    <row r="14140" spans="3:3" x14ac:dyDescent="0.3">
      <c r="C14140" s="87"/>
    </row>
    <row r="14141" spans="3:3" x14ac:dyDescent="0.3">
      <c r="C14141" s="87"/>
    </row>
    <row r="14142" spans="3:3" x14ac:dyDescent="0.3">
      <c r="C14142" s="87"/>
    </row>
    <row r="14143" spans="3:3" x14ac:dyDescent="0.3">
      <c r="C14143" s="87"/>
    </row>
    <row r="14144" spans="3:3" x14ac:dyDescent="0.3">
      <c r="C14144" s="87"/>
    </row>
    <row r="14145" spans="3:3" x14ac:dyDescent="0.3">
      <c r="C14145" s="87"/>
    </row>
    <row r="14146" spans="3:3" x14ac:dyDescent="0.3">
      <c r="C14146" s="87"/>
    </row>
    <row r="14147" spans="3:3" x14ac:dyDescent="0.3">
      <c r="C14147" s="87"/>
    </row>
    <row r="14148" spans="3:3" x14ac:dyDescent="0.3">
      <c r="C14148" s="87"/>
    </row>
    <row r="14149" spans="3:3" x14ac:dyDescent="0.3">
      <c r="C14149" s="87"/>
    </row>
    <row r="14150" spans="3:3" x14ac:dyDescent="0.3">
      <c r="C14150" s="87"/>
    </row>
    <row r="14151" spans="3:3" x14ac:dyDescent="0.3">
      <c r="C14151" s="87"/>
    </row>
    <row r="14152" spans="3:3" x14ac:dyDescent="0.3">
      <c r="C14152" s="87"/>
    </row>
    <row r="14153" spans="3:3" x14ac:dyDescent="0.3">
      <c r="C14153" s="87"/>
    </row>
    <row r="14154" spans="3:3" x14ac:dyDescent="0.3">
      <c r="C14154" s="87"/>
    </row>
    <row r="14155" spans="3:3" x14ac:dyDescent="0.3">
      <c r="C14155" s="87"/>
    </row>
    <row r="14156" spans="3:3" x14ac:dyDescent="0.3">
      <c r="C14156" s="87"/>
    </row>
    <row r="14157" spans="3:3" x14ac:dyDescent="0.3">
      <c r="C14157" s="87"/>
    </row>
    <row r="14158" spans="3:3" x14ac:dyDescent="0.3">
      <c r="C14158" s="87"/>
    </row>
    <row r="14159" spans="3:3" x14ac:dyDescent="0.3">
      <c r="C14159" s="87"/>
    </row>
    <row r="14160" spans="3:3" x14ac:dyDescent="0.3">
      <c r="C14160" s="87"/>
    </row>
    <row r="14161" spans="3:3" x14ac:dyDescent="0.3">
      <c r="C14161" s="87"/>
    </row>
    <row r="14162" spans="3:3" x14ac:dyDescent="0.3">
      <c r="C14162" s="87"/>
    </row>
    <row r="14163" spans="3:3" x14ac:dyDescent="0.3">
      <c r="C14163" s="87"/>
    </row>
    <row r="14164" spans="3:3" x14ac:dyDescent="0.3">
      <c r="C14164" s="87"/>
    </row>
    <row r="14165" spans="3:3" x14ac:dyDescent="0.3">
      <c r="C14165" s="87"/>
    </row>
    <row r="14166" spans="3:3" x14ac:dyDescent="0.3">
      <c r="C14166" s="87"/>
    </row>
    <row r="14167" spans="3:3" x14ac:dyDescent="0.3">
      <c r="C14167" s="87"/>
    </row>
    <row r="14168" spans="3:3" x14ac:dyDescent="0.3">
      <c r="C14168" s="87"/>
    </row>
    <row r="14169" spans="3:3" x14ac:dyDescent="0.3">
      <c r="C14169" s="87"/>
    </row>
    <row r="14170" spans="3:3" x14ac:dyDescent="0.3">
      <c r="C14170" s="87"/>
    </row>
    <row r="14171" spans="3:3" x14ac:dyDescent="0.3">
      <c r="C14171" s="87"/>
    </row>
    <row r="14172" spans="3:3" x14ac:dyDescent="0.3">
      <c r="C14172" s="87"/>
    </row>
    <row r="14173" spans="3:3" x14ac:dyDescent="0.3">
      <c r="C14173" s="87"/>
    </row>
    <row r="14174" spans="3:3" x14ac:dyDescent="0.3">
      <c r="C14174" s="87"/>
    </row>
    <row r="14175" spans="3:3" x14ac:dyDescent="0.3">
      <c r="C14175" s="87"/>
    </row>
    <row r="14176" spans="3:3" x14ac:dyDescent="0.3">
      <c r="C14176" s="87"/>
    </row>
    <row r="14177" spans="3:3" x14ac:dyDescent="0.3">
      <c r="C14177" s="87"/>
    </row>
    <row r="14178" spans="3:3" x14ac:dyDescent="0.3">
      <c r="C14178" s="87"/>
    </row>
    <row r="14179" spans="3:3" x14ac:dyDescent="0.3">
      <c r="C14179" s="87"/>
    </row>
    <row r="14180" spans="3:3" x14ac:dyDescent="0.3">
      <c r="C14180" s="87"/>
    </row>
    <row r="14181" spans="3:3" x14ac:dyDescent="0.3">
      <c r="C14181" s="87"/>
    </row>
    <row r="14182" spans="3:3" x14ac:dyDescent="0.3">
      <c r="C14182" s="87"/>
    </row>
    <row r="14183" spans="3:3" x14ac:dyDescent="0.3">
      <c r="C14183" s="87"/>
    </row>
    <row r="14184" spans="3:3" x14ac:dyDescent="0.3">
      <c r="C14184" s="87"/>
    </row>
    <row r="14185" spans="3:3" x14ac:dyDescent="0.3">
      <c r="C14185" s="87"/>
    </row>
    <row r="14186" spans="3:3" x14ac:dyDescent="0.3">
      <c r="C14186" s="87"/>
    </row>
    <row r="14187" spans="3:3" x14ac:dyDescent="0.3">
      <c r="C14187" s="87"/>
    </row>
    <row r="14188" spans="3:3" x14ac:dyDescent="0.3">
      <c r="C14188" s="87"/>
    </row>
    <row r="14189" spans="3:3" x14ac:dyDescent="0.3">
      <c r="C14189" s="87"/>
    </row>
    <row r="14190" spans="3:3" x14ac:dyDescent="0.3">
      <c r="C14190" s="87"/>
    </row>
    <row r="14191" spans="3:3" x14ac:dyDescent="0.3">
      <c r="C14191" s="87"/>
    </row>
    <row r="14192" spans="3:3" x14ac:dyDescent="0.3">
      <c r="C14192" s="87"/>
    </row>
    <row r="14193" spans="3:3" x14ac:dyDescent="0.3">
      <c r="C14193" s="87"/>
    </row>
    <row r="14194" spans="3:3" x14ac:dyDescent="0.3">
      <c r="C14194" s="87"/>
    </row>
    <row r="14195" spans="3:3" x14ac:dyDescent="0.3">
      <c r="C14195" s="87"/>
    </row>
    <row r="14196" spans="3:3" x14ac:dyDescent="0.3">
      <c r="C14196" s="87"/>
    </row>
    <row r="14197" spans="3:3" x14ac:dyDescent="0.3">
      <c r="C14197" s="87"/>
    </row>
    <row r="14198" spans="3:3" x14ac:dyDescent="0.3">
      <c r="C14198" s="87"/>
    </row>
    <row r="14199" spans="3:3" x14ac:dyDescent="0.3">
      <c r="C14199" s="87"/>
    </row>
    <row r="14200" spans="3:3" x14ac:dyDescent="0.3">
      <c r="C14200" s="87"/>
    </row>
    <row r="14201" spans="3:3" x14ac:dyDescent="0.3">
      <c r="C14201" s="87"/>
    </row>
    <row r="14202" spans="3:3" x14ac:dyDescent="0.3">
      <c r="C14202" s="87"/>
    </row>
    <row r="14203" spans="3:3" x14ac:dyDescent="0.3">
      <c r="C14203" s="87"/>
    </row>
    <row r="14204" spans="3:3" x14ac:dyDescent="0.3">
      <c r="C14204" s="87"/>
    </row>
    <row r="14205" spans="3:3" x14ac:dyDescent="0.3">
      <c r="C14205" s="87"/>
    </row>
    <row r="14206" spans="3:3" x14ac:dyDescent="0.3">
      <c r="C14206" s="87"/>
    </row>
    <row r="14207" spans="3:3" x14ac:dyDescent="0.3">
      <c r="C14207" s="87"/>
    </row>
    <row r="14208" spans="3:3" x14ac:dyDescent="0.3">
      <c r="C14208" s="87"/>
    </row>
    <row r="14209" spans="3:3" x14ac:dyDescent="0.3">
      <c r="C14209" s="87"/>
    </row>
    <row r="14210" spans="3:3" x14ac:dyDescent="0.3">
      <c r="C14210" s="87"/>
    </row>
    <row r="14211" spans="3:3" x14ac:dyDescent="0.3">
      <c r="C14211" s="87"/>
    </row>
    <row r="14212" spans="3:3" x14ac:dyDescent="0.3">
      <c r="C14212" s="87"/>
    </row>
    <row r="14213" spans="3:3" x14ac:dyDescent="0.3">
      <c r="C14213" s="87"/>
    </row>
    <row r="14214" spans="3:3" x14ac:dyDescent="0.3">
      <c r="C14214" s="87"/>
    </row>
    <row r="14215" spans="3:3" x14ac:dyDescent="0.3">
      <c r="C14215" s="87"/>
    </row>
    <row r="14216" spans="3:3" x14ac:dyDescent="0.3">
      <c r="C14216" s="87"/>
    </row>
    <row r="14217" spans="3:3" x14ac:dyDescent="0.3">
      <c r="C14217" s="87"/>
    </row>
    <row r="14218" spans="3:3" x14ac:dyDescent="0.3">
      <c r="C14218" s="87"/>
    </row>
    <row r="14219" spans="3:3" x14ac:dyDescent="0.3">
      <c r="C14219" s="87"/>
    </row>
    <row r="14220" spans="3:3" x14ac:dyDescent="0.3">
      <c r="C14220" s="87"/>
    </row>
    <row r="14221" spans="3:3" x14ac:dyDescent="0.3">
      <c r="C14221" s="87"/>
    </row>
    <row r="14222" spans="3:3" x14ac:dyDescent="0.3">
      <c r="C14222" s="87"/>
    </row>
    <row r="14223" spans="3:3" x14ac:dyDescent="0.3">
      <c r="C14223" s="87"/>
    </row>
    <row r="14224" spans="3:3" x14ac:dyDescent="0.3">
      <c r="C14224" s="87"/>
    </row>
    <row r="14225" spans="3:3" x14ac:dyDescent="0.3">
      <c r="C14225" s="87"/>
    </row>
    <row r="14226" spans="3:3" x14ac:dyDescent="0.3">
      <c r="C14226" s="87"/>
    </row>
    <row r="14227" spans="3:3" x14ac:dyDescent="0.3">
      <c r="C14227" s="87"/>
    </row>
    <row r="14228" spans="3:3" x14ac:dyDescent="0.3">
      <c r="C14228" s="87"/>
    </row>
    <row r="14229" spans="3:3" x14ac:dyDescent="0.3">
      <c r="C14229" s="87"/>
    </row>
    <row r="14230" spans="3:3" x14ac:dyDescent="0.3">
      <c r="C14230" s="87"/>
    </row>
    <row r="14231" spans="3:3" x14ac:dyDescent="0.3">
      <c r="C14231" s="87"/>
    </row>
    <row r="14232" spans="3:3" x14ac:dyDescent="0.3">
      <c r="C14232" s="87"/>
    </row>
    <row r="14233" spans="3:3" x14ac:dyDescent="0.3">
      <c r="C14233" s="87"/>
    </row>
    <row r="14234" spans="3:3" x14ac:dyDescent="0.3">
      <c r="C14234" s="87"/>
    </row>
    <row r="14235" spans="3:3" x14ac:dyDescent="0.3">
      <c r="C14235" s="87"/>
    </row>
    <row r="14236" spans="3:3" x14ac:dyDescent="0.3">
      <c r="C14236" s="87"/>
    </row>
    <row r="14237" spans="3:3" x14ac:dyDescent="0.3">
      <c r="C14237" s="87"/>
    </row>
    <row r="14238" spans="3:3" x14ac:dyDescent="0.3">
      <c r="C14238" s="87"/>
    </row>
    <row r="14239" spans="3:3" x14ac:dyDescent="0.3">
      <c r="C14239" s="87"/>
    </row>
    <row r="14240" spans="3:3" x14ac:dyDescent="0.3">
      <c r="C14240" s="87"/>
    </row>
    <row r="14241" spans="3:3" x14ac:dyDescent="0.3">
      <c r="C14241" s="87"/>
    </row>
    <row r="14242" spans="3:3" x14ac:dyDescent="0.3">
      <c r="C14242" s="87"/>
    </row>
    <row r="14243" spans="3:3" x14ac:dyDescent="0.3">
      <c r="C14243" s="87"/>
    </row>
    <row r="14244" spans="3:3" x14ac:dyDescent="0.3">
      <c r="C14244" s="87"/>
    </row>
    <row r="14245" spans="3:3" x14ac:dyDescent="0.3">
      <c r="C14245" s="87"/>
    </row>
    <row r="14246" spans="3:3" x14ac:dyDescent="0.3">
      <c r="C14246" s="87"/>
    </row>
    <row r="14247" spans="3:3" x14ac:dyDescent="0.3">
      <c r="C14247" s="87"/>
    </row>
    <row r="14248" spans="3:3" x14ac:dyDescent="0.3">
      <c r="C14248" s="87"/>
    </row>
    <row r="14249" spans="3:3" x14ac:dyDescent="0.3">
      <c r="C14249" s="87"/>
    </row>
    <row r="14250" spans="3:3" x14ac:dyDescent="0.3">
      <c r="C14250" s="87"/>
    </row>
    <row r="14251" spans="3:3" x14ac:dyDescent="0.3">
      <c r="C14251" s="87"/>
    </row>
    <row r="14252" spans="3:3" x14ac:dyDescent="0.3">
      <c r="C14252" s="87"/>
    </row>
    <row r="14253" spans="3:3" x14ac:dyDescent="0.3">
      <c r="C14253" s="87"/>
    </row>
    <row r="14254" spans="3:3" x14ac:dyDescent="0.3">
      <c r="C14254" s="87"/>
    </row>
    <row r="14255" spans="3:3" x14ac:dyDescent="0.3">
      <c r="C14255" s="87"/>
    </row>
    <row r="14256" spans="3:3" x14ac:dyDescent="0.3">
      <c r="C14256" s="87"/>
    </row>
    <row r="14257" spans="3:3" x14ac:dyDescent="0.3">
      <c r="C14257" s="87"/>
    </row>
    <row r="14258" spans="3:3" x14ac:dyDescent="0.3">
      <c r="C14258" s="87"/>
    </row>
    <row r="14259" spans="3:3" x14ac:dyDescent="0.3">
      <c r="C14259" s="87"/>
    </row>
    <row r="14260" spans="3:3" x14ac:dyDescent="0.3">
      <c r="C14260" s="87"/>
    </row>
    <row r="14261" spans="3:3" x14ac:dyDescent="0.3">
      <c r="C14261" s="87"/>
    </row>
    <row r="14262" spans="3:3" x14ac:dyDescent="0.3">
      <c r="C14262" s="87"/>
    </row>
    <row r="14263" spans="3:3" x14ac:dyDescent="0.3">
      <c r="C14263" s="87"/>
    </row>
    <row r="14264" spans="3:3" x14ac:dyDescent="0.3">
      <c r="C14264" s="87"/>
    </row>
    <row r="14265" spans="3:3" x14ac:dyDescent="0.3">
      <c r="C14265" s="87"/>
    </row>
    <row r="14266" spans="3:3" x14ac:dyDescent="0.3">
      <c r="C14266" s="87"/>
    </row>
    <row r="14267" spans="3:3" x14ac:dyDescent="0.3">
      <c r="C14267" s="87"/>
    </row>
    <row r="14268" spans="3:3" x14ac:dyDescent="0.3">
      <c r="C14268" s="87"/>
    </row>
    <row r="14269" spans="3:3" x14ac:dyDescent="0.3">
      <c r="C14269" s="87"/>
    </row>
    <row r="14270" spans="3:3" x14ac:dyDescent="0.3">
      <c r="C14270" s="87"/>
    </row>
    <row r="14271" spans="3:3" x14ac:dyDescent="0.3">
      <c r="C14271" s="87"/>
    </row>
    <row r="14272" spans="3:3" x14ac:dyDescent="0.3">
      <c r="C14272" s="87"/>
    </row>
    <row r="14273" spans="3:3" x14ac:dyDescent="0.3">
      <c r="C14273" s="87"/>
    </row>
    <row r="14274" spans="3:3" x14ac:dyDescent="0.3">
      <c r="C14274" s="87"/>
    </row>
    <row r="14275" spans="3:3" x14ac:dyDescent="0.3">
      <c r="C14275" s="87"/>
    </row>
    <row r="14276" spans="3:3" x14ac:dyDescent="0.3">
      <c r="C14276" s="87"/>
    </row>
    <row r="14277" spans="3:3" x14ac:dyDescent="0.3">
      <c r="C14277" s="87"/>
    </row>
    <row r="14278" spans="3:3" x14ac:dyDescent="0.3">
      <c r="C14278" s="87"/>
    </row>
    <row r="14279" spans="3:3" x14ac:dyDescent="0.3">
      <c r="C14279" s="87"/>
    </row>
    <row r="14280" spans="3:3" x14ac:dyDescent="0.3">
      <c r="C14280" s="87"/>
    </row>
    <row r="14281" spans="3:3" x14ac:dyDescent="0.3">
      <c r="C14281" s="87"/>
    </row>
    <row r="14282" spans="3:3" x14ac:dyDescent="0.3">
      <c r="C14282" s="87"/>
    </row>
    <row r="14283" spans="3:3" x14ac:dyDescent="0.3">
      <c r="C14283" s="87"/>
    </row>
    <row r="14284" spans="3:3" x14ac:dyDescent="0.3">
      <c r="C14284" s="87"/>
    </row>
    <row r="14285" spans="3:3" x14ac:dyDescent="0.3">
      <c r="C14285" s="87"/>
    </row>
    <row r="14286" spans="3:3" x14ac:dyDescent="0.3">
      <c r="C14286" s="87"/>
    </row>
    <row r="14287" spans="3:3" x14ac:dyDescent="0.3">
      <c r="C14287" s="87"/>
    </row>
    <row r="14288" spans="3:3" x14ac:dyDescent="0.3">
      <c r="C14288" s="87"/>
    </row>
    <row r="14289" spans="3:3" x14ac:dyDescent="0.3">
      <c r="C14289" s="87"/>
    </row>
    <row r="14290" spans="3:3" x14ac:dyDescent="0.3">
      <c r="C14290" s="87"/>
    </row>
    <row r="14291" spans="3:3" x14ac:dyDescent="0.3">
      <c r="C14291" s="87"/>
    </row>
    <row r="14292" spans="3:3" x14ac:dyDescent="0.3">
      <c r="C14292" s="87"/>
    </row>
    <row r="14293" spans="3:3" x14ac:dyDescent="0.3">
      <c r="C14293" s="87"/>
    </row>
    <row r="14294" spans="3:3" x14ac:dyDescent="0.3">
      <c r="C14294" s="87"/>
    </row>
    <row r="14295" spans="3:3" x14ac:dyDescent="0.3">
      <c r="C14295" s="87"/>
    </row>
    <row r="14296" spans="3:3" x14ac:dyDescent="0.3">
      <c r="C14296" s="87"/>
    </row>
    <row r="14297" spans="3:3" x14ac:dyDescent="0.3">
      <c r="C14297" s="87"/>
    </row>
    <row r="14298" spans="3:3" x14ac:dyDescent="0.3">
      <c r="C14298" s="87"/>
    </row>
    <row r="14299" spans="3:3" x14ac:dyDescent="0.3">
      <c r="C14299" s="87"/>
    </row>
    <row r="14300" spans="3:3" x14ac:dyDescent="0.3">
      <c r="C14300" s="87"/>
    </row>
    <row r="14301" spans="3:3" x14ac:dyDescent="0.3">
      <c r="C14301" s="87"/>
    </row>
    <row r="14302" spans="3:3" x14ac:dyDescent="0.3">
      <c r="C14302" s="87"/>
    </row>
    <row r="14303" spans="3:3" x14ac:dyDescent="0.3">
      <c r="C14303" s="87"/>
    </row>
    <row r="14304" spans="3:3" x14ac:dyDescent="0.3">
      <c r="C14304" s="87"/>
    </row>
    <row r="14305" spans="3:3" x14ac:dyDescent="0.3">
      <c r="C14305" s="87"/>
    </row>
    <row r="14306" spans="3:3" x14ac:dyDescent="0.3">
      <c r="C14306" s="87"/>
    </row>
    <row r="14307" spans="3:3" x14ac:dyDescent="0.3">
      <c r="C14307" s="87"/>
    </row>
    <row r="14308" spans="3:3" x14ac:dyDescent="0.3">
      <c r="C14308" s="87"/>
    </row>
    <row r="14309" spans="3:3" x14ac:dyDescent="0.3">
      <c r="C14309" s="87"/>
    </row>
    <row r="14310" spans="3:3" x14ac:dyDescent="0.3">
      <c r="C14310" s="87"/>
    </row>
    <row r="14311" spans="3:3" x14ac:dyDescent="0.3">
      <c r="C14311" s="87"/>
    </row>
    <row r="14312" spans="3:3" x14ac:dyDescent="0.3">
      <c r="C14312" s="87"/>
    </row>
    <row r="14313" spans="3:3" x14ac:dyDescent="0.3">
      <c r="C14313" s="87"/>
    </row>
    <row r="14314" spans="3:3" x14ac:dyDescent="0.3">
      <c r="C14314" s="87"/>
    </row>
    <row r="14315" spans="3:3" x14ac:dyDescent="0.3">
      <c r="C14315" s="87"/>
    </row>
    <row r="14316" spans="3:3" x14ac:dyDescent="0.3">
      <c r="C14316" s="87"/>
    </row>
    <row r="14317" spans="3:3" x14ac:dyDescent="0.3">
      <c r="C14317" s="87"/>
    </row>
    <row r="14318" spans="3:3" x14ac:dyDescent="0.3">
      <c r="C14318" s="87"/>
    </row>
    <row r="14319" spans="3:3" x14ac:dyDescent="0.3">
      <c r="C14319" s="87"/>
    </row>
    <row r="14320" spans="3:3" x14ac:dyDescent="0.3">
      <c r="C14320" s="87"/>
    </row>
    <row r="14321" spans="3:3" x14ac:dyDescent="0.3">
      <c r="C14321" s="87"/>
    </row>
    <row r="14322" spans="3:3" x14ac:dyDescent="0.3">
      <c r="C14322" s="87"/>
    </row>
    <row r="14323" spans="3:3" x14ac:dyDescent="0.3">
      <c r="C14323" s="87"/>
    </row>
    <row r="14324" spans="3:3" x14ac:dyDescent="0.3">
      <c r="C14324" s="87"/>
    </row>
    <row r="14325" spans="3:3" x14ac:dyDescent="0.3">
      <c r="C14325" s="87"/>
    </row>
    <row r="14326" spans="3:3" x14ac:dyDescent="0.3">
      <c r="C14326" s="87"/>
    </row>
    <row r="14327" spans="3:3" x14ac:dyDescent="0.3">
      <c r="C14327" s="87"/>
    </row>
    <row r="14328" spans="3:3" x14ac:dyDescent="0.3">
      <c r="C14328" s="87"/>
    </row>
    <row r="14329" spans="3:3" x14ac:dyDescent="0.3">
      <c r="C14329" s="87"/>
    </row>
    <row r="14330" spans="3:3" x14ac:dyDescent="0.3">
      <c r="C14330" s="87"/>
    </row>
    <row r="14331" spans="3:3" x14ac:dyDescent="0.3">
      <c r="C14331" s="87"/>
    </row>
    <row r="14332" spans="3:3" x14ac:dyDescent="0.3">
      <c r="C14332" s="87"/>
    </row>
    <row r="14333" spans="3:3" x14ac:dyDescent="0.3">
      <c r="C14333" s="87"/>
    </row>
    <row r="14334" spans="3:3" x14ac:dyDescent="0.3">
      <c r="C14334" s="87"/>
    </row>
    <row r="14335" spans="3:3" x14ac:dyDescent="0.3">
      <c r="C14335" s="87"/>
    </row>
    <row r="14336" spans="3:3" x14ac:dyDescent="0.3">
      <c r="C14336" s="87"/>
    </row>
    <row r="14337" spans="3:3" x14ac:dyDescent="0.3">
      <c r="C14337" s="87"/>
    </row>
    <row r="14338" spans="3:3" x14ac:dyDescent="0.3">
      <c r="C14338" s="87"/>
    </row>
    <row r="14339" spans="3:3" x14ac:dyDescent="0.3">
      <c r="C14339" s="87"/>
    </row>
    <row r="14340" spans="3:3" x14ac:dyDescent="0.3">
      <c r="C14340" s="87"/>
    </row>
    <row r="14341" spans="3:3" x14ac:dyDescent="0.3">
      <c r="C14341" s="87"/>
    </row>
    <row r="14342" spans="3:3" x14ac:dyDescent="0.3">
      <c r="C14342" s="87"/>
    </row>
    <row r="14343" spans="3:3" x14ac:dyDescent="0.3">
      <c r="C14343" s="87"/>
    </row>
    <row r="14344" spans="3:3" x14ac:dyDescent="0.3">
      <c r="C14344" s="87"/>
    </row>
    <row r="14345" spans="3:3" x14ac:dyDescent="0.3">
      <c r="C14345" s="87"/>
    </row>
    <row r="14346" spans="3:3" x14ac:dyDescent="0.3">
      <c r="C14346" s="87"/>
    </row>
    <row r="14347" spans="3:3" x14ac:dyDescent="0.3">
      <c r="C14347" s="87"/>
    </row>
    <row r="14348" spans="3:3" x14ac:dyDescent="0.3">
      <c r="C14348" s="87"/>
    </row>
    <row r="14349" spans="3:3" x14ac:dyDescent="0.3">
      <c r="C14349" s="87"/>
    </row>
    <row r="14350" spans="3:3" x14ac:dyDescent="0.3">
      <c r="C14350" s="87"/>
    </row>
    <row r="14351" spans="3:3" x14ac:dyDescent="0.3">
      <c r="C14351" s="87"/>
    </row>
    <row r="14352" spans="3:3" x14ac:dyDescent="0.3">
      <c r="C14352" s="87"/>
    </row>
    <row r="14353" spans="3:3" x14ac:dyDescent="0.3">
      <c r="C14353" s="87"/>
    </row>
    <row r="14354" spans="3:3" x14ac:dyDescent="0.3">
      <c r="C14354" s="87"/>
    </row>
    <row r="14355" spans="3:3" x14ac:dyDescent="0.3">
      <c r="C14355" s="87"/>
    </row>
    <row r="14356" spans="3:3" x14ac:dyDescent="0.3">
      <c r="C14356" s="87"/>
    </row>
    <row r="14357" spans="3:3" x14ac:dyDescent="0.3">
      <c r="C14357" s="87"/>
    </row>
    <row r="14358" spans="3:3" x14ac:dyDescent="0.3">
      <c r="C14358" s="87"/>
    </row>
    <row r="14359" spans="3:3" x14ac:dyDescent="0.3">
      <c r="C14359" s="87"/>
    </row>
    <row r="14360" spans="3:3" x14ac:dyDescent="0.3">
      <c r="C14360" s="87"/>
    </row>
    <row r="14361" spans="3:3" x14ac:dyDescent="0.3">
      <c r="C14361" s="87"/>
    </row>
    <row r="14362" spans="3:3" x14ac:dyDescent="0.3">
      <c r="C14362" s="87"/>
    </row>
    <row r="14363" spans="3:3" x14ac:dyDescent="0.3">
      <c r="C14363" s="87"/>
    </row>
    <row r="14364" spans="3:3" x14ac:dyDescent="0.3">
      <c r="C14364" s="87"/>
    </row>
    <row r="14365" spans="3:3" x14ac:dyDescent="0.3">
      <c r="C14365" s="87"/>
    </row>
    <row r="14366" spans="3:3" x14ac:dyDescent="0.3">
      <c r="C14366" s="87"/>
    </row>
    <row r="14367" spans="3:3" x14ac:dyDescent="0.3">
      <c r="C14367" s="87"/>
    </row>
    <row r="14368" spans="3:3" x14ac:dyDescent="0.3">
      <c r="C14368" s="87"/>
    </row>
    <row r="14369" spans="3:3" x14ac:dyDescent="0.3">
      <c r="C14369" s="87"/>
    </row>
    <row r="14370" spans="3:3" x14ac:dyDescent="0.3">
      <c r="C14370" s="87"/>
    </row>
    <row r="14371" spans="3:3" x14ac:dyDescent="0.3">
      <c r="C14371" s="87"/>
    </row>
    <row r="14372" spans="3:3" x14ac:dyDescent="0.3">
      <c r="C14372" s="87"/>
    </row>
    <row r="14373" spans="3:3" x14ac:dyDescent="0.3">
      <c r="C14373" s="87"/>
    </row>
    <row r="14374" spans="3:3" x14ac:dyDescent="0.3">
      <c r="C14374" s="87"/>
    </row>
    <row r="14375" spans="3:3" x14ac:dyDescent="0.3">
      <c r="C14375" s="87"/>
    </row>
    <row r="14376" spans="3:3" x14ac:dyDescent="0.3">
      <c r="C14376" s="87"/>
    </row>
    <row r="14377" spans="3:3" x14ac:dyDescent="0.3">
      <c r="C14377" s="87"/>
    </row>
    <row r="14378" spans="3:3" x14ac:dyDescent="0.3">
      <c r="C14378" s="87"/>
    </row>
    <row r="14379" spans="3:3" x14ac:dyDescent="0.3">
      <c r="C14379" s="87"/>
    </row>
    <row r="14380" spans="3:3" x14ac:dyDescent="0.3">
      <c r="C14380" s="87"/>
    </row>
    <row r="14381" spans="3:3" x14ac:dyDescent="0.3">
      <c r="C14381" s="87"/>
    </row>
    <row r="14382" spans="3:3" x14ac:dyDescent="0.3">
      <c r="C14382" s="87"/>
    </row>
    <row r="14383" spans="3:3" x14ac:dyDescent="0.3">
      <c r="C14383" s="87"/>
    </row>
    <row r="14384" spans="3:3" x14ac:dyDescent="0.3">
      <c r="C14384" s="87"/>
    </row>
    <row r="14385" spans="3:3" x14ac:dyDescent="0.3">
      <c r="C14385" s="87"/>
    </row>
    <row r="14386" spans="3:3" x14ac:dyDescent="0.3">
      <c r="C14386" s="87"/>
    </row>
    <row r="14387" spans="3:3" x14ac:dyDescent="0.3">
      <c r="C14387" s="87"/>
    </row>
    <row r="14388" spans="3:3" x14ac:dyDescent="0.3">
      <c r="C14388" s="87"/>
    </row>
    <row r="14389" spans="3:3" x14ac:dyDescent="0.3">
      <c r="C14389" s="87"/>
    </row>
    <row r="14390" spans="3:3" x14ac:dyDescent="0.3">
      <c r="C14390" s="87"/>
    </row>
    <row r="14391" spans="3:3" x14ac:dyDescent="0.3">
      <c r="C14391" s="87"/>
    </row>
    <row r="14392" spans="3:3" x14ac:dyDescent="0.3">
      <c r="C14392" s="87"/>
    </row>
    <row r="14393" spans="3:3" x14ac:dyDescent="0.3">
      <c r="C14393" s="87"/>
    </row>
    <row r="14394" spans="3:3" x14ac:dyDescent="0.3">
      <c r="C14394" s="87"/>
    </row>
    <row r="14395" spans="3:3" x14ac:dyDescent="0.3">
      <c r="C14395" s="87"/>
    </row>
    <row r="14396" spans="3:3" x14ac:dyDescent="0.3">
      <c r="C14396" s="87"/>
    </row>
    <row r="14397" spans="3:3" x14ac:dyDescent="0.3">
      <c r="C14397" s="87"/>
    </row>
    <row r="14398" spans="3:3" x14ac:dyDescent="0.3">
      <c r="C14398" s="87"/>
    </row>
    <row r="14399" spans="3:3" x14ac:dyDescent="0.3">
      <c r="C14399" s="87"/>
    </row>
    <row r="14400" spans="3:3" x14ac:dyDescent="0.3">
      <c r="C14400" s="87"/>
    </row>
    <row r="14401" spans="3:3" x14ac:dyDescent="0.3">
      <c r="C14401" s="87"/>
    </row>
    <row r="14402" spans="3:3" x14ac:dyDescent="0.3">
      <c r="C14402" s="87"/>
    </row>
    <row r="14403" spans="3:3" x14ac:dyDescent="0.3">
      <c r="C14403" s="87"/>
    </row>
    <row r="14404" spans="3:3" x14ac:dyDescent="0.3">
      <c r="C14404" s="87"/>
    </row>
    <row r="14405" spans="3:3" x14ac:dyDescent="0.3">
      <c r="C14405" s="87"/>
    </row>
    <row r="14406" spans="3:3" x14ac:dyDescent="0.3">
      <c r="C14406" s="87"/>
    </row>
    <row r="14407" spans="3:3" x14ac:dyDescent="0.3">
      <c r="C14407" s="87"/>
    </row>
    <row r="14408" spans="3:3" x14ac:dyDescent="0.3">
      <c r="C14408" s="87"/>
    </row>
    <row r="14409" spans="3:3" x14ac:dyDescent="0.3">
      <c r="C14409" s="87"/>
    </row>
    <row r="14410" spans="3:3" x14ac:dyDescent="0.3">
      <c r="C14410" s="87"/>
    </row>
    <row r="14411" spans="3:3" x14ac:dyDescent="0.3">
      <c r="C14411" s="87"/>
    </row>
    <row r="14412" spans="3:3" x14ac:dyDescent="0.3">
      <c r="C14412" s="87"/>
    </row>
    <row r="14413" spans="3:3" x14ac:dyDescent="0.3">
      <c r="C14413" s="87"/>
    </row>
    <row r="14414" spans="3:3" x14ac:dyDescent="0.3">
      <c r="C14414" s="87"/>
    </row>
    <row r="14415" spans="3:3" x14ac:dyDescent="0.3">
      <c r="C14415" s="87"/>
    </row>
    <row r="14416" spans="3:3" x14ac:dyDescent="0.3">
      <c r="C14416" s="87"/>
    </row>
    <row r="14417" spans="3:3" x14ac:dyDescent="0.3">
      <c r="C14417" s="87"/>
    </row>
    <row r="14418" spans="3:3" x14ac:dyDescent="0.3">
      <c r="C14418" s="87"/>
    </row>
    <row r="14419" spans="3:3" x14ac:dyDescent="0.3">
      <c r="C14419" s="87"/>
    </row>
    <row r="14420" spans="3:3" x14ac:dyDescent="0.3">
      <c r="C14420" s="87"/>
    </row>
    <row r="14421" spans="3:3" x14ac:dyDescent="0.3">
      <c r="C14421" s="87"/>
    </row>
    <row r="14422" spans="3:3" x14ac:dyDescent="0.3">
      <c r="C14422" s="87"/>
    </row>
    <row r="14423" spans="3:3" x14ac:dyDescent="0.3">
      <c r="C14423" s="87"/>
    </row>
    <row r="14424" spans="3:3" x14ac:dyDescent="0.3">
      <c r="C14424" s="87"/>
    </row>
    <row r="14425" spans="3:3" x14ac:dyDescent="0.3">
      <c r="C14425" s="87"/>
    </row>
    <row r="14426" spans="3:3" x14ac:dyDescent="0.3">
      <c r="C14426" s="87"/>
    </row>
    <row r="14427" spans="3:3" x14ac:dyDescent="0.3">
      <c r="C14427" s="87"/>
    </row>
    <row r="14428" spans="3:3" x14ac:dyDescent="0.3">
      <c r="C14428" s="87"/>
    </row>
    <row r="14429" spans="3:3" x14ac:dyDescent="0.3">
      <c r="C14429" s="87"/>
    </row>
    <row r="14430" spans="3:3" x14ac:dyDescent="0.3">
      <c r="C14430" s="87"/>
    </row>
    <row r="14431" spans="3:3" x14ac:dyDescent="0.3">
      <c r="C14431" s="87"/>
    </row>
    <row r="14432" spans="3:3" x14ac:dyDescent="0.3">
      <c r="C14432" s="87"/>
    </row>
    <row r="14433" spans="3:3" x14ac:dyDescent="0.3">
      <c r="C14433" s="87"/>
    </row>
    <row r="14434" spans="3:3" x14ac:dyDescent="0.3">
      <c r="C14434" s="87"/>
    </row>
    <row r="14435" spans="3:3" x14ac:dyDescent="0.3">
      <c r="C14435" s="87"/>
    </row>
    <row r="14436" spans="3:3" x14ac:dyDescent="0.3">
      <c r="C14436" s="87"/>
    </row>
    <row r="14437" spans="3:3" x14ac:dyDescent="0.3">
      <c r="C14437" s="87"/>
    </row>
    <row r="14438" spans="3:3" x14ac:dyDescent="0.3">
      <c r="C14438" s="87"/>
    </row>
    <row r="14439" spans="3:3" x14ac:dyDescent="0.3">
      <c r="C14439" s="87"/>
    </row>
    <row r="14440" spans="3:3" x14ac:dyDescent="0.3">
      <c r="C14440" s="87"/>
    </row>
    <row r="14441" spans="3:3" x14ac:dyDescent="0.3">
      <c r="C14441" s="87"/>
    </row>
    <row r="14442" spans="3:3" x14ac:dyDescent="0.3">
      <c r="C14442" s="87"/>
    </row>
    <row r="14443" spans="3:3" x14ac:dyDescent="0.3">
      <c r="C14443" s="87"/>
    </row>
    <row r="14444" spans="3:3" x14ac:dyDescent="0.3">
      <c r="C14444" s="87"/>
    </row>
    <row r="14445" spans="3:3" x14ac:dyDescent="0.3">
      <c r="C14445" s="87"/>
    </row>
    <row r="14446" spans="3:3" x14ac:dyDescent="0.3">
      <c r="C14446" s="87"/>
    </row>
    <row r="14447" spans="3:3" x14ac:dyDescent="0.3">
      <c r="C14447" s="87"/>
    </row>
    <row r="14448" spans="3:3" x14ac:dyDescent="0.3">
      <c r="C14448" s="87"/>
    </row>
    <row r="14449" spans="3:3" x14ac:dyDescent="0.3">
      <c r="C14449" s="87"/>
    </row>
    <row r="14450" spans="3:3" x14ac:dyDescent="0.3">
      <c r="C14450" s="87"/>
    </row>
    <row r="14451" spans="3:3" x14ac:dyDescent="0.3">
      <c r="C14451" s="87"/>
    </row>
    <row r="14452" spans="3:3" x14ac:dyDescent="0.3">
      <c r="C14452" s="87"/>
    </row>
    <row r="14453" spans="3:3" x14ac:dyDescent="0.3">
      <c r="C14453" s="87"/>
    </row>
    <row r="14454" spans="3:3" x14ac:dyDescent="0.3">
      <c r="C14454" s="87"/>
    </row>
    <row r="14455" spans="3:3" x14ac:dyDescent="0.3">
      <c r="C14455" s="87"/>
    </row>
    <row r="14456" spans="3:3" x14ac:dyDescent="0.3">
      <c r="C14456" s="87"/>
    </row>
    <row r="14457" spans="3:3" x14ac:dyDescent="0.3">
      <c r="C14457" s="87"/>
    </row>
    <row r="14458" spans="3:3" x14ac:dyDescent="0.3">
      <c r="C14458" s="87"/>
    </row>
    <row r="14459" spans="3:3" x14ac:dyDescent="0.3">
      <c r="C14459" s="87"/>
    </row>
    <row r="14460" spans="3:3" x14ac:dyDescent="0.3">
      <c r="C14460" s="87"/>
    </row>
    <row r="14461" spans="3:3" x14ac:dyDescent="0.3">
      <c r="C14461" s="87"/>
    </row>
    <row r="14462" spans="3:3" x14ac:dyDescent="0.3">
      <c r="C14462" s="87"/>
    </row>
    <row r="14463" spans="3:3" x14ac:dyDescent="0.3">
      <c r="C14463" s="87"/>
    </row>
    <row r="14464" spans="3:3" x14ac:dyDescent="0.3">
      <c r="C14464" s="87"/>
    </row>
    <row r="14465" spans="3:3" x14ac:dyDescent="0.3">
      <c r="C14465" s="87"/>
    </row>
    <row r="14466" spans="3:3" x14ac:dyDescent="0.3">
      <c r="C14466" s="87"/>
    </row>
    <row r="14467" spans="3:3" x14ac:dyDescent="0.3">
      <c r="C14467" s="87"/>
    </row>
    <row r="14468" spans="3:3" x14ac:dyDescent="0.3">
      <c r="C14468" s="87"/>
    </row>
    <row r="14469" spans="3:3" x14ac:dyDescent="0.3">
      <c r="C14469" s="87"/>
    </row>
    <row r="14470" spans="3:3" x14ac:dyDescent="0.3">
      <c r="C14470" s="87"/>
    </row>
    <row r="14471" spans="3:3" x14ac:dyDescent="0.3">
      <c r="C14471" s="87"/>
    </row>
    <row r="14472" spans="3:3" x14ac:dyDescent="0.3">
      <c r="C14472" s="87"/>
    </row>
    <row r="14473" spans="3:3" x14ac:dyDescent="0.3">
      <c r="C14473" s="87"/>
    </row>
    <row r="14474" spans="3:3" x14ac:dyDescent="0.3">
      <c r="C14474" s="87"/>
    </row>
    <row r="14475" spans="3:3" x14ac:dyDescent="0.3">
      <c r="C14475" s="87"/>
    </row>
    <row r="14476" spans="3:3" x14ac:dyDescent="0.3">
      <c r="C14476" s="87"/>
    </row>
    <row r="14477" spans="3:3" x14ac:dyDescent="0.3">
      <c r="C14477" s="87"/>
    </row>
    <row r="14478" spans="3:3" x14ac:dyDescent="0.3">
      <c r="C14478" s="87"/>
    </row>
    <row r="14479" spans="3:3" x14ac:dyDescent="0.3">
      <c r="C14479" s="87"/>
    </row>
    <row r="14480" spans="3:3" x14ac:dyDescent="0.3">
      <c r="C14480" s="87"/>
    </row>
    <row r="14481" spans="3:3" x14ac:dyDescent="0.3">
      <c r="C14481" s="87"/>
    </row>
    <row r="14482" spans="3:3" x14ac:dyDescent="0.3">
      <c r="C14482" s="87"/>
    </row>
    <row r="14483" spans="3:3" x14ac:dyDescent="0.3">
      <c r="C14483" s="87"/>
    </row>
    <row r="14484" spans="3:3" x14ac:dyDescent="0.3">
      <c r="C14484" s="87"/>
    </row>
    <row r="14485" spans="3:3" x14ac:dyDescent="0.3">
      <c r="C14485" s="87"/>
    </row>
    <row r="14486" spans="3:3" x14ac:dyDescent="0.3">
      <c r="C14486" s="87"/>
    </row>
    <row r="14487" spans="3:3" x14ac:dyDescent="0.3">
      <c r="C14487" s="87"/>
    </row>
    <row r="14488" spans="3:3" x14ac:dyDescent="0.3">
      <c r="C14488" s="87"/>
    </row>
    <row r="14489" spans="3:3" x14ac:dyDescent="0.3">
      <c r="C14489" s="87"/>
    </row>
    <row r="14490" spans="3:3" x14ac:dyDescent="0.3">
      <c r="C14490" s="87"/>
    </row>
    <row r="14491" spans="3:3" x14ac:dyDescent="0.3">
      <c r="C14491" s="87"/>
    </row>
    <row r="14492" spans="3:3" x14ac:dyDescent="0.3">
      <c r="C14492" s="87"/>
    </row>
    <row r="14493" spans="3:3" x14ac:dyDescent="0.3">
      <c r="C14493" s="87"/>
    </row>
    <row r="14494" spans="3:3" x14ac:dyDescent="0.3">
      <c r="C14494" s="87"/>
    </row>
    <row r="14495" spans="3:3" x14ac:dyDescent="0.3">
      <c r="C14495" s="87"/>
    </row>
    <row r="14496" spans="3:3" x14ac:dyDescent="0.3">
      <c r="C14496" s="87"/>
    </row>
    <row r="14497" spans="3:3" x14ac:dyDescent="0.3">
      <c r="C14497" s="87"/>
    </row>
    <row r="14498" spans="3:3" x14ac:dyDescent="0.3">
      <c r="C14498" s="87"/>
    </row>
    <row r="14499" spans="3:3" x14ac:dyDescent="0.3">
      <c r="C14499" s="87"/>
    </row>
    <row r="14500" spans="3:3" x14ac:dyDescent="0.3">
      <c r="C14500" s="87"/>
    </row>
    <row r="14501" spans="3:3" x14ac:dyDescent="0.3">
      <c r="C14501" s="87"/>
    </row>
    <row r="14502" spans="3:3" x14ac:dyDescent="0.3">
      <c r="C14502" s="87"/>
    </row>
    <row r="14503" spans="3:3" x14ac:dyDescent="0.3">
      <c r="C14503" s="87"/>
    </row>
    <row r="14504" spans="3:3" x14ac:dyDescent="0.3">
      <c r="C14504" s="87"/>
    </row>
    <row r="14505" spans="3:3" x14ac:dyDescent="0.3">
      <c r="C14505" s="87"/>
    </row>
    <row r="14506" spans="3:3" x14ac:dyDescent="0.3">
      <c r="C14506" s="87"/>
    </row>
    <row r="14507" spans="3:3" x14ac:dyDescent="0.3">
      <c r="C14507" s="87"/>
    </row>
    <row r="14508" spans="3:3" x14ac:dyDescent="0.3">
      <c r="C14508" s="87"/>
    </row>
    <row r="14509" spans="3:3" x14ac:dyDescent="0.3">
      <c r="C14509" s="87"/>
    </row>
    <row r="14510" spans="3:3" x14ac:dyDescent="0.3">
      <c r="C14510" s="87"/>
    </row>
    <row r="14511" spans="3:3" x14ac:dyDescent="0.3">
      <c r="C14511" s="87"/>
    </row>
    <row r="14512" spans="3:3" x14ac:dyDescent="0.3">
      <c r="C14512" s="87"/>
    </row>
    <row r="14513" spans="3:3" x14ac:dyDescent="0.3">
      <c r="C14513" s="87"/>
    </row>
    <row r="14514" spans="3:3" x14ac:dyDescent="0.3">
      <c r="C14514" s="87"/>
    </row>
    <row r="14515" spans="3:3" x14ac:dyDescent="0.3">
      <c r="C14515" s="87"/>
    </row>
    <row r="14516" spans="3:3" x14ac:dyDescent="0.3">
      <c r="C14516" s="87"/>
    </row>
    <row r="14517" spans="3:3" x14ac:dyDescent="0.3">
      <c r="C14517" s="87"/>
    </row>
    <row r="14518" spans="3:3" x14ac:dyDescent="0.3">
      <c r="C14518" s="87"/>
    </row>
    <row r="14519" spans="3:3" x14ac:dyDescent="0.3">
      <c r="C14519" s="87"/>
    </row>
    <row r="14520" spans="3:3" x14ac:dyDescent="0.3">
      <c r="C14520" s="87"/>
    </row>
    <row r="14521" spans="3:3" x14ac:dyDescent="0.3">
      <c r="C14521" s="87"/>
    </row>
    <row r="14522" spans="3:3" x14ac:dyDescent="0.3">
      <c r="C14522" s="87"/>
    </row>
    <row r="14523" spans="3:3" x14ac:dyDescent="0.3">
      <c r="C14523" s="87"/>
    </row>
    <row r="14524" spans="3:3" x14ac:dyDescent="0.3">
      <c r="C14524" s="87"/>
    </row>
    <row r="14525" spans="3:3" x14ac:dyDescent="0.3">
      <c r="C14525" s="87"/>
    </row>
    <row r="14526" spans="3:3" x14ac:dyDescent="0.3">
      <c r="C14526" s="87"/>
    </row>
    <row r="14527" spans="3:3" x14ac:dyDescent="0.3">
      <c r="C14527" s="87"/>
    </row>
    <row r="14528" spans="3:3" x14ac:dyDescent="0.3">
      <c r="C14528" s="87"/>
    </row>
    <row r="14529" spans="3:3" x14ac:dyDescent="0.3">
      <c r="C14529" s="87"/>
    </row>
    <row r="14530" spans="3:3" x14ac:dyDescent="0.3">
      <c r="C14530" s="87"/>
    </row>
    <row r="14531" spans="3:3" x14ac:dyDescent="0.3">
      <c r="C14531" s="87"/>
    </row>
    <row r="14532" spans="3:3" x14ac:dyDescent="0.3">
      <c r="C14532" s="87"/>
    </row>
    <row r="14533" spans="3:3" x14ac:dyDescent="0.3">
      <c r="C14533" s="87"/>
    </row>
    <row r="14534" spans="3:3" x14ac:dyDescent="0.3">
      <c r="C14534" s="87"/>
    </row>
    <row r="14535" spans="3:3" x14ac:dyDescent="0.3">
      <c r="C14535" s="87"/>
    </row>
    <row r="14536" spans="3:3" x14ac:dyDescent="0.3">
      <c r="C14536" s="87"/>
    </row>
    <row r="14537" spans="3:3" x14ac:dyDescent="0.3">
      <c r="C14537" s="87"/>
    </row>
    <row r="14538" spans="3:3" x14ac:dyDescent="0.3">
      <c r="C14538" s="87"/>
    </row>
    <row r="14539" spans="3:3" x14ac:dyDescent="0.3">
      <c r="C14539" s="87"/>
    </row>
    <row r="14540" spans="3:3" x14ac:dyDescent="0.3">
      <c r="C14540" s="87"/>
    </row>
    <row r="14541" spans="3:3" x14ac:dyDescent="0.3">
      <c r="C14541" s="87"/>
    </row>
    <row r="14542" spans="3:3" x14ac:dyDescent="0.3">
      <c r="C14542" s="87"/>
    </row>
    <row r="14543" spans="3:3" x14ac:dyDescent="0.3">
      <c r="C14543" s="87"/>
    </row>
    <row r="14544" spans="3:3" x14ac:dyDescent="0.3">
      <c r="C14544" s="87"/>
    </row>
    <row r="14545" spans="3:7" x14ac:dyDescent="0.3">
      <c r="C14545" s="87"/>
    </row>
    <row r="14546" spans="3:7" x14ac:dyDescent="0.3">
      <c r="C14546" s="87"/>
    </row>
    <row r="14547" spans="3:7" x14ac:dyDescent="0.3">
      <c r="C14547" s="87"/>
    </row>
    <row r="14548" spans="3:7" x14ac:dyDescent="0.3">
      <c r="C14548" s="87"/>
    </row>
    <row r="14549" spans="3:7" x14ac:dyDescent="0.3">
      <c r="C14549" s="87"/>
    </row>
    <row r="14550" spans="3:7" x14ac:dyDescent="0.3">
      <c r="C14550" s="87"/>
    </row>
    <row r="14551" spans="3:7" x14ac:dyDescent="0.3">
      <c r="C14551" s="87"/>
    </row>
    <row r="14552" spans="3:7" x14ac:dyDescent="0.3">
      <c r="C14552" s="87"/>
    </row>
    <row r="14553" spans="3:7" x14ac:dyDescent="0.3">
      <c r="C14553" s="87"/>
    </row>
    <row r="14554" spans="3:7" x14ac:dyDescent="0.3">
      <c r="C14554" s="87"/>
    </row>
    <row r="14555" spans="3:7" x14ac:dyDescent="0.3">
      <c r="C14555" s="87"/>
      <c r="G14555" s="115"/>
    </row>
    <row r="14556" spans="3:7" x14ac:dyDescent="0.3">
      <c r="C14556" s="87"/>
      <c r="G14556" s="115"/>
    </row>
    <row r="14557" spans="3:7" x14ac:dyDescent="0.3">
      <c r="C14557" s="87"/>
      <c r="G14557" s="115"/>
    </row>
    <row r="14558" spans="3:7" x14ac:dyDescent="0.3">
      <c r="C14558" s="87"/>
    </row>
    <row r="14559" spans="3:7" x14ac:dyDescent="0.3">
      <c r="C14559" s="87"/>
    </row>
    <row r="14560" spans="3:7" x14ac:dyDescent="0.3">
      <c r="C14560" s="87"/>
    </row>
    <row r="14561" spans="3:7" x14ac:dyDescent="0.3">
      <c r="C14561" s="87"/>
    </row>
    <row r="14562" spans="3:7" x14ac:dyDescent="0.3">
      <c r="C14562" s="87"/>
    </row>
    <row r="14563" spans="3:7" x14ac:dyDescent="0.3">
      <c r="C14563" s="87"/>
    </row>
    <row r="14564" spans="3:7" x14ac:dyDescent="0.3">
      <c r="C14564" s="87"/>
    </row>
    <row r="14565" spans="3:7" x14ac:dyDescent="0.3">
      <c r="C14565" s="87"/>
    </row>
    <row r="14566" spans="3:7" x14ac:dyDescent="0.3">
      <c r="C14566" s="87"/>
    </row>
    <row r="14567" spans="3:7" x14ac:dyDescent="0.3">
      <c r="C14567" s="87"/>
    </row>
    <row r="14568" spans="3:7" x14ac:dyDescent="0.3">
      <c r="C14568" s="87"/>
      <c r="G14568" s="115"/>
    </row>
    <row r="14569" spans="3:7" x14ac:dyDescent="0.3">
      <c r="C14569" s="87"/>
      <c r="G14569" s="115"/>
    </row>
    <row r="14570" spans="3:7" x14ac:dyDescent="0.3">
      <c r="C14570" s="87"/>
    </row>
    <row r="14571" spans="3:7" x14ac:dyDescent="0.3">
      <c r="C14571" s="87"/>
    </row>
    <row r="14572" spans="3:7" x14ac:dyDescent="0.3">
      <c r="C14572" s="87"/>
    </row>
    <row r="14573" spans="3:7" x14ac:dyDescent="0.3">
      <c r="C14573" s="87"/>
    </row>
    <row r="14574" spans="3:7" x14ac:dyDescent="0.3">
      <c r="C14574" s="87"/>
    </row>
    <row r="14575" spans="3:7" x14ac:dyDescent="0.3">
      <c r="C14575" s="87"/>
    </row>
    <row r="14576" spans="3:7" x14ac:dyDescent="0.3">
      <c r="C14576" s="87"/>
      <c r="G14576" s="115"/>
    </row>
    <row r="14577" spans="3:7" x14ac:dyDescent="0.3">
      <c r="C14577" s="87"/>
      <c r="G14577" s="115"/>
    </row>
    <row r="14578" spans="3:7" x14ac:dyDescent="0.3">
      <c r="C14578" s="87"/>
    </row>
    <row r="14579" spans="3:7" x14ac:dyDescent="0.3">
      <c r="C14579" s="87"/>
    </row>
    <row r="14580" spans="3:7" x14ac:dyDescent="0.3">
      <c r="C14580" s="87"/>
    </row>
    <row r="14581" spans="3:7" x14ac:dyDescent="0.3">
      <c r="C14581" s="87"/>
    </row>
    <row r="14582" spans="3:7" x14ac:dyDescent="0.3">
      <c r="C14582" s="87"/>
    </row>
    <row r="14583" spans="3:7" x14ac:dyDescent="0.3">
      <c r="C14583" s="87"/>
    </row>
    <row r="14584" spans="3:7" x14ac:dyDescent="0.3">
      <c r="C14584" s="87"/>
    </row>
    <row r="14585" spans="3:7" x14ac:dyDescent="0.3">
      <c r="C14585" s="87"/>
      <c r="G14585" s="115"/>
    </row>
    <row r="14586" spans="3:7" x14ac:dyDescent="0.3">
      <c r="C14586" s="87"/>
    </row>
    <row r="14587" spans="3:7" x14ac:dyDescent="0.3">
      <c r="C14587" s="87"/>
    </row>
    <row r="14588" spans="3:7" x14ac:dyDescent="0.3">
      <c r="C14588" s="87"/>
    </row>
    <row r="14589" spans="3:7" x14ac:dyDescent="0.3">
      <c r="C14589" s="87"/>
    </row>
    <row r="14590" spans="3:7" x14ac:dyDescent="0.3">
      <c r="C14590" s="87"/>
      <c r="G14590" s="115"/>
    </row>
    <row r="14591" spans="3:7" x14ac:dyDescent="0.3">
      <c r="C14591" s="87"/>
    </row>
    <row r="14592" spans="3:7" x14ac:dyDescent="0.3">
      <c r="C14592" s="87"/>
    </row>
    <row r="14593" spans="3:7" x14ac:dyDescent="0.3">
      <c r="C14593" s="87"/>
    </row>
    <row r="14594" spans="3:7" x14ac:dyDescent="0.3">
      <c r="C14594" s="87"/>
    </row>
    <row r="14595" spans="3:7" x14ac:dyDescent="0.3">
      <c r="C14595" s="87"/>
    </row>
    <row r="14596" spans="3:7" x14ac:dyDescent="0.3">
      <c r="C14596" s="87"/>
      <c r="G14596" s="115"/>
    </row>
    <row r="14597" spans="3:7" x14ac:dyDescent="0.3">
      <c r="C14597" s="87"/>
      <c r="G14597" s="115"/>
    </row>
    <row r="14598" spans="3:7" x14ac:dyDescent="0.3">
      <c r="C14598" s="87"/>
      <c r="G14598" s="115"/>
    </row>
    <row r="14599" spans="3:7" x14ac:dyDescent="0.3">
      <c r="C14599" s="87"/>
    </row>
    <row r="14600" spans="3:7" x14ac:dyDescent="0.3">
      <c r="C14600" s="87"/>
    </row>
    <row r="14601" spans="3:7" x14ac:dyDescent="0.3">
      <c r="C14601" s="87"/>
    </row>
    <row r="14602" spans="3:7" x14ac:dyDescent="0.3">
      <c r="C14602" s="87"/>
    </row>
    <row r="14603" spans="3:7" x14ac:dyDescent="0.3">
      <c r="C14603" s="87"/>
    </row>
    <row r="14604" spans="3:7" x14ac:dyDescent="0.3">
      <c r="C14604" s="87"/>
    </row>
    <row r="14605" spans="3:7" x14ac:dyDescent="0.3">
      <c r="C14605" s="87"/>
    </row>
    <row r="14606" spans="3:7" x14ac:dyDescent="0.3">
      <c r="C14606" s="87"/>
    </row>
    <row r="14607" spans="3:7" x14ac:dyDescent="0.3">
      <c r="C14607" s="87"/>
    </row>
    <row r="14608" spans="3:7" x14ac:dyDescent="0.3">
      <c r="C14608" s="87"/>
      <c r="G14608" s="115"/>
    </row>
    <row r="14609" spans="3:7" x14ac:dyDescent="0.3">
      <c r="C14609" s="87"/>
      <c r="G14609" s="115"/>
    </row>
    <row r="14610" spans="3:7" x14ac:dyDescent="0.3">
      <c r="C14610" s="87"/>
      <c r="G14610" s="115"/>
    </row>
    <row r="14611" spans="3:7" x14ac:dyDescent="0.3">
      <c r="C14611" s="87"/>
    </row>
    <row r="14612" spans="3:7" x14ac:dyDescent="0.3">
      <c r="C14612" s="87"/>
    </row>
    <row r="14613" spans="3:7" x14ac:dyDescent="0.3">
      <c r="C14613" s="87"/>
    </row>
    <row r="14614" spans="3:7" x14ac:dyDescent="0.3">
      <c r="C14614" s="87"/>
    </row>
    <row r="14615" spans="3:7" x14ac:dyDescent="0.3">
      <c r="C14615" s="87"/>
    </row>
    <row r="14616" spans="3:7" x14ac:dyDescent="0.3">
      <c r="C14616" s="87"/>
    </row>
    <row r="14617" spans="3:7" x14ac:dyDescent="0.3">
      <c r="C14617" s="87"/>
    </row>
    <row r="14618" spans="3:7" x14ac:dyDescent="0.3">
      <c r="C14618" s="87"/>
    </row>
    <row r="14619" spans="3:7" x14ac:dyDescent="0.3">
      <c r="C14619" s="87"/>
      <c r="G14619" s="115"/>
    </row>
    <row r="14620" spans="3:7" x14ac:dyDescent="0.3">
      <c r="C14620" s="87"/>
    </row>
    <row r="14621" spans="3:7" x14ac:dyDescent="0.3">
      <c r="C14621" s="87"/>
    </row>
    <row r="14622" spans="3:7" x14ac:dyDescent="0.3">
      <c r="C14622" s="87"/>
    </row>
    <row r="14623" spans="3:7" x14ac:dyDescent="0.3">
      <c r="C14623" s="87"/>
    </row>
    <row r="14624" spans="3:7" x14ac:dyDescent="0.3">
      <c r="C14624" s="87"/>
    </row>
    <row r="14625" spans="3:7" x14ac:dyDescent="0.3">
      <c r="C14625" s="87"/>
    </row>
    <row r="14626" spans="3:7" x14ac:dyDescent="0.3">
      <c r="C14626" s="87"/>
    </row>
    <row r="14627" spans="3:7" x14ac:dyDescent="0.3">
      <c r="C14627" s="87"/>
    </row>
    <row r="14628" spans="3:7" x14ac:dyDescent="0.3">
      <c r="C14628" s="87"/>
    </row>
    <row r="14629" spans="3:7" x14ac:dyDescent="0.3">
      <c r="C14629" s="87"/>
    </row>
    <row r="14630" spans="3:7" x14ac:dyDescent="0.3">
      <c r="C14630" s="87"/>
    </row>
    <row r="14631" spans="3:7" x14ac:dyDescent="0.3">
      <c r="C14631" s="87"/>
    </row>
    <row r="14632" spans="3:7" x14ac:dyDescent="0.3">
      <c r="C14632" s="87"/>
    </row>
    <row r="14633" spans="3:7" x14ac:dyDescent="0.3">
      <c r="C14633" s="87"/>
    </row>
    <row r="14634" spans="3:7" x14ac:dyDescent="0.3">
      <c r="C14634" s="87"/>
    </row>
    <row r="14635" spans="3:7" x14ac:dyDescent="0.3">
      <c r="C14635" s="87"/>
    </row>
    <row r="14636" spans="3:7" x14ac:dyDescent="0.3">
      <c r="C14636" s="87"/>
    </row>
    <row r="14637" spans="3:7" x14ac:dyDescent="0.3">
      <c r="C14637" s="87"/>
      <c r="G14637" s="115"/>
    </row>
    <row r="14638" spans="3:7" x14ac:dyDescent="0.3">
      <c r="C14638" s="87"/>
    </row>
    <row r="14639" spans="3:7" x14ac:dyDescent="0.3">
      <c r="C14639" s="87"/>
    </row>
    <row r="14640" spans="3:7" x14ac:dyDescent="0.3">
      <c r="C14640" s="87"/>
    </row>
    <row r="14641" spans="3:3" x14ac:dyDescent="0.3">
      <c r="C14641" s="87"/>
    </row>
  </sheetData>
  <autoFilter ref="A1:T14641" xr:uid="{00000000-0001-0000-0100-000000000000}"/>
  <sortState xmlns:xlrd2="http://schemas.microsoft.com/office/spreadsheetml/2017/richdata2" ref="A2:T1696">
    <sortCondition descending="1" ref="G7:G1696"/>
  </sortState>
  <phoneticPr fontId="22" type="noConversion"/>
  <conditionalFormatting sqref="D2:I2 E2:E98 A2:B2197 C2:C14641 D3:H2033 I3:I10844 D2034:G2197 H2034:H10844">
    <cfRule type="cellIs" dxfId="1" priority="5" operator="equal">
      <formula>"OK"</formula>
    </cfRule>
    <cfRule type="cellIs" dxfId="0" priority="6" operator="equal">
      <formula>"FORA"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B1:P42"/>
  <sheetViews>
    <sheetView showGridLines="0" zoomScale="80" zoomScaleNormal="80" workbookViewId="0">
      <selection activeCell="E10" sqref="E10:E11"/>
    </sheetView>
  </sheetViews>
  <sheetFormatPr defaultRowHeight="14.4" x14ac:dyDescent="0.3"/>
  <cols>
    <col min="2" max="2" width="30.33203125" bestFit="1" customWidth="1"/>
    <col min="3" max="4" width="11" bestFit="1" customWidth="1"/>
    <col min="5" max="5" width="20.6640625" bestFit="1" customWidth="1"/>
    <col min="6" max="6" width="13.6640625" customWidth="1"/>
    <col min="7" max="7" width="20.5546875" bestFit="1" customWidth="1"/>
    <col min="8" max="8" width="15.33203125" bestFit="1" customWidth="1"/>
    <col min="9" max="9" width="15.5546875" bestFit="1" customWidth="1"/>
    <col min="10" max="10" width="20" bestFit="1" customWidth="1"/>
    <col min="11" max="11" width="15.5546875" customWidth="1"/>
    <col min="12" max="12" width="20.5546875" bestFit="1" customWidth="1"/>
    <col min="13" max="13" width="22.33203125" bestFit="1" customWidth="1"/>
    <col min="14" max="14" width="14.33203125" bestFit="1" customWidth="1"/>
    <col min="15" max="15" width="20" bestFit="1" customWidth="1"/>
    <col min="17" max="17" width="21" bestFit="1" customWidth="1"/>
    <col min="19" max="19" width="10.6640625" bestFit="1" customWidth="1"/>
    <col min="20" max="20" width="10.5546875" bestFit="1" customWidth="1"/>
  </cols>
  <sheetData>
    <row r="1" spans="2:16" s="74" customFormat="1" ht="18" x14ac:dyDescent="0.35">
      <c r="B1" s="136" t="s">
        <v>24</v>
      </c>
      <c r="C1" s="136"/>
      <c r="D1" s="136"/>
      <c r="E1" s="136"/>
      <c r="G1" s="136" t="s">
        <v>25</v>
      </c>
      <c r="H1" s="136"/>
      <c r="I1" s="136"/>
      <c r="J1" s="136"/>
      <c r="L1" s="136" t="s">
        <v>19</v>
      </c>
      <c r="M1" s="136"/>
      <c r="N1" s="136"/>
      <c r="O1" s="136"/>
    </row>
    <row r="2" spans="2:16" x14ac:dyDescent="0.3">
      <c r="B2" s="2"/>
      <c r="C2" s="2"/>
      <c r="D2" s="2"/>
      <c r="G2" s="2"/>
      <c r="H2" s="2"/>
      <c r="I2" s="2"/>
      <c r="L2" s="2"/>
      <c r="M2" s="2"/>
      <c r="N2" s="2"/>
    </row>
    <row r="3" spans="2:16" ht="15" thickBot="1" x14ac:dyDescent="0.35">
      <c r="B3" s="2" t="s">
        <v>1</v>
      </c>
      <c r="D3" s="2"/>
      <c r="G3" s="2" t="s">
        <v>1</v>
      </c>
      <c r="I3" s="2"/>
      <c r="J3" s="80"/>
      <c r="L3" s="2" t="s">
        <v>1</v>
      </c>
      <c r="N3" s="2"/>
    </row>
    <row r="4" spans="2:16" x14ac:dyDescent="0.3">
      <c r="B4" s="3" t="s">
        <v>2</v>
      </c>
      <c r="C4" s="12">
        <f>SUM(COMITENTES!$G:$G)</f>
        <v>0</v>
      </c>
      <c r="D4" s="4"/>
      <c r="G4" s="3" t="s">
        <v>2</v>
      </c>
      <c r="H4" s="12">
        <f>SUM(COMITENTES!$G:$G)</f>
        <v>0</v>
      </c>
      <c r="I4" s="4"/>
      <c r="L4" s="3" t="s">
        <v>2</v>
      </c>
      <c r="M4" s="60">
        <f>SUM(COMITENTES!S:S)</f>
        <v>0</v>
      </c>
      <c r="N4" s="4"/>
    </row>
    <row r="5" spans="2:16" x14ac:dyDescent="0.3">
      <c r="B5" s="7" t="s">
        <v>3</v>
      </c>
      <c r="C5" s="13">
        <f>SUMIF(COMITENTES!$I:$I,"FORA",COMITENTES!$G:$G)</f>
        <v>0</v>
      </c>
      <c r="D5" s="8" t="e">
        <f>C5/C4</f>
        <v>#DIV/0!</v>
      </c>
      <c r="G5" s="7" t="s">
        <v>3</v>
      </c>
      <c r="H5" s="13">
        <f>SUMIF(PARTICIPANTES!$H:$H,"FORA",PARTICIPANTES!$F:$F)+SUMIF(COMITENTES!$I:$I,"FORA",COMITENTES!$G:$G)</f>
        <v>0</v>
      </c>
      <c r="I5" s="8" t="e">
        <f>H5/H4</f>
        <v>#DIV/0!</v>
      </c>
      <c r="L5" s="7" t="s">
        <v>3</v>
      </c>
      <c r="M5" s="61">
        <f>SUMIF(COMITENTES!$I:$I,"FORA",COMITENTES!$S:$S)</f>
        <v>0</v>
      </c>
      <c r="N5" s="8" t="e">
        <f>M5/M4</f>
        <v>#DIV/0!</v>
      </c>
    </row>
    <row r="6" spans="2:16" x14ac:dyDescent="0.3">
      <c r="B6" s="7" t="s">
        <v>34</v>
      </c>
      <c r="C6" s="13">
        <f>C4-C5</f>
        <v>0</v>
      </c>
      <c r="D6" s="8"/>
      <c r="E6" s="79"/>
      <c r="F6" s="11"/>
      <c r="G6" s="7" t="s">
        <v>34</v>
      </c>
      <c r="H6" s="13">
        <f>H4-H5</f>
        <v>0</v>
      </c>
      <c r="I6" s="8"/>
      <c r="J6" s="79"/>
      <c r="L6" s="7" t="s">
        <v>34</v>
      </c>
      <c r="M6" s="13">
        <f>M4-M5</f>
        <v>0</v>
      </c>
      <c r="N6" s="8"/>
    </row>
    <row r="7" spans="2:16" ht="15" thickBot="1" x14ac:dyDescent="0.35">
      <c r="B7" s="5" t="s">
        <v>4</v>
      </c>
      <c r="C7" s="14">
        <f>SUMIF(COMITENTES!$I:$I,"OK",COMITENTES!$G:$G)</f>
        <v>0</v>
      </c>
      <c r="D7" s="6" t="e">
        <f>C7/C6</f>
        <v>#DIV/0!</v>
      </c>
      <c r="E7" s="11"/>
      <c r="G7" s="5" t="s">
        <v>4</v>
      </c>
      <c r="H7" s="14">
        <f>SUMIF(COMITENTES!$I:$I,"OK",COMITENTES!$G:$G)</f>
        <v>0</v>
      </c>
      <c r="I7" s="6"/>
      <c r="J7" s="11"/>
      <c r="L7" s="5" t="s">
        <v>4</v>
      </c>
      <c r="M7" s="62">
        <f>SUMIF(COMITENTES!$I:$I,"OK",COMITENTES!$S:$S)</f>
        <v>0</v>
      </c>
      <c r="N7" s="6" t="e">
        <f>M7/M4</f>
        <v>#DIV/0!</v>
      </c>
      <c r="O7" s="11"/>
    </row>
    <row r="8" spans="2:16" ht="15" thickBot="1" x14ac:dyDescent="0.35">
      <c r="B8" s="2"/>
      <c r="C8" s="2"/>
      <c r="D8" s="2"/>
      <c r="G8" s="2"/>
      <c r="H8" s="2"/>
      <c r="I8" s="2"/>
      <c r="L8" s="2"/>
      <c r="M8" s="2"/>
      <c r="N8" s="2"/>
    </row>
    <row r="9" spans="2:16" ht="15" thickBot="1" x14ac:dyDescent="0.35">
      <c r="B9" s="37" t="s">
        <v>37</v>
      </c>
      <c r="C9" s="18"/>
      <c r="D9" s="18">
        <f>$C$6-C13-C14</f>
        <v>0</v>
      </c>
      <c r="E9" s="37" t="s">
        <v>17</v>
      </c>
      <c r="G9" s="37" t="s">
        <v>37</v>
      </c>
      <c r="H9" s="18"/>
      <c r="I9" s="18">
        <f>H7-H13-H14</f>
        <v>0</v>
      </c>
      <c r="J9" s="37" t="s">
        <v>17</v>
      </c>
      <c r="L9" s="37" t="s">
        <v>37</v>
      </c>
      <c r="M9" s="63">
        <f>SUM(M10:M14)</f>
        <v>0</v>
      </c>
      <c r="N9" s="18">
        <f>$M$6-M13-M14</f>
        <v>0</v>
      </c>
      <c r="O9" s="37" t="s">
        <v>17</v>
      </c>
    </row>
    <row r="10" spans="2:16" x14ac:dyDescent="0.3">
      <c r="B10" s="19" t="s">
        <v>6</v>
      </c>
      <c r="C10" s="17">
        <f>SUMIF(COMITENTES!$L:$L,QUÓRUM!B10,COMITENTES!$G:$G)</f>
        <v>0</v>
      </c>
      <c r="D10" s="20" t="e">
        <f>C10/$C$6</f>
        <v>#DIV/0!</v>
      </c>
      <c r="E10" s="38" t="e">
        <f>C10/$D$9</f>
        <v>#DIV/0!</v>
      </c>
      <c r="G10" s="19" t="s">
        <v>6</v>
      </c>
      <c r="H10" s="17">
        <f>SUMIF(COMITENTES!$L:$L,QUÓRUM!G10,COMITENTES!$G:$G)</f>
        <v>0</v>
      </c>
      <c r="I10" s="20" t="e">
        <f>H10/$H$7</f>
        <v>#DIV/0!</v>
      </c>
      <c r="J10" s="38" t="e">
        <f>H10/$I$9</f>
        <v>#DIV/0!</v>
      </c>
      <c r="L10" s="19" t="s">
        <v>6</v>
      </c>
      <c r="M10" s="64">
        <f>SUMIF(COMITENTES!$L:$L,QUÓRUM!L10,COMITENTES!$S:$S)</f>
        <v>0</v>
      </c>
      <c r="N10" s="20" t="e">
        <f>M10/$M$6</f>
        <v>#DIV/0!</v>
      </c>
      <c r="O10" s="38" t="e">
        <f>M10/$N$9</f>
        <v>#DIV/0!</v>
      </c>
    </row>
    <row r="11" spans="2:16" x14ac:dyDescent="0.3">
      <c r="B11" s="7" t="s">
        <v>7</v>
      </c>
      <c r="C11" s="16">
        <f>SUMIF(COMITENTES!$L:$L,QUÓRUM!B11,COMITENTES!$G:$G)</f>
        <v>0</v>
      </c>
      <c r="D11" s="21" t="e">
        <f>C11/$C$6</f>
        <v>#DIV/0!</v>
      </c>
      <c r="E11" s="39" t="e">
        <f>C11/$D$9</f>
        <v>#DIV/0!</v>
      </c>
      <c r="G11" s="7" t="s">
        <v>7</v>
      </c>
      <c r="H11" s="16">
        <f>SUMIF(COMITENTES!$L:$L,QUÓRUM!G11,COMITENTES!$G:$G)</f>
        <v>0</v>
      </c>
      <c r="I11" s="21" t="e">
        <f>H11/$H$7</f>
        <v>#DIV/0!</v>
      </c>
      <c r="J11" s="39" t="e">
        <f>H11/$I$9</f>
        <v>#DIV/0!</v>
      </c>
      <c r="L11" s="7" t="s">
        <v>7</v>
      </c>
      <c r="M11" s="65">
        <f>SUMIF(COMITENTES!$L:$L,QUÓRUM!L11,COMITENTES!$S:$S)</f>
        <v>0</v>
      </c>
      <c r="N11" s="21" t="e">
        <f t="shared" ref="N11:N14" si="0">M11/$M$6</f>
        <v>#DIV/0!</v>
      </c>
      <c r="O11" s="39" t="e">
        <f>M11/$N$9</f>
        <v>#DIV/0!</v>
      </c>
    </row>
    <row r="12" spans="2:16" x14ac:dyDescent="0.3">
      <c r="B12" s="7" t="s">
        <v>8</v>
      </c>
      <c r="C12" s="16">
        <f>SUMIF(COMITENTES!$L:$L,QUÓRUM!B12,COMITENTES!$G:$G)</f>
        <v>0</v>
      </c>
      <c r="D12" s="21" t="e">
        <f>C12/$C$6</f>
        <v>#DIV/0!</v>
      </c>
      <c r="E12" s="39" t="e">
        <f t="shared" ref="E12" si="1">C12/$D$9</f>
        <v>#DIV/0!</v>
      </c>
      <c r="G12" s="7" t="s">
        <v>8</v>
      </c>
      <c r="H12" s="16">
        <f>SUMIF(COMITENTES!$L:$L,QUÓRUM!G12,COMITENTES!$G:$G)</f>
        <v>0</v>
      </c>
      <c r="I12" s="21" t="e">
        <f>H12/$H$7</f>
        <v>#DIV/0!</v>
      </c>
      <c r="J12" s="39" t="e">
        <f t="shared" ref="J12" si="2">H12/$I$9</f>
        <v>#DIV/0!</v>
      </c>
      <c r="L12" s="7" t="s">
        <v>8</v>
      </c>
      <c r="M12" s="65">
        <f>SUMIF(COMITENTES!$L:$L,QUÓRUM!L12,COMITENTES!$S:$S)</f>
        <v>0</v>
      </c>
      <c r="N12" s="21" t="e">
        <f>M12/$M$6</f>
        <v>#DIV/0!</v>
      </c>
      <c r="O12" s="39" t="e">
        <f t="shared" ref="O12:O13" si="3">M12/$N$9</f>
        <v>#DIV/0!</v>
      </c>
    </row>
    <row r="13" spans="2:16" x14ac:dyDescent="0.3">
      <c r="B13" s="7" t="s">
        <v>9</v>
      </c>
      <c r="C13" s="16">
        <f>SUMIF(COMITENTES!$L:$L,QUÓRUM!B13,COMITENTES!$G:$G)</f>
        <v>0</v>
      </c>
      <c r="D13" s="21" t="e">
        <f>C13/$C$6</f>
        <v>#DIV/0!</v>
      </c>
      <c r="E13" s="39"/>
      <c r="G13" s="7" t="s">
        <v>9</v>
      </c>
      <c r="H13" s="16">
        <f>SUMIF(COMITENTES!$L:$L,QUÓRUM!G13,COMITENTES!$G:$G)</f>
        <v>0</v>
      </c>
      <c r="I13" s="21" t="e">
        <f t="shared" ref="I13:I14" si="4">H13/$H$7</f>
        <v>#DIV/0!</v>
      </c>
      <c r="J13" s="39"/>
      <c r="L13" s="7" t="s">
        <v>9</v>
      </c>
      <c r="M13" s="65">
        <f>SUMIF(COMITENTES!$L:$L,QUÓRUM!L13,COMITENTES!$S:$S)</f>
        <v>0</v>
      </c>
      <c r="N13" s="21" t="e">
        <f t="shared" si="0"/>
        <v>#DIV/0!</v>
      </c>
      <c r="O13" s="39" t="e">
        <f t="shared" si="3"/>
        <v>#DIV/0!</v>
      </c>
    </row>
    <row r="14" spans="2:16" ht="15" thickBot="1" x14ac:dyDescent="0.35">
      <c r="B14" s="23" t="s">
        <v>10</v>
      </c>
      <c r="C14" s="15">
        <f>SUMIF(COMITENTES!$L:$L,QUÓRUM!B14,COMITENTES!$G:$G)</f>
        <v>0</v>
      </c>
      <c r="D14" s="24" t="e">
        <f t="shared" ref="D14" si="5">C14/$C$6</f>
        <v>#DIV/0!</v>
      </c>
      <c r="E14" s="78"/>
      <c r="G14" s="23" t="s">
        <v>10</v>
      </c>
      <c r="H14" s="15">
        <f>SUMIF(COMITENTES!$L:$L,QUÓRUM!G14,COMITENTES!$G:$G)</f>
        <v>0</v>
      </c>
      <c r="I14" s="24" t="e">
        <f t="shared" si="4"/>
        <v>#DIV/0!</v>
      </c>
      <c r="J14" s="40"/>
      <c r="L14" s="23" t="s">
        <v>10</v>
      </c>
      <c r="M14" s="66">
        <f>SUMIF(COMITENTES!$L:$L,QUÓRUM!L14,COMITENTES!$S:$S)</f>
        <v>0</v>
      </c>
      <c r="N14" s="24" t="e">
        <f t="shared" si="0"/>
        <v>#DIV/0!</v>
      </c>
      <c r="O14" s="40" t="e">
        <f>M14/$N$9</f>
        <v>#DIV/0!</v>
      </c>
    </row>
    <row r="15" spans="2:16" ht="15" thickBot="1" x14ac:dyDescent="0.35">
      <c r="P15" s="22"/>
    </row>
    <row r="16" spans="2:16" ht="15" thickBot="1" x14ac:dyDescent="0.35">
      <c r="B16" s="37" t="s">
        <v>38</v>
      </c>
      <c r="C16" s="18"/>
      <c r="D16" s="18">
        <f>$C$6-C20-C21</f>
        <v>0</v>
      </c>
      <c r="E16" s="37" t="s">
        <v>17</v>
      </c>
      <c r="G16" s="37" t="s">
        <v>38</v>
      </c>
      <c r="H16" s="18"/>
      <c r="I16" s="18">
        <f>H7-H20-H21</f>
        <v>0</v>
      </c>
      <c r="J16" s="37" t="s">
        <v>17</v>
      </c>
      <c r="L16" s="37" t="s">
        <v>38</v>
      </c>
      <c r="M16" s="18">
        <f>SUM(M17:M21)</f>
        <v>0</v>
      </c>
      <c r="N16" s="18">
        <f>$M$6-M20-M21</f>
        <v>0</v>
      </c>
      <c r="O16" s="37" t="s">
        <v>17</v>
      </c>
      <c r="P16" s="26"/>
    </row>
    <row r="17" spans="2:15" x14ac:dyDescent="0.3">
      <c r="B17" s="19" t="s">
        <v>6</v>
      </c>
      <c r="C17" s="17">
        <f>SUMIF(COMITENTES!$M:$M,QUÓRUM!B17,COMITENTES!$G:$G)</f>
        <v>0</v>
      </c>
      <c r="D17" s="20" t="e">
        <f>C17/$C$6</f>
        <v>#DIV/0!</v>
      </c>
      <c r="E17" s="38" t="e">
        <f>C17/$D$16</f>
        <v>#DIV/0!</v>
      </c>
      <c r="G17" s="19" t="s">
        <v>6</v>
      </c>
      <c r="H17" s="17">
        <f>SUMIF(COMITENTES!$M:$M,QUÓRUM!G17,COMITENTES!$G:$G)</f>
        <v>0</v>
      </c>
      <c r="I17" s="20" t="e">
        <f t="shared" ref="I17:I21" si="6">H17/$H$7</f>
        <v>#DIV/0!</v>
      </c>
      <c r="J17" s="38" t="e">
        <f>H17/$I$16</f>
        <v>#DIV/0!</v>
      </c>
      <c r="L17" s="19" t="s">
        <v>6</v>
      </c>
      <c r="M17" s="64">
        <f>SUMIF(COMITENTES!$M:$M,QUÓRUM!L17,COMITENTES!$S:$S)</f>
        <v>0</v>
      </c>
      <c r="N17" s="20" t="e">
        <f>M17/$M$6</f>
        <v>#DIV/0!</v>
      </c>
      <c r="O17" s="38" t="e">
        <f>M17/$N$16</f>
        <v>#DIV/0!</v>
      </c>
    </row>
    <row r="18" spans="2:15" x14ac:dyDescent="0.3">
      <c r="B18" s="7" t="s">
        <v>7</v>
      </c>
      <c r="C18" s="16">
        <f>SUMIF(COMITENTES!$M:$M,QUÓRUM!B18,COMITENTES!$G:$G)</f>
        <v>0</v>
      </c>
      <c r="D18" s="21" t="e">
        <f>C18/$C$6</f>
        <v>#DIV/0!</v>
      </c>
      <c r="E18" s="39" t="e">
        <f>C18/$D$16</f>
        <v>#DIV/0!</v>
      </c>
      <c r="G18" s="7" t="s">
        <v>7</v>
      </c>
      <c r="H18" s="16">
        <f>SUMIF(COMITENTES!$M:$M,QUÓRUM!G18,COMITENTES!$G:$G)</f>
        <v>0</v>
      </c>
      <c r="I18" s="21" t="e">
        <f>H18/$H$7</f>
        <v>#DIV/0!</v>
      </c>
      <c r="J18" s="39" t="e">
        <f>H18/$I$16</f>
        <v>#DIV/0!</v>
      </c>
      <c r="L18" s="7" t="s">
        <v>7</v>
      </c>
      <c r="M18" s="65">
        <f>SUMIF(COMITENTES!$M:$M,QUÓRUM!L18,COMITENTES!$S:$S)</f>
        <v>0</v>
      </c>
      <c r="N18" s="21" t="e">
        <f t="shared" ref="N18:N21" si="7">M18/$M$6</f>
        <v>#DIV/0!</v>
      </c>
      <c r="O18" s="39" t="e">
        <f>M18/$N$16</f>
        <v>#DIV/0!</v>
      </c>
    </row>
    <row r="19" spans="2:15" x14ac:dyDescent="0.3">
      <c r="B19" s="7" t="s">
        <v>8</v>
      </c>
      <c r="C19" s="16">
        <f>SUMIF(COMITENTES!$M:$M,QUÓRUM!B19,COMITENTES!$G:$G)</f>
        <v>0</v>
      </c>
      <c r="D19" s="21" t="e">
        <f t="shared" ref="D19:D21" si="8">C19/$C$6</f>
        <v>#DIV/0!</v>
      </c>
      <c r="E19" s="39" t="e">
        <f>C19/$D$16</f>
        <v>#DIV/0!</v>
      </c>
      <c r="G19" s="7" t="s">
        <v>8</v>
      </c>
      <c r="H19" s="16">
        <f>SUMIF(COMITENTES!$M:$M,QUÓRUM!G19,COMITENTES!$G:$G)</f>
        <v>0</v>
      </c>
      <c r="I19" s="21" t="e">
        <f>H19/$H$7</f>
        <v>#DIV/0!</v>
      </c>
      <c r="J19" s="39" t="e">
        <f>H19/$I$16</f>
        <v>#DIV/0!</v>
      </c>
      <c r="L19" s="7" t="s">
        <v>8</v>
      </c>
      <c r="M19" s="65">
        <f>SUMIF(COMITENTES!$M:$M,QUÓRUM!L19,COMITENTES!$S:$S)</f>
        <v>0</v>
      </c>
      <c r="N19" s="21" t="e">
        <f t="shared" si="7"/>
        <v>#DIV/0!</v>
      </c>
      <c r="O19" s="39" t="e">
        <f>M19/$N$16</f>
        <v>#DIV/0!</v>
      </c>
    </row>
    <row r="20" spans="2:15" x14ac:dyDescent="0.3">
      <c r="B20" s="7" t="s">
        <v>9</v>
      </c>
      <c r="C20" s="16">
        <f>SUMIF(COMITENTES!$M:$M,QUÓRUM!B20,COMITENTES!$G:$G)</f>
        <v>0</v>
      </c>
      <c r="D20" s="21" t="e">
        <f>C20/$C$6</f>
        <v>#DIV/0!</v>
      </c>
      <c r="E20" s="39"/>
      <c r="G20" s="7" t="s">
        <v>35</v>
      </c>
      <c r="H20" s="16">
        <f>SUMIF(COMITENTES!$M:$M,QUÓRUM!G20,COMITENTES!$G:$G)</f>
        <v>0</v>
      </c>
      <c r="I20" s="21" t="e">
        <f>H20/$H$7</f>
        <v>#DIV/0!</v>
      </c>
      <c r="J20" s="39"/>
      <c r="L20" s="7" t="s">
        <v>9</v>
      </c>
      <c r="M20" s="65">
        <f>SUMIF(COMITENTES!$M:$M,QUÓRUM!L20,COMITENTES!$S:$S)</f>
        <v>0</v>
      </c>
      <c r="N20" s="21" t="e">
        <f>M20/$M$6</f>
        <v>#DIV/0!</v>
      </c>
      <c r="O20" s="39" t="e">
        <f t="shared" ref="O20" si="9">M20/$N$16</f>
        <v>#DIV/0!</v>
      </c>
    </row>
    <row r="21" spans="2:15" ht="15" thickBot="1" x14ac:dyDescent="0.35">
      <c r="B21" s="23" t="s">
        <v>10</v>
      </c>
      <c r="C21" s="15">
        <f>SUMIF(COMITENTES!$M:$M,QUÓRUM!B21,COMITENTES!$G:$G)</f>
        <v>0</v>
      </c>
      <c r="D21" s="24" t="e">
        <f t="shared" si="8"/>
        <v>#DIV/0!</v>
      </c>
      <c r="E21" s="40"/>
      <c r="G21" s="23" t="s">
        <v>10</v>
      </c>
      <c r="H21" s="15">
        <f>SUMIF(COMITENTES!$M:$M,QUÓRUM!G21,COMITENTES!$G:$G)</f>
        <v>0</v>
      </c>
      <c r="I21" s="24" t="e">
        <f t="shared" si="6"/>
        <v>#DIV/0!</v>
      </c>
      <c r="J21" s="40"/>
      <c r="L21" s="23" t="s">
        <v>10</v>
      </c>
      <c r="M21" s="66">
        <f>SUMIF(COMITENTES!$M:$M,QUÓRUM!L21,COMITENTES!$S:$S)</f>
        <v>0</v>
      </c>
      <c r="N21" s="24" t="e">
        <f t="shared" si="7"/>
        <v>#DIV/0!</v>
      </c>
      <c r="O21" s="40" t="e">
        <f>M21/$N$16</f>
        <v>#DIV/0!</v>
      </c>
    </row>
    <row r="22" spans="2:15" ht="15" thickBot="1" x14ac:dyDescent="0.35"/>
    <row r="23" spans="2:15" ht="15" thickBot="1" x14ac:dyDescent="0.35">
      <c r="B23" s="37" t="s">
        <v>39</v>
      </c>
      <c r="C23" s="18"/>
      <c r="D23" s="18">
        <f>$C$6-C27-C28</f>
        <v>0</v>
      </c>
      <c r="E23" s="37" t="s">
        <v>17</v>
      </c>
      <c r="G23" s="37" t="s">
        <v>39</v>
      </c>
      <c r="H23" s="18"/>
      <c r="I23" s="18">
        <f>H7-H27-H28</f>
        <v>0</v>
      </c>
      <c r="J23" s="37" t="s">
        <v>17</v>
      </c>
      <c r="L23" s="37" t="s">
        <v>39</v>
      </c>
      <c r="M23" s="18">
        <f>SUM(M24:M28)</f>
        <v>0</v>
      </c>
      <c r="N23" s="18">
        <f>$M$6-M27-M28</f>
        <v>0</v>
      </c>
      <c r="O23" s="37" t="s">
        <v>17</v>
      </c>
    </row>
    <row r="24" spans="2:15" x14ac:dyDescent="0.3">
      <c r="B24" s="19" t="s">
        <v>6</v>
      </c>
      <c r="C24" s="17">
        <f>SUMIF(COMITENTES!$N:$N,QUÓRUM!B24,COMITENTES!$G:$G)</f>
        <v>0</v>
      </c>
      <c r="D24" s="20" t="e">
        <f>C24/$C$6</f>
        <v>#DIV/0!</v>
      </c>
      <c r="E24" s="38" t="e">
        <f>C24/$D$23</f>
        <v>#DIV/0!</v>
      </c>
      <c r="G24" s="19" t="s">
        <v>6</v>
      </c>
      <c r="H24" s="17">
        <f>SUMIF(COMITENTES!$N:$N,QUÓRUM!G24,COMITENTES!$G:$G)</f>
        <v>0</v>
      </c>
      <c r="I24" s="20" t="e">
        <f>H24/$H$7</f>
        <v>#DIV/0!</v>
      </c>
      <c r="J24" s="38" t="e">
        <f>H24/$I$23</f>
        <v>#DIV/0!</v>
      </c>
      <c r="L24" s="19" t="s">
        <v>6</v>
      </c>
      <c r="M24" s="64">
        <f>SUMIF(COMITENTES!$N:$N,QUÓRUM!L24,COMITENTES!$S:$S)</f>
        <v>0</v>
      </c>
      <c r="N24" s="20" t="e">
        <f>M24/$M$6</f>
        <v>#DIV/0!</v>
      </c>
      <c r="O24" s="38" t="e">
        <f>M24/$N$23</f>
        <v>#DIV/0!</v>
      </c>
    </row>
    <row r="25" spans="2:15" x14ac:dyDescent="0.3">
      <c r="B25" s="7" t="s">
        <v>7</v>
      </c>
      <c r="C25" s="16">
        <f>SUMIF(COMITENTES!$N:$N,QUÓRUM!B25,COMITENTES!$G:$G)</f>
        <v>0</v>
      </c>
      <c r="D25" s="21" t="e">
        <f t="shared" ref="D25:D28" si="10">C25/$C$6</f>
        <v>#DIV/0!</v>
      </c>
      <c r="E25" s="39" t="e">
        <f>C25/$D$23</f>
        <v>#DIV/0!</v>
      </c>
      <c r="G25" s="7" t="s">
        <v>7</v>
      </c>
      <c r="H25" s="16">
        <f>SUMIF(COMITENTES!$N:$N,QUÓRUM!G25,COMITENTES!$G:$G)</f>
        <v>0</v>
      </c>
      <c r="I25" s="21" t="e">
        <f t="shared" ref="I25:I28" si="11">H25/$H$7</f>
        <v>#DIV/0!</v>
      </c>
      <c r="J25" s="39" t="e">
        <f>H25/$I$23</f>
        <v>#DIV/0!</v>
      </c>
      <c r="L25" s="7" t="s">
        <v>7</v>
      </c>
      <c r="M25" s="65">
        <f>SUMIF(COMITENTES!$N:$N,QUÓRUM!L25,COMITENTES!$S:$S)</f>
        <v>0</v>
      </c>
      <c r="N25" s="21" t="e">
        <f t="shared" ref="N25:N28" si="12">M25/$M$6</f>
        <v>#DIV/0!</v>
      </c>
      <c r="O25" s="39" t="e">
        <f>M25/$N$23</f>
        <v>#DIV/0!</v>
      </c>
    </row>
    <row r="26" spans="2:15" x14ac:dyDescent="0.3">
      <c r="B26" s="7" t="s">
        <v>8</v>
      </c>
      <c r="C26" s="16">
        <f>SUMIF(COMITENTES!$N:$N,QUÓRUM!B26,COMITENTES!$G:$G)</f>
        <v>0</v>
      </c>
      <c r="D26" s="21" t="e">
        <f>C26/$C$6</f>
        <v>#DIV/0!</v>
      </c>
      <c r="E26" s="39" t="e">
        <f>C26/$D$23</f>
        <v>#DIV/0!</v>
      </c>
      <c r="G26" s="7" t="s">
        <v>8</v>
      </c>
      <c r="H26" s="16">
        <f>SUMIF(COMITENTES!$N:$N,QUÓRUM!G26,COMITENTES!$G:$G)</f>
        <v>0</v>
      </c>
      <c r="I26" s="21" t="e">
        <f>H26/$H$7</f>
        <v>#DIV/0!</v>
      </c>
      <c r="J26" s="39" t="e">
        <f>H26/$I$23</f>
        <v>#DIV/0!</v>
      </c>
      <c r="L26" s="7" t="s">
        <v>8</v>
      </c>
      <c r="M26" s="65">
        <f>SUMIF(COMITENTES!$N:$N,QUÓRUM!L26,COMITENTES!$S:$S)</f>
        <v>0</v>
      </c>
      <c r="N26" s="21" t="e">
        <f t="shared" si="12"/>
        <v>#DIV/0!</v>
      </c>
      <c r="O26" s="39" t="e">
        <f t="shared" ref="O26:O27" si="13">M26/$N$23</f>
        <v>#DIV/0!</v>
      </c>
    </row>
    <row r="27" spans="2:15" x14ac:dyDescent="0.3">
      <c r="B27" s="7" t="s">
        <v>9</v>
      </c>
      <c r="C27" s="16">
        <f>SUMIF(COMITENTES!$N:$N,QUÓRUM!B27,COMITENTES!$G:$G)</f>
        <v>0</v>
      </c>
      <c r="D27" s="21" t="e">
        <f t="shared" si="10"/>
        <v>#DIV/0!</v>
      </c>
      <c r="E27" s="39"/>
      <c r="G27" s="7" t="s">
        <v>9</v>
      </c>
      <c r="H27" s="16">
        <f>SUMIF(COMITENTES!$N:$N,QUÓRUM!G27,COMITENTES!$G:$G)</f>
        <v>0</v>
      </c>
      <c r="I27" s="21" t="e">
        <f>H27/$H$7</f>
        <v>#DIV/0!</v>
      </c>
      <c r="J27" s="39"/>
      <c r="L27" s="7" t="s">
        <v>9</v>
      </c>
      <c r="M27" s="65">
        <f>SUMIF(COMITENTES!$N:$N,QUÓRUM!L27,COMITENTES!$S:$S)</f>
        <v>0</v>
      </c>
      <c r="N27" s="21" t="e">
        <f t="shared" si="12"/>
        <v>#DIV/0!</v>
      </c>
      <c r="O27" s="39" t="e">
        <f t="shared" si="13"/>
        <v>#DIV/0!</v>
      </c>
    </row>
    <row r="28" spans="2:15" ht="15" thickBot="1" x14ac:dyDescent="0.35">
      <c r="B28" s="23" t="s">
        <v>10</v>
      </c>
      <c r="C28" s="15">
        <f>SUMIF(COMITENTES!$N:$N,QUÓRUM!B28,COMITENTES!$G:$G)</f>
        <v>0</v>
      </c>
      <c r="D28" s="24" t="e">
        <f t="shared" si="10"/>
        <v>#DIV/0!</v>
      </c>
      <c r="E28" s="40"/>
      <c r="G28" s="23" t="s">
        <v>10</v>
      </c>
      <c r="H28" s="15">
        <f>SUMIF(COMITENTES!$N:$N,QUÓRUM!G28,COMITENTES!$G:$G)</f>
        <v>0</v>
      </c>
      <c r="I28" s="24" t="e">
        <f t="shared" si="11"/>
        <v>#DIV/0!</v>
      </c>
      <c r="J28" s="40"/>
      <c r="L28" s="23" t="s">
        <v>10</v>
      </c>
      <c r="M28" s="66">
        <f>SUMIF(COMITENTES!$N:$N,QUÓRUM!L28,COMITENTES!$S:$S)</f>
        <v>0</v>
      </c>
      <c r="N28" s="24" t="e">
        <f t="shared" si="12"/>
        <v>#DIV/0!</v>
      </c>
      <c r="O28" s="40" t="e">
        <f>M28/$N$23</f>
        <v>#DIV/0!</v>
      </c>
    </row>
    <row r="29" spans="2:15" ht="15" thickBot="1" x14ac:dyDescent="0.35"/>
    <row r="30" spans="2:15" ht="15" thickBot="1" x14ac:dyDescent="0.35">
      <c r="B30" s="37" t="s">
        <v>40</v>
      </c>
      <c r="C30" s="18"/>
      <c r="D30" s="18">
        <f>$C$6-C34-C35</f>
        <v>0</v>
      </c>
      <c r="E30" s="37" t="s">
        <v>17</v>
      </c>
      <c r="G30" s="37" t="s">
        <v>40</v>
      </c>
      <c r="H30" s="18"/>
      <c r="I30" s="18">
        <f>H7-H34-H35</f>
        <v>0</v>
      </c>
      <c r="J30" s="37" t="s">
        <v>17</v>
      </c>
      <c r="L30" s="37" t="s">
        <v>40</v>
      </c>
      <c r="M30" s="18">
        <f>SUM(M31:M35)</f>
        <v>0</v>
      </c>
      <c r="N30" s="18">
        <f>$M$6-M34-M35</f>
        <v>0</v>
      </c>
      <c r="O30" s="37" t="s">
        <v>17</v>
      </c>
    </row>
    <row r="31" spans="2:15" x14ac:dyDescent="0.3">
      <c r="B31" s="19" t="s">
        <v>6</v>
      </c>
      <c r="C31" s="17">
        <f>SUMIF(COMITENTES!$O:$O,QUÓRUM!B31,COMITENTES!$G:$G)</f>
        <v>0</v>
      </c>
      <c r="D31" s="20" t="e">
        <f>C31/$C$6</f>
        <v>#DIV/0!</v>
      </c>
      <c r="E31" s="38" t="e">
        <f>C31/$D$30</f>
        <v>#DIV/0!</v>
      </c>
      <c r="G31" s="19" t="s">
        <v>6</v>
      </c>
      <c r="H31" s="17">
        <f>SUMIF(COMITENTES!$O:$O,QUÓRUM!G31,COMITENTES!$G:$G)</f>
        <v>0</v>
      </c>
      <c r="I31" s="20" t="e">
        <f>H31/$H$7</f>
        <v>#DIV/0!</v>
      </c>
      <c r="J31" s="38" t="e">
        <f>H31/$I$30</f>
        <v>#DIV/0!</v>
      </c>
      <c r="L31" s="19" t="s">
        <v>6</v>
      </c>
      <c r="M31" s="64">
        <f>SUMIF(COMITENTES!$O:$O,QUÓRUM!L31,COMITENTES!$S:$S)</f>
        <v>0</v>
      </c>
      <c r="N31" s="20" t="e">
        <f>M31/$M$6</f>
        <v>#DIV/0!</v>
      </c>
      <c r="O31" s="38" t="e">
        <f>M31/$N$23</f>
        <v>#DIV/0!</v>
      </c>
    </row>
    <row r="32" spans="2:15" x14ac:dyDescent="0.3">
      <c r="B32" s="7" t="s">
        <v>7</v>
      </c>
      <c r="C32" s="16">
        <f>SUMIF(COMITENTES!$O:$O,QUÓRUM!B32,COMITENTES!$G:$G)</f>
        <v>0</v>
      </c>
      <c r="D32" s="21" t="e">
        <f t="shared" ref="D32:D35" si="14">C32/$C$6</f>
        <v>#DIV/0!</v>
      </c>
      <c r="E32" s="39" t="e">
        <f>C32/$D$30</f>
        <v>#DIV/0!</v>
      </c>
      <c r="G32" s="7" t="s">
        <v>7</v>
      </c>
      <c r="H32" s="16">
        <f>SUMIF(COMITENTES!$O:$O,QUÓRUM!G32,COMITENTES!$G:$G)</f>
        <v>0</v>
      </c>
      <c r="I32" s="21" t="e">
        <f t="shared" ref="I32" si="15">H32/$H$7</f>
        <v>#DIV/0!</v>
      </c>
      <c r="J32" s="39" t="e">
        <f>H32/$I$30</f>
        <v>#DIV/0!</v>
      </c>
      <c r="L32" s="7" t="s">
        <v>7</v>
      </c>
      <c r="M32" s="65">
        <f>SUMIF(COMITENTES!$O:$O,QUÓRUM!L32,COMITENTES!$S:$S)</f>
        <v>0</v>
      </c>
      <c r="N32" s="21" t="e">
        <f t="shared" ref="N32:N35" si="16">M32/$M$6</f>
        <v>#DIV/0!</v>
      </c>
      <c r="O32" s="39" t="e">
        <f>M32/$N$23</f>
        <v>#DIV/0!</v>
      </c>
    </row>
    <row r="33" spans="2:15" x14ac:dyDescent="0.3">
      <c r="B33" s="7" t="s">
        <v>8</v>
      </c>
      <c r="C33" s="16">
        <f>SUMIF(COMITENTES!$O:$O,QUÓRUM!B33,COMITENTES!$G:$G)</f>
        <v>0</v>
      </c>
      <c r="D33" s="21" t="e">
        <f t="shared" si="14"/>
        <v>#DIV/0!</v>
      </c>
      <c r="E33" s="39" t="e">
        <f>C33/$D$30</f>
        <v>#DIV/0!</v>
      </c>
      <c r="G33" s="7" t="s">
        <v>8</v>
      </c>
      <c r="H33" s="16">
        <f>SUMIF(COMITENTES!$O:$O,QUÓRUM!G33,COMITENTES!$G:$G)</f>
        <v>0</v>
      </c>
      <c r="I33" s="21" t="e">
        <f>H33/$H$7</f>
        <v>#DIV/0!</v>
      </c>
      <c r="J33" s="39" t="e">
        <f>H33/$I$30</f>
        <v>#DIV/0!</v>
      </c>
      <c r="L33" s="7" t="s">
        <v>8</v>
      </c>
      <c r="M33" s="65">
        <f>SUMIF(COMITENTES!$O:$O,QUÓRUM!L33,COMITENTES!$S:$S)</f>
        <v>0</v>
      </c>
      <c r="N33" s="21" t="e">
        <f t="shared" si="16"/>
        <v>#DIV/0!</v>
      </c>
      <c r="O33" s="39" t="e">
        <f t="shared" ref="O33:O34" si="17">M33/$N$23</f>
        <v>#DIV/0!</v>
      </c>
    </row>
    <row r="34" spans="2:15" x14ac:dyDescent="0.3">
      <c r="B34" s="7" t="s">
        <v>9</v>
      </c>
      <c r="C34" s="16">
        <f>SUMIF(COMITENTES!$O:$O,QUÓRUM!B34,COMITENTES!$G:$G)</f>
        <v>0</v>
      </c>
      <c r="D34" s="21" t="e">
        <f t="shared" si="14"/>
        <v>#DIV/0!</v>
      </c>
      <c r="E34" s="39"/>
      <c r="G34" s="7" t="s">
        <v>9</v>
      </c>
      <c r="H34" s="16">
        <f>SUMIF(COMITENTES!$O:$O,QUÓRUM!G34,COMITENTES!$G:$G)</f>
        <v>0</v>
      </c>
      <c r="I34" s="21" t="e">
        <f t="shared" ref="I34:I35" si="18">H34/$H$7</f>
        <v>#DIV/0!</v>
      </c>
      <c r="J34" s="39"/>
      <c r="L34" s="7" t="s">
        <v>9</v>
      </c>
      <c r="M34" s="65">
        <f>SUMIF(COMITENTES!$O:$O,QUÓRUM!L34,COMITENTES!$S:$S)</f>
        <v>0</v>
      </c>
      <c r="N34" s="21" t="e">
        <f t="shared" si="16"/>
        <v>#DIV/0!</v>
      </c>
      <c r="O34" s="39" t="e">
        <f t="shared" si="17"/>
        <v>#DIV/0!</v>
      </c>
    </row>
    <row r="35" spans="2:15" ht="15" thickBot="1" x14ac:dyDescent="0.35">
      <c r="B35" s="23" t="s">
        <v>10</v>
      </c>
      <c r="C35" s="15">
        <f>SUMIF(COMITENTES!$O:$O,QUÓRUM!B35,COMITENTES!$G:$G)</f>
        <v>0</v>
      </c>
      <c r="D35" s="24" t="e">
        <f t="shared" si="14"/>
        <v>#DIV/0!</v>
      </c>
      <c r="E35" s="40"/>
      <c r="G35" s="23" t="s">
        <v>10</v>
      </c>
      <c r="H35" s="15">
        <f>SUMIF(COMITENTES!$O:$O,QUÓRUM!G35,COMITENTES!$G:$G)</f>
        <v>0</v>
      </c>
      <c r="I35" s="24" t="e">
        <f t="shared" si="18"/>
        <v>#DIV/0!</v>
      </c>
      <c r="J35" s="40"/>
      <c r="L35" s="23" t="s">
        <v>10</v>
      </c>
      <c r="M35" s="66">
        <f>SUMIF(COMITENTES!$O:$O,QUÓRUM!L35,COMITENTES!$S:$S)</f>
        <v>0</v>
      </c>
      <c r="N35" s="24" t="e">
        <f t="shared" si="16"/>
        <v>#DIV/0!</v>
      </c>
      <c r="O35" s="40" t="e">
        <f>M35/$N$23</f>
        <v>#DIV/0!</v>
      </c>
    </row>
    <row r="36" spans="2:15" ht="15" thickBot="1" x14ac:dyDescent="0.35"/>
    <row r="37" spans="2:15" ht="15" thickBot="1" x14ac:dyDescent="0.35">
      <c r="B37" s="37" t="s">
        <v>41</v>
      </c>
      <c r="C37" s="18"/>
      <c r="D37" s="18">
        <f>$C$6-C41-C42</f>
        <v>0</v>
      </c>
      <c r="E37" s="37" t="s">
        <v>17</v>
      </c>
      <c r="G37" s="37" t="s">
        <v>41</v>
      </c>
      <c r="H37" s="18"/>
      <c r="I37" s="18">
        <f>H7-H41-H42</f>
        <v>0</v>
      </c>
      <c r="J37" s="37" t="s">
        <v>17</v>
      </c>
      <c r="L37" s="37" t="s">
        <v>41</v>
      </c>
      <c r="M37" s="18">
        <f>SUM(M38:M42)</f>
        <v>0</v>
      </c>
      <c r="N37" s="18">
        <f>$M$6-M41-M42</f>
        <v>0</v>
      </c>
      <c r="O37" s="37" t="s">
        <v>17</v>
      </c>
    </row>
    <row r="38" spans="2:15" x14ac:dyDescent="0.3">
      <c r="B38" s="19" t="s">
        <v>6</v>
      </c>
      <c r="C38" s="17">
        <f>SUMIF(COMITENTES!$P:$P,QUÓRUM!B38,COMITENTES!$G:$G)</f>
        <v>0</v>
      </c>
      <c r="D38" s="20" t="e">
        <f>C38/$C$6</f>
        <v>#DIV/0!</v>
      </c>
      <c r="E38" s="38" t="e">
        <f>C38/$D$37</f>
        <v>#DIV/0!</v>
      </c>
      <c r="G38" s="19" t="s">
        <v>6</v>
      </c>
      <c r="H38" s="17">
        <f>SUMIF(COMITENTES!$P:$P,QUÓRUM!G38,COMITENTES!$G:$G)</f>
        <v>0</v>
      </c>
      <c r="I38" s="20" t="e">
        <f t="shared" ref="I38:I39" si="19">H38/$H$7</f>
        <v>#DIV/0!</v>
      </c>
      <c r="J38" s="38" t="e">
        <f>H38/$I$37</f>
        <v>#DIV/0!</v>
      </c>
      <c r="L38" s="19" t="s">
        <v>6</v>
      </c>
      <c r="M38" s="64">
        <f>SUMIF(COMITENTES!$P:$P,QUÓRUM!L38,COMITENTES!$S:$S)</f>
        <v>0</v>
      </c>
      <c r="N38" s="20" t="e">
        <f>M38/$M$6</f>
        <v>#DIV/0!</v>
      </c>
      <c r="O38" s="38" t="e">
        <f>M38/$N$23</f>
        <v>#DIV/0!</v>
      </c>
    </row>
    <row r="39" spans="2:15" x14ac:dyDescent="0.3">
      <c r="B39" s="7" t="s">
        <v>7</v>
      </c>
      <c r="C39" s="16">
        <f>SUMIF(COMITENTES!$P:$P,QUÓRUM!B39,COMITENTES!$G:$G)</f>
        <v>0</v>
      </c>
      <c r="D39" s="21" t="e">
        <f t="shared" ref="D39:D42" si="20">C39/$C$6</f>
        <v>#DIV/0!</v>
      </c>
      <c r="E39" s="39" t="e">
        <f>C39/$D$37</f>
        <v>#DIV/0!</v>
      </c>
      <c r="G39" s="7" t="s">
        <v>7</v>
      </c>
      <c r="H39" s="16">
        <f>SUMIF(COMITENTES!$P:$P,QUÓRUM!G39,COMITENTES!$G:$G)</f>
        <v>0</v>
      </c>
      <c r="I39" s="21" t="e">
        <f t="shared" si="19"/>
        <v>#DIV/0!</v>
      </c>
      <c r="J39" s="39" t="e">
        <f>H39/$I$9</f>
        <v>#DIV/0!</v>
      </c>
      <c r="L39" s="7" t="s">
        <v>7</v>
      </c>
      <c r="M39" s="65">
        <f>SUMIF(COMITENTES!$P:$P,QUÓRUM!L39,COMITENTES!$S:$S)</f>
        <v>0</v>
      </c>
      <c r="N39" s="21" t="e">
        <f t="shared" ref="N39:N42" si="21">M39/$M$6</f>
        <v>#DIV/0!</v>
      </c>
      <c r="O39" s="39" t="e">
        <f>M39/$N$23</f>
        <v>#DIV/0!</v>
      </c>
    </row>
    <row r="40" spans="2:15" x14ac:dyDescent="0.3">
      <c r="B40" s="7" t="s">
        <v>8</v>
      </c>
      <c r="C40" s="16">
        <f>SUMIF(COMITENTES!$P:$P,QUÓRUM!B40,COMITENTES!$G:$G)</f>
        <v>0</v>
      </c>
      <c r="D40" s="21" t="e">
        <f t="shared" si="20"/>
        <v>#DIV/0!</v>
      </c>
      <c r="E40" s="39" t="e">
        <f>C40/$D$37</f>
        <v>#DIV/0!</v>
      </c>
      <c r="G40" s="7" t="s">
        <v>8</v>
      </c>
      <c r="H40" s="16">
        <f>SUMIF(COMITENTES!$P:$P,QUÓRUM!G40,COMITENTES!$G:$G)</f>
        <v>0</v>
      </c>
      <c r="I40" s="21" t="e">
        <f>H40/$H$7</f>
        <v>#DIV/0!</v>
      </c>
      <c r="J40" s="39" t="e">
        <f t="shared" ref="J40" si="22">H40/$I$9</f>
        <v>#DIV/0!</v>
      </c>
      <c r="L40" s="7" t="s">
        <v>8</v>
      </c>
      <c r="M40" s="65">
        <f>SUMIF(COMITENTES!$P:$P,QUÓRUM!L40,COMITENTES!$S:$S)</f>
        <v>0</v>
      </c>
      <c r="N40" s="21" t="e">
        <f t="shared" si="21"/>
        <v>#DIV/0!</v>
      </c>
      <c r="O40" s="39" t="e">
        <f t="shared" ref="O40:O41" si="23">M40/$N$23</f>
        <v>#DIV/0!</v>
      </c>
    </row>
    <row r="41" spans="2:15" x14ac:dyDescent="0.3">
      <c r="B41" s="7" t="s">
        <v>9</v>
      </c>
      <c r="C41" s="16">
        <f>SUMIF(COMITENTES!$P:$P,QUÓRUM!B41,COMITENTES!$G:$G)</f>
        <v>0</v>
      </c>
      <c r="D41" s="21" t="e">
        <f t="shared" si="20"/>
        <v>#DIV/0!</v>
      </c>
      <c r="E41" s="39"/>
      <c r="G41" s="7" t="s">
        <v>9</v>
      </c>
      <c r="H41" s="16">
        <f>SUMIF(COMITENTES!$P:$P,QUÓRUM!G41,COMITENTES!$G:$G)</f>
        <v>0</v>
      </c>
      <c r="I41" s="21" t="e">
        <f t="shared" ref="I41:I42" si="24">H41/$H$7</f>
        <v>#DIV/0!</v>
      </c>
      <c r="J41" s="39"/>
      <c r="L41" s="7" t="s">
        <v>9</v>
      </c>
      <c r="M41" s="65">
        <f>SUMIF(COMITENTES!$P:$P,QUÓRUM!L41,COMITENTES!$S:$S)</f>
        <v>0</v>
      </c>
      <c r="N41" s="21" t="e">
        <f t="shared" si="21"/>
        <v>#DIV/0!</v>
      </c>
      <c r="O41" s="39" t="e">
        <f t="shared" si="23"/>
        <v>#DIV/0!</v>
      </c>
    </row>
    <row r="42" spans="2:15" ht="15" thickBot="1" x14ac:dyDescent="0.35">
      <c r="B42" s="23" t="s">
        <v>10</v>
      </c>
      <c r="C42" s="15">
        <f>SUMIF(COMITENTES!$P:$P,QUÓRUM!B42,COMITENTES!$G:$G)</f>
        <v>0</v>
      </c>
      <c r="D42" s="24" t="e">
        <f t="shared" si="20"/>
        <v>#DIV/0!</v>
      </c>
      <c r="E42" s="40"/>
      <c r="G42" s="23" t="s">
        <v>10</v>
      </c>
      <c r="H42" s="15">
        <f>SUMIF(COMITENTES!$P:$P,QUÓRUM!G42,COMITENTES!$G:$G)</f>
        <v>0</v>
      </c>
      <c r="I42" s="24" t="e">
        <f t="shared" si="24"/>
        <v>#DIV/0!</v>
      </c>
      <c r="J42" s="40"/>
      <c r="L42" s="23" t="s">
        <v>10</v>
      </c>
      <c r="M42" s="66">
        <f>SUMIF(COMITENTES!$P:$P,QUÓRUM!L42,COMITENTES!$S:$S)</f>
        <v>0</v>
      </c>
      <c r="N42" s="24" t="e">
        <f t="shared" si="21"/>
        <v>#DIV/0!</v>
      </c>
      <c r="O42" s="40" t="e">
        <f>M42/$N$23</f>
        <v>#DIV/0!</v>
      </c>
    </row>
  </sheetData>
  <mergeCells count="3">
    <mergeCell ref="B1:E1"/>
    <mergeCell ref="G1:J1"/>
    <mergeCell ref="L1:O1"/>
  </mergeCells>
  <pageMargins left="0.511811024" right="0.511811024" top="0.78740157499999996" bottom="0.78740157499999996" header="0.31496062000000002" footer="0.31496062000000002"/>
  <ignoredErrors>
    <ignoredError sqref="D8:E8 D15:E15 E9 K5:L5 J13:M13 K10:M10 I15:O15 K14:M14 J9:K9 K11:M11 K12:M12 I22:O22 K18:M18 I29:O29 K24:M25 I36:O36 K31:M35 K38:M41 J16:K16 J23:K23 J30:K30 J37:K37 E13:E14 I8:O8 J7:L7 E5 E7 O5 D22:E22 E16 E20:E21 D29:E29 E27:E28 D36:E36 E34:E35 E41:E42 O7 E23 E30 E37 O9 O16 O23 O30 O37 O12 K27:M28 K26:M26 O26 K20:M21 K19:M19 K17:M17 O17 O18 O20:O21 O24 O27:O28 O31:O35 O38:O41 O13 O14 O11 M9 M16 M23 M30 M37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PARTICIPANTES</vt:lpstr>
      <vt:lpstr>COMITENTES</vt:lpstr>
      <vt:lpstr>QUÓRUM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Thales Tarre</dc:creator>
  <cp:lastModifiedBy>Henrique Magalhães</cp:lastModifiedBy>
  <dcterms:created xsi:type="dcterms:W3CDTF">2014-07-29T00:14:37Z</dcterms:created>
  <dcterms:modified xsi:type="dcterms:W3CDTF">2026-06-19T19:48:37Z</dcterms:modified>
</cp:coreProperties>
</file>